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SG\Downloads\"/>
    </mc:Choice>
  </mc:AlternateContent>
  <xr:revisionPtr revIDLastSave="0" documentId="13_ncr:101_{C4CA84A9-77DE-4D98-844A-A340D48DD5A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요약" sheetId="1" r:id="rId1"/>
    <sheet name="유선 스위치" sheetId="2" r:id="rId2"/>
    <sheet name="무선 AP" sheetId="3" r:id="rId3"/>
    <sheet name="마운트킷" sheetId="4" r:id="rId4"/>
    <sheet name="외장 안테나" sheetId="5" r:id="rId5"/>
    <sheet name="데이터시트 목록" sheetId="6" r:id="rId6"/>
    <sheet name="분류 기준" sheetId="7" r:id="rId7"/>
    <sheet name="VeloCloud SD-WAN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DCS = Data Center Switch, CCS = Cognitive Campus Switch. SKU prefix/공식 제품 분류를 우선 적용했습니다.</t>
        </r>
      </text>
    </comment>
    <comment ref="H5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공식 제품 positioning과 사양을 바탕으로 한 실무 분류입니다. 기능/지원/라이선스 보증을 대체하지 않습니다.</t>
        </r>
      </text>
    </comment>
    <comment ref="I5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공식 제품 positioning과 사양을 바탕으로 한 실무 분류입니다. 기능/지원/라이선스 보증을 대체하지 않습니다.</t>
        </r>
      </text>
    </comment>
    <comment ref="J5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공식 제품 positioning과 사양을 바탕으로 한 실무 분류입니다. 기능/지원/라이선스 보증을 대체하지 않습니다.</t>
        </r>
      </text>
    </comment>
    <comment ref="Q5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>현행/레거시는 공식 페이지와 데이터시트 존재 상태를 요약한 것으로, 실시간 orderability 및 support lifecycle은 별도 확인해야 합니다.</t>
        </r>
      </text>
    </comment>
    <comment ref="U5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V5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W5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X5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Y5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Z5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AA5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AB5" authorId="0" shapeId="0" xr:uid="{00000000-0006-0000-0100-00000D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AC5" authorId="0" shapeId="0" xr:uid="{00000000-0006-0000-0100-00000E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AD5" authorId="0" shapeId="0" xr:uid="{00000000-0006-0000-0100-00000F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  <comment ref="AE5" authorId="0" shapeId="0" xr:uid="{00000000-0006-0000-0100-000010000000}">
      <text>
        <r>
          <rPr>
            <sz val="11"/>
            <color theme="1"/>
            <rFont val="맑은 고딕"/>
            <family val="3"/>
            <charset val="129"/>
          </rPr>
          <t>각 행의 공식 데이터시트 URL(공식 데이터시트 열)을 기준으로 전사. 모델/변형별 적용 단위가 다른 경우 셀 안에 표기.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P5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Antenna Selection Guide에 명시된 AP 호환성만 기재했습니다. O-405E는 가이드 미표기로 별도 검증이 필요합니다.</t>
        </r>
      </text>
    </comment>
    <comment ref="V5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W5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X5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Y5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Z5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A5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B5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C5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D5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E5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F5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G5" authorId="0" shapeId="0" xr:uid="{00000000-0006-0000-0200-00000D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H5" authorId="0" shapeId="0" xr:uid="{00000000-0006-0000-0200-00000E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I5" authorId="0" shapeId="0" xr:uid="{00000000-0006-0000-0200-00000F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J5" authorId="0" shapeId="0" xr:uid="{00000000-0006-0000-0200-000010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K5" authorId="0" shapeId="0" xr:uid="{00000000-0006-0000-0200-000011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L5" authorId="0" shapeId="0" xr:uid="{00000000-0006-0000-0200-000012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M5" authorId="0" shapeId="0" xr:uid="{00000000-0006-0000-0200-000013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N5" authorId="0" shapeId="0" xr:uid="{00000000-0006-0000-0200-000014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O5" authorId="0" shapeId="0" xr:uid="{00000000-0006-0000-0200-000015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P5" authorId="0" shapeId="0" xr:uid="{00000000-0006-0000-0200-000016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Q5" authorId="0" shapeId="0" xr:uid="{00000000-0006-0000-0200-000017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R5" authorId="0" shapeId="0" xr:uid="{00000000-0006-0000-0200-000018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S5" authorId="0" shapeId="0" xr:uid="{00000000-0006-0000-0200-000019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  <comment ref="AT5" authorId="0" shapeId="0" xr:uid="{00000000-0006-0000-0200-00001A000000}">
      <text>
        <r>
          <rPr>
            <sz val="11"/>
            <color theme="1"/>
            <rFont val="맑은 고딕"/>
            <family val="3"/>
            <charset val="129"/>
          </rPr>
          <t>공식 AP 데이터시트의 Key Specifications, radio, power, physical/environmental 항목을 분류하여 전사.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5" authorId="0" shapeId="0" xr:uid="{00000000-0006-0000-0400-000001000000}">
      <text>
        <r>
          <rPr>
            <sz val="11"/>
            <color theme="1"/>
            <rFont val="맑은 고딕"/>
            <family val="3"/>
            <charset val="129"/>
          </rPr>
          <t>공식 Antenna Selection Guide의 compatibility 표기만 사용했습니다.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5" authorId="0" shapeId="0" xr:uid="{00000000-0006-0000-0500-000001000000}">
      <text>
        <r>
          <rPr>
            <sz val="11"/>
            <color theme="1"/>
            <rFont val="맑은 고딕"/>
            <family val="3"/>
            <charset val="129"/>
          </rPr>
          <t>모든 링크는 Arista 공식 도메인 원문 URL입니다.</t>
        </r>
      </text>
    </comment>
  </commentList>
</comments>
</file>

<file path=xl/sharedStrings.xml><?xml version="1.0" encoding="utf-8"?>
<sst xmlns="http://schemas.openxmlformats.org/spreadsheetml/2006/main" count="6694" uniqueCount="2338">
  <si>
    <t>Arista AP 및 Switch 전체 제품군 정리</t>
  </si>
  <si>
    <t>공식 Arista 제품 페이지·데이터시트·비교표 기준 | 검토 기준일 2026-09-08</t>
  </si>
  <si>
    <t>현행 공식 포트폴리오와 공식 사이트에 유지되는 일부 레거시 문서를 함께 포함합니다. 구매 가능 여부·EOS/EOL·국가별 무선 규제는 견적/BOM 시점에 Arista 또는 공인 파트너와 재검증하십시오.</t>
  </si>
  <si>
    <t>유선 스위치</t>
  </si>
  <si>
    <t>무선 및 문서</t>
  </si>
  <si>
    <t>전체 모델/기능 SKU 수</t>
  </si>
  <si>
    <t>AP 모델 수</t>
  </si>
  <si>
    <t>DCS 행 수</t>
  </si>
  <si>
    <t>Wi-Fi 7 AP</t>
  </si>
  <si>
    <t>CCS 행 수</t>
  </si>
  <si>
    <t>Wi-Fi 6E AP</t>
  </si>
  <si>
    <t>AI 용도 적용 행</t>
  </si>
  <si>
    <t>Wi-Fi 6 AP</t>
  </si>
  <si>
    <t>DC 용도 적용 행</t>
  </si>
  <si>
    <t>외장 안테나형 AP</t>
  </si>
  <si>
    <t>Campus 용도 적용 행</t>
  </si>
  <si>
    <t>마운트 옵션</t>
  </si>
  <si>
    <t>공식 스위치 PDF 수</t>
  </si>
  <si>
    <t>외장 안테나 모델</t>
  </si>
  <si>
    <t>공식 문서/페이지</t>
  </si>
  <si>
    <t>VeloCloud 모델군/참조행</t>
  </si>
  <si>
    <t>벤더별 액세서리 항목</t>
  </si>
  <si>
    <t>핵심 범위 및 해석 주의사항</t>
  </si>
  <si>
    <t>범위</t>
  </si>
  <si>
    <t>Switch는 공식 플랫폼 비교 페이지와 각 PDF 주문정보에서 확인된 base model/기능 SKU를 정리했습니다. 전원·airflow·메모리·라이선스·bundle suffix는 별도 제품으로 중복 계상하지 않고 변형 SKU 열에 묶었습니다.</t>
  </si>
  <si>
    <t>CCS/DCS</t>
  </si>
  <si>
    <t>DCS는 Data Center Switch 계열, CCS는 Cognitive Campus Switch 계열로 분리했습니다. 7010X·7020R 등 교차 용도 가능 모델은 공식 SKU 계열을 우선했습니다.</t>
  </si>
  <si>
    <t>용도</t>
  </si>
  <si>
    <t>AI/DC/Campus의 주력·적합·보조·특화 평가는 공식 positioning과 사양을 바탕으로 한 실무 분류이며, 지원 기능·라이선스 보증을 대체하지 않습니다.</t>
  </si>
  <si>
    <t>무선</t>
  </si>
  <si>
    <t>AP 19개 모델과 공용 mounting option 8종, 공식 Antenna Selection Guide의 외장 안테나 39종을 별도 시트에 정리했습니다.</t>
  </si>
  <si>
    <t>O-405E 경고</t>
  </si>
  <si>
    <t>O-405E 데이터시트는 4x N-Type 외장 커넥터를 명시하지만 2026-01 Antenna Selection Guide의 AP 호환 열에는 O-405E가 없습니다. 국가/도메인별 인증, connector, EIRP를 BOM 단계에서 반드시 확인하십시오.</t>
  </si>
  <si>
    <t>C-250 경고</t>
  </si>
  <si>
    <t>C-250 개별 PDF의 Key Specifications와 본문 사이 일부 MIMO 표기가 상충합니다. 본 파일은 최신 AP 비교표와 개별 문서를 함께 표시하며 발주 전 최신 ordering guide 확인이 필요합니다.</t>
  </si>
  <si>
    <t>VeloCloud</t>
  </si>
  <si>
    <t>2026-10-01 벤더별 공식자료로 VeloCloud 시트를 재검토했습니다. EOS·주문 SKU·대응 후보·키트 PN과 성능 시험조건 차이 및 문서간 상충을 표시했습니다.</t>
  </si>
  <si>
    <t>공식 시작점</t>
  </si>
  <si>
    <t>Switching Platforms</t>
  </si>
  <si>
    <t>https://www.arista.com/en/products/platforms</t>
  </si>
  <si>
    <t>AP Comparison Matrix</t>
  </si>
  <si>
    <t>https://www.arista.com/assets/data/pdf/Datasheets/AP-Comparison-Matrix-Datasheet-WiFi6.pdf</t>
  </si>
  <si>
    <t>AP Mounting Brackets</t>
  </si>
  <si>
    <t>https://www.arista.com/assets/data/pdf/Datasheets/AP-Mounting-Brackets-Datasheet.pdf</t>
  </si>
  <si>
    <t>Antenna Selection Guide</t>
  </si>
  <si>
    <t>https://www.arista.com/assets/data/pdf/Datasheets/Antenna-Selection-Guide.pdf</t>
  </si>
  <si>
    <t>Arista 유선 스위치 제품군</t>
  </si>
  <si>
    <t>DCS / CCS 분류 및 AI·DC·Campus 용도 정리 | 기준일 2026-09-08</t>
  </si>
  <si>
    <t>공식 플랫폼 비교 페이지와 데이터시트의 base model/ordering information을 통합했습니다. 우측 Specifications 열은 각 행의 공식 데이터시트를 전사했습니다. 녹색=전사값, 주황=미기재/적용 주의.</t>
  </si>
  <si>
    <t>포트폴리오 분류·용도·출처</t>
  </si>
  <si>
    <t>Specifications — 공식 데이터시트 전사</t>
  </si>
  <si>
    <t>No</t>
  </si>
  <si>
    <t>분류(CCS/DCS)</t>
  </si>
  <si>
    <t>제품군</t>
  </si>
  <si>
    <t>모델/기본 SKU</t>
  </si>
  <si>
    <t>변형 SKU/구성</t>
  </si>
  <si>
    <t>형태</t>
  </si>
  <si>
    <t>주요 용도</t>
  </si>
  <si>
    <t>AI 적합도</t>
  </si>
  <si>
    <t>DC 적합도</t>
  </si>
  <si>
    <t>Campus 적합도</t>
  </si>
  <si>
    <t>포트/속도 요약</t>
  </si>
  <si>
    <t>스위칭 용량</t>
  </si>
  <si>
    <t>지연</t>
  </si>
  <si>
    <t>크기</t>
  </si>
  <si>
    <t>PoE</t>
  </si>
  <si>
    <t>MACsec/TunnelSec</t>
  </si>
  <si>
    <t>상태</t>
  </si>
  <si>
    <t>공식 제품 페이지</t>
  </si>
  <si>
    <t>공식 데이터시트</t>
  </si>
  <si>
    <t>비고</t>
  </si>
  <si>
    <t>Ports</t>
  </si>
  <si>
    <t>Throughput</t>
  </si>
  <si>
    <t>Packets/Second</t>
  </si>
  <si>
    <t>Latency</t>
  </si>
  <si>
    <t>CPU</t>
  </si>
  <si>
    <t>System Memory</t>
  </si>
  <si>
    <t>Flash Storage Memory</t>
  </si>
  <si>
    <t>Packet Buffer Memory</t>
  </si>
  <si>
    <t>Hot-swap Power Supplies</t>
  </si>
  <si>
    <t>Hot-swappable Fans</t>
  </si>
  <si>
    <t>Reversible Airflow</t>
  </si>
  <si>
    <t>DCS</t>
  </si>
  <si>
    <t>7800R4</t>
  </si>
  <si>
    <t>7816LR4</t>
  </si>
  <si>
    <t>DCS-7816LR4 계열</t>
  </si>
  <si>
    <t>모듈형 섀시</t>
  </si>
  <si>
    <t>AI/ML 초대형 spine, hyperscale DC, service provider</t>
  </si>
  <si>
    <t>주력</t>
  </si>
  <si>
    <t>-</t>
  </si>
  <si>
    <t>576x800G / 1152x400G</t>
  </si>
  <si>
    <t>460 Tbps (920 Tbps FDX)</t>
  </si>
  <si>
    <t>&lt;4 us</t>
  </si>
  <si>
    <t>32RU</t>
  </si>
  <si>
    <t>TunnelSec</t>
  </si>
  <si>
    <t>현행 공식 플랫폼/데이터시트 등재</t>
  </si>
  <si>
    <t>https://www.arista.com/assets/data/pdf/Datasheets/7800R4-Series-AI-Spine-Datasheet.pdf</t>
  </si>
  <si>
    <t>460 (920) Tbps</t>
  </si>
  <si>
    <t>Up to 173 Bpps (10.8 Bpps/line card)</t>
  </si>
  <si>
    <t>&lt;3 µs (64-byte, platform)</t>
  </si>
  <si>
    <t>1.9 GHz 6-core / 2.0 GHz 8-core / 2.0 GHz 10-core x86-64 (Supervisor option)</t>
  </si>
  <si>
    <t>64 / 128 GB (Supervisor option)</t>
  </si>
  <si>
    <t>240 / 480 GB SSD; system flash separately not stated</t>
  </si>
  <si>
    <t>Up to 32 GB per line card</t>
  </si>
  <si>
    <t>Yes; 24 hot-swap PSUs</t>
  </si>
  <si>
    <t>Yes; 16 hot-swappable fan/fabric modules</t>
  </si>
  <si>
    <t>No — front-to-rear only</t>
  </si>
  <si>
    <t>7812R4</t>
  </si>
  <si>
    <t>DCS-7812R4 계열</t>
  </si>
  <si>
    <t>AI/ML spine, hyperscale DC</t>
  </si>
  <si>
    <t>432x800G / 864x400G</t>
  </si>
  <si>
    <t>345 Tbps (690 Tbps FDX)</t>
  </si>
  <si>
    <t>23RU</t>
  </si>
  <si>
    <t>345 (690) Tbps</t>
  </si>
  <si>
    <t>Up to 130 Bpps (10.8 Bpps/line card)</t>
  </si>
  <si>
    <t>Yes; 18 hot-swap PSUs</t>
  </si>
  <si>
    <t>Yes; 12 hot-swappable fan/fabric modules</t>
  </si>
  <si>
    <t>7808R4</t>
  </si>
  <si>
    <t>DCS-7808R4 계열</t>
  </si>
  <si>
    <t>AI/ML spine, large-scale DC</t>
  </si>
  <si>
    <t>288x800G / 576x400G</t>
  </si>
  <si>
    <t>230 Tbps (460 Tbps FDX)</t>
  </si>
  <si>
    <t>16RU</t>
  </si>
  <si>
    <t>230 (460) Tbps</t>
  </si>
  <si>
    <t>Up to 86 Bpps (10.8 Bpps/line card)</t>
  </si>
  <si>
    <t>Yes; 12 hot-swap PSUs</t>
  </si>
  <si>
    <t>Yes; 8 hot-swappable fan/fabric modules</t>
  </si>
  <si>
    <t>7804R4</t>
  </si>
  <si>
    <t>DCS-7804R4 계열</t>
  </si>
  <si>
    <t>AI/ML spine, DC core</t>
  </si>
  <si>
    <t>144x800G / 288x400G</t>
  </si>
  <si>
    <t>115 Tbps (230 Tbps FDX)</t>
  </si>
  <si>
    <t>10RU</t>
  </si>
  <si>
    <t>115 (230) Tbps</t>
  </si>
  <si>
    <t>Up to 43 Bpps (10.8 Bpps/line card)</t>
  </si>
  <si>
    <t>Yes; 8 hot-swap PSUs</t>
  </si>
  <si>
    <t>Yes; 4 hot-swappable fan/fabric modules</t>
  </si>
  <si>
    <t>7800R3</t>
  </si>
  <si>
    <t>7816LR3</t>
  </si>
  <si>
    <t>DCS-7816LR3 계열</t>
  </si>
  <si>
    <t>Universal spine, hyperscale DC, DCI</t>
  </si>
  <si>
    <t>적합</t>
  </si>
  <si>
    <t>576x400G / 768x100G</t>
  </si>
  <si>
    <t>TunnelSec / embedded MACsec</t>
  </si>
  <si>
    <t>https://www.arista.com/assets/data/pdf/Datasheets/7800R3-Data-Sheet.pdf</t>
  </si>
  <si>
    <t>Up to 96 Bpps (6 Bpps/line card)</t>
  </si>
  <si>
    <t>&lt;4 µs</t>
  </si>
  <si>
    <t>1.9 GHz 6-core / 2.0 GHz 8-core x86-64 (Supervisor option)</t>
  </si>
  <si>
    <t>64 GB</t>
  </si>
  <si>
    <t>4 GB flash + 240 GB SSD</t>
  </si>
  <si>
    <t>Up to 24 GB per line card</t>
  </si>
  <si>
    <t>7816R3</t>
  </si>
  <si>
    <t>DCS-7816R3 계열</t>
  </si>
  <si>
    <t>7812R3</t>
  </si>
  <si>
    <t>DCS-7812R3 계열</t>
  </si>
  <si>
    <t>432x400G / 576x100G</t>
  </si>
  <si>
    <t>173 Tbps (346 Tbps FDX)</t>
  </si>
  <si>
    <t>173 (346) Tbps</t>
  </si>
  <si>
    <t>Up to 72 Bpps (6 Bpps/line card)</t>
  </si>
  <si>
    <t>7808R3</t>
  </si>
  <si>
    <t>DCS-7808R3 계열</t>
  </si>
  <si>
    <t>288x400G / 384x100G</t>
  </si>
  <si>
    <t>Up to 48 Bpps (6 Bpps/line card)</t>
  </si>
  <si>
    <t>7804R3</t>
  </si>
  <si>
    <t>DCS-7804R3 계열</t>
  </si>
  <si>
    <t>144x400G / 192x100G</t>
  </si>
  <si>
    <t>58 Tbps (116 Tbps FDX)</t>
  </si>
  <si>
    <t>58 (116) Tbps</t>
  </si>
  <si>
    <t>Up to 24 Bpps (6 Bpps/line card)</t>
  </si>
  <si>
    <t>7700R4</t>
  </si>
  <si>
    <t>7720R4-128PE</t>
  </si>
  <si>
    <t>DCS-7720R4-128PE 계열</t>
  </si>
  <si>
    <t>분산형 Etherlink 섀시/패브릭</t>
  </si>
  <si>
    <t>AI scale-out fabric, distributed spine</t>
  </si>
  <si>
    <t>128x800G / 256x400G fabric</t>
  </si>
  <si>
    <t>102.4 Tbps</t>
  </si>
  <si>
    <t>&lt;4 us end-to-end</t>
  </si>
  <si>
    <t>7RU</t>
  </si>
  <si>
    <t>Embedded encryption; datasheet 참조</t>
  </si>
  <si>
    <t>https://www.arista.com/assets/data/pdf/Datasheets/7700R4-Distributed-Etherlink-Switch-Datasheet.pdf</t>
  </si>
  <si>
    <t>128x800G OSFP fabric + 1x100G management/host interface</t>
  </si>
  <si>
    <t>102.4 (204.8) Tbps</t>
  </si>
  <si>
    <t>미기재(공식 데이터시트)</t>
  </si>
  <si>
    <t>From 3.8 µs</t>
  </si>
  <si>
    <t>8-core x86</t>
  </si>
  <si>
    <t>512 GB SSD</t>
  </si>
  <si>
    <t>Yes; 4 (N+N)</t>
  </si>
  <si>
    <t>Yes; 12 (N+1)</t>
  </si>
  <si>
    <t>7700R4C-36PE</t>
  </si>
  <si>
    <t>DCS-7700R4C-36PE 계열</t>
  </si>
  <si>
    <t>분산형 Etherlink leaf</t>
  </si>
  <si>
    <t>AI compute-facing leaf / fabric module</t>
  </si>
  <si>
    <t>18x800G/36x400G host + 20x800G/40x400G fabric</t>
  </si>
  <si>
    <t>14.4 Tbps</t>
  </si>
  <si>
    <t>2RU</t>
  </si>
  <si>
    <t>18x800G/36x400G host + 20x800G/40x400G fabric + 1x100G QSFP</t>
  </si>
  <si>
    <t>14.4 (28.8) Tbps</t>
  </si>
  <si>
    <t>5.4 Bpps</t>
  </si>
  <si>
    <t>16 GB</t>
  </si>
  <si>
    <t>Yes; 2 (1+1)</t>
  </si>
  <si>
    <t>Yes; 4 (N+1)</t>
  </si>
  <si>
    <t>7500R3</t>
  </si>
  <si>
    <t>7512R3</t>
  </si>
  <si>
    <t>DCS-7512R3 계열</t>
  </si>
  <si>
    <t>DC spine, DCI, universal routing</t>
  </si>
  <si>
    <t>보조</t>
  </si>
  <si>
    <t>최대 288x400G / 432x100G</t>
  </si>
  <si>
    <t>230 Tbps</t>
  </si>
  <si>
    <t>18RU</t>
  </si>
  <si>
    <t>라인카드/모델별</t>
  </si>
  <si>
    <t>https://www.arista.com/assets/data/pdf/Datasheets/7500R3-Data-Sheet.pdf</t>
  </si>
  <si>
    <t>미기재(섀시별 총합; line-card dependent)</t>
  </si>
  <si>
    <t>1.9 GHz multi-core x86-64</t>
  </si>
  <si>
    <t>32 GB</t>
  </si>
  <si>
    <t>4 GB flash; optional 120 GB SSD</t>
  </si>
  <si>
    <t>Up to 16 GB per line card</t>
  </si>
  <si>
    <t>Yes; hot-swap redundant power modules</t>
  </si>
  <si>
    <t>Yes; N+1 hot-swappable cooling modules</t>
  </si>
  <si>
    <t>7508R3</t>
  </si>
  <si>
    <t>DCS-7508R3 계열</t>
  </si>
  <si>
    <t>최대 192x400G / 288x100G</t>
  </si>
  <si>
    <t>153 Tbps</t>
  </si>
  <si>
    <t>13RU</t>
  </si>
  <si>
    <t>7504R3</t>
  </si>
  <si>
    <t>DCS-7504R3 계열</t>
  </si>
  <si>
    <t>최대 96x400G / 144x100G</t>
  </si>
  <si>
    <t>76.8 Tbps</t>
  </si>
  <si>
    <t>7500R</t>
  </si>
  <si>
    <t>7516R</t>
  </si>
  <si>
    <t>DCS-7516R 계열</t>
  </si>
  <si>
    <t>DC spine, DCI, service provider</t>
  </si>
  <si>
    <t>576x100G / 2,304x25G</t>
  </si>
  <si>
    <t>150 Tbps</t>
  </si>
  <si>
    <t>&lt;3.5 us</t>
  </si>
  <si>
    <t>29RU</t>
  </si>
  <si>
    <t>MACsec / coherent DWDM 지원</t>
  </si>
  <si>
    <t>https://www.arista.com/assets/data/pdf/Datasheets/7500RDataSheet.pdf</t>
  </si>
  <si>
    <t>Up to 69 Bpps (family; chassis/line-card dependent)</t>
  </si>
  <si>
    <t>32 / 64 GB (Supervisor option)</t>
  </si>
  <si>
    <t>7512R</t>
  </si>
  <si>
    <t>DCS-7512R 계열</t>
  </si>
  <si>
    <t>432x100G / 1,728x25G</t>
  </si>
  <si>
    <t>115 Tbps</t>
  </si>
  <si>
    <t>7508R</t>
  </si>
  <si>
    <t>DCS-7508R 계열</t>
  </si>
  <si>
    <t>288x100G / 1,152x25G</t>
  </si>
  <si>
    <t>75 Tbps</t>
  </si>
  <si>
    <t>7504R</t>
  </si>
  <si>
    <t>DCS-7504R 계열</t>
  </si>
  <si>
    <t>144x100G / 576x25G</t>
  </si>
  <si>
    <t>38 Tbps</t>
  </si>
  <si>
    <t>7300X3</t>
  </si>
  <si>
    <t>7308X3</t>
  </si>
  <si>
    <t>DCS-7308X3 계열</t>
  </si>
  <si>
    <t>모듈형 spline</t>
  </si>
  <si>
    <t>DC leaf/spine/spline</t>
  </si>
  <si>
    <t>256x100G / 384x25G / 1,024x10G / 384x10GBASE-T</t>
  </si>
  <si>
    <t>51 Tbps</t>
  </si>
  <si>
    <t>&lt;2 us</t>
  </si>
  <si>
    <t>모델/라인카드별</t>
  </si>
  <si>
    <t>https://www.arista.com/assets/data/pdf/Datasheets/7300X3-Datasheet.pdf</t>
  </si>
  <si>
    <t>51.2 Tbps</t>
  </si>
  <si>
    <t>32 Bpps</t>
  </si>
  <si>
    <t>&lt;2.5 µs</t>
  </si>
  <si>
    <t>2.6 GHz quad-core / 1.9 GHz 6-core x86-64</t>
  </si>
  <si>
    <t>16 / 32 GB</t>
  </si>
  <si>
    <t>4 GB flash; optional 100 / 240 GB SSD</t>
  </si>
  <si>
    <t>32 / 64 MB per line card (line-card dependent)</t>
  </si>
  <si>
    <t>Yes; grid-redundant hot-swap PSUs</t>
  </si>
  <si>
    <t>Yes; N+1 hot-swappable fan modules</t>
  </si>
  <si>
    <t>7304X3</t>
  </si>
  <si>
    <t>DCS-7304X3 계열</t>
  </si>
  <si>
    <t>128x100G / 192x25G / 512x10G / 192x10GBASE-T</t>
  </si>
  <si>
    <t>25 Tbps</t>
  </si>
  <si>
    <t>8RU</t>
  </si>
  <si>
    <t>25.6 Tbps</t>
  </si>
  <si>
    <t>16 Bpps</t>
  </si>
  <si>
    <t>7388X5</t>
  </si>
  <si>
    <t>DCS-7388X5 계열</t>
  </si>
  <si>
    <t>모듈형 고밀도</t>
  </si>
  <si>
    <t>400G DC spine / AI fabric aggregation</t>
  </si>
  <si>
    <t>64x400G OSFP/QSFP-DD 또는 128x200G QSFP56</t>
  </si>
  <si>
    <t>825 ns</t>
  </si>
  <si>
    <t>4RU</t>
  </si>
  <si>
    <t>데이터시트 참조</t>
  </si>
  <si>
    <t>https://www.arista.com/assets/data/pdf/Datasheets/7388X5-Datasheet.pdf</t>
  </si>
  <si>
    <t>128x100/200G or 64x400G</t>
  </si>
  <si>
    <t>10.66 Bpps</t>
  </si>
  <si>
    <t>Multi-core x86</t>
  </si>
  <si>
    <t>512 GB SSD; flash separately not stated</t>
  </si>
  <si>
    <t>114 MB</t>
  </si>
  <si>
    <t>Yes; 5 (N+1)</t>
  </si>
  <si>
    <t>7368X4</t>
  </si>
  <si>
    <t>DCS-7368X4 계열</t>
  </si>
  <si>
    <t>400G DC spine / aggregation</t>
  </si>
  <si>
    <t>32x400G 또는 128x100G</t>
  </si>
  <si>
    <t>700 ns</t>
  </si>
  <si>
    <t>https://www.arista.com/assets/data/pdf/Datasheets/7368X4-Datasheet.pdf</t>
  </si>
  <si>
    <t>128x100G or 32x400G</t>
  </si>
  <si>
    <t>12.8 (25.6) Tbps</t>
  </si>
  <si>
    <t>8 Bpps</t>
  </si>
  <si>
    <t>8 GB</t>
  </si>
  <si>
    <t>64 MB</t>
  </si>
  <si>
    <t>Conditional — reversible for 25/100G; 400G front-to-rear only</t>
  </si>
  <si>
    <t>7358X4</t>
  </si>
  <si>
    <t>DCS-7358X4 계열</t>
  </si>
  <si>
    <t>900 ns</t>
  </si>
  <si>
    <t>https://www.arista.com/assets/data/pdf/Datasheets/7358X4-Datasheet.pdf</t>
  </si>
  <si>
    <t>5.3 Bpps</t>
  </si>
  <si>
    <t>30 / 256 GB storage (Supervisor option)</t>
  </si>
  <si>
    <t>132 MB</t>
  </si>
  <si>
    <t>Conditional — reversible for 25/100G configurations</t>
  </si>
  <si>
    <t>7280R4</t>
  </si>
  <si>
    <t>7280R4-64QC-10PE</t>
  </si>
  <si>
    <t>7280R4K-64QC-10PE 포함</t>
  </si>
  <si>
    <t>고정형 deep-buffer</t>
  </si>
  <si>
    <t>AI/ML, DC edge/core, service provider</t>
  </si>
  <si>
    <t>64x100G QSFP + 10x800G OSFP</t>
  </si>
  <si>
    <t>14.4 Tbps (28.8 Tbps FDX)</t>
  </si>
  <si>
    <t>https://www.arista.com/assets/data/pdf/Datasheets/7280R4-Series-Datasheet.pdf</t>
  </si>
  <si>
    <t>480 GB SSD</t>
  </si>
  <si>
    <t>7280R4-32PE / 7280R4-32DE</t>
  </si>
  <si>
    <t>7280R4K-32PE / 7280R4K-32DE 포함</t>
  </si>
  <si>
    <t>AI/ML, DC spine/edge, service provider</t>
  </si>
  <si>
    <t>32x800G OSFP 또는 QSFP-DD</t>
  </si>
  <si>
    <t>25.6 Tbps (51.2 Tbps FDX)</t>
  </si>
  <si>
    <t>32x800G OSFP or QSFP-DD</t>
  </si>
  <si>
    <t>25.6 (51.2) Tbps</t>
  </si>
  <si>
    <t>9.6 Bpps</t>
  </si>
  <si>
    <t>7280R3</t>
  </si>
  <si>
    <t>7280DR3A-54</t>
  </si>
  <si>
    <t>7280DR3AM-54 / 7280DR3AK-54</t>
  </si>
  <si>
    <t>고정형/모듈형 deep-buffer</t>
  </si>
  <si>
    <t>Dynamic/deep buffer 400G spine/edge</t>
  </si>
  <si>
    <t>54x400G QSFP-DD</t>
  </si>
  <si>
    <t>21.6 Tbps</t>
  </si>
  <si>
    <t>M/K 변형별; 데이터시트 참조</t>
  </si>
  <si>
    <t>https://www.arista.com/assets/data/pdf/Datasheets/7280R3A-Datasheet.pdf</t>
  </si>
  <si>
    <t>21.6 (43.2) Tbps</t>
  </si>
  <si>
    <t>8.1 Bpps</t>
  </si>
  <si>
    <t>120 / 480 GB SSD (SKU dependent)</t>
  </si>
  <si>
    <t>24 GB</t>
  </si>
  <si>
    <t>7280R3A Modular</t>
  </si>
  <si>
    <t>7280R3AM / 7280R3AK Modular</t>
  </si>
  <si>
    <t>Modular dynamic/deep buffer spine</t>
  </si>
  <si>
    <t>36x400G OSFP/QSFP-DD 또는 144x100G</t>
  </si>
  <si>
    <t>https://www.arista.com/assets/data/pdf/Datasheets/7280R3A-Modular-Datasheet.pdf</t>
  </si>
  <si>
    <t>144x100G or 36x400G</t>
  </si>
  <si>
    <t>240 GB SSD</t>
  </si>
  <si>
    <t>7280DR3A-36</t>
  </si>
  <si>
    <t>7280DR3AM-36 / 7280DR3AK-36</t>
  </si>
  <si>
    <t>400G deep-buffer spine/edge</t>
  </si>
  <si>
    <t>36x400G QSFP-DD</t>
  </si>
  <si>
    <t>7280CR3A-24D12</t>
  </si>
  <si>
    <t>7280CR3AM-24D12 / 7280CR3AK-24D12</t>
  </si>
  <si>
    <t>100/400G DC edge/leaf</t>
  </si>
  <si>
    <t>24x100G + 12x400G</t>
  </si>
  <si>
    <t>7.2 Tbps</t>
  </si>
  <si>
    <t>1RU</t>
  </si>
  <si>
    <t>7.2 (14.4) Tbps</t>
  </si>
  <si>
    <t>2.7 Bpps</t>
  </si>
  <si>
    <t>Yes; 3 (N+1)</t>
  </si>
  <si>
    <t>Yes — front-to-rear / rear-to-front</t>
  </si>
  <si>
    <t>7280PR3-24 / 7280DR3-24</t>
  </si>
  <si>
    <t>7280PR3K-24 / 7280DR3K-24</t>
  </si>
  <si>
    <t>24x400G OSFP 또는 QSFP-DD</t>
  </si>
  <si>
    <t>9.6 Tbps</t>
  </si>
  <si>
    <t>https://www.arista.com/assets/data/pdf/Datasheets/7280R3-Data-Sheet.pdf</t>
  </si>
  <si>
    <t>9.6 (19.2) Tbps</t>
  </si>
  <si>
    <t>4 Bpps</t>
  </si>
  <si>
    <t>8-core / quad-core x86 (SKU dependent)</t>
  </si>
  <si>
    <t>8 GB / 64 GB (K variant)</t>
  </si>
  <si>
    <t>8 GB flash; 120 GB SSD with 64 GB memory variant</t>
  </si>
  <si>
    <t>7280CR3A-48D6</t>
  </si>
  <si>
    <t>7280CR3AM-48D6 / 7280CR3AK-48D6</t>
  </si>
  <si>
    <t>48x100G + 6x400G</t>
  </si>
  <si>
    <t>120 GB SSD</t>
  </si>
  <si>
    <t>7280CR3MK-32P4 / 32D4</t>
  </si>
  <si>
    <t>MACsec-capable DC leaf/edge</t>
  </si>
  <si>
    <t>32x100G + 4x400G</t>
  </si>
  <si>
    <t>4.8 Tbps</t>
  </si>
  <si>
    <t>MACsec</t>
  </si>
  <si>
    <t>https://www.arista.com/assets/data/pdf/Datasheets/7280R3-MACSec-Datasheet.pdf</t>
  </si>
  <si>
    <t>4.8 (9.6) Tbps</t>
  </si>
  <si>
    <t>2 Bpps</t>
  </si>
  <si>
    <t>8 GB flash / 120 GB SSD (variant)</t>
  </si>
  <si>
    <t>7280CR3-32P4 / 32D4</t>
  </si>
  <si>
    <t>7280CR3K-32P4 / 7280CR3K-32D4</t>
  </si>
  <si>
    <t>100/400G DC leaf/edge</t>
  </si>
  <si>
    <t>8 / 64 GB (variant)</t>
  </si>
  <si>
    <t>7280CR3-36S</t>
  </si>
  <si>
    <t>7280CR3K-36S</t>
  </si>
  <si>
    <t>100G DC leaf/edge</t>
  </si>
  <si>
    <t>36x100G, 최대 2x400G</t>
  </si>
  <si>
    <t>2.4 Tbps</t>
  </si>
  <si>
    <t>2.4 (4.8) Tbps</t>
  </si>
  <si>
    <t>1 Bpps</t>
  </si>
  <si>
    <t>4 GB</t>
  </si>
  <si>
    <t>Yes; 2 (N+1)</t>
  </si>
  <si>
    <t>Conditional — airflow/optic restrictions apply</t>
  </si>
  <si>
    <t>7280CR3A-32S</t>
  </si>
  <si>
    <t>7280CR3AM-32S / 7280CR3AK-32S</t>
  </si>
  <si>
    <t>32x100G, 최대 2x400G</t>
  </si>
  <si>
    <t>3.6 Tbps</t>
  </si>
  <si>
    <t>3.6 (7.2) Tbps</t>
  </si>
  <si>
    <t>1.35 Bpps</t>
  </si>
  <si>
    <t>7280CR3-96</t>
  </si>
  <si>
    <t>7280CR3K-96</t>
  </si>
  <si>
    <t>High-density 100G DC</t>
  </si>
  <si>
    <t>96x100G</t>
  </si>
  <si>
    <t>Quad-core x86</t>
  </si>
  <si>
    <t>8 GB flash + 120 GB SSD</t>
  </si>
  <si>
    <t>7280CR3A-72</t>
  </si>
  <si>
    <t>7280CR3AM-72 / 7280CR3AK-72</t>
  </si>
  <si>
    <t>72x100G</t>
  </si>
  <si>
    <t>7280SR3A-48YC8</t>
  </si>
  <si>
    <t>7280SR3AM-48YC8 / 7280SR3AK-48YC8</t>
  </si>
  <si>
    <t>Server/storage leaf</t>
  </si>
  <si>
    <t>48x50G + 6x200G/8x100G</t>
  </si>
  <si>
    <t>7280SR3-48YC8</t>
  </si>
  <si>
    <t>7280SR3K-48YC8</t>
  </si>
  <si>
    <t>25G server leaf</t>
  </si>
  <si>
    <t>48x25G + 8x100G</t>
  </si>
  <si>
    <t>2.0 (4.0) Tbps</t>
  </si>
  <si>
    <t>8 / 64 GB (K variant)</t>
  </si>
  <si>
    <t>7280SR3-40YC6</t>
  </si>
  <si>
    <t>40x25G + 6x100G</t>
  </si>
  <si>
    <t>800 Gbps</t>
  </si>
  <si>
    <t>0.8 (1.6) Tbps</t>
  </si>
  <si>
    <t>600 Mpps</t>
  </si>
  <si>
    <t>8 GB flash</t>
  </si>
  <si>
    <t>2 GB</t>
  </si>
  <si>
    <t>7130</t>
  </si>
  <si>
    <t>7135V-48Y-4QC</t>
  </si>
  <si>
    <t>DCS-7135V-48Y-4QC 계열</t>
  </si>
  <si>
    <t>초저지연 Layer 1/1+</t>
  </si>
  <si>
    <t>Electronic trading, FPGA-enabled Layer 1+</t>
  </si>
  <si>
    <t>특화</t>
  </si>
  <si>
    <t>48xSFP28 + 4xQSFP100</t>
  </si>
  <si>
    <t>3.2 Tbps</t>
  </si>
  <si>
    <t>5 ns</t>
  </si>
  <si>
    <t>https://www.arista.com/assets/data/pdf/Datasheets/7135V-Datasheet.pdf</t>
  </si>
  <si>
    <t>3.2 Tbps front I/O (1–25.8 Gbps/lane)</t>
  </si>
  <si>
    <t>From 5 ns</t>
  </si>
  <si>
    <t>32 GB DRAM</t>
  </si>
  <si>
    <t>16 GB deep buffer (MetaWatch/application dependent)</t>
  </si>
  <si>
    <t>Yes — reversible airflow</t>
  </si>
  <si>
    <t>7130LBR-48S6QD</t>
  </si>
  <si>
    <t>DCS-7130LBR-48S6QD 계열</t>
  </si>
  <si>
    <t>Electronic trading, Layer 1 replication</t>
  </si>
  <si>
    <t>48xSFP+ + 6xQSFP-DD (10G NRZ)</t>
  </si>
  <si>
    <t>1.5 Tbps</t>
  </si>
  <si>
    <t>6 ns</t>
  </si>
  <si>
    <t>https://www.arista.com/assets/data/pdf/Datasheets/7130LBR-Datasheet.pdf</t>
  </si>
  <si>
    <t>1.5 Tbps switch throughput; 1–25.8 Gbps/lane</t>
  </si>
  <si>
    <t>4–5 ns (L1 path)</t>
  </si>
  <si>
    <t>64 GB DRAM</t>
  </si>
  <si>
    <t>7132LB-48Y4C</t>
  </si>
  <si>
    <t>DCS-7132LB-48Y4C 계열</t>
  </si>
  <si>
    <t>Ultra-low-latency DC switching</t>
  </si>
  <si>
    <t>89 ns</t>
  </si>
  <si>
    <t>https://www.arista.com/assets/data/pdf/Datasheets/7132LB-Datasheet.pdf</t>
  </si>
  <si>
    <t>1.6 (3.2) Tbps front I/O</t>
  </si>
  <si>
    <t>From 89 ns (switch application)</t>
  </si>
  <si>
    <t>32 GB DDR4</t>
  </si>
  <si>
    <t>7135LB-48Y4C</t>
  </si>
  <si>
    <t>DCS-7135LB-48Y4C 계열</t>
  </si>
  <si>
    <t>Ultra-low-latency Layer 1 switching</t>
  </si>
  <si>
    <t>https://www.arista.com/assets/data/pdf/Datasheets/7135LB-Datasheet.pdf</t>
  </si>
  <si>
    <t>3.2 Tbps front I/O (100M–25.8 Gbps/lane)</t>
  </si>
  <si>
    <t>32 GB deep buffer (MetaWatch/application dependent)</t>
  </si>
  <si>
    <t>7130-48EHS</t>
  </si>
  <si>
    <t>DCS-7130-48EHS 계열</t>
  </si>
  <si>
    <t>Electronic trading / Layer 1</t>
  </si>
  <si>
    <t>48xSFP+</t>
  </si>
  <si>
    <t>960 Gbps</t>
  </si>
  <si>
    <t>https://www.arista.com/assets/data/pdf/Datasheets/7130E-Series-Data-Sheet.pdf</t>
  </si>
  <si>
    <t>Approx. 3–5 ns (solution brief)</t>
  </si>
  <si>
    <t>x86 (details not stated)</t>
  </si>
  <si>
    <t>7130-96LBS</t>
  </si>
  <si>
    <t>DCS-7130-96LBS 계열</t>
  </si>
  <si>
    <t>Layer 1 matrix / trading</t>
  </si>
  <si>
    <t>96xSFP+</t>
  </si>
  <si>
    <t>1.92 Tbps</t>
  </si>
  <si>
    <t>https://www.arista.com/assets/data/pdf/Datasheets/7130LS-Series-Data-Sheet.pdf</t>
  </si>
  <si>
    <t>1.92 Tbps; 100M–11.3 Gbps/lane</t>
  </si>
  <si>
    <t>64 GB SSD</t>
  </si>
  <si>
    <t>FPGA DRAM 32 GB; packet-buffer function application dependent</t>
  </si>
  <si>
    <t>Yes; 3</t>
  </si>
  <si>
    <t>7130-48LBS</t>
  </si>
  <si>
    <t>DCS-7130-48LBS 계열</t>
  </si>
  <si>
    <t>960 Gbps; 100M–11.3 Gbps/lane</t>
  </si>
  <si>
    <t>Yes; 2</t>
  </si>
  <si>
    <t>7130-48G3S</t>
  </si>
  <si>
    <t>DCS-7130-48G3S 계열</t>
  </si>
  <si>
    <t>Layer 1 connectivity / trading</t>
  </si>
  <si>
    <t>https://www.arista.com/assets/data/pdf/Datasheets/7130-Connect-S-Series-Datasheet.pdf</t>
  </si>
  <si>
    <t>N/A — L1 connect path does not packet-switch/queue</t>
  </si>
  <si>
    <t>4 ns</t>
  </si>
  <si>
    <t>None — no buffering/queuing on L1 connect path</t>
  </si>
  <si>
    <t>Yes; 2 fan trays (1+1)</t>
  </si>
  <si>
    <t>7060XE7</t>
  </si>
  <si>
    <t>7060XE7-128PE</t>
  </si>
  <si>
    <t>DCS-7060XE7-128PE 계열</t>
  </si>
  <si>
    <t>공랭 고정형</t>
  </si>
  <si>
    <t>AI rack-scale / hyperscale fabric</t>
  </si>
  <si>
    <t>128x800G OSFP-IHS</t>
  </si>
  <si>
    <t>102.4 Tbps (204.8 Tbps FDX)</t>
  </si>
  <si>
    <t>840 ns</t>
  </si>
  <si>
    <t>https://www.arista.com/assets/data/pdf/Datasheets/7060XE7-Datasheet.pdf</t>
  </si>
  <si>
    <t>128x800G OSFP-IHS + 1x100G QSFP28</t>
  </si>
  <si>
    <t>840 ns (product overview; specifications table not stated)</t>
  </si>
  <si>
    <t>267 MB</t>
  </si>
  <si>
    <t>Yes; 4 hot-swappable PSUs</t>
  </si>
  <si>
    <t>Yes; 8 dual-rotor fan modules</t>
  </si>
  <si>
    <t>7060XE7-64PRS-RV3-L</t>
  </si>
  <si>
    <t>DCS-7060XE7-64PRS-RV3-L 계열</t>
  </si>
  <si>
    <t>액랭 integrated-rack</t>
  </si>
  <si>
    <t>64x1.6T OSFP-RHS</t>
  </si>
  <si>
    <t>2OU</t>
  </si>
  <si>
    <t>64x1.6T OSFP-RHS + 1x100G QSFP28</t>
  </si>
  <si>
    <t>ORv3 rack-integrated liquid-cooled power; count not stated</t>
  </si>
  <si>
    <t>N/A — liquid-cooled model</t>
  </si>
  <si>
    <t>7060XE7-64PRS</t>
  </si>
  <si>
    <t>DCS-7060XE7-64PRS 계열</t>
  </si>
  <si>
    <t>7060XE7-64PS</t>
  </si>
  <si>
    <t>DCS-7060XE7-64PS 계열</t>
  </si>
  <si>
    <t>64x1.6T OSFP-IHS</t>
  </si>
  <si>
    <t>64x1.6T OSFP-IHS + 1x100G QSFP28</t>
  </si>
  <si>
    <t>7060X6</t>
  </si>
  <si>
    <t>7060X6-64PE</t>
  </si>
  <si>
    <t>DCS-7060X6-64PE 계열</t>
  </si>
  <si>
    <t>고정형</t>
  </si>
  <si>
    <t>AI/Hyperscale leaf-spine</t>
  </si>
  <si>
    <t>64x800G OSFP800</t>
  </si>
  <si>
    <t>https://www.arista.com/assets/data/pdf/Datasheets/7060X6-Datasheet.pdf</t>
  </si>
  <si>
    <t>64x800G OSFP + 2xSFP+</t>
  </si>
  <si>
    <t>51.2 (102.4) Tbps</t>
  </si>
  <si>
    <t>21.2 Bpps</t>
  </si>
  <si>
    <t>165 MB</t>
  </si>
  <si>
    <t>7060X6-32PE</t>
  </si>
  <si>
    <t>DCS-7060X6-32PE 계열</t>
  </si>
  <si>
    <t>32x800G OSFP800</t>
  </si>
  <si>
    <t>32x800G OSFP + 2xSFP+</t>
  </si>
  <si>
    <t>10.6 Bpps</t>
  </si>
  <si>
    <t>84 MB</t>
  </si>
  <si>
    <t>7060X5</t>
  </si>
  <si>
    <t>7060PX5-64E</t>
  </si>
  <si>
    <t>DCS-7060PX5-64E 계열</t>
  </si>
  <si>
    <t>400/800G AI 및 cloud DC fabric</t>
  </si>
  <si>
    <t>32x800G(2x400G) OSFP800</t>
  </si>
  <si>
    <t>https://www.arista.com/assets/data/pdf/Datasheets/7060X5-Datasheet.pdf</t>
  </si>
  <si>
    <t>7060DX5-64E</t>
  </si>
  <si>
    <t>DCS-7060DX5-64E 계열</t>
  </si>
  <si>
    <t>32x800G(2x400G) QSFP-DD800</t>
  </si>
  <si>
    <t>32x800G QSFP-DD + 2xSFP+</t>
  </si>
  <si>
    <t>7060DX5-64S</t>
  </si>
  <si>
    <t>DCS-7060DX5-64S 계열</t>
  </si>
  <si>
    <t>64x400G QSFP-DD</t>
  </si>
  <si>
    <t>64x400G QSFP-DD + 2xSFP+</t>
  </si>
  <si>
    <t>Conditional — rear-to-front supported with DAC/AOC restrictions</t>
  </si>
  <si>
    <t>7060DX5-32</t>
  </si>
  <si>
    <t>DCS-7060DX5-32 계열</t>
  </si>
  <si>
    <t>32x400G QSFP-DD</t>
  </si>
  <si>
    <t>12.8 Tbps</t>
  </si>
  <si>
    <t>32x400G QSFP-DD + 1xSFP+</t>
  </si>
  <si>
    <t>57 MB</t>
  </si>
  <si>
    <t>7060X4</t>
  </si>
  <si>
    <t>7060PX4-32</t>
  </si>
  <si>
    <t>DCS-7060PX4-32 계열</t>
  </si>
  <si>
    <t>400G AI/DC leaf-spine</t>
  </si>
  <si>
    <t>32x400G OSFP</t>
  </si>
  <si>
    <t>https://www.arista.com/assets/data/pdf/Datasheets/7060X4-Datasheet.pdf</t>
  </si>
  <si>
    <t>32x400G OSFP + 2xSFP+</t>
  </si>
  <si>
    <t>25.6 Tbps (datasheet total/FDX notation)</t>
  </si>
  <si>
    <t>7060DX4-32</t>
  </si>
  <si>
    <t>DCS-7060DX4-32 계열</t>
  </si>
  <si>
    <t>32x400G QSFP-DD + 2xSFP+</t>
  </si>
  <si>
    <t>7260X</t>
  </si>
  <si>
    <t>7260QX-64</t>
  </si>
  <si>
    <t>DCS-7260QX-64 계열</t>
  </si>
  <si>
    <t>Cloud DC leaf/spine</t>
  </si>
  <si>
    <t>64x40G QSFP+</t>
  </si>
  <si>
    <t>5.12 Tbps</t>
  </si>
  <si>
    <t>550 ns</t>
  </si>
  <si>
    <t>https://www.arista.com/assets/data/pdf/Datasheets/7060X_7260X_DS.pdf</t>
  </si>
  <si>
    <t>이전 세대이지만 현행 공식 플랫폼 비교 페이지에 표시됨</t>
  </si>
  <si>
    <t>64x40G QSFP+ + 2xSFP+</t>
  </si>
  <si>
    <t>3.3 Bpps</t>
  </si>
  <si>
    <t>16 MB</t>
  </si>
  <si>
    <t>7260X3</t>
  </si>
  <si>
    <t>7260CX3-64</t>
  </si>
  <si>
    <t>DCS-7260CX3-64 계열</t>
  </si>
  <si>
    <t>64x100G QSFP</t>
  </si>
  <si>
    <t>450 ns</t>
  </si>
  <si>
    <t>https://www.arista.com/assets/data/pdf/Datasheets/7260X3_Datasheet.pdf</t>
  </si>
  <si>
    <t>64x100G QSFP + 2xSFP+</t>
  </si>
  <si>
    <t>6.4 (12.8) Tbps</t>
  </si>
  <si>
    <t>4.2 Bpps</t>
  </si>
  <si>
    <t>Dual-core x86</t>
  </si>
  <si>
    <t>30 GB</t>
  </si>
  <si>
    <t>42 MB</t>
  </si>
  <si>
    <t>7260CX-64</t>
  </si>
  <si>
    <t>DCS-7260CX-64 계열</t>
  </si>
  <si>
    <t>9.52 Bpps</t>
  </si>
  <si>
    <t>550–1500 ns</t>
  </si>
  <si>
    <t>Dual-core i7 x86</t>
  </si>
  <si>
    <t>7060X</t>
  </si>
  <si>
    <t>7060SX2-48YC6</t>
  </si>
  <si>
    <t>DCS-7060SX2-48YC6 계열</t>
  </si>
  <si>
    <t>48x1/10/25G SFP + 6x100G</t>
  </si>
  <si>
    <t>48x1/10/25G SFP + 6x100G QSFP</t>
  </si>
  <si>
    <t>22 MB</t>
  </si>
  <si>
    <t>7060CX2-32S</t>
  </si>
  <si>
    <t>DCS-7060CX2-32S 계열</t>
  </si>
  <si>
    <t>32x100G QSFP</t>
  </si>
  <si>
    <t>6.4 Tbps</t>
  </si>
  <si>
    <t>32x100G QSFP + 2xSFP+</t>
  </si>
  <si>
    <t>7060CX-32S</t>
  </si>
  <si>
    <t>DCS-7060CX-32S 계열</t>
  </si>
  <si>
    <t>7050X4</t>
  </si>
  <si>
    <t>7050PX4-32S</t>
  </si>
  <si>
    <t>DCS-7050PX4-32S 계열</t>
  </si>
  <si>
    <t>100/200/400G DC leaf-spine; 일부 AI workload</t>
  </si>
  <si>
    <t>700~900 ns</t>
  </si>
  <si>
    <t>https://www.arista.com/assets/data/pdf/Datasheets/7050X4-Datasheet.pdf</t>
  </si>
  <si>
    <t>플랫폼 표는 25.6Tbps 양방향 표기를 사용; 데이터시트 line-rate는 12.8Tbps</t>
  </si>
  <si>
    <t>7050DX4-32S</t>
  </si>
  <si>
    <t>DCS-7050DX4-32S 계열</t>
  </si>
  <si>
    <t>7050DX4M-32S</t>
  </si>
  <si>
    <t>DCS-7050DX4M-32S 계열</t>
  </si>
  <si>
    <t>MACsec(일부 포트)</t>
  </si>
  <si>
    <t>공식 데이터시트 추가 모델</t>
  </si>
  <si>
    <t>7050SDX4-48D8</t>
  </si>
  <si>
    <t>DCS-7050SDX4-48D8 계열</t>
  </si>
  <si>
    <t>48x100G SFP-DD + 8x400G QSFP-DD</t>
  </si>
  <si>
    <t>8.0 Tbps</t>
  </si>
  <si>
    <t>8.0 (16.0) Tbps</t>
  </si>
  <si>
    <t>82 MB shared</t>
  </si>
  <si>
    <t>7050SPX4-48D8</t>
  </si>
  <si>
    <t>DCS-7050SPX4-48D8 계열</t>
  </si>
  <si>
    <t>48x100G DSFP + 8x400G QSFP-DD</t>
  </si>
  <si>
    <t>7050CX4M-48D8</t>
  </si>
  <si>
    <t>DCS-7050CX4M-48D8 계열</t>
  </si>
  <si>
    <t>48x100G QSFP28 + 8x400G QSFP-DD</t>
  </si>
  <si>
    <t>Conditional — reverse airflow derated</t>
  </si>
  <si>
    <t>7050CX4-24D8</t>
  </si>
  <si>
    <t>DCS-7050CX4-24D8 계열</t>
  </si>
  <si>
    <t>24x200G QSFP56 + 8x400G QSFP-DD</t>
  </si>
  <si>
    <t>7050X4-48Y-4DF</t>
  </si>
  <si>
    <t>DCS-7050X4-48Y-4DF 계열</t>
  </si>
  <si>
    <t>48x25G SFP25 + 4x400G QSFP-DD</t>
  </si>
  <si>
    <t>2.8 Tbps</t>
  </si>
  <si>
    <t>48x25G SFP28 + 4x400G QSFP-DD</t>
  </si>
  <si>
    <t>2.8 (5.6) Tbps</t>
  </si>
  <si>
    <t>40 MB</t>
  </si>
  <si>
    <t>7050X3</t>
  </si>
  <si>
    <t>7050TX3-48C8</t>
  </si>
  <si>
    <t>DCS-7050TX3-48C8 계열</t>
  </si>
  <si>
    <t>DC leaf/spine / server access</t>
  </si>
  <si>
    <t>48x1/10G BASE-T + 8x100G</t>
  </si>
  <si>
    <t>2.56 Tbps</t>
  </si>
  <si>
    <t>3 us</t>
  </si>
  <si>
    <t>https://www.arista.com/assets/data/pdf/Datasheets/7050X3-Datasheet.pdf</t>
  </si>
  <si>
    <t>48x1/2.5/5/10G-T + 8x100G</t>
  </si>
  <si>
    <t>1.28 (2.56) Tbps</t>
  </si>
  <si>
    <t>3 µs</t>
  </si>
  <si>
    <t>32 MB</t>
  </si>
  <si>
    <t>7050SX3-48C8</t>
  </si>
  <si>
    <t>DCS-7050SX3-48C8 계열</t>
  </si>
  <si>
    <t>48x1/10G SFP + 8x100G</t>
  </si>
  <si>
    <t>800 ns</t>
  </si>
  <si>
    <t>48x1/10G SFP+ + 8x100G</t>
  </si>
  <si>
    <t>7050SX3-48YC8</t>
  </si>
  <si>
    <t>DCS-7050SX3-48YC8 계열</t>
  </si>
  <si>
    <t>48x1/10/25G + 8x100G</t>
  </si>
  <si>
    <t>4.0 Tbps</t>
  </si>
  <si>
    <t>48x1/10/25G SFP28 + 8x100G</t>
  </si>
  <si>
    <t>7050SX3-48YC12</t>
  </si>
  <si>
    <t>DCS-7050SX3-48YC12 계열</t>
  </si>
  <si>
    <t>48x1/10/25G + 12x100G</t>
  </si>
  <si>
    <t>48x1/10/25G SFP28 + 12x100G</t>
  </si>
  <si>
    <t>7050SX3-96YC8</t>
  </si>
  <si>
    <t>DCS-7050SX3-96YC8 계열</t>
  </si>
  <si>
    <t>96x1/10/25G + 8x100G</t>
  </si>
  <si>
    <t>96x1/10/25G SFP28 + 8x100G + 2xSFP+</t>
  </si>
  <si>
    <t>3.2 (6.4) Tbps</t>
  </si>
  <si>
    <t>7050CX3-32S</t>
  </si>
  <si>
    <t>DCS-7050CX3-32S 계열</t>
  </si>
  <si>
    <t>32x100G</t>
  </si>
  <si>
    <t>8 GB; optional 16 GB</t>
  </si>
  <si>
    <t>8 GB; optional 32 GB</t>
  </si>
  <si>
    <t>7050CX3M-32S</t>
  </si>
  <si>
    <t>DCS-7050CX3M-32S 계열</t>
  </si>
  <si>
    <t>https://www.arista.com/assets/data/pdf/Datasheets/7050X3-macsec-Datasheet.pdf</t>
  </si>
  <si>
    <t>6.4 Tbps (datasheet notation)</t>
  </si>
  <si>
    <t>Yes; 3 (2+1)</t>
  </si>
  <si>
    <t>7050X</t>
  </si>
  <si>
    <t>7050QX-32S</t>
  </si>
  <si>
    <t>DCS-7050QX-32S 계열</t>
  </si>
  <si>
    <t>10/40G virtualized cloud DC</t>
  </si>
  <si>
    <t>4x10G + 32x40G</t>
  </si>
  <si>
    <t>550~650 ns</t>
  </si>
  <si>
    <t>https://www.arista.com/assets/data/pdf/Datasheets/7050QX-32_32S_Datasheet_S.pdf</t>
  </si>
  <si>
    <t>32x40G QSFP+ + 4xSFP+</t>
  </si>
  <si>
    <t>1.44 Bpps</t>
  </si>
  <si>
    <t>12 MB</t>
  </si>
  <si>
    <t>7020R4</t>
  </si>
  <si>
    <t>7020R4-48TX-4QC</t>
  </si>
  <si>
    <t>7020R4M-48TX-4QC</t>
  </si>
  <si>
    <t>Storage, edge compute, content delivery, access routing</t>
  </si>
  <si>
    <t>48x1/10G RJ45 + 4x100G</t>
  </si>
  <si>
    <t>880 Gbps (1.76 Tbps FDX)</t>
  </si>
  <si>
    <t>https://www.arista.com/assets/data/pdf/Datasheets/7020R4-Datasheet.pdf</t>
  </si>
  <si>
    <t>48x1/10G RJ45 + 4x100G QSFP</t>
  </si>
  <si>
    <t>0.88 (1.76) Tbps</t>
  </si>
  <si>
    <t>900 Mpps</t>
  </si>
  <si>
    <t>4-core / 8-thread x86</t>
  </si>
  <si>
    <t>32 GB SSD; flash separately not listed</t>
  </si>
  <si>
    <t>7020R4-48Y-4QC</t>
  </si>
  <si>
    <t>7020R4M-48Y-4QC</t>
  </si>
  <si>
    <t>48x1/10/25G SFP + 4x100G</t>
  </si>
  <si>
    <t>1.4 Tbps (2.8 Tbps FDX)</t>
  </si>
  <si>
    <t>&lt;3.8 us</t>
  </si>
  <si>
    <t>48x1/10/25G SFP28 + 4x100G QSFP</t>
  </si>
  <si>
    <t>1.4 (2.8) Tbps</t>
  </si>
  <si>
    <t>7020R4-48Y-8QC</t>
  </si>
  <si>
    <t>7020R4M-48Y-8QC</t>
  </si>
  <si>
    <t>48x1/10/25G SFP + 8x100G</t>
  </si>
  <si>
    <t>2.0 Tbps (4.0 Tbps FDX)</t>
  </si>
  <si>
    <t>48x1/10/25G SFP28 + 8x100G QSFP</t>
  </si>
  <si>
    <t>7020R</t>
  </si>
  <si>
    <t>7020SR-24C2</t>
  </si>
  <si>
    <t>DCS-7020SR-24C2 계열</t>
  </si>
  <si>
    <t>DC/edge/management access</t>
  </si>
  <si>
    <t>24x10G + 2x100G</t>
  </si>
  <si>
    <t>공식 레거시 데이터시트 유지</t>
  </si>
  <si>
    <t>https://www.arista.com/assets/data/pdf/Datasheets/7020R-48_Datasheet.pdf</t>
  </si>
  <si>
    <t>현행 7020R4 이전 세대; 공식 레거시 데이터시트 참조</t>
  </si>
  <si>
    <t>24x10G SFP+ + 2x100G QSFP</t>
  </si>
  <si>
    <t>880 Gbps</t>
  </si>
  <si>
    <t>300 Mpps</t>
  </si>
  <si>
    <t>3 GB</t>
  </si>
  <si>
    <t>7020SR-32C2</t>
  </si>
  <si>
    <t>DCS-7020SR-32C2 계열</t>
  </si>
  <si>
    <t>32x10G + 2x100G</t>
  </si>
  <si>
    <t>32x10G SFP+ + 2x100G QSFP</t>
  </si>
  <si>
    <t>1.04 Tbps</t>
  </si>
  <si>
    <t>7020TR-48</t>
  </si>
  <si>
    <t>DCS-7020TR-48 계열</t>
  </si>
  <si>
    <t>48x100/1000BASE-T + 6x10G</t>
  </si>
  <si>
    <t>48x100/1000BASE-T + 6x1/10G SFP+</t>
  </si>
  <si>
    <t>216 Gbps</t>
  </si>
  <si>
    <t>162 Mpps</t>
  </si>
  <si>
    <t>7020TRA-48</t>
  </si>
  <si>
    <t>DCS-7020TRA-48 계열</t>
  </si>
  <si>
    <t>7010X</t>
  </si>
  <si>
    <t>7010TX-48</t>
  </si>
  <si>
    <t>7010TX-48-DC 포함</t>
  </si>
  <si>
    <t>DC OOB/1G access, compact campus aggregation</t>
  </si>
  <si>
    <t>48x10/100/1000BASE-T + 4x10/25G</t>
  </si>
  <si>
    <t>296 Gbps</t>
  </si>
  <si>
    <t>2.8 us</t>
  </si>
  <si>
    <t>https://www.arista.com/assets/data/pdf/Datasheets/7010TX-Datasheet.pdf</t>
  </si>
  <si>
    <t>48x10/100/1000BASE-T + 4x1/10/25G SFP</t>
  </si>
  <si>
    <t>220 Mpps</t>
  </si>
  <si>
    <t>From 2.8 µs</t>
  </si>
  <si>
    <t>4 MB</t>
  </si>
  <si>
    <t>Yes; 2 internal (1+1)</t>
  </si>
  <si>
    <t>Yes; redundant hot-swappable fan module / 2 fans</t>
  </si>
  <si>
    <t>7010TX-48C</t>
  </si>
  <si>
    <t>7010TX-48C-DC 포함</t>
  </si>
  <si>
    <t>C 변형은 airflow/구성 차이; 데이터시트 ordering information 참조</t>
  </si>
  <si>
    <t>CCS</t>
  </si>
  <si>
    <t>750X</t>
  </si>
  <si>
    <t>CCS-758-CH</t>
  </si>
  <si>
    <t>CCS-758-100-BND / CCS-758-25-BND</t>
  </si>
  <si>
    <t>8-slot modular chassis</t>
  </si>
  <si>
    <t>Large campus core/distribution and high-density PoE access</t>
  </si>
  <si>
    <t>최대 384 access ports; supervisor uplinks 4x100G 또는 8x25G</t>
  </si>
  <si>
    <t>1.6 Tbps</t>
  </si>
  <si>
    <t>&lt;1 us</t>
  </si>
  <si>
    <t>라인카드별 최대 90W</t>
  </si>
  <si>
    <t>모든 access/uplink 포트 MACsec (라이선스)</t>
  </si>
  <si>
    <t>현행 공식 데이터시트 주문정보</t>
  </si>
  <si>
    <t>https://www.arista.com/assets/data/pdf/Datasheets/CCS-750-Series-Datasheet.pdf</t>
  </si>
  <si>
    <t>섀시 번들은 switch card 1개와 Sup100 또는 Sup25 1개 포함</t>
  </si>
  <si>
    <t>Up to 384 access ports; Supervisor uplinks 4x100G or 8x25G</t>
  </si>
  <si>
    <t>850 Mpps</t>
  </si>
  <si>
    <t>&lt;1 µs</t>
  </si>
  <si>
    <t>Quad-core x86 (Supervisor)</t>
  </si>
  <si>
    <t>16 GB (Supervisor)</t>
  </si>
  <si>
    <t>120 GB storage (Supervisor)</t>
  </si>
  <si>
    <t>32 MB shared (Switch Card)</t>
  </si>
  <si>
    <t>Yes; 10</t>
  </si>
  <si>
    <t>Yes; 8</t>
  </si>
  <si>
    <t>CCS-755-CH</t>
  </si>
  <si>
    <t>CCS-755-100-BND / CCS-755-25-BND</t>
  </si>
  <si>
    <t>5-slot modular chassis</t>
  </si>
  <si>
    <t>Medium/large campus core/distribution and PoE access</t>
  </si>
  <si>
    <t>최대 240 access ports; supervisor uplinks 4x100G 또는 8x25G</t>
  </si>
  <si>
    <t>1.15 Tbps</t>
  </si>
  <si>
    <t>Up to 240 access ports; Supervisor uplinks 4x100G or 8x25G</t>
  </si>
  <si>
    <t>Yes; 6</t>
  </si>
  <si>
    <t>CCS-750X-48TP-LC</t>
  </si>
  <si>
    <t>CCS-758-CH 및 CCS-755-CH 호환</t>
  </si>
  <si>
    <t>모듈형 라인카드</t>
  </si>
  <si>
    <t>Campus access/distribution</t>
  </si>
  <si>
    <t>48x10/100/1000 RJ45</t>
  </si>
  <si>
    <t>섀시 switch card 공유</t>
  </si>
  <si>
    <t>섀시 기준</t>
  </si>
  <si>
    <t>1 line-card slot</t>
  </si>
  <si>
    <t>30W/port</t>
  </si>
  <si>
    <t>모든 포트 MACsec</t>
  </si>
  <si>
    <t>1G PoE line card</t>
  </si>
  <si>
    <t>Chassis Switch Card: 1.6 Tbps (758) / 1.15 Tbps (755)</t>
  </si>
  <si>
    <t>850 Mpps (chassis)</t>
  </si>
  <si>
    <t>&lt;1 µs (chassis)</t>
  </si>
  <si>
    <t>Quad-core x86 (Supervisor; not on line card)</t>
  </si>
  <si>
    <t>16 GB (Supervisor; not on line card)</t>
  </si>
  <si>
    <t>120 GB storage (Supervisor; not on line card)</t>
  </si>
  <si>
    <t>Chassis: 758=10 / 755=6; hot-swappable</t>
  </si>
  <si>
    <t>Chassis: 758=8 / 755=6; hot-swappable</t>
  </si>
  <si>
    <t>No — front-to-rear chassis airflow</t>
  </si>
  <si>
    <t>CCS-750X-48THP-LC</t>
  </si>
  <si>
    <t>90W/port</t>
  </si>
  <si>
    <t>1G high-power PoE line card</t>
  </si>
  <si>
    <t>CCS-750X-48ZP-LC</t>
  </si>
  <si>
    <t>48x100M/1G/2.5G RJ45</t>
  </si>
  <si>
    <t>60W/port</t>
  </si>
  <si>
    <t>mGig PoE line card</t>
  </si>
  <si>
    <t>CCS-750X-48ZXP-LC</t>
  </si>
  <si>
    <t>48x1/2.5/5/10G RJ45</t>
  </si>
  <si>
    <t>10mGig PoE line card</t>
  </si>
  <si>
    <t>CCS-750XPM-48TXH-LC</t>
  </si>
  <si>
    <t>48x100M/1/2.5/5/10G RJ45</t>
  </si>
  <si>
    <t>10mGig 90W PoE line card</t>
  </si>
  <si>
    <t>CCS-750XPM-48NH-LC</t>
  </si>
  <si>
    <t>48x100M/1/2.5/5G RJ45</t>
  </si>
  <si>
    <t>5mGig 90W PoE line card</t>
  </si>
  <si>
    <t>CCS-750XM-48TX-LC</t>
  </si>
  <si>
    <t>비PoE</t>
  </si>
  <si>
    <t>10G-T non-PoE line card</t>
  </si>
  <si>
    <t>CCS-750X-48SX-LC</t>
  </si>
  <si>
    <t>48x1/10G SFP+</t>
  </si>
  <si>
    <t>Fiber non-PoE line card</t>
  </si>
  <si>
    <t>CCS-750X-48T-LC</t>
  </si>
  <si>
    <t>1G non-PoE line card</t>
  </si>
  <si>
    <t>710HXP</t>
  </si>
  <si>
    <t>CCS-710HXP-28TXH-4S</t>
  </si>
  <si>
    <t>산업용 1RU fanless</t>
  </si>
  <si>
    <t>Harsh environment campus/industrial edge</t>
  </si>
  <si>
    <t>24x1G 60W + 4x10mGig 90W + 4x10G SFP+</t>
  </si>
  <si>
    <t>최대 90W</t>
  </si>
  <si>
    <t>MACsec; 데이터시트 참조</t>
  </si>
  <si>
    <t>https://www.arista.com/assets/data/pdf/Datasheets/CCS-710HXP-Datasheet.pdf</t>
  </si>
  <si>
    <t>IP30 ruggedized, fanless</t>
  </si>
  <si>
    <t>24x1G RJ45 + 4x10mG RJ45 + 4x1/10G SFP+</t>
  </si>
  <si>
    <t>208 Gbps (FDX)</t>
  </si>
  <si>
    <t>95 Mpps</t>
  </si>
  <si>
    <t>1.8 µs</t>
  </si>
  <si>
    <t>Quad-core ARM</t>
  </si>
  <si>
    <t>20 GB</t>
  </si>
  <si>
    <t>1.5 MB</t>
  </si>
  <si>
    <t>Yes; 2x400W internal AC/HVDC (1+1)</t>
  </si>
  <si>
    <t>N/A — fanless</t>
  </si>
  <si>
    <t>CCS-710HXP-20TNH-4S</t>
  </si>
  <si>
    <t>DIN-rail fanless</t>
  </si>
  <si>
    <t>Industrial/DIN-rail edge</t>
  </si>
  <si>
    <t>16x1G 30W + 4x5mGig 90W + 4x10G SFP+</t>
  </si>
  <si>
    <t>DIN rail</t>
  </si>
  <si>
    <t>IP50 ruggedized, fanless</t>
  </si>
  <si>
    <t>16x1G RJ45 + 4x5mG RJ45 + 4x1/10G SFP+</t>
  </si>
  <si>
    <t>144 Gbps (FDX)</t>
  </si>
  <si>
    <t>External; up to 2x480W AC or 2x290W DC (1+1)</t>
  </si>
  <si>
    <t>710XP</t>
  </si>
  <si>
    <t>CCS-710XP-12TH-2S</t>
  </si>
  <si>
    <t>compact fanless</t>
  </si>
  <si>
    <t>Small campus/branch access, IoT</t>
  </si>
  <si>
    <t>8x1G 30W + 4x1G 60W + 2x10G SFP+</t>
  </si>
  <si>
    <t>1RU/desktop</t>
  </si>
  <si>
    <t>최대 60W</t>
  </si>
  <si>
    <t>https://www.arista.com/assets/data/pdf/Datasheets/CCS-710XP-Datasheet.pdf</t>
  </si>
  <si>
    <t>Fanless compact switch</t>
  </si>
  <si>
    <t>12xRJ45 (8x30W + 4x60W) + 2x10G SFP+</t>
  </si>
  <si>
    <t>64 Gbps (FDX)</t>
  </si>
  <si>
    <t>No; single 180W fixed internal PSU</t>
  </si>
  <si>
    <t>CCS-710XP-28TNH-2S</t>
  </si>
  <si>
    <t>fixed campus access</t>
  </si>
  <si>
    <t>Campus access, AP/IoT edge</t>
  </si>
  <si>
    <t>24x1G 30W + 4x5mGig 90W + 2x10G SFP+</t>
  </si>
  <si>
    <t>Multi-gig high-power ports</t>
  </si>
  <si>
    <t>24x1G RJ45 + 4x5mG RJ45 + 2x10G SFP+</t>
  </si>
  <si>
    <t>128 Gbps (FDX)</t>
  </si>
  <si>
    <t>No; single 460W fixed internal PSU</t>
  </si>
  <si>
    <t>Hot-swap not stated; 3 fans (2+1 redundancy)</t>
  </si>
  <si>
    <t>No — front-to-rear model</t>
  </si>
  <si>
    <t>720XPM/XDM</t>
  </si>
  <si>
    <t>CCS-720XPM-48TH-6SY</t>
  </si>
  <si>
    <t>High-power campus access for Wi-Fi 6E/7 and IoT</t>
  </si>
  <si>
    <t>48x1G 90W + 4x25G + 2x10G</t>
  </si>
  <si>
    <t>336 Gbps</t>
  </si>
  <si>
    <t>https://www.arista.com/assets/data/pdf/Datasheets/CCS-720XPM-Datasheet.pdf</t>
  </si>
  <si>
    <t>48x1G RJ45 PoE + 2x10G SFP + 4x25G SFP</t>
  </si>
  <si>
    <t>336 Gbps (FDX; MACsec 50G up/50G down)</t>
  </si>
  <si>
    <t>500 Mpps (2-way)</t>
  </si>
  <si>
    <t>1.2 µs</t>
  </si>
  <si>
    <t>Yes; maximum 2</t>
  </si>
  <si>
    <t>Yes; 2 F-R or 3 R-F (N+1)</t>
  </si>
  <si>
    <t>CCS-720XDM-48T-6SY</t>
  </si>
  <si>
    <t>Non-PoE campus aggregation/access</t>
  </si>
  <si>
    <t>48x1G RJ45 + 4x25G + 2x10G</t>
  </si>
  <si>
    <t>48x1G RJ45 non-PoE + 2x10G SFP + 4x25G SFP</t>
  </si>
  <si>
    <t>CCS-720XDM-32S-6SY</t>
  </si>
  <si>
    <t>fixed fiber campus</t>
  </si>
  <si>
    <t>Fiber aggregation/access</t>
  </si>
  <si>
    <t>32x1G SFP + 4x25G + 2x10G</t>
  </si>
  <si>
    <t>304 Gbps</t>
  </si>
  <si>
    <t>32x1G SFP non-PoE + 2x10G SFP + 4x25G SFP</t>
  </si>
  <si>
    <t>304 Gbps (FDX; MACsec 50G up/50G down)</t>
  </si>
  <si>
    <t>720XP</t>
  </si>
  <si>
    <t>CCS-720XP-96ZC2</t>
  </si>
  <si>
    <t>전원/airflow/메모리 변형은 데이터시트 참조</t>
  </si>
  <si>
    <t>Campus access for AP, users and IoT</t>
  </si>
  <si>
    <t>80x2.5G + 16x5G PoE + 4x25G + 2x100G</t>
  </si>
  <si>
    <t>1.16 Tbps</t>
  </si>
  <si>
    <t>최대 60W/90W (모델별)</t>
  </si>
  <si>
    <t>https://www.arista.com/assets/data/pdf/Datasheets/CCS-720XP-Datasheet.pdf</t>
  </si>
  <si>
    <t>96-port high-density access</t>
  </si>
  <si>
    <t>96xRJ45 + 4x25G SFP + 2x100G QSFP</t>
  </si>
  <si>
    <t>580 (1160) Gbps</t>
  </si>
  <si>
    <t>863 Mpps</t>
  </si>
  <si>
    <t>4 GB; 8 GB expanded-memory variant</t>
  </si>
  <si>
    <t>Yes; maximum 4</t>
  </si>
  <si>
    <t>CCS-720XP-48ZC2</t>
  </si>
  <si>
    <t>40x2.5G + 8x5G PoE + 4x25G + 2x100G</t>
  </si>
  <si>
    <t>560 Gbps</t>
  </si>
  <si>
    <t>48-port high-density access</t>
  </si>
  <si>
    <t>48xRJ45 + 4x25G SFP + 2x100G QSFP</t>
  </si>
  <si>
    <t>440 (880) Gbps</t>
  </si>
  <si>
    <t>654 Mpps</t>
  </si>
  <si>
    <t>8 MB</t>
  </si>
  <si>
    <t>CCS-720XP-24ZY4</t>
  </si>
  <si>
    <t>16x2.5G + 8x5G PoE + 4x25G</t>
  </si>
  <si>
    <t>180 Gbps</t>
  </si>
  <si>
    <t>24-port multi-gig access</t>
  </si>
  <si>
    <t>24xRJ45 + 4x25G SFP</t>
  </si>
  <si>
    <t>180 (360) Gbps</t>
  </si>
  <si>
    <t>268 Mpps</t>
  </si>
  <si>
    <t>CCS-720XP-48Y6</t>
  </si>
  <si>
    <t>48x1G PoE + 6x25G</t>
  </si>
  <si>
    <t>198 Gbps</t>
  </si>
  <si>
    <t>48-port 1G access</t>
  </si>
  <si>
    <t>48x1G RJ45 + 6x25G SFP</t>
  </si>
  <si>
    <t>198 (396) Gbps</t>
  </si>
  <si>
    <t>294 Mpps</t>
  </si>
  <si>
    <t>CCS-720XP-24Y6</t>
  </si>
  <si>
    <t>24x1G PoE + 6x25G</t>
  </si>
  <si>
    <t>174 Gbps</t>
  </si>
  <si>
    <t>24-port 1G access</t>
  </si>
  <si>
    <t>24x1G RJ45 + 6x25G SFP</t>
  </si>
  <si>
    <t>174 (348) Gbps</t>
  </si>
  <si>
    <t>259 Mpps</t>
  </si>
  <si>
    <t>CCS-720XP-48TXH-2C-S</t>
  </si>
  <si>
    <t>48x10G/mGig PoE + 4x25G + 2x100G</t>
  </si>
  <si>
    <t>10G multi-gig high-power access</t>
  </si>
  <si>
    <t>48x10mG RJ45 + 4x25G SFP + 2x100G QSFP</t>
  </si>
  <si>
    <t>780 (1560) Gbps</t>
  </si>
  <si>
    <t>1,160 Mpps</t>
  </si>
  <si>
    <t>722XPM</t>
  </si>
  <si>
    <t>CCS-722XPM-48ZY8</t>
  </si>
  <si>
    <t>High-density multi-gig AP/IoT access</t>
  </si>
  <si>
    <t>48x2.5G 60W PoE + 8x25G</t>
  </si>
  <si>
    <t>640 Gbps</t>
  </si>
  <si>
    <t>https://www.arista.com/assets/data/pdf/Datasheets/CCS-722XP-Datasheet.pdf</t>
  </si>
  <si>
    <t>48x2.5G RJ45 PoE + 8x25G SFP</t>
  </si>
  <si>
    <t>640 Gbps (2-way; MACsec 100G down/100G up)</t>
  </si>
  <si>
    <t>952 Mpps (2-way)</t>
  </si>
  <si>
    <t>Yes; maximum 2 (1+1)</t>
  </si>
  <si>
    <t>CCS-722XPM-48Y4</t>
  </si>
  <si>
    <t>1G campus access with 25G uplinks</t>
  </si>
  <si>
    <t>48x1G 30W PoE + 4x25G + 4x10G</t>
  </si>
  <si>
    <t>376 Gbps</t>
  </si>
  <si>
    <t>48x1G RJ45 PoE + 4x25G SFP + 4x10G SFP</t>
  </si>
  <si>
    <t>376 Gbps (2-way; MACsec 50G down/50G up)</t>
  </si>
  <si>
    <t>559 Mpps (2-way)</t>
  </si>
  <si>
    <t>720D</t>
  </si>
  <si>
    <t>CCS-720DP-24S</t>
  </si>
  <si>
    <t>AC/DC/HVDC 및 expanded-memory 변형은 데이터시트 참조</t>
  </si>
  <si>
    <t>fixed campus access/aggregation</t>
  </si>
  <si>
    <t>Campus access, branch, fiber aggregation</t>
  </si>
  <si>
    <t>24x1G + 4x10G</t>
  </si>
  <si>
    <t>128 Gbps</t>
  </si>
  <si>
    <t>https://www.arista.com/assets/data/pdf/Datasheets/CCS-720D-Datasheet.pdf</t>
  </si>
  <si>
    <t>24x1G RJ45 PoE + 4x10G SFP+</t>
  </si>
  <si>
    <t>64 (128) Gbps</t>
  </si>
  <si>
    <t>4 GB; 8 GB M-S variant</t>
  </si>
  <si>
    <t>2 MB</t>
  </si>
  <si>
    <t>CCS-720DP-48S</t>
  </si>
  <si>
    <t>48x1G + 4x10G</t>
  </si>
  <si>
    <t>176 Gbps</t>
  </si>
  <si>
    <t>48x1G RJ45 PoE + 4x10G SFP+</t>
  </si>
  <si>
    <t>88 (176) Gbps</t>
  </si>
  <si>
    <t>131 Mpps</t>
  </si>
  <si>
    <t>Yes; 4</t>
  </si>
  <si>
    <t>CCS-720DT-24S</t>
  </si>
  <si>
    <t>24x1G RJ45 + 4x10G SFP+</t>
  </si>
  <si>
    <t>4 GB (2F) / 8 GB (2R or M-S)</t>
  </si>
  <si>
    <t>Yes — F/R airflow SKU options</t>
  </si>
  <si>
    <t>CCS-720DT-48S</t>
  </si>
  <si>
    <t>48x1G RJ45 + 4x10G SFP+</t>
  </si>
  <si>
    <t>CCS-720DP-24ZS</t>
  </si>
  <si>
    <t>24x2.5G + 4x10G</t>
  </si>
  <si>
    <t>200 Gbps</t>
  </si>
  <si>
    <t>24x2.5G RJ45 PoE + 4x10G SFP+</t>
  </si>
  <si>
    <t>100 (200) Gbps</t>
  </si>
  <si>
    <t>149 Mpps</t>
  </si>
  <si>
    <t>CCS-720DP-48ZS</t>
  </si>
  <si>
    <t>48x2.5G + 4x10G</t>
  </si>
  <si>
    <t>320 Gbps</t>
  </si>
  <si>
    <t>48x2.5G RJ45 PoE + 4x10G SFP+</t>
  </si>
  <si>
    <t>160 (320) Gbps</t>
  </si>
  <si>
    <t>238 Mpps</t>
  </si>
  <si>
    <t>CCS-720DF-48Y</t>
  </si>
  <si>
    <t>48x1G SFP + 4x25G</t>
  </si>
  <si>
    <t>공식 데이터시트 EoS 주의</t>
  </si>
  <si>
    <t>데이터시트의 End-of-Sales 주석 및 지역별 판매 상태 확인 필요</t>
  </si>
  <si>
    <t>48x1G SFP + 4x25G SFP28</t>
  </si>
  <si>
    <t>148 (296) Gbps</t>
  </si>
  <si>
    <t>4 / 8 GB (variant)</t>
  </si>
  <si>
    <t>8 / 20 GB (variant)</t>
  </si>
  <si>
    <t>710P</t>
  </si>
  <si>
    <t>CCS-710P-12</t>
  </si>
  <si>
    <t>compact PoE switch</t>
  </si>
  <si>
    <t>Small branch, hospitality, IoT access</t>
  </si>
  <si>
    <t>12x1G PoE + 2x10G SFP+</t>
  </si>
  <si>
    <t>64 Gbps</t>
  </si>
  <si>
    <t>compact</t>
  </si>
  <si>
    <t>https://www.arista.com/assets/data/pdf/Datasheets/CCS-710P-Datasheet.pdf</t>
  </si>
  <si>
    <t>12x1G RJ45 + 2x10G SFP+</t>
  </si>
  <si>
    <t>No; 150W/280W external PSU</t>
  </si>
  <si>
    <t>미기재(사양표에 팬 항목 없음)</t>
  </si>
  <si>
    <t>N/A / not stated for compact external-PSU design</t>
  </si>
  <si>
    <t>CCS-710P-16P</t>
  </si>
  <si>
    <t>Small branch, room/desk edge, IoT access</t>
  </si>
  <si>
    <t>12x1G + 4x5G mixed PD/PSE + 2x10G SFP+</t>
  </si>
  <si>
    <t>104 Gbps</t>
  </si>
  <si>
    <t>PoE/PD-PSE</t>
  </si>
  <si>
    <t>16xRJ45 + 2x10G SFP+ (12x1G + 4x5G mixed PD/PSE)</t>
  </si>
  <si>
    <t>104 Gbps (FDX)</t>
  </si>
  <si>
    <t>155 Mpps</t>
  </si>
  <si>
    <t>No; PoE input or 150W/280W external PSU</t>
  </si>
  <si>
    <t>Arista 무선 AP 전체 제품군</t>
  </si>
  <si>
    <t>Wi-Fi 7 / 6E / 6 | Indoor / Outdoor | 내장·외장 안테나 | 기준일 2026-09-08</t>
  </si>
  <si>
    <t>공식 AP Comparison Matrix와 개별 데이터시트를 대조했습니다. 우측 Key Specifications는 RF, 전원, 시스템, 물리·환경, 보안·IoT로 분류했습니다. 녹색=전사값, 주황=미기재/상충·규제 주의.</t>
  </si>
  <si>
    <t>제품·설치·안테나·출처</t>
  </si>
  <si>
    <t>RF / Radio / Capacity</t>
  </si>
  <si>
    <t>Interfaces / Power</t>
  </si>
  <si>
    <t>System / Storage</t>
  </si>
  <si>
    <t>Physical / Environmental</t>
  </si>
  <si>
    <t>Security / IoT / Rating</t>
  </si>
  <si>
    <t>세대</t>
  </si>
  <si>
    <t>환경</t>
  </si>
  <si>
    <t>모델</t>
  </si>
  <si>
    <t>주문 SKU</t>
  </si>
  <si>
    <t>안테나 형태</t>
  </si>
  <si>
    <t>외장 커넥터</t>
  </si>
  <si>
    <t>공간 스트림</t>
  </si>
  <si>
    <t>최대 PHY 속도</t>
  </si>
  <si>
    <t>액세스 라디오</t>
  </si>
  <si>
    <t>멀티펑션/WIPS 라디오</t>
  </si>
  <si>
    <t>Ethernet</t>
  </si>
  <si>
    <t>PoE/전원</t>
  </si>
  <si>
    <t>설치 방식</t>
  </si>
  <si>
    <t>권장 밀도/용도</t>
  </si>
  <si>
    <t>외장 안테나 호환 모델</t>
  </si>
  <si>
    <t>기본 마운트/가이드</t>
  </si>
  <si>
    <t>Wi-Fi Standard</t>
  </si>
  <si>
    <t>Frequency Bands</t>
  </si>
  <si>
    <t>Radio Configuration</t>
  </si>
  <si>
    <t>Max Clients</t>
  </si>
  <si>
    <t>MU-MIMO</t>
  </si>
  <si>
    <t>Number of Spatial Streams</t>
  </si>
  <si>
    <t>Maximum EIRP</t>
  </si>
  <si>
    <t>Maximum Channel Width</t>
  </si>
  <si>
    <t>Peak Data Rate</t>
  </si>
  <si>
    <t>Multifunction / WIPS</t>
  </si>
  <si>
    <t>Ethernet Interfaces</t>
  </si>
  <si>
    <t>Input Power</t>
  </si>
  <si>
    <t>Max Power Consumption</t>
  </si>
  <si>
    <t>Chipset / CPU</t>
  </si>
  <si>
    <t>RAM</t>
  </si>
  <si>
    <t>Flash</t>
  </si>
  <si>
    <t>Physical Dimensions</t>
  </si>
  <si>
    <t>Weight</t>
  </si>
  <si>
    <t>Operating Temperature</t>
  </si>
  <si>
    <t>Storage Temperature</t>
  </si>
  <si>
    <t>Relative Humidity</t>
  </si>
  <si>
    <t>MTBF</t>
  </si>
  <si>
    <t>Physical Security / TPM</t>
  </si>
  <si>
    <t>IoT / Location</t>
  </si>
  <si>
    <t>Environmental Rating</t>
  </si>
  <si>
    <t>Wi-Fi 7</t>
  </si>
  <si>
    <t>Indoor</t>
  </si>
  <si>
    <t>C-460</t>
  </si>
  <si>
    <t>AP-C460</t>
  </si>
  <si>
    <t>내장 Omni</t>
  </si>
  <si>
    <t>4x4 (2.4/5/6GHz)</t>
  </si>
  <si>
    <t>11.5 / 5.76 / 1.4 Gbps (6/5/2.4GHz)</t>
  </si>
  <si>
    <t>Tri-band 4x4:4</t>
  </si>
  <si>
    <t>전용 tri-band 2x2 MFR + IoT/GNSS</t>
  </si>
  <si>
    <t>2x10GbE</t>
  </si>
  <si>
    <t>PoE++; PoE+ reduced; DC</t>
  </si>
  <si>
    <t>천장/벽</t>
  </si>
  <si>
    <t>초고밀도 enterprise/campus</t>
  </si>
  <si>
    <t>해당 없음(내장 안테나)</t>
  </si>
  <si>
    <t>MNT-AP-24MM 기본; 기타 C-series mounting kit 호환</t>
  </si>
  <si>
    <t>2026-06 공식 AP 비교표 등재</t>
  </si>
  <si>
    <t>https://www.arista.com/en/products/wifi7-series</t>
  </si>
  <si>
    <t>https://www.arista.com/assets/data/pdf/Datasheets/Arista-C-460-Datasheet.pdf</t>
  </si>
  <si>
    <t>IEEE 802.11be (Wi-Fi 7)</t>
  </si>
  <si>
    <t>2.4 / 5 / 6 GHz</t>
  </si>
  <si>
    <t>3× 4x4:4 access + dedicated tri-band 2x2 MFR + IoT/GNSS</t>
  </si>
  <si>
    <t>1,533 (511/radio)</t>
  </si>
  <si>
    <t>DL/UL MU-MIMO, up to 4x4</t>
  </si>
  <si>
    <t>4 per access radio; 2 MFR</t>
  </si>
  <si>
    <t>25 dBm (2.4); 27.6 dBm (5); 27.7 dBm (6)</t>
  </si>
  <si>
    <t>40 / 160 / 320 MHz (2.4 / 5 / 6)</t>
  </si>
  <si>
    <t>1.4 / 5.76 / 11.5 Gbps (2.4 / 5 / 6)</t>
  </si>
  <si>
    <t>Dedicated tri-band 2x2 MFR; WIPS/spectrum</t>
  </si>
  <si>
    <t>2x10GbE RJ45</t>
  </si>
  <si>
    <t>802.3bt Class 6 PoE++ or 12VDC/4A; PoE+ reduced mode</t>
  </si>
  <si>
    <t>41.8 W</t>
  </si>
  <si>
    <t>8 GB eMMC</t>
  </si>
  <si>
    <t>240 × 240 × 42.5 mm</t>
  </si>
  <si>
    <t>1.73 kg</t>
  </si>
  <si>
    <t>0 to 45°C</t>
  </si>
  <si>
    <t>-40 to 70°C</t>
  </si>
  <si>
    <t>5–95% non-condensing</t>
  </si>
  <si>
    <t>1,240,693 h @25°C; 465,728 h @50°C</t>
  </si>
  <si>
    <t>Kensington lock slot; TPM</t>
  </si>
  <si>
    <t>BLE 5.3; HADM/OpenThread/Matter/ZigBee capable; L1+L5 GNSS; 802.11az</t>
  </si>
  <si>
    <t>C-460E</t>
  </si>
  <si>
    <t>AP-C460E</t>
  </si>
  <si>
    <t>외장 안테나</t>
  </si>
  <si>
    <t>6x RP-SMA (4 access + 2 MFR)</t>
  </si>
  <si>
    <t>초고밀도, 외장 안테나 맞춤형 RF</t>
  </si>
  <si>
    <t>ATS-01060, ATS-03286, ATS-03287, ATS-03288, ATS-03289, ATS-03276, ATS-03285, ATS-03411</t>
  </si>
  <si>
    <t>https://www.arista.com/assets/data/pdf/Datasheets/Arista-C-460E-Datasheet.pdf</t>
  </si>
  <si>
    <t>AFC/국가별 인증과 antenna gain/EIRP 확인 필요</t>
  </si>
  <si>
    <t>3× 4x4:4 access + dedicated tri-band 2x2 MFR; 6 RP-SMA external ports</t>
  </si>
  <si>
    <t>Up to 26 dBm (2.4); 34 dBm (5); 34 dBm (6), antenna/regulatory dependent</t>
  </si>
  <si>
    <t>240 × 240 × 45.5 mm</t>
  </si>
  <si>
    <t>1.78 kg</t>
  </si>
  <si>
    <t>676,276 h @25°C; 318,589 h @50°C</t>
  </si>
  <si>
    <t>Indoor; external antenna</t>
  </si>
  <si>
    <t>C-460D</t>
  </si>
  <si>
    <t>AP-C460D</t>
  </si>
  <si>
    <t>내장 Directional (software wide/narrow)</t>
  </si>
  <si>
    <t>벽/천장 지향성</t>
  </si>
  <si>
    <t>강의실, 복도, 고밀도 방향성 커버리지</t>
  </si>
  <si>
    <t>https://www.arista.com/assets/data/pdf/Datasheets/Arista-C-460D-Datasheet.pdf</t>
  </si>
  <si>
    <t>내장 빔폭 wide 75x75 / narrow 45x45 software configurable</t>
  </si>
  <si>
    <t>3× 4x4:4 directional access + dedicated tri-band 2x2 MFR + IoT/GNSS</t>
  </si>
  <si>
    <t>44.4 W</t>
  </si>
  <si>
    <t>2.0 kg</t>
  </si>
  <si>
    <t>Indoor; software-selectable wide/narrow directional beam</t>
  </si>
  <si>
    <t>C-430</t>
  </si>
  <si>
    <t>AP-C430</t>
  </si>
  <si>
    <t>2x2 (2.4/5/6GHz)</t>
  </si>
  <si>
    <t>5.75 / 2.88 / 0.7 Gbps</t>
  </si>
  <si>
    <t>Tri-band 2x2:2</t>
  </si>
  <si>
    <t>전용 tri-band MFR + IoT/GNSS</t>
  </si>
  <si>
    <t>2x5GbE</t>
  </si>
  <si>
    <t>PoE+; DC</t>
  </si>
  <si>
    <t>고밀도 enterprise/campus</t>
  </si>
  <si>
    <t>https://www.arista.com/assets/data/pdf/Datasheets/Arista-C-430-Datasheet.pdf</t>
  </si>
  <si>
    <t>3× 2x2:2 access + dedicated tri-band 2x2 MFR + IoT/GNSS</t>
  </si>
  <si>
    <t>783 (271/256/256 by band)</t>
  </si>
  <si>
    <t>DL/UL MU-MIMO, 2x2</t>
  </si>
  <si>
    <t>2 per access radio; 2 MFR</t>
  </si>
  <si>
    <t>25 dBm (2.4); 26 dBm (5); 25 dBm (6)</t>
  </si>
  <si>
    <t>0.7 / 2.88 / 5.75 Gbps (2.4 / 5 / 6)</t>
  </si>
  <si>
    <t>2x5GbE RJ45; MACsec capable</t>
  </si>
  <si>
    <t>802.3at PoE+ or 12VDC/3.3A</t>
  </si>
  <si>
    <t>24 W</t>
  </si>
  <si>
    <t>32 MB NOR + 8 GB eMMC</t>
  </si>
  <si>
    <t>225 × 225 × 45 mm</t>
  </si>
  <si>
    <t>1.47 kg</t>
  </si>
  <si>
    <t>1,077,435 h @25°C; 52,225 h @50°C</t>
  </si>
  <si>
    <t>BLE/Thread/Matter/ZigBee capable; GNSS; 802.11az</t>
  </si>
  <si>
    <t>C-400</t>
  </si>
  <si>
    <t>AP-C400</t>
  </si>
  <si>
    <t>전용 MFR 없음; background scan/WIPS</t>
  </si>
  <si>
    <t>1x5GbE</t>
  </si>
  <si>
    <t>중간 밀도, cost-optimized Wi-Fi 7</t>
  </si>
  <si>
    <t>https://www.arista.com/assets/data/pdf/Datasheets/Arista-C-400-Datasheet.pdf</t>
  </si>
  <si>
    <t>3× 2x2:2 access radios; no dedicated MFR</t>
  </si>
  <si>
    <t>783</t>
  </si>
  <si>
    <t>2 per access radio</t>
  </si>
  <si>
    <t>27 dBm (2.4); 25 dBm (5); 23 dBm (6)</t>
  </si>
  <si>
    <t>0.688 / 2.88 / 5.76 Gbps (2.4 / 5 / 6)</t>
  </si>
  <si>
    <t>Background scan / WIPS using access radios</t>
  </si>
  <si>
    <t>1x5GbE RJ45</t>
  </si>
  <si>
    <t>802.3at PoE+ or 12VDC/2A; 802.3af reduced mode</t>
  </si>
  <si>
    <t>22 W</t>
  </si>
  <si>
    <t>16 MB NOR + 8 GB eMMC</t>
  </si>
  <si>
    <t>185 × 185 × 45 mm</t>
  </si>
  <si>
    <t>1.09 kg</t>
  </si>
  <si>
    <t>278,027 h @30°C; 266,690 h @45°C</t>
  </si>
  <si>
    <t>GNSS/location services; 802.11az</t>
  </si>
  <si>
    <t>Outdoor</t>
  </si>
  <si>
    <t>O-435</t>
  </si>
  <si>
    <t>AP-O435</t>
  </si>
  <si>
    <t>1x5GbE + optional PSE</t>
  </si>
  <si>
    <t>PoE++; PoE+ reduced</t>
  </si>
  <si>
    <t>폴/벽</t>
  </si>
  <si>
    <t>고밀도 outdoor campus, IP67</t>
  </si>
  <si>
    <t>Outdoor pole/wall mount 동봉</t>
  </si>
  <si>
    <t>https://www.arista.com/assets/data/pdf/Datasheets/Arista-O-435-Datasheet.pdf</t>
  </si>
  <si>
    <t>3× 2x2:2 access + dedicated tri-band 2x2 MFR + BLE/ZigBee/GNSS</t>
  </si>
  <si>
    <t>Up to 26 dBm (2.4); 26 dBm (5); 25 dBm (6)</t>
  </si>
  <si>
    <t>LAN1 5GbE PoE++/MACsec + LAN2 5GbE PSE (802.3af)</t>
  </si>
  <si>
    <t>802.3bt Class 6; PoE+ reduced and LAN2 PSE disabled</t>
  </si>
  <si>
    <t>33 W</t>
  </si>
  <si>
    <t>Qualcomm IPQ8071A 1GHz quad-core ARM; QCN5154/QCN5124; QCA9882 MFR</t>
  </si>
  <si>
    <t>512 MB</t>
  </si>
  <si>
    <t>262 × 256 × 59 mm</t>
  </si>
  <si>
    <t>1.86 kg</t>
  </si>
  <si>
    <t>-40 to 65°C</t>
  </si>
  <si>
    <t>1,077,089 h @25°C; 263,780 h @65°C</t>
  </si>
  <si>
    <t>BLE, ZigBee and GNSS/location</t>
  </si>
  <si>
    <t>Outdoor; IP67</t>
  </si>
  <si>
    <t>O-435E</t>
  </si>
  <si>
    <t>AP-O435E</t>
  </si>
  <si>
    <t>6x N-Type (access + MFR)</t>
  </si>
  <si>
    <t>고밀도 outdoor, 외장 안테나 RF 설계, IP67</t>
  </si>
  <si>
    <t>ATS-03278, ATS-03280, ATS-03281, ATS-03282, ATS-03283, ATS-03262, ATS-03279, ATS-03412, 607904</t>
  </si>
  <si>
    <t>https://www.arista.com/assets/data/pdf/Datasheets/Arista-O-435E-Datasheet.pdf</t>
  </si>
  <si>
    <t>3× 2x2:2 access + dedicated tri-band 2x2 MFR; 6 N-Type external ports</t>
  </si>
  <si>
    <t>Antenna/regulatory dependent; platform up to 26 dBm (2.4/5), 25 dBm (6)</t>
  </si>
  <si>
    <t>Outdoor; IP67; external antenna</t>
  </si>
  <si>
    <t>O-405</t>
  </si>
  <si>
    <t>AP-O405</t>
  </si>
  <si>
    <t>전용 MFR 없음; background scan/WIPS + GNSS</t>
  </si>
  <si>
    <t>1x5GbE + 1x10G SFP+</t>
  </si>
  <si>
    <t>PoE+</t>
  </si>
  <si>
    <t>중저밀도 outdoor campus/warehouse, IP67</t>
  </si>
  <si>
    <t>https://www.arista.com/assets/data/pdf/Datasheets/Arista-O-405-Datasheet.pdf</t>
  </si>
  <si>
    <t>33 dBm (2.4); 32 dBm (5); 31 dBm (6)</t>
  </si>
  <si>
    <t>1x5GbE RJ45 + 1x10G SFP+</t>
  </si>
  <si>
    <t>802.3at PoE+</t>
  </si>
  <si>
    <t>25 W</t>
  </si>
  <si>
    <t>205 × 175 × 65 mm</t>
  </si>
  <si>
    <t>1.7 kg</t>
  </si>
  <si>
    <t>-30 to 65°C</t>
  </si>
  <si>
    <t>1,400,000 h @25°C; 1,100,00 h @65°C (PDF notation)</t>
  </si>
  <si>
    <t>GNSS/location; 802.11az</t>
  </si>
  <si>
    <t>O-405E</t>
  </si>
  <si>
    <t>AP-O405E</t>
  </si>
  <si>
    <t>4x N-Type</t>
  </si>
  <si>
    <t>5.76 / 2.88 / 0.688 Gbps</t>
  </si>
  <si>
    <t>중저밀도 outdoor, external antenna, IP67</t>
  </si>
  <si>
    <t>공식 2026-01 Antenna Selection Guide 미표기; AP 데이터시트는 guide 참조 지시. BOM/규제 검증 필요.</t>
  </si>
  <si>
    <t>https://www.arista.com/assets/data/pdf/Datasheets/Arista-O-405E-Datasheet.pdf</t>
  </si>
  <si>
    <t>2026-04-16 개별 데이터시트 확인; 안테나는 미포함</t>
  </si>
  <si>
    <t>3× 2x2:2 access radios; 4 N-Type external ports; no dedicated MFR</t>
  </si>
  <si>
    <t>Antenna/regulatory dependent; platform up to 33/32/31 dBm (2.4/5/6)</t>
  </si>
  <si>
    <t>Wi-Fi 6E</t>
  </si>
  <si>
    <t>C-360</t>
  </si>
  <si>
    <t>AP-C360</t>
  </si>
  <si>
    <t>4.8 / 4.8 / 1.2 Gbps</t>
  </si>
  <si>
    <t>전용 MFR + BLE/ZigBee</t>
  </si>
  <si>
    <t>초고밀도, deterministic performance</t>
  </si>
  <si>
    <t>https://www.arista.com/en/products/wifi6e-series</t>
  </si>
  <si>
    <t>https://www.arista.com/assets/data/pdf/Datasheets/Arista-C-360-Datasheet.pdf</t>
  </si>
  <si>
    <t>IEEE 802.11ax (Wi-Fi 6E)</t>
  </si>
  <si>
    <t>3× 4x4:4 access + dedicated tri-band 2x2 MFR + BLE/ZigBee</t>
  </si>
  <si>
    <t>1,280 (band-dependent)</t>
  </si>
  <si>
    <t>28.6 dBm (2.4); 27 dBm (5); 28.1 dBm (6)</t>
  </si>
  <si>
    <t>40 / 160 / 160 MHz (2.4 / 5 / 6)</t>
  </si>
  <si>
    <t>1.2 / 4.8 / 4.8 Gbps (2.4 / 5 / 6)</t>
  </si>
  <si>
    <t>802.3bt PoE++ or DC; PoE+ reduced mode</t>
  </si>
  <si>
    <t>39 W</t>
  </si>
  <si>
    <t>2 GB (1 GB ×2)</t>
  </si>
  <si>
    <t>1 GB</t>
  </si>
  <si>
    <t>230 × 230 × 42.5 mm</t>
  </si>
  <si>
    <t>1.45 kg</t>
  </si>
  <si>
    <t>0–95% non-condensing</t>
  </si>
  <si>
    <t>201,653 h @25°C; 83,308 h @45°C</t>
  </si>
  <si>
    <t>Kensington lock slot</t>
  </si>
  <si>
    <t>BLE and ZigBee IoT radio</t>
  </si>
  <si>
    <t>C-330</t>
  </si>
  <si>
    <t>AP-C330</t>
  </si>
  <si>
    <t>2.4 / 1.2 / 0.6 Gbps</t>
  </si>
  <si>
    <t>2x2.5GbE</t>
  </si>
  <si>
    <t>https://www.arista.com/assets/data/pdf/Datasheets/Arista-C-330-Datasheet.pdf</t>
  </si>
  <si>
    <t>3× 2x2:2 access + dedicated tri-band 2x2 MFR + BLE</t>
  </si>
  <si>
    <t>1,280</t>
  </si>
  <si>
    <t>25.6 dBm (2.4); 27.8 dBm (5); 26.5 dBm (6)</t>
  </si>
  <si>
    <t>0.6 / 1.2 / 2.4 Gbps (2.4 / 5 / 6)</t>
  </si>
  <si>
    <t>2x2.5GbE RJ45</t>
  </si>
  <si>
    <t>802.3at PoE+ or 12VDC; hitless power failover</t>
  </si>
  <si>
    <t>24.35 W</t>
  </si>
  <si>
    <t>32 MB SPI + 8 GB eMMC</t>
  </si>
  <si>
    <t>1.24 kg</t>
  </si>
  <si>
    <t>1,799,429 h @25°C; 821,200 h @45°C</t>
  </si>
  <si>
    <t>BLE IoT radio</t>
  </si>
  <si>
    <t>W-318</t>
  </si>
  <si>
    <t>AP-W318</t>
  </si>
  <si>
    <t>1x2.5GbE + 3x1GbE</t>
  </si>
  <si>
    <t>벽면 plate/desktop</t>
  </si>
  <si>
    <t>호텔/기숙사/소형 사무실, medium density</t>
  </si>
  <si>
    <t>전용 wall-plate 또는 desktop bracket</t>
  </si>
  <si>
    <t>https://www.arista.com/assets/data/pdf/Datasheets/Arista-W-318-Datasheet.pdf</t>
  </si>
  <si>
    <t>3× 2x2:2 access + BLE; no dedicated MFR</t>
  </si>
  <si>
    <t>25.3 dBm (2.4); 24.4 dBm (5); 26.1 dBm (6)</t>
  </si>
  <si>
    <t>2.5GbE uplink; 2.5GbE PSE LAN1; 2x1GbE LAN; pass-through; USB</t>
  </si>
  <si>
    <t>PoE++ full; PoE+ reduced (PSE/USB off); 12VDC/2A</t>
  </si>
  <si>
    <t>190.7 × 133 × 32 mm</t>
  </si>
  <si>
    <t>0.54 kg</t>
  </si>
  <si>
    <t>419,223 h @25°C; 233,930 h @45°C</t>
  </si>
  <si>
    <t>BLE IoT/location</t>
  </si>
  <si>
    <t>Indoor; wall-plate/desktop</t>
  </si>
  <si>
    <t>Wi-Fi 6</t>
  </si>
  <si>
    <t>C-260</t>
  </si>
  <si>
    <t>AP-C260</t>
  </si>
  <si>
    <t>8x8:8 (5GHz) / 4x4:4 (2.4GHz)</t>
  </si>
  <si>
    <t>4.8 / 1.2 Gbps (공식 비교표)</t>
  </si>
  <si>
    <t>Dual-band high-stream</t>
  </si>
  <si>
    <t>전용 2x2 dual-band MFR</t>
  </si>
  <si>
    <t>초고밀도 Wi-Fi 6</t>
  </si>
  <si>
    <t>https://www.arista.com/en/products/wifi6-series</t>
  </si>
  <si>
    <t>https://www.arista.com/assets/data/pdf/Datasheets/Arista-C-260-Datasheet.pdf</t>
  </si>
  <si>
    <t>개별 PDF 일부 PHY rate 문구와 비교표 간 차이가 있어 최신 비교표 값을 우선 적용</t>
  </si>
  <si>
    <t>IEEE 802.11ax (Wi-Fi 6)</t>
  </si>
  <si>
    <t>2.4 / 5 GHz</t>
  </si>
  <si>
    <t>4x4:4 2.4GHz + 8x8:8 5GHz + dedicated 2x2 MFR + BLE</t>
  </si>
  <si>
    <t>768</t>
  </si>
  <si>
    <t>DL/UL MU-MIMO; 4x4 (2.4), 8x8 (5)</t>
  </si>
  <si>
    <t>4 (2.4); 8 (5); 2 MFR</t>
  </si>
  <si>
    <t>28.5 dBm (2.4); 32.5 dBm (5)</t>
  </si>
  <si>
    <t>40 / 160 MHz (2.4 / 5)</t>
  </si>
  <si>
    <t>1.2 / 4.8 Gbps (official comparison; PDF wording differs)</t>
  </si>
  <si>
    <t>Dedicated dual-band 2x2 MFR; WIPS/spectrum</t>
  </si>
  <si>
    <t>2x5GbE RJ45</t>
  </si>
  <si>
    <t>802.3bt PoE++ or 12VDC; PoE+ reduced mode</t>
  </si>
  <si>
    <t>35.2 W</t>
  </si>
  <si>
    <t>Qualcomm IPQ8078 2.2GHz quad-core ARM; QCN5054/QCN5024/QCA9882</t>
  </si>
  <si>
    <t>230 × 230 × 45 mm</t>
  </si>
  <si>
    <t>1.39 kg</t>
  </si>
  <si>
    <t>0 to 40°C</t>
  </si>
  <si>
    <t>333,286 h @25°C; 191,367 h @40°C</t>
  </si>
  <si>
    <t>BLE / ZigBee capable</t>
  </si>
  <si>
    <t>C-250</t>
  </si>
  <si>
    <t>AP-C250</t>
  </si>
  <si>
    <t>4.8 / 1.2 Gbps (비교표 그룹)</t>
  </si>
  <si>
    <t>공식 데이터시트 유지; 2026 비교표 C-250/C-260 그룹 표기</t>
  </si>
  <si>
    <t>https://www.arista.com/assets/data/pdf/Datasheets/Arista-C-250-Datasheet.pdf</t>
  </si>
  <si>
    <t>개별 PDF의 Key Specifications와 본문 사이 MIMO 표기가 상충하므로 비교표/ordering 정보와 BOM을 재확인</t>
  </si>
  <si>
    <t>DL/UL MU-MIMO; 4x4 (2.4), 8x8 (5); PDF internal table conflict noted</t>
  </si>
  <si>
    <t>802.3bt PoE++ or 12VDC/3.3A; PoE+ reduced mode</t>
  </si>
  <si>
    <t>34.4 W</t>
  </si>
  <si>
    <t>C-230</t>
  </si>
  <si>
    <t>AP-C230</t>
  </si>
  <si>
    <t>4x4:4 (5GHz) / 2x2:2 (2.4GHz)</t>
  </si>
  <si>
    <t>2.4 / 0.574 Gbps</t>
  </si>
  <si>
    <t>Dual-band</t>
  </si>
  <si>
    <t>전용 dual-band MFR</t>
  </si>
  <si>
    <t>1x5GbE + 1x1GbE</t>
  </si>
  <si>
    <t>PoE+; PoE reduced; DC</t>
  </si>
  <si>
    <t>https://www.arista.com/assets/data/pdf/Datasheets/Arista-C-230-Datasheet.pdf</t>
  </si>
  <si>
    <t>2x2:2 2.4GHz + 4x4:4 5GHz + dedicated dual-band 2x2 MFR</t>
  </si>
  <si>
    <t>DL/UL MU-MIMO; 2x2 (2.4), 4x4 (5)</t>
  </si>
  <si>
    <t>2 (2.4); 4 (5); 2 MFR</t>
  </si>
  <si>
    <t>31 dBm (2.4); 35 dBm (5)</t>
  </si>
  <si>
    <t>0.574 / 2.4 Gbps (2.4 / 5)</t>
  </si>
  <si>
    <t>1x5GbE + 1x1GbE RJ45</t>
  </si>
  <si>
    <t>802.3at PoE+ or 12VDC; 802.3af reduced mode</t>
  </si>
  <si>
    <t>26 W</t>
  </si>
  <si>
    <t>Qualcomm IPQ8071A 1GHz quad-core ARM; QCN5154/QCN5124/QCA9882</t>
  </si>
  <si>
    <t>205 × 205 × 45.8 mm</t>
  </si>
  <si>
    <t>1.0 kg</t>
  </si>
  <si>
    <t>-25 to 70°C</t>
  </si>
  <si>
    <t>641,425 h @25°C; 343,175 h @40°C</t>
  </si>
  <si>
    <t>BLE/location services</t>
  </si>
  <si>
    <t>C-230E</t>
  </si>
  <si>
    <t>AP-C230E</t>
  </si>
  <si>
    <t>6x RP-SMA</t>
  </si>
  <si>
    <t>고밀도, 외장 안테나 맞춤형 RF</t>
  </si>
  <si>
    <t>ATS-01060, ATS-03286, ATS-03287, ATS-03288, ATS-03289, ATS-03276, ATS-03285, 375087, 250940, 268438, 227737, 544625, 237129, 273329, ATS-OO-245-46-6RPSP-36, ATS-OP-245-8-6RPSP-36, ATS-OP-245-13-6RPSP-36, ATS-OP-245-7D-6RPSP-36, ATS-OP-245-7-6RPSP-36, ATS-OP-245-810-6RPSP-36-V2</t>
  </si>
  <si>
    <t>https://www.arista.com/assets/data/pdf/Datasheets/Arista-C-230E-Datasheet.pdf</t>
  </si>
  <si>
    <t>2x2:2 2.4GHz + 4x4:4 5GHz + dedicated 2x2 MFR; 6 RP-SMA</t>
  </si>
  <si>
    <t>26 dBm (2.4); 29 dBm (5), antenna/regulatory dependent</t>
  </si>
  <si>
    <t>25.5 W</t>
  </si>
  <si>
    <t>219 × 205 × 45.8 mm</t>
  </si>
  <si>
    <t>O-235</t>
  </si>
  <si>
    <t>AP-O235</t>
  </si>
  <si>
    <t>고밀도 outdoor, IP67</t>
  </si>
  <si>
    <t>https://www.arista.com/assets/data/pdf/Datasheets/Arista-O235-Datasheet.pdf</t>
  </si>
  <si>
    <t>2x2:2 2.4GHz + 4x4:4 5GHz + dedicated 2x2 MFR + BLE</t>
  </si>
  <si>
    <t>1,024 (datasheet table; use-case dependent)</t>
  </si>
  <si>
    <t>802.3at PoE+ or DC; 802.3af reduced mode</t>
  </si>
  <si>
    <t>27 W</t>
  </si>
  <si>
    <t>211.1 × 209.4 × 52.2 mm</t>
  </si>
  <si>
    <t>1.2 kg</t>
  </si>
  <si>
    <t>-20 to 65°C</t>
  </si>
  <si>
    <t>290,461 h @25°C; 82,687 h @65°C</t>
  </si>
  <si>
    <t>TPM</t>
  </si>
  <si>
    <t>O-235E</t>
  </si>
  <si>
    <t>AP-O235E</t>
  </si>
  <si>
    <t>6x N-Type</t>
  </si>
  <si>
    <t>고밀도 outdoor, external antenna, IP67</t>
  </si>
  <si>
    <t>ATS-03278, ATS-03280, ATS-03281, ATS-03282, ATS-03283, ATS-03262, ATS-03279, ATS-03412, 607904, 298003, 523996, ATS-01050, ATS-01022, ATS-01091, ATS-02754, ATS-01112, ATS-03022, ATS-01126</t>
  </si>
  <si>
    <t>https://www.arista.com/assets/data/pdf/Datasheets/Arista-O235E-Datasheet.pdf</t>
  </si>
  <si>
    <t>2x2:2 2.4GHz + 4x4:4 5GHz + dedicated 2x2 MFR; 6 N-Type</t>
  </si>
  <si>
    <t>211.1 × 223.4 × 52.2 mm</t>
  </si>
  <si>
    <t>1.4 kg</t>
  </si>
  <si>
    <t>C-200</t>
  </si>
  <si>
    <t>AP-C200</t>
  </si>
  <si>
    <t>2x2:2 (5GHz) / 2x2:2 (2.4GHz)</t>
  </si>
  <si>
    <t>1.2 / 0.574 Gbps</t>
  </si>
  <si>
    <t>WIPS 지원; background/멀티펑션 동작</t>
  </si>
  <si>
    <t>1x1GbE</t>
  </si>
  <si>
    <t>저/중밀도 deployment</t>
  </si>
  <si>
    <t>https://www.arista.com/assets/data/pdf/Datasheets/Arista-C-200-Datasheet.pdf</t>
  </si>
  <si>
    <t>2× 2x2:2 access radios; no dedicated MFR</t>
  </si>
  <si>
    <t>23.8 dBm (2.4); 23.6 dBm (5)</t>
  </si>
  <si>
    <t>40 / 80 MHz (2.4 / 5)</t>
  </si>
  <si>
    <t>0.574 / 1.2 Gbps (2.4 / 5)</t>
  </si>
  <si>
    <t>1x1GbE RJ45</t>
  </si>
  <si>
    <t>PoE or 12VDC (physical spec also lists 48V/260mA)</t>
  </si>
  <si>
    <t>12.4 W</t>
  </si>
  <si>
    <t>167 × 167 × 44 mm</t>
  </si>
  <si>
    <t>0.5 kg</t>
  </si>
  <si>
    <t>363,153 h @25°C; 188,954 h @40°C</t>
  </si>
  <si>
    <t>Location services</t>
  </si>
  <si>
    <t>Arista AP 마운트킷 / 설치 브래킷</t>
  </si>
  <si>
    <t>C-series ceiling AP 및 O-series outdoor AP | 기준일 2026-09-08</t>
  </si>
  <si>
    <t>모델별 기본 동봉품은 지역/포장 SKU에 따라 달라질 수 있으므로 최종 BOM과 packing list를 확인하십시오.</t>
  </si>
  <si>
    <t>Part Number</t>
  </si>
  <si>
    <t>설치 위치</t>
  </si>
  <si>
    <t>대상 레일/표면</t>
  </si>
  <si>
    <t>호환 AP</t>
  </si>
  <si>
    <t>기본 동봉</t>
  </si>
  <si>
    <t>별도 구매</t>
  </si>
  <si>
    <t>공식 가이드</t>
  </si>
  <si>
    <t>MNT-AP-15MM</t>
  </si>
  <si>
    <t>천장</t>
  </si>
  <si>
    <t>Suprafine 15mm (9/16 in) T-grid</t>
  </si>
  <si>
    <t>모든 C-series ceiling AP</t>
  </si>
  <si>
    <t>아니오</t>
  </si>
  <si>
    <t>예</t>
  </si>
  <si>
    <t>표준 15mm T-grid 브래킷</t>
  </si>
  <si>
    <t>MNT-AP-15MM-ADAPTER</t>
  </si>
  <si>
    <t>천장(매립 타일)</t>
  </si>
  <si>
    <t>Recessed Suprafine 15mm T-grid</t>
  </si>
  <si>
    <t>매립형 타일 adapter</t>
  </si>
  <si>
    <t>MNT-AP-24MM</t>
  </si>
  <si>
    <t>Prelude 24mm (15/16 in) T-grid</t>
  </si>
  <si>
    <t>예(일반 C-series)</t>
  </si>
  <si>
    <t>C-series 표준 동봉 브래킷</t>
  </si>
  <si>
    <t>MNT-AP-24MM-ADAPTER</t>
  </si>
  <si>
    <t>Recessed Prelude 24mm T-grid</t>
  </si>
  <si>
    <t>MNT-AP-INTSIL</t>
  </si>
  <si>
    <t>Interlude / Silhouette T-grid</t>
  </si>
  <si>
    <t>Interlude/Silhouette rail용</t>
  </si>
  <si>
    <t>MNT-AP-FLAT-14CM</t>
  </si>
  <si>
    <t>벽/하드 천장/정션박스</t>
  </si>
  <si>
    <t>평면, wall, hard ceiling, gang box</t>
  </si>
  <si>
    <t>Flat-surface 설치</t>
  </si>
  <si>
    <t>MNT-AP-U-ADAPTER-1</t>
  </si>
  <si>
    <t>기존 Cisco AP mount에 연결하는 adapter</t>
  </si>
  <si>
    <t>기존 mount 재사용 adapter</t>
  </si>
  <si>
    <t>Outdoor AP mount</t>
  </si>
  <si>
    <t>Outdoor pole/wall</t>
  </si>
  <si>
    <t>모든 O-series AP</t>
  </si>
  <si>
    <t>예(O-series)</t>
  </si>
  <si>
    <t>AP와 함께 제공되며 별도 구매 불가</t>
  </si>
  <si>
    <t>Arista AP 외장 안테나 모델</t>
  </si>
  <si>
    <t>공식 Antenna Selection Guide의 Indoor / Outdoor 안테나 | 기준일 2026-09-08</t>
  </si>
  <si>
    <t>Gain·beamwidth·connector·AP compatibility를 공식 가이드 표기대로 요약했습니다. 실제 적용에는 국가별 regulatory domain, AFC, cable loss, EIRP 및 설치 환경 검토가 필요합니다.</t>
  </si>
  <si>
    <t>Alias/설명</t>
  </si>
  <si>
    <t>패턴</t>
  </si>
  <si>
    <t>대역</t>
  </si>
  <si>
    <t>Gain (2.4/5/6GHz)</t>
  </si>
  <si>
    <t>수평 빔폭</t>
  </si>
  <si>
    <t>수직 빔폭</t>
  </si>
  <si>
    <t>Connector</t>
  </si>
  <si>
    <t>공식 AP 호환성</t>
  </si>
  <si>
    <t>권장 용도(일반)</t>
  </si>
  <si>
    <t>상태/주의</t>
  </si>
  <si>
    <t>ATS-01060</t>
  </si>
  <si>
    <t>Omni</t>
  </si>
  <si>
    <t>Tri-band</t>
  </si>
  <si>
    <t>4 / 6 / 6 dBi</t>
  </si>
  <si>
    <t>360°</t>
  </si>
  <si>
    <t>102° / 75° / 75°</t>
  </si>
  <si>
    <t>RP-SMA Plug</t>
  </si>
  <si>
    <t>C-460E, C-230E</t>
  </si>
  <si>
    <t>실내 전방향 일반 커버리지</t>
  </si>
  <si>
    <t>공식 Antenna Selection Guide 등재</t>
  </si>
  <si>
    <t>ATS-03286</t>
  </si>
  <si>
    <t>Directional</t>
  </si>
  <si>
    <t>4 / 7 / 7 dBi</t>
  </si>
  <si>
    <t>75° / 50° / 45°</t>
  </si>
  <si>
    <t>실내 섹터/복도 지향성</t>
  </si>
  <si>
    <t>ATS-03287</t>
  </si>
  <si>
    <t>6 / 6 / 6 dBi</t>
  </si>
  <si>
    <t>70° / 70° / 70°</t>
  </si>
  <si>
    <t>균일 빔 섹터 커버리지</t>
  </si>
  <si>
    <t>ATS-03288</t>
  </si>
  <si>
    <t>105° / 105° / 105°</t>
  </si>
  <si>
    <t>85° / 60° / 50°</t>
  </si>
  <si>
    <t>넓은 섹터/벽면 커버리지</t>
  </si>
  <si>
    <t>ATS-03289</t>
  </si>
  <si>
    <t>8 / 8 / 8 dBi</t>
  </si>
  <si>
    <t>115° / 110° / 110°</t>
  </si>
  <si>
    <t>50° / 25° / 25°</t>
  </si>
  <si>
    <t>넓은 수평·좁은 수직 빔</t>
  </si>
  <si>
    <t>ATS-03276</t>
  </si>
  <si>
    <t>8 / 10 / 10 dBi</t>
  </si>
  <si>
    <t>65° / 45° / 40°</t>
  </si>
  <si>
    <t>중고이득 섹터/복도</t>
  </si>
  <si>
    <t>ATS-03285</t>
  </si>
  <si>
    <t>9 / 11 / 11 dBi</t>
  </si>
  <si>
    <t>30° / 15° / 12°</t>
  </si>
  <si>
    <t>120° / 110° / 110°</t>
  </si>
  <si>
    <t>좁은 수평 빔/통로·랙 열</t>
  </si>
  <si>
    <t>ATS-03411</t>
  </si>
  <si>
    <t>13 / 15 / 15 dBi</t>
  </si>
  <si>
    <t>25° / 20° / 20°</t>
  </si>
  <si>
    <t>고이득 좁은 빔; 전문 RF 설계</t>
  </si>
  <si>
    <t>375087</t>
  </si>
  <si>
    <t>2.5 / 4 / - dBi</t>
  </si>
  <si>
    <t>55° / 60°</t>
  </si>
  <si>
    <t>RP-SMA Male</t>
  </si>
  <si>
    <t>250940</t>
  </si>
  <si>
    <t>6 / 6 / - dBi</t>
  </si>
  <si>
    <t>115° / 120°</t>
  </si>
  <si>
    <t>70° / 60°</t>
  </si>
  <si>
    <t>넓은 섹터</t>
  </si>
  <si>
    <t>268438</t>
  </si>
  <si>
    <t>65° / 55°</t>
  </si>
  <si>
    <t>65° / 60°</t>
  </si>
  <si>
    <t>중간 빔 섹터</t>
  </si>
  <si>
    <t>227737</t>
  </si>
  <si>
    <t>80° / 80°</t>
  </si>
  <si>
    <t>90° / 90°</t>
  </si>
  <si>
    <t>실내 섹터</t>
  </si>
  <si>
    <t>544625</t>
  </si>
  <si>
    <t>80° / 45°</t>
  </si>
  <si>
    <t>대역별 최적화 섹터</t>
  </si>
  <si>
    <t>237129</t>
  </si>
  <si>
    <t>8 / 8 / - dBi</t>
  </si>
  <si>
    <t>90° / 115°</t>
  </si>
  <si>
    <t>45° / 35°</t>
  </si>
  <si>
    <t>273329</t>
  </si>
  <si>
    <t>8.5 / 8.5 / - dBi</t>
  </si>
  <si>
    <t>70° / 56°</t>
  </si>
  <si>
    <t>중고이득 섹터</t>
  </si>
  <si>
    <t>ATS-OO-245-46-6RPSP-36</t>
  </si>
  <si>
    <t>4 / 6 / - dBi</t>
  </si>
  <si>
    <t>360° / 360°</t>
  </si>
  <si>
    <t>60° / 40°</t>
  </si>
  <si>
    <t>ATS-OP-245-8-6RPSP-36</t>
  </si>
  <si>
    <t>100° / 100°</t>
  </si>
  <si>
    <t>40° / 25°</t>
  </si>
  <si>
    <t>ATS-OP-245-13-6RPSP-36</t>
  </si>
  <si>
    <t>13 / 13 / - dBi</t>
  </si>
  <si>
    <t>15° / 15°</t>
  </si>
  <si>
    <t>120° / 120°</t>
  </si>
  <si>
    <t>매우 좁은 수평 빔/통로</t>
  </si>
  <si>
    <t>ATS-OP-245-7D-6RPSP-36</t>
  </si>
  <si>
    <t>7 / 7 / - dBi</t>
  </si>
  <si>
    <t>60° / 60°</t>
  </si>
  <si>
    <t>균일 섹터</t>
  </si>
  <si>
    <t>ATS-OP-245-7-6RPSP-36</t>
  </si>
  <si>
    <t>7 / 6 / - dBi</t>
  </si>
  <si>
    <t>110° / 110°</t>
  </si>
  <si>
    <t>좁은 수평·넓은 수직 빔</t>
  </si>
  <si>
    <t>ATS-OP-245-810-6RPSP-36-V2</t>
  </si>
  <si>
    <t>8 / 10 / - dBi</t>
  </si>
  <si>
    <t>55° / 45°</t>
  </si>
  <si>
    <t>65° / 45°</t>
  </si>
  <si>
    <t>ATS-03278</t>
  </si>
  <si>
    <t>N-Style Plug</t>
  </si>
  <si>
    <t>O-435E, O-235E</t>
  </si>
  <si>
    <t>옥외 전방향 일반 커버리지</t>
  </si>
  <si>
    <t>ATS-03280</t>
  </si>
  <si>
    <t>옥외 섹터/복도</t>
  </si>
  <si>
    <t>ATS-03281</t>
  </si>
  <si>
    <t>ATS-03282</t>
  </si>
  <si>
    <t>넓은 옥외 섹터</t>
  </si>
  <si>
    <t>ATS-03283</t>
  </si>
  <si>
    <t>넓은 수평·좁은 수직</t>
  </si>
  <si>
    <t>ATS-03262</t>
  </si>
  <si>
    <t>중고이득 옥외 섹터</t>
  </si>
  <si>
    <t>ATS-03279</t>
  </si>
  <si>
    <t>9 / 11 / 10 dBi</t>
  </si>
  <si>
    <t>좁은 수평 빔/거리 확장</t>
  </si>
  <si>
    <t>ATS-03412</t>
  </si>
  <si>
    <t>607904</t>
  </si>
  <si>
    <t>80° / 120°</t>
  </si>
  <si>
    <t>80° / 50°</t>
  </si>
  <si>
    <t>N Male</t>
  </si>
  <si>
    <t>옥외 넓은 섹터</t>
  </si>
  <si>
    <t>298003</t>
  </si>
  <si>
    <t>35° / 30°</t>
  </si>
  <si>
    <t>고이득 지향성/거리 확장</t>
  </si>
  <si>
    <t>523996</t>
  </si>
  <si>
    <t>N-Style</t>
  </si>
  <si>
    <t>옥외 섹터</t>
  </si>
  <si>
    <t>ATS-01050</t>
  </si>
  <si>
    <t>ATS-OO-245-46-6NP-36</t>
  </si>
  <si>
    <t>ATS-01022</t>
  </si>
  <si>
    <t>ATS-OHDP-245-1312-6NJ-IC</t>
  </si>
  <si>
    <t>13 / 12 / - dBi</t>
  </si>
  <si>
    <t>30° / 30°</t>
  </si>
  <si>
    <t>고이득 좁은 빔</t>
  </si>
  <si>
    <t>ATS-01091</t>
  </si>
  <si>
    <t>ATS-OP-245-13-6NP-36</t>
  </si>
  <si>
    <t>매우 좁은 수평 빔</t>
  </si>
  <si>
    <t>ATS-02754</t>
  </si>
  <si>
    <t>ATS-OHDP-245-42-6NP-36</t>
  </si>
  <si>
    <t>4 / 2 / - dBi</t>
  </si>
  <si>
    <t>80° / 90°</t>
  </si>
  <si>
    <t>저이득 넓은 섹터</t>
  </si>
  <si>
    <t>ATS-01112</t>
  </si>
  <si>
    <t>ATS-OP-245-7-6NP-36</t>
  </si>
  <si>
    <t>100° / 110°</t>
  </si>
  <si>
    <t>ATS-03022</t>
  </si>
  <si>
    <t>ATS-OP-245-810-6NP-36-V2</t>
  </si>
  <si>
    <t>ATS-01126</t>
  </si>
  <si>
    <t>ATS-OP-245-8-6NP-36</t>
  </si>
  <si>
    <t>Arista 공식 데이터시트 및 참조 문서 목록</t>
  </si>
  <si>
    <t>본 통합본 작성에 사용한 공식 PDF·제품 페이지 | 검토 기준일 2026-09-08</t>
  </si>
  <si>
    <t>각 URL은 Arista 공식 도메인 원문입니다. 문서 개정일과 파일명은 공급사 업데이트에 따라 변경될 수 있습니다.</t>
  </si>
  <si>
    <t>구분</t>
  </si>
  <si>
    <t>문서명</t>
  </si>
  <si>
    <t>문서 유형</t>
  </si>
  <si>
    <t>공식 URL</t>
  </si>
  <si>
    <t>적용 범위/모델</t>
  </si>
  <si>
    <t>검토일</t>
  </si>
  <si>
    <t>Arista 7800R4 Datasheet</t>
  </si>
  <si>
    <t>Datasheet</t>
  </si>
  <si>
    <t>7816LR4, 7812R4, 7808R4, 7804R4</t>
  </si>
  <si>
    <t>2026-09-08</t>
  </si>
  <si>
    <t>공식 Arista PDF</t>
  </si>
  <si>
    <t>Arista 7800R3 Datasheet</t>
  </si>
  <si>
    <t>7816LR3, 7816R3, 7812R3, 7808R3, 7804R3</t>
  </si>
  <si>
    <t>Arista 7700R4 Datasheet</t>
  </si>
  <si>
    <t>7720R4-128PE, 7700R4C-36PE</t>
  </si>
  <si>
    <t>Arista 7500R3 Datasheet</t>
  </si>
  <si>
    <t>7512R3, 7508R3, 7504R3</t>
  </si>
  <si>
    <t>Arista 7500R Datasheet</t>
  </si>
  <si>
    <t>7516R, 7512R, 7508R, 7504R</t>
  </si>
  <si>
    <t>Arista 7300X3 Datasheet</t>
  </si>
  <si>
    <t>7308X3, 7304X3</t>
  </si>
  <si>
    <t>Arista 7388X5 Datasheet</t>
  </si>
  <si>
    <t>Arista 7368X4 Datasheet</t>
  </si>
  <si>
    <t>Arista 7358X4 Datasheet</t>
  </si>
  <si>
    <t>Arista 7280R4 Datasheet</t>
  </si>
  <si>
    <t>7280R4-64QC-10PE, 7280R4-32PE / 7280R4-32DE</t>
  </si>
  <si>
    <t>7280R3A</t>
  </si>
  <si>
    <t>Arista 7280R3A Datasheet</t>
  </si>
  <si>
    <t>7280DR3A-54, 7280DR3A-36, 7280CR3A-24D12, 7280CR3A-48D6, 7280CR3A-32S, 7280CR3A-72, 7280SR3A-48YC8</t>
  </si>
  <si>
    <t>Arista 7280R3A Modular Datasheet</t>
  </si>
  <si>
    <t>Arista 7280R3 Datasheet</t>
  </si>
  <si>
    <t>7280PR3-24 / 7280DR3-24, 7280CR3-32P4 / 32D4, 7280CR3-36S, 7280CR3-96, 7280SR3-48YC8, 7280SR3-40YC6</t>
  </si>
  <si>
    <t>7280R3 MACsec</t>
  </si>
  <si>
    <t>Arista 7280R3 MACsec Datasheet</t>
  </si>
  <si>
    <t>7135V</t>
  </si>
  <si>
    <t>Arista 7135V Datasheet</t>
  </si>
  <si>
    <t>7130LBR</t>
  </si>
  <si>
    <t>Arista 7130LBR Datasheet</t>
  </si>
  <si>
    <t>7132LB</t>
  </si>
  <si>
    <t>Arista 7132LB Datasheet</t>
  </si>
  <si>
    <t>7135LB</t>
  </si>
  <si>
    <t>Arista 7135LB Datasheet</t>
  </si>
  <si>
    <t>7130E</t>
  </si>
  <si>
    <t>Arista 7130E Datasheet</t>
  </si>
  <si>
    <t>7130LS</t>
  </si>
  <si>
    <t>Arista 7130LS Datasheet</t>
  </si>
  <si>
    <t>7130-96LBS, 7130-48LBS</t>
  </si>
  <si>
    <t>7130 Connect S</t>
  </si>
  <si>
    <t>Arista 7130 Connect S Datasheet</t>
  </si>
  <si>
    <t>Arista 7060XE7 Datasheet</t>
  </si>
  <si>
    <t>7060XE7-128PE, 7060XE7-64PRS-RV3-L, 7060XE7-64PRS, 7060XE7-64PS</t>
  </si>
  <si>
    <t>7060XE7 Quick Look</t>
  </si>
  <si>
    <t>Arista 7060XE7 Quick Look Quick Look</t>
  </si>
  <si>
    <t>Quick Look</t>
  </si>
  <si>
    <t>https://www.arista.com/assets/data/pdf/Datasheets/7060XE7-Series-Quick-Look.pdf</t>
  </si>
  <si>
    <t>제품군 공통/보조 문서</t>
  </si>
  <si>
    <t>공식 보조 문서</t>
  </si>
  <si>
    <t>상세 데이터시트와 함께 참조</t>
  </si>
  <si>
    <t>Arista 7060X6 Datasheet</t>
  </si>
  <si>
    <t>7060X6-64PE, 7060X6-32PE</t>
  </si>
  <si>
    <t>Arista 7060X5 Datasheet</t>
  </si>
  <si>
    <t>7060PX5-64E, 7060DX5-64E, 7060DX5-64S, 7060DX5-32</t>
  </si>
  <si>
    <t>Arista 7060X4 Datasheet</t>
  </si>
  <si>
    <t>7060PX4-32, 7060DX4-32</t>
  </si>
  <si>
    <t>7060X/7260X</t>
  </si>
  <si>
    <t>Arista 7060X/7260X Datasheet</t>
  </si>
  <si>
    <t>7260QX-64, 7260CX-64, 7060SX2-48YC6, 7060CX2-32S, 7060CX-32S</t>
  </si>
  <si>
    <t>Arista 7260X3 Datasheet</t>
  </si>
  <si>
    <t>Arista 7050X4 Datasheet</t>
  </si>
  <si>
    <t>7050PX4-32S, 7050DX4-32S, 7050DX4M-32S, 7050SDX4-48D8, 7050SPX4-48D8, 7050CX4M-48D8, 7050CX4-24D8, 7050X4-48Y-4DF</t>
  </si>
  <si>
    <t>Arista 7050X3 Datasheet</t>
  </si>
  <si>
    <t>7050TX3-48C8, 7050SX3-48C8, 7050SX3-48YC8, 7050SX3-48YC12, 7050SX3-96YC8, 7050CX3-32S</t>
  </si>
  <si>
    <t>7050X3 MACsec</t>
  </si>
  <si>
    <t>Arista 7050X3 MACsec Datasheet</t>
  </si>
  <si>
    <t>7050QX</t>
  </si>
  <si>
    <t>Arista 7050QX Datasheet</t>
  </si>
  <si>
    <t>Arista 7020R4 Datasheet</t>
  </si>
  <si>
    <t>7020R4-48TX-4QC, 7020R4-48Y-4QC, 7020R4-48Y-8QC</t>
  </si>
  <si>
    <t>7020R legacy</t>
  </si>
  <si>
    <t>Arista 7020R legacy Datasheet</t>
  </si>
  <si>
    <t>7020SR-24C2, 7020SR-32C2, 7020TR-48, 7020TRA-48</t>
  </si>
  <si>
    <t>레거시 공식 문서</t>
  </si>
  <si>
    <t>Arista 7010X Datasheet</t>
  </si>
  <si>
    <t>7010TX-48, 7010TX-48C</t>
  </si>
  <si>
    <t>Arista 750X Datasheet</t>
  </si>
  <si>
    <t>CCS-758-CH, CCS-755-CH, CCS-750X-48TP-LC, CCS-750X-48THP-LC, CCS-750X-48ZP-LC, CCS-750X-48ZXP-LC, CCS-750XPM-48TXH-LC, CCS-750XPM-48NH-LC, CCS-750XM-48TX-LC, CCS-750X-48SX-LC, CCS-750X-48T-LC</t>
  </si>
  <si>
    <t>Arista 710HXP Datasheet</t>
  </si>
  <si>
    <t>CCS-710HXP-28TXH-4S, CCS-710HXP-20TNH-4S</t>
  </si>
  <si>
    <t>Arista 710XP Datasheet</t>
  </si>
  <si>
    <t>CCS-710XP-12TH-2S, CCS-710XP-28TNH-2S</t>
  </si>
  <si>
    <t>Arista 720XPM/XDM Datasheet</t>
  </si>
  <si>
    <t>CCS-720XPM-48TH-6SY, CCS-720XDM-48T-6SY, CCS-720XDM-32S-6SY</t>
  </si>
  <si>
    <t>Arista 720XP Datasheet</t>
  </si>
  <si>
    <t>CCS-720XP-96ZC2, CCS-720XP-48ZC2, CCS-720XP-24ZY4, CCS-720XP-48Y6, CCS-720XP-24Y6, CCS-720XP-48TXH-2C-S</t>
  </si>
  <si>
    <t>Arista 722XPM Datasheet</t>
  </si>
  <si>
    <t>CCS-722XPM-48ZY8, CCS-722XPM-48Y4</t>
  </si>
  <si>
    <t>Arista 720D Datasheet</t>
  </si>
  <si>
    <t>CCS-720DP-24S, CCS-720DP-48S, CCS-720DT-24S, CCS-720DT-48S, CCS-720DP-24ZS, CCS-720DP-48ZS, CCS-720DF-48Y</t>
  </si>
  <si>
    <t>Arista 710P Datasheet</t>
  </si>
  <si>
    <t>CCS-710P-12, CCS-710P-16P</t>
  </si>
  <si>
    <t>무선 AP</t>
  </si>
  <si>
    <t>Arista C-460 Datasheet</t>
  </si>
  <si>
    <t>Arista C-460D Datasheet</t>
  </si>
  <si>
    <t>Arista C-460E Datasheet</t>
  </si>
  <si>
    <t>Arista C-430 Datasheet</t>
  </si>
  <si>
    <t>Arista C-400 Datasheet</t>
  </si>
  <si>
    <t>Arista O-435 Datasheet</t>
  </si>
  <si>
    <t>Arista O-435E Datasheet</t>
  </si>
  <si>
    <t>Arista O-405 Datasheet</t>
  </si>
  <si>
    <t>Arista O-405E Datasheet</t>
  </si>
  <si>
    <t>4x N-Type 확인; 2026-01 안테나 가이드 호환표 미표기</t>
  </si>
  <si>
    <t>Arista C-360 Datasheet</t>
  </si>
  <si>
    <t>Arista C-330 Datasheet</t>
  </si>
  <si>
    <t>Arista W-318 Datasheet</t>
  </si>
  <si>
    <t>Arista C-260 Datasheet</t>
  </si>
  <si>
    <t>Arista C-250 Datasheet</t>
  </si>
  <si>
    <t>Key Specifications와 본문 MIMO 표기 상충 주의</t>
  </si>
  <si>
    <t>Arista C-230 Datasheet</t>
  </si>
  <si>
    <t>Arista C-230E Datasheet</t>
  </si>
  <si>
    <t>Arista O-235 Datasheet</t>
  </si>
  <si>
    <t>Arista O-235E Datasheet</t>
  </si>
  <si>
    <t>Arista C-200 Datasheet</t>
  </si>
  <si>
    <t>포트폴리오</t>
  </si>
  <si>
    <t>Switch Platforms</t>
  </si>
  <si>
    <t>Arista Switching Platforms</t>
  </si>
  <si>
    <t>제품 페이지</t>
  </si>
  <si>
    <t>DCS 및 CCS 포트폴리오 탐색/비교</t>
  </si>
  <si>
    <t>공식 웹 페이지</t>
  </si>
  <si>
    <t>현재 플랫폼 내비게이션과 비교표 확인</t>
  </si>
  <si>
    <t>무선 포트폴리오</t>
  </si>
  <si>
    <t>Arista Wi-Fi 7 Series</t>
  </si>
  <si>
    <t>C-400/430/460/460D/460E, O-405/405E/435/435E</t>
  </si>
  <si>
    <t>Arista Wi-Fi 6E Series</t>
  </si>
  <si>
    <t>C-330, C-360, W-318</t>
  </si>
  <si>
    <t>Arista Wi-Fi 6 Series</t>
  </si>
  <si>
    <t>C-200/230/230E/250/260, O-235/235E</t>
  </si>
  <si>
    <t>무선 관리</t>
  </si>
  <si>
    <t>CloudVision CUE</t>
  </si>
  <si>
    <t>CloudVision Cognitive Unified Edge</t>
  </si>
  <si>
    <t>https://www.arista.com/en/products/cloudvision-cue</t>
  </si>
  <si>
    <t>Arista AP 및 cognitive campus 관리</t>
  </si>
  <si>
    <t>관리/운영 플랫폼 참고</t>
  </si>
  <si>
    <t>무선 비교</t>
  </si>
  <si>
    <t>AP 전체</t>
  </si>
  <si>
    <t>Arista AP Comparison Matrix</t>
  </si>
  <si>
    <t>Comparison Matrix</t>
  </si>
  <si>
    <t>19개 AP 모델 비교</t>
  </si>
  <si>
    <t>공식 PDF (2026-06-02 기준 확인)</t>
  </si>
  <si>
    <t>세대·radio·Ethernet·power 비교의 우선 근거</t>
  </si>
  <si>
    <t>무선 액세서리</t>
  </si>
  <si>
    <t>AP Mounting</t>
  </si>
  <si>
    <t>AP Mounting Brackets Datasheet</t>
  </si>
  <si>
    <t>Accessory Guide</t>
  </si>
  <si>
    <t>C-series 및 O-series 설치 브래킷</t>
  </si>
  <si>
    <t>공식 PDF</t>
  </si>
  <si>
    <t>8개 mounting option 정리</t>
  </si>
  <si>
    <t>External Antennas</t>
  </si>
  <si>
    <t>C-460E/C-230E/O-435E/O-235E</t>
  </si>
  <si>
    <t>공식 PDF (2026-01 기준 확인)</t>
  </si>
  <si>
    <t>39개 안테나 및 AP 호환성 정리; O-405E 미표기</t>
  </si>
  <si>
    <t>분류·범위·상태 해석 기준</t>
  </si>
  <si>
    <t>본 Excel의 CCS/DCS 및 AI·DC·Campus 분류 방법 | 기준일 2026-09-08</t>
  </si>
  <si>
    <t>이 시트의 용도 평가는 제품 선택을 돕는 실무 분류이며 Arista의 공식 호환성, 지원 정책, 라이선스 또는 구매 가능성을 대체하지 않습니다.</t>
  </si>
  <si>
    <t>항목</t>
  </si>
  <si>
    <t>정의/내용</t>
  </si>
  <si>
    <t>적용 방식</t>
  </si>
  <si>
    <t>공식 근거/URL</t>
  </si>
  <si>
    <t>기준일</t>
  </si>
  <si>
    <t>해당 날짜까지 공개된 공식 Arista 문서 기준</t>
  </si>
  <si>
    <t>유선 포함 범위</t>
  </si>
  <si>
    <t>공식 Switch Platforms 페이지 및 연결된 datasheet에 나타나는 DCS/CCS switch family와 base model/기능 SKU</t>
  </si>
  <si>
    <t>전원·airflow·memory·license·bundle suffix는 변형 SKU로 묶음</t>
  </si>
  <si>
    <t>무선 포함 범위</t>
  </si>
  <si>
    <t>AP Comparison Matrix의 19개 AP, mounting guide의 8개 option, antenna guide의 39개 모델</t>
  </si>
  <si>
    <t>개별 AP 데이터시트와 비교표를 교차검증</t>
  </si>
  <si>
    <t>유선 분류</t>
  </si>
  <si>
    <t>Data Center Switch 계열/SKU</t>
  </si>
  <si>
    <t>AI, cloud DC, hyperscale, service-provider, ultra-low latency, edge/OOB 포함</t>
  </si>
  <si>
    <t>Cognitive Campus Switch 계열/SKU</t>
  </si>
  <si>
    <t>campus core/distribution/access, branch, industrial edge, PoE/mGig 포함</t>
  </si>
  <si>
    <t>용도 등급</t>
  </si>
  <si>
    <t>해당 use case를 공식 positioning의 핵심 대상으로 명시하거나 사양상 대표적 선택</t>
  </si>
  <si>
    <t>요약 필터/카운트 포함</t>
  </si>
  <si>
    <t>해당 use case에 직접 적용 가능하고 공식 positioning 또는 사양이 강하게 부합</t>
  </si>
  <si>
    <t>특정 edge/OOB/소규모/이전 세대 시나리오에서 보조적으로 활용 가능</t>
  </si>
  <si>
    <t>전자거래, Layer 1, FPGA 등 특수 워크로드에 최적화</t>
  </si>
  <si>
    <t>일반 DC와 구분하여 표시</t>
  </si>
  <si>
    <t>주요 적용 대상으로 분류하지 않음</t>
  </si>
  <si>
    <t>불가능하다는 의미는 아니며 기능 지원표를 별도 확인</t>
  </si>
  <si>
    <t>공식 현재 제품 탐색 또는 최신 데이터시트에서 확인</t>
  </si>
  <si>
    <t>판매 가능/지원 상태를 보장하지 않음</t>
  </si>
  <si>
    <t>레거시/EoS 주의</t>
  </si>
  <si>
    <t>공식 PDF는 유지되나 이전 세대 또는 문서 내 EoS 주석이 확인됨</t>
  </si>
  <si>
    <t>견적 전 공식 lifecycle/EOS 공지 확인</t>
  </si>
  <si>
    <t>외장 안테나 호환성</t>
  </si>
  <si>
    <t>Antenna Selection Guide의 AP compatibility 열에 명시된 모델만 기재</t>
  </si>
  <si>
    <t>connector가 같아도 미등재 조합은 호환으로 단정하지 않음</t>
  </si>
  <si>
    <t>무선 경고</t>
  </si>
  <si>
    <t>개별 datasheet는 4x N-Type을 명시하나 2026-01 antenna guide 호환표에 O-405E가 없음</t>
  </si>
  <si>
    <t>BOM·국가 인증·EIRP·AFC 검증 필수</t>
  </si>
  <si>
    <t>문서 경고</t>
  </si>
  <si>
    <t>개별 PDF의 Key Specifications와 본문 사이 일부 MIMO 표기 상충</t>
  </si>
  <si>
    <t>최신 comparison matrix/ordering guide와 발주 BOM 재확인</t>
  </si>
  <si>
    <t>제외</t>
  </si>
  <si>
    <t>AWE 7200R / 5000 Series / VeloCloud</t>
  </si>
  <si>
    <t>공식 포트폴리오상 WAN router/SD-WAN appliance 범주</t>
  </si>
  <si>
    <t>Switch 모델 수에서 제외</t>
  </si>
  <si>
    <t>VeloCloud SD-WAN 제품·대응 모델·액세서리 공식자료 검토</t>
  </si>
  <si>
    <t>Arista · Cisco · HPE Aruba 공식 기술자료/홈페이지 확인일 2026-10-01</t>
  </si>
  <si>
    <t>대응 모델은 문서 사양을 토대로 선정한 비교 후보(추론)입니다. VeloCloud IMIX·Cisco 512B SD-WAN·HPE 권장 WAN은 시험 조건이 달라 동급 보장을 뜻하지 않습니다.</t>
  </si>
  <si>
    <t>성능은 Arista 통합 PDF의 R6.4 표를 우선 사용. 공식 문서간 상충은 N열·하단 검토사항에 표시. EOS는 판매종료이며 지원종료(EOL)와 구분합니다.</t>
  </si>
  <si>
    <t>공식 자료상 상태</t>
  </si>
  <si>
    <t>VeloCloud 모델/그룹</t>
  </si>
  <si>
    <t>권장 배치</t>
  </si>
  <si>
    <t>공시 처리량/조건</t>
  </si>
  <si>
    <t>내장 무선·셀룰러</t>
  </si>
  <si>
    <t>Cisco 대응 후보 (추론)</t>
  </si>
  <si>
    <t>HPE Aruba 대응 후보 (추론)</t>
  </si>
  <si>
    <t>Arista 공개 주문 SKU</t>
  </si>
  <si>
    <t>VeloCloud 포함/별도 키트</t>
  </si>
  <si>
    <t>VeloCloud 액세서리 PN</t>
  </si>
  <si>
    <t>근거 문서/구간</t>
  </si>
  <si>
    <t>VeloCloud 포트 요약</t>
  </si>
  <si>
    <t>대응 기준·주의사항</t>
  </si>
  <si>
    <t>IMIX (Mb/s)</t>
  </si>
  <si>
    <t>1300B (Mb/s)</t>
  </si>
  <si>
    <t>Arista URL</t>
  </si>
  <si>
    <t>Cisco URL</t>
  </si>
  <si>
    <t>HPE URL</t>
  </si>
  <si>
    <t>SKU 게재
판매범위 상충</t>
  </si>
  <si>
    <t>510 / 510N</t>
  </si>
  <si>
    <t>소형 지점</t>
  </si>
  <si>
    <t>IMIX 300 Mb/s
1300B 850 Mb/s
R6.4 기준(가상 제외)</t>
  </si>
  <si>
    <t>510: Wi-Fi 5
510N: Wi-Fi 없음</t>
  </si>
  <si>
    <t>C8131-G2
SD-WAN 900 Mb/s (512B)</t>
  </si>
  <si>
    <t>EC-10104 (R9D72A)
권장 WAN ≤500 Mb/s</t>
  </si>
  <si>
    <t>VC-510
VC-510-NWF</t>
  </si>
  <si>
    <t>벽 브래킷·전원 제공
2RU 랙 선반: 별도</t>
  </si>
  <si>
    <t>VC-AC-RMB</t>
  </si>
  <si>
    <t>A01 pp.5–8,12; C01 T12; H01/H02</t>
  </si>
  <si>
    <t>4×1G RJ45</t>
  </si>
  <si>
    <t>소형 지점 비교(추론)
A01에는 판매군·SKU 게재. A02 판매군은 7x0 이상만 명시. 신규 발주 확인.</t>
  </si>
  <si>
    <t>https://www.arista.com/assets/data/pdf/VeloCloud-SD-WAN-Data-Sheet.pdf</t>
  </si>
  <si>
    <t>https://www.cisco.com/site/us/en/products/collateral/networking/sdwan-routers/8000-secure-routers/8100-series-secure-routers-ds.html</t>
  </si>
  <si>
    <t>https://arubanetworking.hpe.com/techdocs/VSG/docs/070-sd-branch-design/esp-sd-branch-design-140-reference-architecture-ece/</t>
  </si>
  <si>
    <t>510-LTE</t>
  </si>
  <si>
    <t>소형 지점·LTE 백업</t>
  </si>
  <si>
    <t>Wi-Fi 5 + LTE Cat-6
지역별 모뎀 구분</t>
  </si>
  <si>
    <t>C8151-G2 + 셀룰러 PIM
SD-WAN 900 Mb/s (512B)</t>
  </si>
  <si>
    <t>EC-10104 (R9D72A)
권장 WAN ≤500 Mb/s
셀룰러: 외부 CPE</t>
  </si>
  <si>
    <t>VC-510LTE-AP
VC-510LTE-NAEU</t>
  </si>
  <si>
    <t>A01 pp.5–9,12; C01/C06; H01</t>
  </si>
  <si>
    <t>지점·셀룰러 비교(추론)
Cisco는 PIM 옵션, HPE는 외부 셀룰러 CPE 필요. 내장 Wi-Fi 동급 대응 아님.</t>
  </si>
  <si>
    <t>EOS 표기</t>
  </si>
  <si>
    <t>520 / 520V</t>
  </si>
  <si>
    <t>기존 소형 지점 유지</t>
  </si>
  <si>
    <t>Wi-Fi 5
3×3 MIMO</t>
  </si>
  <si>
    <t>레거시
공개 주문 SKU 미확인</t>
  </si>
  <si>
    <t>2RU 랙 선반: 별도
벽 브래킷 포함 표기 없음</t>
  </si>
  <si>
    <t>A01 p.5 EOS 각주, pp.6,8; C01; H01</t>
  </si>
  <si>
    <t>10×1G RJ45 + 2×1G SFP</t>
  </si>
  <si>
    <t>기존 장비 전환 비교(추론)
EOS는 판매 종료. 지원 종료일(EOL)은 이 표에서 단정하지 않음.</t>
  </si>
  <si>
    <t>540</t>
  </si>
  <si>
    <t>기존 중소형 지점 유지</t>
  </si>
  <si>
    <t>IMIX 650 Mb/s
1300B 1,500 Mb/s
R6.4 기준(가상 제외)</t>
  </si>
  <si>
    <t>EC-10106 (S0E22A)
권장 WAN ≤1 Gb/s</t>
  </si>
  <si>
    <t>기존 장비 전환 비교(추론)
520/520V와 성능이 달라 별도 행으로 분리.</t>
  </si>
  <si>
    <t>610·610N: EOS
610C: 미표시</t>
  </si>
  <si>
    <t>610 / 610C / 610N</t>
  </si>
  <si>
    <t>610/C: Wi-Fi 5
610N: Wi-Fi 없음</t>
  </si>
  <si>
    <t>VC-610 / VC-610-NWF
VC-610-CH</t>
  </si>
  <si>
    <t>A01 pp.5–8,12; C01; H01</t>
  </si>
  <si>
    <t>6×1G RJ45 + 2×1G SFP</t>
  </si>
  <si>
    <t>소형 지점 비교(추론)
C suffix는 중국 인증형. EOS 별표가 없는 변형도 한국 판매 가능 보장 아님.</t>
  </si>
  <si>
    <t>기술문서 게재
판매 여부 확인</t>
  </si>
  <si>
    <t>610-LTE</t>
  </si>
  <si>
    <t>Wi-Fi 5 + LTE Cat-12
Dual SIM single standby</t>
  </si>
  <si>
    <t>공개 ordering 표에
개별 SKU 미확인</t>
  </si>
  <si>
    <t>A01 pp.5–9; C01/C06; H01</t>
  </si>
  <si>
    <t>지점·셀룰러 비교(추론)
내장 LTE와 셀룰러 PIM/외부 CPE 구성은 비용·회선 인증을 별도로 비교.</t>
  </si>
  <si>
    <t>620·620N: EOS
620C: 미표시</t>
  </si>
  <si>
    <t>620 / 620C / 620N</t>
  </si>
  <si>
    <t>기존 중소형 지점</t>
  </si>
  <si>
    <t>IMIX 950 Mb/s
1300B 1,550 Mb/s
R6.4 기준(가상 제외)</t>
  </si>
  <si>
    <t>620/C: Wi-Fi 5
620N: Wi-Fi 없음</t>
  </si>
  <si>
    <t>C8211-G2
SD-WAN 2 Gb/s (512B)</t>
  </si>
  <si>
    <t>VC-620 / VC-620-NWF
VC-620-CH</t>
  </si>
  <si>
    <t>A01 pp.5–8,12; C02 T8; H01</t>
  </si>
  <si>
    <t>6×1G RJ45 + 2×1/10G SFP+</t>
  </si>
  <si>
    <t>1G급 지점 비교(추론)
C8211은 1G 포트 기반. VeloCloud의 SFP+ 10G 물리 포트가 필요하면 C8231/35 검토.</t>
  </si>
  <si>
    <t>https://www.cisco.com/site/us/en/products/collateral/networking/sdwan-routers/8000-secure-routers/8200-series-secure-routers-ds.html</t>
  </si>
  <si>
    <t>640·640N: EOS
640C: 미표시</t>
  </si>
  <si>
    <t>640 / 640C / 640N</t>
  </si>
  <si>
    <t>기존 중형 지점</t>
  </si>
  <si>
    <t>IMIX 2,200 Mb/s
1300B 5,500 Mb/s
R6.4 기준(가상 제외)</t>
  </si>
  <si>
    <t>640/C: Wi-Fi 5
640N: Wi-Fi 없음</t>
  </si>
  <si>
    <t>C8231-G2 / C8235-G2
SD-WAN 4 Gb/s (512B)</t>
  </si>
  <si>
    <t>EC-10108 (S0E23A)
권장 WAN ≤2 Gb/s</t>
  </si>
  <si>
    <t>VC-640 / VC-640-NWF
VC-640-CH</t>
  </si>
  <si>
    <t>중형 지점 비교(추론)
Cisco 512B 4G, HPE 권장 WAN 2G는 VeloCloud IMIX 2.2G와 같은 시험값 아님.</t>
  </si>
  <si>
    <t>680·680N: EOS
680C: 미표시</t>
  </si>
  <si>
    <t>680 / 680C / 680N</t>
  </si>
  <si>
    <t>기존 대형 지점</t>
  </si>
  <si>
    <t>IMIX 3,200 Mb/s
1300B 8,500 Mb/s
R6.4 기준(가상 제외)</t>
  </si>
  <si>
    <t>680/C: Wi-Fi 5
680N: Wi-Fi 없음</t>
  </si>
  <si>
    <t>EC-S-P (JM538A)
권장 WAN ≤3 Gb/s [H01]</t>
  </si>
  <si>
    <t>VC-680 / VC-680-NWF
VC-680-CH</t>
  </si>
  <si>
    <t>A01 pp.5–8,12; C02 T8; H01/H02</t>
  </si>
  <si>
    <t>대형 지점 비교(추론)
EC-S-P 권장 WAN은 H01 3G, H02 2G로 상충. 발주 전 sizing 확인.</t>
  </si>
  <si>
    <t>현행 제품 페이지</t>
  </si>
  <si>
    <t>710-W</t>
  </si>
  <si>
    <t>소형 지점·Wi-Fi 통합</t>
  </si>
  <si>
    <t>IMIX 350–395 Mb/s(복수 공시)
1300B 1,000 Mb/s
R6.4 기준(가상 제외)</t>
  </si>
  <si>
    <t>Wi-Fi 6
내장 5G 없음</t>
  </si>
  <si>
    <t>SDE-EDG-710W</t>
  </si>
  <si>
    <t>A01 p.5,12; A02 pp.5–7; A04; C01; H01</t>
  </si>
  <si>
    <t>4×1G RJ45 + 1×1G SFP</t>
  </si>
  <si>
    <t>소형 지점 비교(추론)
IMIX 395/350 Mb/s가 함께 공시됨. Wi-Fi 통합은 별도 기능 비교.</t>
  </si>
  <si>
    <t>710-5G</t>
  </si>
  <si>
    <t>소형 지점·5G 백업</t>
  </si>
  <si>
    <t>Wi-Fi 6 + 내장 5G
LTE Cat-19 fallback</t>
  </si>
  <si>
    <t>SDE-EDG-710-5G</t>
  </si>
  <si>
    <t>A01 pp.5,9,12; A02/A04; C01/C06; H01</t>
  </si>
  <si>
    <t>지점·5G 비교(추론)
Cisco PIM과 VeloCloud 내장 5G는 별도 BOM. 국내 통신사·대역 인증 확인.</t>
  </si>
  <si>
    <t>720</t>
  </si>
  <si>
    <t>중형 지점</t>
  </si>
  <si>
    <t>IMIX 2,300 Mb/s
1300B 5,200 Mb/s
R6.4 기준(가상 제외)</t>
  </si>
  <si>
    <t>내장 Wi-Fi 없음
내장 셀룰러 없음</t>
  </si>
  <si>
    <t>SDE-EDG-720</t>
  </si>
  <si>
    <t>A01 p.5 R6.4; A02/A04; C02 T8; H01</t>
  </si>
  <si>
    <t>6×2.5G RJ45 + 2×1/10G SFP+</t>
  </si>
  <si>
    <t>중형·10G 포트 비교(추론)
A01/A02: IMIX 2.3G,1300B 5.2G. A07은 1.5G/3G로 상충.</t>
  </si>
  <si>
    <t>740</t>
  </si>
  <si>
    <t>대형 지점·지역 거점</t>
  </si>
  <si>
    <t>IMIX 4,200 Mb/s
1300B 10,000 Mb/s
R6.4 기준(가상 제외)</t>
  </si>
  <si>
    <t>C8355-G2
SD-WAN 8.7 Gb/s (512B)</t>
  </si>
  <si>
    <t>EC-M-H (JZ872A)
권장 WAN ≤5 Gb/s</t>
  </si>
  <si>
    <t>SDE-EDG-740</t>
  </si>
  <si>
    <t>A01 p.5 R6.4; A02/A04; C03 T6; H01</t>
  </si>
  <si>
    <t>대형 지점 비교(추론)
A01 R6.4는 4.2G/10G, A02 R6.1은 3.5G/7.2G. 버전별 재검증.</t>
  </si>
  <si>
    <t>https://www.cisco.com/site/us/en/products/collateral/networking/sdwan-routers/8000-secure-routers/8300-series-secure-routers-ds.html</t>
  </si>
  <si>
    <t>하드웨어 Model명
독립 제품으로 미계상</t>
  </si>
  <si>
    <t>724S (참조명)</t>
  </si>
  <si>
    <t>720/740 명칭 확인</t>
  </si>
  <si>
    <t>720/740 항목 참조
독립 성능군 아님</t>
  </si>
  <si>
    <t>720/740 항목 참조</t>
  </si>
  <si>
    <t>별도 대응 없음
720/740 항목 참조</t>
  </si>
  <si>
    <t>A01 Model 열: 724S
Orderable: SDE-EDG-720/740</t>
  </si>
  <si>
    <t>720/740 구성 참조</t>
  </si>
  <si>
    <t>A01 p.12; A06 RMN 표</t>
  </si>
  <si>
    <t>별도 사양 행 없음</t>
  </si>
  <si>
    <t>독립 비교군 설정 안 함
공식 주문표의 Model명/RMN 문맥. 별도 보안 서비스 Edge라는 종전 설명 삭제.</t>
  </si>
  <si>
    <t>https://www.arista.com/ko/qsg-vc-edge/sd-wan-regulatory-model-numbers-rmn?print=1&amp;tmpl=component</t>
  </si>
  <si>
    <t>840</t>
  </si>
  <si>
    <t>기존 대형 지점·거점</t>
  </si>
  <si>
    <t>IMIX 2,200 Mb/s
1300B 6,500 Mb/s
R6.4 기준(가상 제외)</t>
  </si>
  <si>
    <t>랙 브래킷 기본 제공
내장 PSU 1개</t>
  </si>
  <si>
    <t>별도 주문 PN 미기재</t>
  </si>
  <si>
    <t>A01 pp.5–8 EOS; C02; H01</t>
  </si>
  <si>
    <t>기존 거점 전환 비교(추론)
종전의 EdgeConnect 840/10000 대응은 공식 모델명이 아니므로 교체.</t>
  </si>
  <si>
    <t>2000</t>
  </si>
  <si>
    <t>기존 데이터센터·허브</t>
  </si>
  <si>
    <t>IMIX 6,200 Mb/s
1300B 15,500 Mb/s
R6.4 기준(가상 제외)</t>
  </si>
  <si>
    <t>C8375-E-G2
SD-WAN 12 Gb/s (512B)</t>
  </si>
  <si>
    <t>EC-10150 (S2N65A)
권장 WAN ≤12 Gb/s</t>
  </si>
  <si>
    <t>4-post rail kit 제공
이중 PSU + 전원선 2개</t>
  </si>
  <si>
    <t>A01 pp.5–8 EOS; C03; H01/H02</t>
  </si>
  <si>
    <t>허브·집선 비교(추론)
Cisco 3,500 tunnel vs VeloCloud 6,000. HPE 10/25G 포트·허브 특성 별도.</t>
  </si>
  <si>
    <t>3400: EOS
3400C: 미표시</t>
  </si>
  <si>
    <t>3400 / 3400C</t>
  </si>
  <si>
    <t>기존 허브·대형 거점</t>
  </si>
  <si>
    <t>IMIX 3,600 Mb/s
1300B 11,000 Mb/s
R6.4 기준(가상 제외)</t>
  </si>
  <si>
    <t>VC-3400
VC-3400-CH</t>
  </si>
  <si>
    <t>2-post rail 제공
4-post rail: 별도</t>
  </si>
  <si>
    <t>Dell 770-BCGP</t>
  </si>
  <si>
    <t>A01 pp.5–8,12; C03 T6; H01</t>
  </si>
  <si>
    <t>6×1G RJ45 + 4×1/10G SFP+</t>
  </si>
  <si>
    <t>허브·집선 비교(추론)
11G는 1300B 처리량. IMIX는 3.6G. tunnel 규모가 다르므로 동급 보장 아님.</t>
  </si>
  <si>
    <t>3800·3810: EOS
3800C: 미표시</t>
  </si>
  <si>
    <t>3800 / 3800C / 3810</t>
  </si>
  <si>
    <t>IMIX 6,500 Mb/s
1300B 16,000 Mb/s
R6.4 기준(가상 제외)</t>
  </si>
  <si>
    <t>VC-3800 / VC-3800-CH
VC-3810</t>
  </si>
  <si>
    <t>A01 pp.5–8,12; C03; H01/H02</t>
  </si>
  <si>
    <t>3800: 4×10G / 3810: 8×10G
각 6×1G RJ45</t>
  </si>
  <si>
    <t>허브·집선 비교(추론)
16G는 1300B 처리량. IMIX는 6.5G. C모델 중국 인증 및 주문 여부 확인.</t>
  </si>
  <si>
    <t>4100</t>
  </si>
  <si>
    <t>대형 허브·데이터센터</t>
  </si>
  <si>
    <t>IMIX 12,000 Mb/s
1300B 30,000 Mb/s
R6.4 기준(가상 제외)</t>
  </si>
  <si>
    <t>C8455-G2
SD-WAN 15.5 Gb/s (512B)</t>
  </si>
  <si>
    <t>SDE-EDG-4100</t>
  </si>
  <si>
    <t>4-post rail + accessory kit
이중 PSU·전원선 2개</t>
  </si>
  <si>
    <t>독립 accessory PN 미기재</t>
  </si>
  <si>
    <t>A01 p.5,12; A03 pp.5–7; A05; C04; H01</t>
  </si>
  <si>
    <t>10×1G RJ45 + 8×1/10G SFP+</t>
  </si>
  <si>
    <t>허브·집선 비교(추론)
IMIX는 12G(종전 40G 오류). C8455 tunnel 3,500 vs Edge 12,000.</t>
  </si>
  <si>
    <t>https://www.arista.com/assets/data/pdf/Datasheets/VeloCloud-SD-WAN-Edge-4100-5100.pdf</t>
  </si>
  <si>
    <t>https://www.cisco.com/site/us/en/products/collateral/networking/sdwan-routers/8000-secure-routers/8400-series-secure-routers-ds.html</t>
  </si>
  <si>
    <t>5100</t>
  </si>
  <si>
    <t>초대형 데이터센터·허브</t>
  </si>
  <si>
    <t>IMIX 40,000 Mb/s
1300B 100,000 Mb/s
R6.4 기준(가상 제외)</t>
  </si>
  <si>
    <t>C8650-G2
SD-WAN 80 Gb/s (512B)</t>
  </si>
  <si>
    <t>1:1 대응 확인 불가
EC-10150: 허브 용도 참고</t>
  </si>
  <si>
    <t>SDE-EDG-5100</t>
  </si>
  <si>
    <t>A01/A03 pp.5–7; A05; C05 T3; H01</t>
  </si>
  <si>
    <t>2×1G RJ45 + 8×10G
4×25G + 2×40G</t>
  </si>
  <si>
    <t>고성능 허브 비교(추론)
EC-10150 권장 WAN 12G(합산24G)로 IMIX 40G 동급 아님. tunnel A01 16K/A03 20K 상충.</t>
  </si>
  <si>
    <t>https://www.cisco.com/site/us/en/products/collateral/networking/sdwan-routers/8000-secure-routers/8600-series-secure-routers-ds.html</t>
  </si>
  <si>
    <t>공식 가상 제품 게재</t>
  </si>
  <si>
    <t>Virtual Edge</t>
  </si>
  <si>
    <t>ESXi/KVM·클라우드</t>
  </si>
  <si>
    <t>공식 sizing 가이드 참조
vCPU·NIC·배포 구성별</t>
  </si>
  <si>
    <t>가상 어플라이언스
무선 하드웨어 없음</t>
  </si>
  <si>
    <t>Catalyst 8000V
vCPU·NIC별 sizing</t>
  </si>
  <si>
    <t>EdgeConnect Virtual
vCPU·NIC별 sizing</t>
  </si>
  <si>
    <t>VeloCloud Virtual Edge
구독·호스트 조건 확인</t>
  </si>
  <si>
    <t>하드웨어 키트 없음</t>
  </si>
  <si>
    <t>해당 없음</t>
  </si>
  <si>
    <t>A02 pp.8–9; C08; H01 Virtual Appliances</t>
  </si>
  <si>
    <t>가상 NIC·SR-IOV 구성별</t>
  </si>
  <si>
    <t>가상 배포 방식 비교(추론)
vCPU, hypervisor, NIC offload 및 license가 달라 단일 처리량으로 대응하지 않음.</t>
  </si>
  <si>
    <t>https://www.arista.com/assets/data/pdf/Datasheets/VeloCloud-SD-WAN-Edge-7x0-Series.pdf</t>
  </si>
  <si>
    <t>https://www.cisco.com/c/en/us/solutions/collateral/enterprise-networks/sd-wan/nb-06-sd-wan-ds-cte-en.html</t>
  </si>
  <si>
    <t>벤더별 설치·액세서리 키트 (상호 호환 품목 아님)</t>
  </si>
  <si>
    <t>벤더</t>
  </si>
  <si>
    <t>키트/부품</t>
  </si>
  <si>
    <t>대상 모델</t>
  </si>
  <si>
    <t>제공/주문 구분</t>
  </si>
  <si>
    <t>주문 Part Number</t>
  </si>
  <si>
    <t>구성/선정 유의사항</t>
  </si>
  <si>
    <t>근거ID/구간</t>
  </si>
  <si>
    <t>벽 마운트 브래킷</t>
  </si>
  <si>
    <t>510/510-LTE, 6x0, 710-W/5G,720/740</t>
  </si>
  <si>
    <t>기본 제공</t>
  </si>
  <si>
    <t>독립 주문 PN 미기재</t>
  </si>
  <si>
    <t>벽 설치. 최종 packing list 확인.</t>
  </si>
  <si>
    <t>A01 p.8; A02 p.7</t>
  </si>
  <si>
    <t>2RU rack-mount shelf</t>
  </si>
  <si>
    <t>510/510-LTE, 520/520V/540, 6x0, 7x0</t>
  </si>
  <si>
    <t>별도 옵션</t>
  </si>
  <si>
    <t>공식 추가 옵션. 랙 shelf 높이 2RU.</t>
  </si>
  <si>
    <t>840 rack-mount bracket</t>
  </si>
  <si>
    <t>840 (EOS)</t>
  </si>
  <si>
    <t>레거시 유지·교체용 정보.</t>
  </si>
  <si>
    <t>A01 p.8</t>
  </si>
  <si>
    <t>2000 4-post rail</t>
  </si>
  <si>
    <t>2000 (EOS)</t>
  </si>
  <si>
    <t>4-post 설치. 종전의 2U 단정 삭제.</t>
  </si>
  <si>
    <t>3xx0 2-post / 4-post rail</t>
  </si>
  <si>
    <t>3400/3800/3810 및 C형</t>
  </si>
  <si>
    <t>2-post 제공 / 4-post 옵션</t>
  </si>
  <si>
    <t>Dell 770-BCGP (4-post)</t>
  </si>
  <si>
    <t>추가 4-post 옵션 PN. 국내 공급 확인.</t>
  </si>
  <si>
    <t>4100/5100 rail + accessory kit</t>
  </si>
  <si>
    <t>4100/5100</t>
  </si>
  <si>
    <t>공식 PDF/QSG 제공 구성</t>
  </si>
  <si>
    <t>4-post rail. QSG: ear bracket 2개,M4 screw 4개,AC cable 2개.</t>
  </si>
  <si>
    <t>A03 p.7; A05</t>
  </si>
  <si>
    <t>https://www.arista.com/ko/qsg-vc-edge-1ru/sd-wan-parts-list</t>
  </si>
  <si>
    <t>Arista 10G SR optic</t>
  </si>
  <si>
    <t>별도 구성</t>
  </si>
  <si>
    <t>SFP-10G-SR</t>
  </si>
  <si>
    <t>4100 지원 목록 기준. Arista SFP 지원은 소프트웨어 6.4.3 이상. 규격·도달거리·포트 호환 확인.</t>
  </si>
  <si>
    <t>A03 pp.8–9</t>
  </si>
  <si>
    <t>Cisco</t>
  </si>
  <si>
    <t>19-inch rack-mount kit</t>
  </si>
  <si>
    <t>C8131-G2</t>
  </si>
  <si>
    <t>선택 옵션</t>
  </si>
  <si>
    <t>C8130-G2-RM-19=</t>
  </si>
  <si>
    <t>Ordering Guide Table 2. C8131도 같은 랙 키트.</t>
  </si>
  <si>
    <t>C06 T2</t>
  </si>
  <si>
    <t>https://www.cisco.com/c/en/us/products/collateral/networking/sdwan-routers/8000-secure-routers/8000-secure-router-og.html</t>
  </si>
  <si>
    <t>C8151-G2</t>
  </si>
  <si>
    <t>C8151-G2-RM-19</t>
  </si>
  <si>
    <t>셀룰러 PIM과 별도 주문 옵션.</t>
  </si>
  <si>
    <t>DIN rail / under-desk kit</t>
  </si>
  <si>
    <t>C8131-G2 / C8151-G2</t>
  </si>
  <si>
    <t>ACS-1111-DRM= / ACS-1100-UDM=</t>
  </si>
  <si>
    <t>설치면·모델 적합성 확인.</t>
  </si>
  <si>
    <t>C8231-G2</t>
  </si>
  <si>
    <t>C8231-G2-RM-19</t>
  </si>
  <si>
    <t>Fixed 8200 G2용. 구형 C8200 키트와 혼동 주의.</t>
  </si>
  <si>
    <t>C06 T3</t>
  </si>
  <si>
    <t>C8235-G2</t>
  </si>
  <si>
    <t>C8235-G2-RM-19</t>
  </si>
  <si>
    <t>Fixed 8200 G2용. 주문 시 선택.</t>
  </si>
  <si>
    <t>C8211-G2</t>
  </si>
  <si>
    <t>Spare 별도 구매</t>
  </si>
  <si>
    <t>공식 표: C8211—G2-RM-19=</t>
  </si>
  <si>
    <t>공식 표에 긴 대시 사용. CCW에서 실제 주문 문자열 확인.</t>
  </si>
  <si>
    <t>C8355-G2</t>
  </si>
  <si>
    <t>기본 선택 구성</t>
  </si>
  <si>
    <t>C8300-RM-19-F</t>
  </si>
  <si>
    <t>주문 옵션과 accessory opt-in 정책 재확인.</t>
  </si>
  <si>
    <t>C06 T4</t>
  </si>
  <si>
    <t>19-inch / 4-post kit</t>
  </si>
  <si>
    <t>C8375-E-G2</t>
  </si>
  <si>
    <t>19-inch 기본 / 4-post 옵션</t>
  </si>
  <si>
    <t>C8300-RM-19-1R / C8300-RM-4PT-1R</t>
  </si>
  <si>
    <t>모듈형 8300 G2용.</t>
  </si>
  <si>
    <t>19-inch accessory kit</t>
  </si>
  <si>
    <t>C8455-G2</t>
  </si>
  <si>
    <t>Ordering Guide 기본값</t>
  </si>
  <si>
    <t>C84G2-ACCKIT-19</t>
  </si>
  <si>
    <t>Datasheet의 accessory opt-in 정책과 최종 BOM 대조.</t>
  </si>
  <si>
    <t>C06 T5; C04</t>
  </si>
  <si>
    <t>3RU accessory kit</t>
  </si>
  <si>
    <t>C8650-G2</t>
  </si>
  <si>
    <t>C8500-ACCKIT3R-19</t>
  </si>
  <si>
    <t>C8650은 3RU. Edge5100의 1RU와 설치규격 다름.</t>
  </si>
  <si>
    <t>C06 T6; C05</t>
  </si>
  <si>
    <t>HPE Aruba</t>
  </si>
  <si>
    <t>10104 accessory / single rack kit</t>
  </si>
  <si>
    <t>EC-10104</t>
  </si>
  <si>
    <t>액세서리 제공 / 랙 옵션</t>
  </si>
  <si>
    <t>R9Y08A / R9H42A</t>
  </si>
  <si>
    <t>Accessory: serial/Ethernet, wall screws/template. Single-unit rack kit 별도.</t>
  </si>
  <si>
    <t>H03 p.1; H02 pp.15–16</t>
  </si>
  <si>
    <t>https://www.arubanetworks.com/techdocs/sdwan-PDFs/hardware/reference/201911_EdgeConnect-Hardware-Accessories_latest.pdf</t>
  </si>
  <si>
    <t>10104 dual rack kit</t>
  </si>
  <si>
    <t>EC-10104 2대</t>
  </si>
  <si>
    <t>R1B30A</t>
  </si>
  <si>
    <t>2대 설치용 랙 키트.</t>
  </si>
  <si>
    <t>H03 p.1</t>
  </si>
  <si>
    <t>10106/10108 accessory kit</t>
  </si>
  <si>
    <t>EC-10106 / EC-10108</t>
  </si>
  <si>
    <t>기본 구성 / 교체품 주문 가능</t>
  </si>
  <si>
    <t>S2D96A</t>
  </si>
  <si>
    <t>Rack/wall kit,console/Ethernet,PSU tray 포함. PSU·전원선은 kit 자체에 미포함.</t>
  </si>
  <si>
    <t>H03 p.1; H02 pp.11,15–16</t>
  </si>
  <si>
    <t>10106/10108 54V power adapter</t>
  </si>
  <si>
    <t>전원 제공 / spare 별도</t>
  </si>
  <si>
    <t>S2D95A</t>
  </si>
  <si>
    <t>Accessory kit S2D96A와 별개 전원 품번.</t>
  </si>
  <si>
    <t>H03 p.1; H02 p.16</t>
  </si>
  <si>
    <t>S-P/M-H accessory kit</t>
  </si>
  <si>
    <t>EC-S-P / EC-M-H</t>
  </si>
  <si>
    <t>기본 제공 / spare 주문</t>
  </si>
  <si>
    <t>JZ893A / JZ894A</t>
  </si>
  <si>
    <t>모델별 serial cable 및 mounting screws/nuts.</t>
  </si>
  <si>
    <t>H03 pp.1–2</t>
  </si>
  <si>
    <t>sliding rail / mid-mount kit</t>
  </si>
  <si>
    <t>JM781A / R9Y02A</t>
  </si>
  <si>
    <t>랙 구조에 맞춰 추가 선정.</t>
  </si>
  <si>
    <t>EC-10150 4-post sliding rail</t>
  </si>
  <si>
    <t>EC-10150</t>
  </si>
  <si>
    <t>S3P32A (EC-10020)</t>
  </si>
  <si>
    <t>4-post tool-less rail.</t>
  </si>
  <si>
    <t>H03 p.2; H02 p.17</t>
  </si>
  <si>
    <t>EC-10150 network memory kit</t>
  </si>
  <si>
    <t>WAN optimization용 옵션</t>
  </si>
  <si>
    <t>S2N67A (EC-10010)</t>
  </si>
  <si>
    <t>1.6TB Network Memory. SD-WAN 기본 처리량 라이선스와 구분.</t>
  </si>
  <si>
    <t>H03 p.2; H01</t>
  </si>
  <si>
    <t>비교·판정 기준 및 공식 문서간 상충사항</t>
  </si>
  <si>
    <t>비교 기준</t>
  </si>
  <si>
    <t>모델 매핑은 벤더가 인증한 대응표가 아닌 작성자의 추론. 배치 역할·물리 포트·암호화/보안 성능·tunnel·라이선스를 함께 검토.</t>
  </si>
  <si>
    <t>VeloCloud 성능</t>
  </si>
  <si>
    <t>E/O/P열은 A01 R6.4 routed-mode 표 우선. IMIX 평균 417B와 1300B 대형 패킷을 분리. 암호화·DPI·EFS 공시 조건은 원문 각주 확인.</t>
  </si>
  <si>
    <t>Cisco 성능</t>
  </si>
  <si>
    <t>G열 신형 G2의 수치는 512B SD-WAN(IPsec+QoS+DPI+Flexible NetFlow). IPsec-only/forwarding 수치를 SD-WAN으로 대체하지 않음.</t>
  </si>
  <si>
    <t>HPE 대역폭</t>
  </si>
  <si>
    <t>H열은 H01 권장 WAN 대역폭. H01은 상·하향 대칭 회선 기준이며 Rx+Tx 합산 처리량은 표기 값의 2배. VeloCloud IMIX와 직접 동급 판정 불가.</t>
  </si>
  <si>
    <t>판매/지원 상태</t>
  </si>
  <si>
    <t>EOS 표기는 A01 p.5 별표만 적용. C형 등 별표 미표시를 현행 판매로 단정하지 않음. 한국 SKU·국가 인증·재고·EOL은 발주 전 확인.</t>
  </si>
  <si>
    <t>Arista 관계</t>
  </si>
  <si>
    <t>VeloCloud는 Arista WAN 포트폴리오. I열은 동일 장비를 반복 기재하지 않고 공식 Orderable SKU를 기록. EOS/국가별 변형 포함.</t>
  </si>
  <si>
    <t>510/6x0 판매 범위</t>
  </si>
  <si>
    <t>A01 p.4는 510/6x0 판매군을 포함하지만 A02 p.5는 7x0/3xx0/4100/5100만 명시. 일부 모델은 A01 EOS 별표도 존재해 개별 주문가능 여부 확인.</t>
  </si>
  <si>
    <t>710 처리량</t>
  </si>
  <si>
    <t>A01 R6.4는 1300B 1Gb/s, A02 R6.1은 950Mb/s. IMIX 395/350Mb/s 복수 표기가 있어 O열 단일 숫자는 미입력.</t>
  </si>
  <si>
    <t>720 처리량</t>
  </si>
  <si>
    <t>A01/A02: IMIX 2.3Gb/s·1300B 5.2Gb/s. A07 6.4 Overview는 1.5Gb/s·3Gb/s. 원문 상충을 보존하고 A01 우선.</t>
  </si>
  <si>
    <t>740 처리량</t>
  </si>
  <si>
    <t>A01 R6.4: IMIX 4.2Gb/s·1300B 10Gb/s. A02 R6.1: IMIX 3.5Gb/s·1300B 7.2Gb/s. 적용 소프트웨어별 재확인.</t>
  </si>
  <si>
    <t>5100 tunnel</t>
  </si>
  <si>
    <t>A01 R6.4: 16,000 tunnel. A03: 20,000 tunnel. 40Gb/s IMIX와 100Gb/s 1300B는 일치. 보수적 sizing 및 벤더 확인 필요.</t>
  </si>
  <si>
    <t>HPE EC-S-P 대역폭</t>
  </si>
  <si>
    <t>H01 최신 VSG는 권장 WAN 3Gb/s, H02 QuickSpecs는 2Gb/s. H열은 H01을 표시하되 견적 sizing에서 충돌 확인.</t>
  </si>
  <si>
    <t>HPE EC-S-P PSU</t>
  </si>
  <si>
    <t>H03 액세서리 가이드는 AC PSU 2개, H02 QuickSpecs는 1개+추가 옵션. 이중화 수량은 최종 BOM으로 확인.</t>
  </si>
  <si>
    <t>724S 해석</t>
  </si>
  <si>
    <t>A01 p.12의 Model 열 및 A06 RMN에 등장. 해당 주문 SKU는 SDE-EDG-720/740. 별도 보안 서비스 Edge·독립 성능군으로 분류하지 않음.</t>
  </si>
  <si>
    <t>레거시 Cisco</t>
  </si>
  <si>
    <t>기존 C8200/C8200L 및 C8300 일부 SKU는 C07에서 2027-07-31 EOS 예정. 본 대응표는 신형 Secure Router G2를 우선 채택.</t>
  </si>
  <si>
    <t>확인 범위</t>
  </si>
  <si>
    <t>2026-10-01 공개 공식 웹/기술문서 확인. 홈페이지 게재 자체는 한국 발주 가능·재고·기능 라이선스 보장이 아님. AP/유선 스위치 사양은 이번 수정 범위에서 제외.</t>
  </si>
  <si>
    <t>공식 참조 문서 목록 (표의 근거ID와 연결)</t>
  </si>
  <si>
    <t>ID</t>
  </si>
  <si>
    <t>문서/페이지</t>
  </si>
  <si>
    <t>버전·개정 표시</t>
  </si>
  <si>
    <t>사용 구간</t>
  </si>
  <si>
    <t>주요 확인 항목</t>
  </si>
  <si>
    <t>확인일</t>
  </si>
  <si>
    <t>A01</t>
  </si>
  <si>
    <t>Arista</t>
  </si>
  <si>
    <t>VeloCloud SD-WAN 통합 Data Sheet</t>
  </si>
  <si>
    <t>성능표 R6.4+</t>
  </si>
  <si>
    <t>PDF pp.4–9,12</t>
  </si>
  <si>
    <t>EOS 별표·IMIX/1300B·포트·무선·액세서리·Orderable SKU</t>
  </si>
  <si>
    <t>A02</t>
  </si>
  <si>
    <t>VeloCloud SD-WAN Edge 7x0 Series</t>
  </si>
  <si>
    <t>성능표 R6.1+</t>
  </si>
  <si>
    <t>PDF pp.4–9</t>
  </si>
  <si>
    <t>현행 판매군·7x0 포트/키트·Virtual Edge·A01 상충 검토</t>
  </si>
  <si>
    <t>A03</t>
  </si>
  <si>
    <t>VeloCloud Edge 4100,5100 Data Sheet</t>
  </si>
  <si>
    <t>공식 개별 PDF</t>
  </si>
  <si>
    <t>PDF pp.5–9</t>
  </si>
  <si>
    <t>IMIX12/40G·1300B30/100G·tunnel·포트·4-post rail·광모듈(6.4.3+)</t>
  </si>
  <si>
    <t>A04</t>
  </si>
  <si>
    <t>Edge Appliance Overview (QSG)</t>
  </si>
  <si>
    <t>공식 웹</t>
  </si>
  <si>
    <t>Edge710/710-5G/720/740</t>
  </si>
  <si>
    <t>마케팅 모델명·SDE SKU·포트</t>
  </si>
  <si>
    <t>https://www.arista.com/en/qsg-vc-edge/sd-wan-edge-appliance-overview</t>
  </si>
  <si>
    <t>A05</t>
  </si>
  <si>
    <t>1RU Edge Parts List (QSG)</t>
  </si>
  <si>
    <t>Accessory Kits / Cables</t>
  </si>
  <si>
    <t>4100/5100 ear bracket·M4 screw·AC cable</t>
  </si>
  <si>
    <t>A06</t>
  </si>
  <si>
    <t>Regulatory Model Numbers (RMN)</t>
  </si>
  <si>
    <t>RMN 표</t>
  </si>
  <si>
    <t>724S와 SDE-EDG-720/740 명칭 관계</t>
  </si>
  <si>
    <t>A07</t>
  </si>
  <si>
    <t>SD-WAN 6.4 Overview</t>
  </si>
  <si>
    <t>6.4</t>
  </si>
  <si>
    <t>Physical Edge Tables 4/5</t>
  </si>
  <si>
    <t>공식 기술가이드와 성능표 상충 확인</t>
  </si>
  <si>
    <t>https://www.arista.com/en/admin-guide-vc-6-4/sd-wan-6-4-overview</t>
  </si>
  <si>
    <t>A08</t>
  </si>
  <si>
    <t>VeloCloud 7x0 Series 제품 페이지</t>
  </si>
  <si>
    <t>홈페이지 게재</t>
  </si>
  <si>
    <t>Overview / Literature</t>
  </si>
  <si>
    <t>현행 제품 소개 및 데이터시트 연결</t>
  </si>
  <si>
    <t>https://www.arista.com/en/products/velocloud-7x0-series</t>
  </si>
  <si>
    <t>A09</t>
  </si>
  <si>
    <t>VeloCloud 4100/5100 제품 페이지</t>
  </si>
  <si>
    <t>대형 거점·DC 포지셔닝</t>
  </si>
  <si>
    <t>https://www.arista.com/en/products/velocloud-4100-5100-series</t>
  </si>
  <si>
    <t>C01</t>
  </si>
  <si>
    <t>8100 Series Secure Routers Data Sheet</t>
  </si>
  <si>
    <t>2026-09-30</t>
  </si>
  <si>
    <t>Table12 / Models</t>
  </si>
  <si>
    <t>C8131/C8151 정확한 SKU·512B SD-WAN·셀룰러 옵션</t>
  </si>
  <si>
    <t>C02</t>
  </si>
  <si>
    <t>8200 Series Secure Routers Data Sheet</t>
  </si>
  <si>
    <t>2026-07-15</t>
  </si>
  <si>
    <t>Performance/Scale·Models</t>
  </si>
  <si>
    <t>C8211/C8231/C8235 SKU·512B SD-WAN</t>
  </si>
  <si>
    <t>C03</t>
  </si>
  <si>
    <t>8300 Series Secure Routers Data Sheet</t>
  </si>
  <si>
    <t>2026-06-02</t>
  </si>
  <si>
    <t>Table6 / Models</t>
  </si>
  <si>
    <t>C8355/C8375 SKU·512B SD-WAN·tunnel</t>
  </si>
  <si>
    <t>C04</t>
  </si>
  <si>
    <t>8400 Series Secure Routers Data Sheet</t>
  </si>
  <si>
    <t>2026-06-25</t>
  </si>
  <si>
    <t>Table3 / Models</t>
  </si>
  <si>
    <t>C8455 SKU·512B SD-WAN·tunnel</t>
  </si>
  <si>
    <t>C05</t>
  </si>
  <si>
    <t>8600 Series Secure Routers Data Sheet</t>
  </si>
  <si>
    <t>Tables2/3/5</t>
  </si>
  <si>
    <t>C8650 SKU·80G SD-WAN·3RU·IOS XE 조건</t>
  </si>
  <si>
    <t>C06</t>
  </si>
  <si>
    <t>8000 Series Secure Routers Ordering Guide</t>
  </si>
  <si>
    <t>현재 공개 웹</t>
  </si>
  <si>
    <t>Tables1–6</t>
  </si>
  <si>
    <t>정확한 모델·rack/DIN/desk kit·기본/별도 옵션</t>
  </si>
  <si>
    <t>C07</t>
  </si>
  <si>
    <t>Catalyst C8300/C8200/C8200L EOS 공지</t>
  </si>
  <si>
    <t>2026-07-27</t>
  </si>
  <si>
    <t>Milestones / SKU</t>
  </si>
  <si>
    <t>2027-07-31 판매종료 예정·지원 일정</t>
  </si>
  <si>
    <t>https://www.cisco.com/c/en/us/products/collateral/networking/sdwan-routers/catalyst-8000-edge-platforms/catalyst-c8300-2n2s-4t2x-6t-1n-4t-c8200l-eol.html</t>
  </si>
  <si>
    <t>C08</t>
  </si>
  <si>
    <t>Catalyst SD-WAN Data Sheet</t>
  </si>
  <si>
    <t>플랫폼 지원</t>
  </si>
  <si>
    <t>Catalyst8000V 가상 제품 확인</t>
  </si>
  <si>
    <t>H01</t>
  </si>
  <si>
    <t>EdgeConnect SD-WAN Reference Design</t>
  </si>
  <si>
    <t>Orchestrator/ECOS9.4 기준</t>
  </si>
  <si>
    <t>Gateway selection / Virtual</t>
  </si>
  <si>
    <t>EC10104/106/108/S-P/M-H/10150·권장 WAN·양방향 해석</t>
  </si>
  <si>
    <t>H02</t>
  </si>
  <si>
    <t>EdgeConnect SD-WAN QuickSpecs</t>
  </si>
  <si>
    <t>a50004289enw v16 검토</t>
  </si>
  <si>
    <t>PDF pp.11–18</t>
  </si>
  <si>
    <t>하드웨어 SKU·키트 PN·포트·대역폭·지역 변형</t>
  </si>
  <si>
    <t>https://www.hpe.com/psnow/doc/a50004289enw</t>
  </si>
  <si>
    <t>H03</t>
  </si>
  <si>
    <t>EdgeConnect Hardware Accessories Guide</t>
  </si>
  <si>
    <t>PN201911 RevF,©2026</t>
  </si>
  <si>
    <t>PDF pp.1–2</t>
  </si>
  <si>
    <t>제공/교체/추가 구분·키트 구성 및 PN</t>
  </si>
  <si>
    <t>H04</t>
  </si>
  <si>
    <t>Hardware Documentation</t>
  </si>
  <si>
    <t>공식 기술문서 인덱스</t>
  </si>
  <si>
    <t>Accessories / Install Guides</t>
  </si>
  <si>
    <t>벤더 최신 hardware/kit 가이드 진입점</t>
  </si>
  <si>
    <t>https://arubanetworking.hpe.com/techdocs/sdwan/hardware/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</si>
</sst>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 x14ac:knownFonts="1">
    <font>
      <sz val="11"/>
      <color theme="1"/>
      <name val="맑은 고딕"/>
    </font>
    <font>
      <b/>
      <sz val="18"/>
      <color rgb="FFFFFFFF"/>
      <name val="Aptos Display"/>
    </font>
    <font>
      <sz val="10"/>
      <color rgb="FFD9EAF7"/>
      <name val="Aptos"/>
    </font>
    <font>
      <i/>
      <sz val="9"/>
      <color rgb="FF666666"/>
      <name val="Aptos"/>
    </font>
    <font>
      <b/>
      <sz val="10"/>
      <color rgb="FFFFFFFF"/>
      <name val="Aptos"/>
    </font>
    <font>
      <sz val="9"/>
      <color rgb="FF666666"/>
      <name val="Aptos"/>
    </font>
    <font>
      <b/>
      <sz val="11"/>
      <color rgb="FF000000"/>
      <name val="Aptos"/>
    </font>
    <font>
      <b/>
      <sz val="9"/>
      <color rgb="FF1F4E78"/>
      <name val="Aptos"/>
    </font>
    <font>
      <b/>
      <sz val="9"/>
      <color rgb="FFC65911"/>
      <name val="Aptos"/>
    </font>
    <font>
      <sz val="9"/>
      <color rgb="FF008000"/>
      <name val="Aptos"/>
    </font>
    <font>
      <b/>
      <sz val="9"/>
      <color rgb="FF006100"/>
      <name val="Aptos"/>
    </font>
    <font>
      <b/>
      <sz val="9"/>
      <color rgb="FF5F497A"/>
      <name val="Aptos"/>
    </font>
    <font>
      <sz val="9"/>
      <color rgb="FFC65911"/>
      <name val="Aptos"/>
    </font>
    <font>
      <b/>
      <sz val="16"/>
      <color rgb="FF1F1F1F"/>
      <name val="Arial"/>
    </font>
    <font>
      <sz val="10"/>
      <color rgb="FF666666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b/>
      <sz val="14"/>
      <color rgb="FF1F1F1F"/>
      <name val="Arial"/>
    </font>
    <font>
      <sz val="11"/>
      <color rgb="FF1F1F1F"/>
      <name val="Arial"/>
    </font>
    <font>
      <b/>
      <sz val="11"/>
      <color rgb="FF000000"/>
      <name val="Arial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8"/>
      </patternFill>
    </fill>
    <fill>
      <patternFill patternType="solid">
        <fgColor rgb="FF0F6B78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375623"/>
      </patternFill>
    </fill>
    <fill>
      <patternFill patternType="solid">
        <fgColor rgb="FF5B4B8A"/>
      </patternFill>
    </fill>
    <fill>
      <patternFill patternType="solid">
        <fgColor rgb="FF7F6000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1F4E78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1" fillId="0" borderId="0"/>
  </cellStyleXfs>
  <cellXfs count="75">
    <xf numFmtId="0" fontId="0" fillId="0" borderId="0" xfId="0"/>
    <xf numFmtId="0" fontId="5" fillId="0" borderId="0" xfId="1" applyFont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top"/>
    </xf>
    <xf numFmtId="0" fontId="5" fillId="6" borderId="0" xfId="1" applyFont="1" applyFill="1" applyAlignment="1">
      <alignment horizontal="left" vertical="top" wrapText="1"/>
    </xf>
    <xf numFmtId="0" fontId="10" fillId="7" borderId="0" xfId="1" applyFont="1" applyFill="1" applyAlignment="1">
      <alignment horizontal="left" vertical="top" wrapText="1"/>
    </xf>
    <xf numFmtId="0" fontId="9" fillId="6" borderId="0" xfId="1" applyFont="1" applyFill="1" applyAlignment="1">
      <alignment horizontal="left" vertical="top" wrapText="1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5" fillId="6" borderId="2" xfId="1" applyFont="1" applyFill="1" applyBorder="1" applyAlignment="1">
      <alignment horizontal="center" vertical="top"/>
    </xf>
    <xf numFmtId="0" fontId="5" fillId="6" borderId="2" xfId="1" applyFont="1" applyFill="1" applyBorder="1" applyAlignment="1">
      <alignment horizontal="left" vertical="top" wrapText="1"/>
    </xf>
    <xf numFmtId="0" fontId="10" fillId="7" borderId="2" xfId="1" applyFont="1" applyFill="1" applyBorder="1" applyAlignment="1">
      <alignment horizontal="left" vertical="top" wrapText="1"/>
    </xf>
    <xf numFmtId="0" fontId="9" fillId="6" borderId="2" xfId="1" applyFont="1" applyFill="1" applyBorder="1" applyAlignment="1">
      <alignment horizontal="left" vertical="top" wrapText="1"/>
    </xf>
    <xf numFmtId="0" fontId="5" fillId="0" borderId="2" xfId="1" applyFont="1" applyBorder="1" applyAlignment="1">
      <alignment horizontal="center" vertical="top"/>
    </xf>
    <xf numFmtId="0" fontId="5" fillId="0" borderId="2" xfId="1" applyFont="1" applyBorder="1" applyAlignment="1">
      <alignment horizontal="left" vertical="top" wrapText="1"/>
    </xf>
    <xf numFmtId="0" fontId="9" fillId="0" borderId="2" xfId="1" applyFont="1" applyBorder="1" applyAlignment="1">
      <alignment horizontal="left" vertical="top" wrapText="1"/>
    </xf>
    <xf numFmtId="0" fontId="5" fillId="3" borderId="2" xfId="1" applyFont="1" applyFill="1" applyBorder="1" applyAlignment="1">
      <alignment horizontal="left" vertical="top" wrapText="1"/>
    </xf>
    <xf numFmtId="0" fontId="5" fillId="3" borderId="0" xfId="1" applyFont="1" applyFill="1" applyAlignment="1">
      <alignment horizontal="left" vertical="top" wrapText="1"/>
    </xf>
    <xf numFmtId="0" fontId="11" fillId="8" borderId="2" xfId="1" applyFont="1" applyFill="1" applyBorder="1" applyAlignment="1">
      <alignment horizontal="left" vertical="top" wrapText="1"/>
    </xf>
    <xf numFmtId="0" fontId="11" fillId="8" borderId="0" xfId="1" applyFont="1" applyFill="1" applyAlignment="1">
      <alignment horizontal="left" vertical="top" wrapText="1"/>
    </xf>
    <xf numFmtId="0" fontId="10" fillId="7" borderId="2" xfId="1" applyFont="1" applyFill="1" applyBorder="1" applyAlignment="1">
      <alignment horizontal="center" vertical="top"/>
    </xf>
    <xf numFmtId="0" fontId="10" fillId="7" borderId="0" xfId="1" applyFont="1" applyFill="1" applyAlignment="1">
      <alignment horizontal="center" vertical="top"/>
    </xf>
    <xf numFmtId="0" fontId="17" fillId="0" borderId="0" xfId="1" applyFont="1" applyAlignment="1">
      <alignment vertical="center" wrapText="1"/>
    </xf>
    <xf numFmtId="0" fontId="15" fillId="12" borderId="3" xfId="1" applyFont="1" applyFill="1" applyBorder="1" applyAlignment="1">
      <alignment horizontal="center" vertical="center" wrapText="1"/>
    </xf>
    <xf numFmtId="0" fontId="17" fillId="0" borderId="4" xfId="1" applyFont="1" applyBorder="1" applyAlignment="1">
      <alignment vertical="center" wrapText="1"/>
    </xf>
    <xf numFmtId="3" fontId="17" fillId="0" borderId="4" xfId="1" applyNumberFormat="1" applyFont="1" applyBorder="1" applyAlignment="1">
      <alignment vertical="center" wrapText="1"/>
    </xf>
    <xf numFmtId="176" fontId="17" fillId="0" borderId="4" xfId="1" applyNumberFormat="1" applyFont="1" applyBorder="1" applyAlignment="1">
      <alignment vertical="center" wrapText="1"/>
    </xf>
    <xf numFmtId="1" fontId="17" fillId="0" borderId="4" xfId="1" applyNumberFormat="1" applyFont="1" applyBorder="1" applyAlignment="1">
      <alignment vertical="center" wrapText="1"/>
    </xf>
    <xf numFmtId="0" fontId="17" fillId="13" borderId="4" xfId="1" applyFont="1" applyFill="1" applyBorder="1" applyAlignment="1">
      <alignment vertical="center" wrapText="1"/>
    </xf>
    <xf numFmtId="0" fontId="17" fillId="14" borderId="4" xfId="1" applyFont="1" applyFill="1" applyBorder="1" applyAlignment="1">
      <alignment vertical="center" wrapText="1"/>
    </xf>
    <xf numFmtId="0" fontId="20" fillId="15" borderId="0" xfId="1" applyFont="1" applyFill="1" applyAlignment="1">
      <alignment horizontal="center" vertical="center" wrapText="1"/>
    </xf>
    <xf numFmtId="0" fontId="6" fillId="15" borderId="0" xfId="1" applyFont="1" applyFill="1" applyAlignment="1">
      <alignment horizontal="center"/>
    </xf>
    <xf numFmtId="0" fontId="7" fillId="15" borderId="0" xfId="1" applyFont="1" applyFill="1" applyAlignment="1">
      <alignment vertical="top" wrapText="1"/>
    </xf>
    <xf numFmtId="0" fontId="7" fillId="13" borderId="0" xfId="1" applyFont="1" applyFill="1" applyAlignment="1">
      <alignment vertical="top" wrapText="1"/>
    </xf>
    <xf numFmtId="0" fontId="7" fillId="15" borderId="0" xfId="1" applyFont="1" applyFill="1" applyAlignment="1">
      <alignment horizontal="center" vertical="top"/>
    </xf>
    <xf numFmtId="0" fontId="12" fillId="14" borderId="0" xfId="1" applyFont="1" applyFill="1" applyAlignment="1">
      <alignment horizontal="left" vertical="top" wrapText="1"/>
    </xf>
    <xf numFmtId="0" fontId="7" fillId="15" borderId="2" xfId="1" applyFont="1" applyFill="1" applyBorder="1" applyAlignment="1">
      <alignment horizontal="center" vertical="top"/>
    </xf>
    <xf numFmtId="0" fontId="7" fillId="15" borderId="2" xfId="1" applyFont="1" applyFill="1" applyBorder="1" applyAlignment="1">
      <alignment horizontal="left" vertical="top" wrapText="1"/>
    </xf>
    <xf numFmtId="0" fontId="7" fillId="15" borderId="0" xfId="1" applyFont="1" applyFill="1" applyAlignment="1">
      <alignment horizontal="left" vertical="top" wrapText="1"/>
    </xf>
    <xf numFmtId="0" fontId="12" fillId="14" borderId="2" xfId="1" applyFont="1" applyFill="1" applyBorder="1" applyAlignment="1">
      <alignment horizontal="left" vertical="top" wrapText="1"/>
    </xf>
    <xf numFmtId="0" fontId="8" fillId="13" borderId="2" xfId="1" applyFont="1" applyFill="1" applyBorder="1" applyAlignment="1">
      <alignment horizontal="left" vertical="top" wrapText="1"/>
    </xf>
    <xf numFmtId="0" fontId="8" fillId="13" borderId="0" xfId="1" applyFont="1" applyFill="1" applyAlignment="1">
      <alignment horizontal="left" vertical="top" wrapText="1"/>
    </xf>
    <xf numFmtId="0" fontId="5" fillId="13" borderId="0" xfId="1" applyFont="1" applyFill="1" applyAlignment="1">
      <alignment horizontal="center" vertical="top"/>
    </xf>
    <xf numFmtId="0" fontId="5" fillId="13" borderId="0" xfId="1" applyFont="1" applyFill="1" applyAlignment="1">
      <alignment horizontal="left" vertical="top" wrapText="1"/>
    </xf>
    <xf numFmtId="0" fontId="9" fillId="13" borderId="0" xfId="1" applyFont="1" applyFill="1" applyAlignment="1">
      <alignment horizontal="left" vertical="top" wrapText="1"/>
    </xf>
    <xf numFmtId="0" fontId="5" fillId="13" borderId="2" xfId="1" applyFont="1" applyFill="1" applyBorder="1" applyAlignment="1">
      <alignment horizontal="center" vertical="top"/>
    </xf>
    <xf numFmtId="0" fontId="5" fillId="13" borderId="2" xfId="1" applyFont="1" applyFill="1" applyBorder="1" applyAlignment="1">
      <alignment horizontal="left" vertical="top" wrapText="1"/>
    </xf>
    <xf numFmtId="0" fontId="9" fillId="13" borderId="2" xfId="1" applyFont="1" applyFill="1" applyBorder="1" applyAlignment="1">
      <alignment horizontal="left" vertical="top" wrapText="1"/>
    </xf>
    <xf numFmtId="0" fontId="9" fillId="0" borderId="0" xfId="1" applyFont="1" applyAlignment="1">
      <alignment wrapText="1"/>
    </xf>
    <xf numFmtId="0" fontId="0" fillId="0" borderId="0" xfId="0"/>
    <xf numFmtId="0" fontId="19" fillId="0" borderId="0" xfId="1" applyFont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5" fillId="5" borderId="0" xfId="1" applyFont="1" applyFill="1" applyAlignment="1">
      <alignment vertical="top" wrapText="1"/>
    </xf>
    <xf numFmtId="0" fontId="5" fillId="0" borderId="0" xfId="1" applyFont="1"/>
    <xf numFmtId="0" fontId="4" fillId="4" borderId="0" xfId="1" applyFont="1" applyFill="1" applyAlignment="1">
      <alignment horizontal="left" vertical="center"/>
    </xf>
    <xf numFmtId="0" fontId="4" fillId="4" borderId="0" xfId="1" applyFont="1" applyFill="1" applyAlignment="1">
      <alignment horizontal="left"/>
    </xf>
    <xf numFmtId="0" fontId="2" fillId="12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 wrapText="1"/>
    </xf>
    <xf numFmtId="0" fontId="8" fillId="13" borderId="0" xfId="1" applyFont="1" applyFill="1" applyAlignment="1">
      <alignment vertical="top" wrapText="1"/>
    </xf>
    <xf numFmtId="0" fontId="4" fillId="4" borderId="0" xfId="1" applyFont="1" applyFill="1"/>
    <xf numFmtId="0" fontId="4" fillId="4" borderId="0" xfId="1" applyFont="1" applyFill="1" applyAlignment="1">
      <alignment horizontal="center" vertical="center" wrapText="1"/>
    </xf>
    <xf numFmtId="0" fontId="2" fillId="1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left" vertical="center" wrapText="1"/>
    </xf>
    <xf numFmtId="0" fontId="4" fillId="12" borderId="0" xfId="1" applyFont="1" applyFill="1" applyAlignment="1">
      <alignment horizontal="center" vertical="center" wrapText="1"/>
    </xf>
    <xf numFmtId="0" fontId="4" fillId="10" borderId="0" xfId="1" applyFont="1" applyFill="1" applyAlignment="1">
      <alignment horizontal="center" vertical="center" wrapText="1"/>
    </xf>
    <xf numFmtId="0" fontId="4" fillId="11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center" vertical="center" wrapText="1"/>
    </xf>
    <xf numFmtId="0" fontId="17" fillId="0" borderId="4" xfId="1" applyFont="1" applyBorder="1" applyAlignment="1">
      <alignment vertical="center" wrapText="1"/>
    </xf>
    <xf numFmtId="0" fontId="16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18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14" fillId="0" borderId="0" xfId="1" applyFont="1" applyAlignment="1">
      <alignment vertical="center" wrapText="1"/>
    </xf>
  </cellXfs>
  <cellStyles count="2">
    <cellStyle name="표준" xfId="0" builtinId="0"/>
    <cellStyle name="표준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1295400</xdr:colOff>
      <xdr:row>13</xdr:row>
      <xdr:rowOff>180975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F27DD7F6-69AE-171E-E1F5-EE9B2DF9A7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76200</xdr:colOff>
      <xdr:row>10</xdr:row>
      <xdr:rowOff>923925</xdr:rowOff>
    </xdr:to>
    <xdr:sp macro="" textlink="">
      <xdr:nvSpPr>
        <xdr:cNvPr id="2075" name="Text Box 27" hidden="1">
          <a:extLst>
            <a:ext uri="{FF2B5EF4-FFF2-40B4-BE49-F238E27FC236}">
              <a16:creationId xmlns:a16="http://schemas.microsoft.com/office/drawing/2014/main" id="{7FB161CC-D5E4-F1ED-CE9F-AAAAE857F80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304800</xdr:colOff>
      <xdr:row>15</xdr:row>
      <xdr:rowOff>352425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518CFC03-F1D6-7AFE-C947-AA0B601802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1600200</xdr:colOff>
      <xdr:row>14</xdr:row>
      <xdr:rowOff>657225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1101E5C4-6CC7-25AA-8210-4A9A64E970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ista.com/assets/data/pdf/Datasheets/AP-Mounting-Brackets-Datasheet.pdf" TargetMode="External"/><Relationship Id="rId2" Type="http://schemas.openxmlformats.org/officeDocument/2006/relationships/hyperlink" Target="https://www.arista.com/assets/data/pdf/Datasheets/AP-Comparison-Matrix-Datasheet-WiFi6.pdf" TargetMode="External"/><Relationship Id="rId1" Type="http://schemas.openxmlformats.org/officeDocument/2006/relationships/hyperlink" Target="https://www.arista.com/en/products/platforms" TargetMode="External"/><Relationship Id="rId4" Type="http://schemas.openxmlformats.org/officeDocument/2006/relationships/hyperlink" Target="https://www.arista.com/assets/data/pdf/Datasheets/Antenna-Selection-Guide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ista.com/en/products/platforms" TargetMode="External"/><Relationship Id="rId21" Type="http://schemas.openxmlformats.org/officeDocument/2006/relationships/hyperlink" Target="https://www.arista.com/en/products/platforms" TargetMode="External"/><Relationship Id="rId42" Type="http://schemas.openxmlformats.org/officeDocument/2006/relationships/hyperlink" Target="https://www.arista.com/assets/data/pdf/Datasheets/7388X5-Datasheet.pdf" TargetMode="External"/><Relationship Id="rId63" Type="http://schemas.openxmlformats.org/officeDocument/2006/relationships/hyperlink" Target="https://www.arista.com/en/products/platforms" TargetMode="External"/><Relationship Id="rId84" Type="http://schemas.openxmlformats.org/officeDocument/2006/relationships/hyperlink" Target="https://www.arista.com/assets/data/pdf/Datasheets/7130LBR-Datasheet.pdf" TargetMode="External"/><Relationship Id="rId138" Type="http://schemas.openxmlformats.org/officeDocument/2006/relationships/hyperlink" Target="https://www.arista.com/assets/data/pdf/Datasheets/7050X4-Datasheet.pdf" TargetMode="External"/><Relationship Id="rId159" Type="http://schemas.openxmlformats.org/officeDocument/2006/relationships/hyperlink" Target="https://www.arista.com/en/products/platforms" TargetMode="External"/><Relationship Id="rId170" Type="http://schemas.openxmlformats.org/officeDocument/2006/relationships/hyperlink" Target="https://www.arista.com/assets/data/pdf/Datasheets/7020R4-Datasheet.pdf" TargetMode="External"/><Relationship Id="rId191" Type="http://schemas.openxmlformats.org/officeDocument/2006/relationships/hyperlink" Target="https://www.arista.com/en/products/platforms" TargetMode="External"/><Relationship Id="rId205" Type="http://schemas.openxmlformats.org/officeDocument/2006/relationships/hyperlink" Target="https://www.arista.com/en/products/platforms" TargetMode="External"/><Relationship Id="rId226" Type="http://schemas.openxmlformats.org/officeDocument/2006/relationships/hyperlink" Target="https://www.arista.com/assets/data/pdf/Datasheets/CCS-720XP-Datasheet.pdf" TargetMode="External"/><Relationship Id="rId247" Type="http://schemas.openxmlformats.org/officeDocument/2006/relationships/hyperlink" Target="https://www.arista.com/en/products/platforms" TargetMode="External"/><Relationship Id="rId107" Type="http://schemas.openxmlformats.org/officeDocument/2006/relationships/hyperlink" Target="https://www.arista.com/en/products/platforms" TargetMode="External"/><Relationship Id="rId11" Type="http://schemas.openxmlformats.org/officeDocument/2006/relationships/hyperlink" Target="https://www.arista.com/en/products/platforms" TargetMode="External"/><Relationship Id="rId32" Type="http://schemas.openxmlformats.org/officeDocument/2006/relationships/hyperlink" Target="https://www.arista.com/assets/data/pdf/Datasheets/7500RDataSheet.pdf" TargetMode="External"/><Relationship Id="rId53" Type="http://schemas.openxmlformats.org/officeDocument/2006/relationships/hyperlink" Target="https://www.arista.com/en/products/platforms" TargetMode="External"/><Relationship Id="rId74" Type="http://schemas.openxmlformats.org/officeDocument/2006/relationships/hyperlink" Target="https://www.arista.com/assets/data/pdf/Datasheets/7280R3A-Datasheet.pdf" TargetMode="External"/><Relationship Id="rId128" Type="http://schemas.openxmlformats.org/officeDocument/2006/relationships/hyperlink" Target="https://www.arista.com/assets/data/pdf/Datasheets/7060X_7260X_DS.pdf" TargetMode="External"/><Relationship Id="rId149" Type="http://schemas.openxmlformats.org/officeDocument/2006/relationships/hyperlink" Target="https://www.arista.com/en/products/platforms" TargetMode="External"/><Relationship Id="rId5" Type="http://schemas.openxmlformats.org/officeDocument/2006/relationships/hyperlink" Target="https://www.arista.com/en/products/platforms" TargetMode="External"/><Relationship Id="rId95" Type="http://schemas.openxmlformats.org/officeDocument/2006/relationships/hyperlink" Target="https://www.arista.com/en/products/platforms" TargetMode="External"/><Relationship Id="rId160" Type="http://schemas.openxmlformats.org/officeDocument/2006/relationships/hyperlink" Target="https://www.arista.com/assets/data/pdf/Datasheets/7050X3-Datasheet.pdf" TargetMode="External"/><Relationship Id="rId181" Type="http://schemas.openxmlformats.org/officeDocument/2006/relationships/hyperlink" Target="https://www.arista.com/en/products/platforms" TargetMode="External"/><Relationship Id="rId216" Type="http://schemas.openxmlformats.org/officeDocument/2006/relationships/hyperlink" Target="https://www.arista.com/assets/data/pdf/Datasheets/CCS-720XPM-Datasheet.pdf" TargetMode="External"/><Relationship Id="rId237" Type="http://schemas.openxmlformats.org/officeDocument/2006/relationships/hyperlink" Target="https://www.arista.com/en/products/platforms" TargetMode="External"/><Relationship Id="rId22" Type="http://schemas.openxmlformats.org/officeDocument/2006/relationships/hyperlink" Target="https://www.arista.com/assets/data/pdf/Datasheets/7700R4-Distributed-Etherlink-Switch-Datasheet.pdf" TargetMode="External"/><Relationship Id="rId43" Type="http://schemas.openxmlformats.org/officeDocument/2006/relationships/hyperlink" Target="https://www.arista.com/en/products/platforms" TargetMode="External"/><Relationship Id="rId64" Type="http://schemas.openxmlformats.org/officeDocument/2006/relationships/hyperlink" Target="https://www.arista.com/assets/data/pdf/Datasheets/7280R3-MACSec-Datasheet.pdf" TargetMode="External"/><Relationship Id="rId118" Type="http://schemas.openxmlformats.org/officeDocument/2006/relationships/hyperlink" Target="https://www.arista.com/assets/data/pdf/Datasheets/7060X4-Datasheet.pdf" TargetMode="External"/><Relationship Id="rId139" Type="http://schemas.openxmlformats.org/officeDocument/2006/relationships/hyperlink" Target="https://www.arista.com/en/products/platforms" TargetMode="External"/><Relationship Id="rId85" Type="http://schemas.openxmlformats.org/officeDocument/2006/relationships/hyperlink" Target="https://www.arista.com/en/products/platforms" TargetMode="External"/><Relationship Id="rId150" Type="http://schemas.openxmlformats.org/officeDocument/2006/relationships/hyperlink" Target="https://www.arista.com/assets/data/pdf/Datasheets/7050X3-Datasheet.pdf" TargetMode="External"/><Relationship Id="rId171" Type="http://schemas.openxmlformats.org/officeDocument/2006/relationships/hyperlink" Target="https://www.arista.com/en/products/platforms" TargetMode="External"/><Relationship Id="rId192" Type="http://schemas.openxmlformats.org/officeDocument/2006/relationships/hyperlink" Target="https://www.arista.com/assets/data/pdf/Datasheets/CCS-750-Series-Datasheet.pdf" TargetMode="External"/><Relationship Id="rId206" Type="http://schemas.openxmlformats.org/officeDocument/2006/relationships/hyperlink" Target="https://www.arista.com/assets/data/pdf/Datasheets/CCS-710HXP-Datasheet.pdf" TargetMode="External"/><Relationship Id="rId227" Type="http://schemas.openxmlformats.org/officeDocument/2006/relationships/hyperlink" Target="https://www.arista.com/en/products/platforms" TargetMode="External"/><Relationship Id="rId248" Type="http://schemas.openxmlformats.org/officeDocument/2006/relationships/hyperlink" Target="https://www.arista.com/assets/data/pdf/Datasheets/CCS-720D-Datasheet.pdf" TargetMode="External"/><Relationship Id="rId12" Type="http://schemas.openxmlformats.org/officeDocument/2006/relationships/hyperlink" Target="https://www.arista.com/assets/data/pdf/Datasheets/7800R3-Data-Sheet.pdf" TargetMode="External"/><Relationship Id="rId33" Type="http://schemas.openxmlformats.org/officeDocument/2006/relationships/hyperlink" Target="https://www.arista.com/en/products/platforms" TargetMode="External"/><Relationship Id="rId108" Type="http://schemas.openxmlformats.org/officeDocument/2006/relationships/hyperlink" Target="https://www.arista.com/assets/data/pdf/Datasheets/7060X6-Datasheet.pdf" TargetMode="External"/><Relationship Id="rId129" Type="http://schemas.openxmlformats.org/officeDocument/2006/relationships/hyperlink" Target="https://www.arista.com/en/products/platforms" TargetMode="External"/><Relationship Id="rId54" Type="http://schemas.openxmlformats.org/officeDocument/2006/relationships/hyperlink" Target="https://www.arista.com/assets/data/pdf/Datasheets/7280R3A-Modular-Datasheet.pdf" TargetMode="External"/><Relationship Id="rId75" Type="http://schemas.openxmlformats.org/officeDocument/2006/relationships/hyperlink" Target="https://www.arista.com/en/products/platforms" TargetMode="External"/><Relationship Id="rId96" Type="http://schemas.openxmlformats.org/officeDocument/2006/relationships/hyperlink" Target="https://www.arista.com/assets/data/pdf/Datasheets/7130-Connect-S-Series-Datasheet.pdf" TargetMode="External"/><Relationship Id="rId140" Type="http://schemas.openxmlformats.org/officeDocument/2006/relationships/hyperlink" Target="https://www.arista.com/assets/data/pdf/Datasheets/7050X4-Datasheet.pdf" TargetMode="External"/><Relationship Id="rId161" Type="http://schemas.openxmlformats.org/officeDocument/2006/relationships/hyperlink" Target="https://www.arista.com/en/products/platforms" TargetMode="External"/><Relationship Id="rId182" Type="http://schemas.openxmlformats.org/officeDocument/2006/relationships/hyperlink" Target="https://www.arista.com/assets/data/pdf/Datasheets/7010TX-Datasheet.pdf" TargetMode="External"/><Relationship Id="rId217" Type="http://schemas.openxmlformats.org/officeDocument/2006/relationships/hyperlink" Target="https://www.arista.com/en/products/platforms" TargetMode="External"/><Relationship Id="rId6" Type="http://schemas.openxmlformats.org/officeDocument/2006/relationships/hyperlink" Target="https://www.arista.com/assets/data/pdf/Datasheets/7800R4-Series-AI-Spine-Datasheet.pdf" TargetMode="External"/><Relationship Id="rId238" Type="http://schemas.openxmlformats.org/officeDocument/2006/relationships/hyperlink" Target="https://www.arista.com/assets/data/pdf/Datasheets/CCS-720D-Datasheet.pdf" TargetMode="External"/><Relationship Id="rId23" Type="http://schemas.openxmlformats.org/officeDocument/2006/relationships/hyperlink" Target="https://www.arista.com/en/products/platforms" TargetMode="External"/><Relationship Id="rId119" Type="http://schemas.openxmlformats.org/officeDocument/2006/relationships/hyperlink" Target="https://www.arista.com/en/products/platforms" TargetMode="External"/><Relationship Id="rId44" Type="http://schemas.openxmlformats.org/officeDocument/2006/relationships/hyperlink" Target="https://www.arista.com/assets/data/pdf/Datasheets/7368X4-Datasheet.pdf" TargetMode="External"/><Relationship Id="rId65" Type="http://schemas.openxmlformats.org/officeDocument/2006/relationships/hyperlink" Target="https://www.arista.com/en/products/platforms" TargetMode="External"/><Relationship Id="rId86" Type="http://schemas.openxmlformats.org/officeDocument/2006/relationships/hyperlink" Target="https://www.arista.com/assets/data/pdf/Datasheets/7132LB-Datasheet.pdf" TargetMode="External"/><Relationship Id="rId130" Type="http://schemas.openxmlformats.org/officeDocument/2006/relationships/hyperlink" Target="https://www.arista.com/assets/data/pdf/Datasheets/7060X_7260X_DS.pdf" TargetMode="External"/><Relationship Id="rId151" Type="http://schemas.openxmlformats.org/officeDocument/2006/relationships/hyperlink" Target="https://www.arista.com/en/products/platforms" TargetMode="External"/><Relationship Id="rId172" Type="http://schemas.openxmlformats.org/officeDocument/2006/relationships/hyperlink" Target="https://www.arista.com/assets/data/pdf/Datasheets/7020R-48_Datasheet.pdf" TargetMode="External"/><Relationship Id="rId193" Type="http://schemas.openxmlformats.org/officeDocument/2006/relationships/hyperlink" Target="https://www.arista.com/en/products/platforms" TargetMode="External"/><Relationship Id="rId207" Type="http://schemas.openxmlformats.org/officeDocument/2006/relationships/hyperlink" Target="https://www.arista.com/en/products/platforms" TargetMode="External"/><Relationship Id="rId228" Type="http://schemas.openxmlformats.org/officeDocument/2006/relationships/hyperlink" Target="https://www.arista.com/assets/data/pdf/Datasheets/CCS-720XP-Datasheet.pdf" TargetMode="External"/><Relationship Id="rId249" Type="http://schemas.openxmlformats.org/officeDocument/2006/relationships/hyperlink" Target="https://www.arista.com/en/products/platforms" TargetMode="External"/><Relationship Id="rId13" Type="http://schemas.openxmlformats.org/officeDocument/2006/relationships/hyperlink" Target="https://www.arista.com/en/products/platforms" TargetMode="External"/><Relationship Id="rId109" Type="http://schemas.openxmlformats.org/officeDocument/2006/relationships/hyperlink" Target="https://www.arista.com/en/products/platforms" TargetMode="External"/><Relationship Id="rId34" Type="http://schemas.openxmlformats.org/officeDocument/2006/relationships/hyperlink" Target="https://www.arista.com/assets/data/pdf/Datasheets/7500RDataSheet.pdf" TargetMode="External"/><Relationship Id="rId55" Type="http://schemas.openxmlformats.org/officeDocument/2006/relationships/hyperlink" Target="https://www.arista.com/en/products/platforms" TargetMode="External"/><Relationship Id="rId76" Type="http://schemas.openxmlformats.org/officeDocument/2006/relationships/hyperlink" Target="https://www.arista.com/assets/data/pdf/Datasheets/7280R3A-Datasheet.pdf" TargetMode="External"/><Relationship Id="rId97" Type="http://schemas.openxmlformats.org/officeDocument/2006/relationships/hyperlink" Target="https://www.arista.com/en/products/platforms" TargetMode="External"/><Relationship Id="rId120" Type="http://schemas.openxmlformats.org/officeDocument/2006/relationships/hyperlink" Target="https://www.arista.com/assets/data/pdf/Datasheets/7060X4-Datasheet.pdf" TargetMode="External"/><Relationship Id="rId141" Type="http://schemas.openxmlformats.org/officeDocument/2006/relationships/hyperlink" Target="https://www.arista.com/en/products/platforms" TargetMode="External"/><Relationship Id="rId7" Type="http://schemas.openxmlformats.org/officeDocument/2006/relationships/hyperlink" Target="https://www.arista.com/en/products/platforms" TargetMode="External"/><Relationship Id="rId162" Type="http://schemas.openxmlformats.org/officeDocument/2006/relationships/hyperlink" Target="https://www.arista.com/assets/data/pdf/Datasheets/7050X3-macsec-Datasheet.pdf" TargetMode="External"/><Relationship Id="rId183" Type="http://schemas.openxmlformats.org/officeDocument/2006/relationships/hyperlink" Target="https://www.arista.com/en/products/platforms" TargetMode="External"/><Relationship Id="rId218" Type="http://schemas.openxmlformats.org/officeDocument/2006/relationships/hyperlink" Target="https://www.arista.com/assets/data/pdf/Datasheets/CCS-720XPM-Datasheet.pdf" TargetMode="External"/><Relationship Id="rId239" Type="http://schemas.openxmlformats.org/officeDocument/2006/relationships/hyperlink" Target="https://www.arista.com/en/products/platforms" TargetMode="External"/><Relationship Id="rId250" Type="http://schemas.openxmlformats.org/officeDocument/2006/relationships/hyperlink" Target="https://www.arista.com/assets/data/pdf/Datasheets/CCS-710P-Datasheet.pdf" TargetMode="External"/><Relationship Id="rId24" Type="http://schemas.openxmlformats.org/officeDocument/2006/relationships/hyperlink" Target="https://www.arista.com/assets/data/pdf/Datasheets/7500R3-Data-Sheet.pdf" TargetMode="External"/><Relationship Id="rId45" Type="http://schemas.openxmlformats.org/officeDocument/2006/relationships/hyperlink" Target="https://www.arista.com/en/products/platforms" TargetMode="External"/><Relationship Id="rId66" Type="http://schemas.openxmlformats.org/officeDocument/2006/relationships/hyperlink" Target="https://www.arista.com/assets/data/pdf/Datasheets/7280R3-Data-Sheet.pdf" TargetMode="External"/><Relationship Id="rId87" Type="http://schemas.openxmlformats.org/officeDocument/2006/relationships/hyperlink" Target="https://www.arista.com/en/products/platforms" TargetMode="External"/><Relationship Id="rId110" Type="http://schemas.openxmlformats.org/officeDocument/2006/relationships/hyperlink" Target="https://www.arista.com/assets/data/pdf/Datasheets/7060X5-Datasheet.pdf" TargetMode="External"/><Relationship Id="rId131" Type="http://schemas.openxmlformats.org/officeDocument/2006/relationships/hyperlink" Target="https://www.arista.com/en/products/platforms" TargetMode="External"/><Relationship Id="rId152" Type="http://schemas.openxmlformats.org/officeDocument/2006/relationships/hyperlink" Target="https://www.arista.com/assets/data/pdf/Datasheets/7050X3-Datasheet.pdf" TargetMode="External"/><Relationship Id="rId173" Type="http://schemas.openxmlformats.org/officeDocument/2006/relationships/hyperlink" Target="https://www.arista.com/en/products/platforms" TargetMode="External"/><Relationship Id="rId194" Type="http://schemas.openxmlformats.org/officeDocument/2006/relationships/hyperlink" Target="https://www.arista.com/assets/data/pdf/Datasheets/CCS-750-Series-Datasheet.pdf" TargetMode="External"/><Relationship Id="rId208" Type="http://schemas.openxmlformats.org/officeDocument/2006/relationships/hyperlink" Target="https://www.arista.com/assets/data/pdf/Datasheets/CCS-710HXP-Datasheet.pdf" TargetMode="External"/><Relationship Id="rId229" Type="http://schemas.openxmlformats.org/officeDocument/2006/relationships/hyperlink" Target="https://www.arista.com/en/products/platforms" TargetMode="External"/><Relationship Id="rId240" Type="http://schemas.openxmlformats.org/officeDocument/2006/relationships/hyperlink" Target="https://www.arista.com/assets/data/pdf/Datasheets/CCS-720D-Datasheet.pdf" TargetMode="External"/><Relationship Id="rId14" Type="http://schemas.openxmlformats.org/officeDocument/2006/relationships/hyperlink" Target="https://www.arista.com/assets/data/pdf/Datasheets/7800R3-Data-Sheet.pdf" TargetMode="External"/><Relationship Id="rId35" Type="http://schemas.openxmlformats.org/officeDocument/2006/relationships/hyperlink" Target="https://www.arista.com/en/products/platforms" TargetMode="External"/><Relationship Id="rId56" Type="http://schemas.openxmlformats.org/officeDocument/2006/relationships/hyperlink" Target="https://www.arista.com/assets/data/pdf/Datasheets/7280R3A-Datasheet.pdf" TargetMode="External"/><Relationship Id="rId77" Type="http://schemas.openxmlformats.org/officeDocument/2006/relationships/hyperlink" Target="https://www.arista.com/en/products/platforms" TargetMode="External"/><Relationship Id="rId100" Type="http://schemas.openxmlformats.org/officeDocument/2006/relationships/hyperlink" Target="https://www.arista.com/assets/data/pdf/Datasheets/7060XE7-Datasheet.pdf" TargetMode="External"/><Relationship Id="rId8" Type="http://schemas.openxmlformats.org/officeDocument/2006/relationships/hyperlink" Target="https://www.arista.com/assets/data/pdf/Datasheets/7800R4-Series-AI-Spine-Datasheet.pdf" TargetMode="External"/><Relationship Id="rId98" Type="http://schemas.openxmlformats.org/officeDocument/2006/relationships/hyperlink" Target="https://www.arista.com/assets/data/pdf/Datasheets/7060XE7-Datasheet.pdf" TargetMode="External"/><Relationship Id="rId121" Type="http://schemas.openxmlformats.org/officeDocument/2006/relationships/hyperlink" Target="https://www.arista.com/en/products/platforms" TargetMode="External"/><Relationship Id="rId142" Type="http://schemas.openxmlformats.org/officeDocument/2006/relationships/hyperlink" Target="https://www.arista.com/assets/data/pdf/Datasheets/7050X4-Datasheet.pdf" TargetMode="External"/><Relationship Id="rId163" Type="http://schemas.openxmlformats.org/officeDocument/2006/relationships/hyperlink" Target="https://www.arista.com/en/products/platforms" TargetMode="External"/><Relationship Id="rId184" Type="http://schemas.openxmlformats.org/officeDocument/2006/relationships/hyperlink" Target="https://www.arista.com/assets/data/pdf/Datasheets/CCS-750-Series-Datasheet.pdf" TargetMode="External"/><Relationship Id="rId219" Type="http://schemas.openxmlformats.org/officeDocument/2006/relationships/hyperlink" Target="https://www.arista.com/en/products/platforms" TargetMode="External"/><Relationship Id="rId230" Type="http://schemas.openxmlformats.org/officeDocument/2006/relationships/hyperlink" Target="https://www.arista.com/assets/data/pdf/Datasheets/CCS-720XP-Datasheet.pdf" TargetMode="External"/><Relationship Id="rId251" Type="http://schemas.openxmlformats.org/officeDocument/2006/relationships/hyperlink" Target="https://www.arista.com/en/products/platforms" TargetMode="External"/><Relationship Id="rId25" Type="http://schemas.openxmlformats.org/officeDocument/2006/relationships/hyperlink" Target="https://www.arista.com/en/products/platforms" TargetMode="External"/><Relationship Id="rId46" Type="http://schemas.openxmlformats.org/officeDocument/2006/relationships/hyperlink" Target="https://www.arista.com/assets/data/pdf/Datasheets/7358X4-Datasheet.pdf" TargetMode="External"/><Relationship Id="rId67" Type="http://schemas.openxmlformats.org/officeDocument/2006/relationships/hyperlink" Target="https://www.arista.com/en/products/platforms" TargetMode="External"/><Relationship Id="rId88" Type="http://schemas.openxmlformats.org/officeDocument/2006/relationships/hyperlink" Target="https://www.arista.com/assets/data/pdf/Datasheets/7135LB-Datasheet.pdf" TargetMode="External"/><Relationship Id="rId111" Type="http://schemas.openxmlformats.org/officeDocument/2006/relationships/hyperlink" Target="https://www.arista.com/en/products/platforms" TargetMode="External"/><Relationship Id="rId132" Type="http://schemas.openxmlformats.org/officeDocument/2006/relationships/hyperlink" Target="https://www.arista.com/assets/data/pdf/Datasheets/7060X_7260X_DS.pdf" TargetMode="External"/><Relationship Id="rId153" Type="http://schemas.openxmlformats.org/officeDocument/2006/relationships/hyperlink" Target="https://www.arista.com/en/products/platforms" TargetMode="External"/><Relationship Id="rId174" Type="http://schemas.openxmlformats.org/officeDocument/2006/relationships/hyperlink" Target="https://www.arista.com/assets/data/pdf/Datasheets/7020R-48_Datasheet.pdf" TargetMode="External"/><Relationship Id="rId195" Type="http://schemas.openxmlformats.org/officeDocument/2006/relationships/hyperlink" Target="https://www.arista.com/en/products/platforms" TargetMode="External"/><Relationship Id="rId209" Type="http://schemas.openxmlformats.org/officeDocument/2006/relationships/hyperlink" Target="https://www.arista.com/en/products/platforms" TargetMode="External"/><Relationship Id="rId220" Type="http://schemas.openxmlformats.org/officeDocument/2006/relationships/hyperlink" Target="https://www.arista.com/assets/data/pdf/Datasheets/CCS-720XP-Datasheet.pdf" TargetMode="External"/><Relationship Id="rId241" Type="http://schemas.openxmlformats.org/officeDocument/2006/relationships/hyperlink" Target="https://www.arista.com/en/products/platforms" TargetMode="External"/><Relationship Id="rId15" Type="http://schemas.openxmlformats.org/officeDocument/2006/relationships/hyperlink" Target="https://www.arista.com/en/products/platforms" TargetMode="External"/><Relationship Id="rId36" Type="http://schemas.openxmlformats.org/officeDocument/2006/relationships/hyperlink" Target="https://www.arista.com/assets/data/pdf/Datasheets/7500RDataSheet.pdf" TargetMode="External"/><Relationship Id="rId57" Type="http://schemas.openxmlformats.org/officeDocument/2006/relationships/hyperlink" Target="https://www.arista.com/en/products/platforms" TargetMode="External"/><Relationship Id="rId78" Type="http://schemas.openxmlformats.org/officeDocument/2006/relationships/hyperlink" Target="https://www.arista.com/assets/data/pdf/Datasheets/7280R3-Data-Sheet.pdf" TargetMode="External"/><Relationship Id="rId99" Type="http://schemas.openxmlformats.org/officeDocument/2006/relationships/hyperlink" Target="https://www.arista.com/en/products/platforms" TargetMode="External"/><Relationship Id="rId101" Type="http://schemas.openxmlformats.org/officeDocument/2006/relationships/hyperlink" Target="https://www.arista.com/en/products/platforms" TargetMode="External"/><Relationship Id="rId122" Type="http://schemas.openxmlformats.org/officeDocument/2006/relationships/hyperlink" Target="https://www.arista.com/assets/data/pdf/Datasheets/7060X_7260X_DS.pdf" TargetMode="External"/><Relationship Id="rId143" Type="http://schemas.openxmlformats.org/officeDocument/2006/relationships/hyperlink" Target="https://www.arista.com/en/products/platforms" TargetMode="External"/><Relationship Id="rId164" Type="http://schemas.openxmlformats.org/officeDocument/2006/relationships/hyperlink" Target="https://www.arista.com/assets/data/pdf/Datasheets/7050QX-32_32S_Datasheet_S.pdf" TargetMode="External"/><Relationship Id="rId185" Type="http://schemas.openxmlformats.org/officeDocument/2006/relationships/hyperlink" Target="https://www.arista.com/en/products/platforms" TargetMode="External"/><Relationship Id="rId9" Type="http://schemas.openxmlformats.org/officeDocument/2006/relationships/hyperlink" Target="https://www.arista.com/en/products/platforms" TargetMode="External"/><Relationship Id="rId210" Type="http://schemas.openxmlformats.org/officeDocument/2006/relationships/hyperlink" Target="https://www.arista.com/assets/data/pdf/Datasheets/CCS-710XP-Datasheet.pdf" TargetMode="External"/><Relationship Id="rId26" Type="http://schemas.openxmlformats.org/officeDocument/2006/relationships/hyperlink" Target="https://www.arista.com/assets/data/pdf/Datasheets/7500R3-Data-Sheet.pdf" TargetMode="External"/><Relationship Id="rId231" Type="http://schemas.openxmlformats.org/officeDocument/2006/relationships/hyperlink" Target="https://www.arista.com/en/products/platforms" TargetMode="External"/><Relationship Id="rId252" Type="http://schemas.openxmlformats.org/officeDocument/2006/relationships/hyperlink" Target="https://www.arista.com/assets/data/pdf/Datasheets/CCS-710P-Datasheet.pdf" TargetMode="External"/><Relationship Id="rId47" Type="http://schemas.openxmlformats.org/officeDocument/2006/relationships/hyperlink" Target="https://www.arista.com/en/products/platforms" TargetMode="External"/><Relationship Id="rId68" Type="http://schemas.openxmlformats.org/officeDocument/2006/relationships/hyperlink" Target="https://www.arista.com/assets/data/pdf/Datasheets/7280R3-Data-Sheet.pdf" TargetMode="External"/><Relationship Id="rId89" Type="http://schemas.openxmlformats.org/officeDocument/2006/relationships/hyperlink" Target="https://www.arista.com/en/products/platforms" TargetMode="External"/><Relationship Id="rId112" Type="http://schemas.openxmlformats.org/officeDocument/2006/relationships/hyperlink" Target="https://www.arista.com/assets/data/pdf/Datasheets/7060X5-Datasheet.pdf" TargetMode="External"/><Relationship Id="rId133" Type="http://schemas.openxmlformats.org/officeDocument/2006/relationships/hyperlink" Target="https://www.arista.com/en/products/platforms" TargetMode="External"/><Relationship Id="rId154" Type="http://schemas.openxmlformats.org/officeDocument/2006/relationships/hyperlink" Target="https://www.arista.com/assets/data/pdf/Datasheets/7050X3-Datasheet.pdf" TargetMode="External"/><Relationship Id="rId175" Type="http://schemas.openxmlformats.org/officeDocument/2006/relationships/hyperlink" Target="https://www.arista.com/en/products/platforms" TargetMode="External"/><Relationship Id="rId196" Type="http://schemas.openxmlformats.org/officeDocument/2006/relationships/hyperlink" Target="https://www.arista.com/assets/data/pdf/Datasheets/CCS-750-Series-Datasheet.pdf" TargetMode="External"/><Relationship Id="rId200" Type="http://schemas.openxmlformats.org/officeDocument/2006/relationships/hyperlink" Target="https://www.arista.com/assets/data/pdf/Datasheets/CCS-750-Series-Datasheet.pdf" TargetMode="External"/><Relationship Id="rId16" Type="http://schemas.openxmlformats.org/officeDocument/2006/relationships/hyperlink" Target="https://www.arista.com/assets/data/pdf/Datasheets/7800R3-Data-Sheet.pdf" TargetMode="External"/><Relationship Id="rId221" Type="http://schemas.openxmlformats.org/officeDocument/2006/relationships/hyperlink" Target="https://www.arista.com/en/products/platforms" TargetMode="External"/><Relationship Id="rId242" Type="http://schemas.openxmlformats.org/officeDocument/2006/relationships/hyperlink" Target="https://www.arista.com/assets/data/pdf/Datasheets/CCS-720D-Datasheet.pdf" TargetMode="External"/><Relationship Id="rId37" Type="http://schemas.openxmlformats.org/officeDocument/2006/relationships/hyperlink" Target="https://www.arista.com/en/products/platforms" TargetMode="External"/><Relationship Id="rId58" Type="http://schemas.openxmlformats.org/officeDocument/2006/relationships/hyperlink" Target="https://www.arista.com/assets/data/pdf/Datasheets/7280R3A-Datasheet.pdf" TargetMode="External"/><Relationship Id="rId79" Type="http://schemas.openxmlformats.org/officeDocument/2006/relationships/hyperlink" Target="https://www.arista.com/en/products/platforms" TargetMode="External"/><Relationship Id="rId102" Type="http://schemas.openxmlformats.org/officeDocument/2006/relationships/hyperlink" Target="https://www.arista.com/assets/data/pdf/Datasheets/7060XE7-Datasheet.pdf" TargetMode="External"/><Relationship Id="rId123" Type="http://schemas.openxmlformats.org/officeDocument/2006/relationships/hyperlink" Target="https://www.arista.com/en/products/platforms" TargetMode="External"/><Relationship Id="rId144" Type="http://schemas.openxmlformats.org/officeDocument/2006/relationships/hyperlink" Target="https://www.arista.com/assets/data/pdf/Datasheets/7050X4-Datasheet.pdf" TargetMode="External"/><Relationship Id="rId90" Type="http://schemas.openxmlformats.org/officeDocument/2006/relationships/hyperlink" Target="https://www.arista.com/assets/data/pdf/Datasheets/7130E-Series-Data-Sheet.pdf" TargetMode="External"/><Relationship Id="rId165" Type="http://schemas.openxmlformats.org/officeDocument/2006/relationships/hyperlink" Target="https://www.arista.com/en/products/platforms" TargetMode="External"/><Relationship Id="rId186" Type="http://schemas.openxmlformats.org/officeDocument/2006/relationships/hyperlink" Target="https://www.arista.com/assets/data/pdf/Datasheets/CCS-750-Series-Datasheet.pdf" TargetMode="External"/><Relationship Id="rId211" Type="http://schemas.openxmlformats.org/officeDocument/2006/relationships/hyperlink" Target="https://www.arista.com/en/products/platforms" TargetMode="External"/><Relationship Id="rId232" Type="http://schemas.openxmlformats.org/officeDocument/2006/relationships/hyperlink" Target="https://www.arista.com/assets/data/pdf/Datasheets/CCS-722XP-Datasheet.pdf" TargetMode="External"/><Relationship Id="rId253" Type="http://schemas.openxmlformats.org/officeDocument/2006/relationships/drawing" Target="../drawings/drawing1.xml"/><Relationship Id="rId27" Type="http://schemas.openxmlformats.org/officeDocument/2006/relationships/hyperlink" Target="https://www.arista.com/en/products/platforms" TargetMode="External"/><Relationship Id="rId48" Type="http://schemas.openxmlformats.org/officeDocument/2006/relationships/hyperlink" Target="https://www.arista.com/assets/data/pdf/Datasheets/7280R4-Series-Datasheet.pdf" TargetMode="External"/><Relationship Id="rId69" Type="http://schemas.openxmlformats.org/officeDocument/2006/relationships/hyperlink" Target="https://www.arista.com/en/products/platforms" TargetMode="External"/><Relationship Id="rId113" Type="http://schemas.openxmlformats.org/officeDocument/2006/relationships/hyperlink" Target="https://www.arista.com/en/products/platforms" TargetMode="External"/><Relationship Id="rId134" Type="http://schemas.openxmlformats.org/officeDocument/2006/relationships/hyperlink" Target="https://www.arista.com/assets/data/pdf/Datasheets/7050X4-Datasheet.pdf" TargetMode="External"/><Relationship Id="rId80" Type="http://schemas.openxmlformats.org/officeDocument/2006/relationships/hyperlink" Target="https://www.arista.com/assets/data/pdf/Datasheets/7280R3-Data-Sheet.pdf" TargetMode="External"/><Relationship Id="rId155" Type="http://schemas.openxmlformats.org/officeDocument/2006/relationships/hyperlink" Target="https://www.arista.com/en/products/platforms" TargetMode="External"/><Relationship Id="rId176" Type="http://schemas.openxmlformats.org/officeDocument/2006/relationships/hyperlink" Target="https://www.arista.com/assets/data/pdf/Datasheets/7020R-48_Datasheet.pdf" TargetMode="External"/><Relationship Id="rId197" Type="http://schemas.openxmlformats.org/officeDocument/2006/relationships/hyperlink" Target="https://www.arista.com/en/products/platforms" TargetMode="External"/><Relationship Id="rId201" Type="http://schemas.openxmlformats.org/officeDocument/2006/relationships/hyperlink" Target="https://www.arista.com/en/products/platforms" TargetMode="External"/><Relationship Id="rId222" Type="http://schemas.openxmlformats.org/officeDocument/2006/relationships/hyperlink" Target="https://www.arista.com/assets/data/pdf/Datasheets/CCS-720XP-Datasheet.pdf" TargetMode="External"/><Relationship Id="rId243" Type="http://schemas.openxmlformats.org/officeDocument/2006/relationships/hyperlink" Target="https://www.arista.com/en/products/platforms" TargetMode="External"/><Relationship Id="rId17" Type="http://schemas.openxmlformats.org/officeDocument/2006/relationships/hyperlink" Target="https://www.arista.com/en/products/platforms" TargetMode="External"/><Relationship Id="rId38" Type="http://schemas.openxmlformats.org/officeDocument/2006/relationships/hyperlink" Target="https://www.arista.com/assets/data/pdf/Datasheets/7300X3-Datasheet.pdf" TargetMode="External"/><Relationship Id="rId59" Type="http://schemas.openxmlformats.org/officeDocument/2006/relationships/hyperlink" Target="https://www.arista.com/en/products/platforms" TargetMode="External"/><Relationship Id="rId103" Type="http://schemas.openxmlformats.org/officeDocument/2006/relationships/hyperlink" Target="https://www.arista.com/en/products/platforms" TargetMode="External"/><Relationship Id="rId124" Type="http://schemas.openxmlformats.org/officeDocument/2006/relationships/hyperlink" Target="https://www.arista.com/assets/data/pdf/Datasheets/7260X3_Datasheet.pdf" TargetMode="External"/><Relationship Id="rId70" Type="http://schemas.openxmlformats.org/officeDocument/2006/relationships/hyperlink" Target="https://www.arista.com/assets/data/pdf/Datasheets/7280R3A-Datasheet.pdf" TargetMode="External"/><Relationship Id="rId91" Type="http://schemas.openxmlformats.org/officeDocument/2006/relationships/hyperlink" Target="https://www.arista.com/en/products/platforms" TargetMode="External"/><Relationship Id="rId145" Type="http://schemas.openxmlformats.org/officeDocument/2006/relationships/hyperlink" Target="https://www.arista.com/en/products/platforms" TargetMode="External"/><Relationship Id="rId166" Type="http://schemas.openxmlformats.org/officeDocument/2006/relationships/hyperlink" Target="https://www.arista.com/assets/data/pdf/Datasheets/7020R4-Datasheet.pdf" TargetMode="External"/><Relationship Id="rId187" Type="http://schemas.openxmlformats.org/officeDocument/2006/relationships/hyperlink" Target="https://www.arista.com/en/products/platforms" TargetMode="External"/><Relationship Id="rId1" Type="http://schemas.openxmlformats.org/officeDocument/2006/relationships/hyperlink" Target="https://www.arista.com/en/products/platforms" TargetMode="External"/><Relationship Id="rId212" Type="http://schemas.openxmlformats.org/officeDocument/2006/relationships/hyperlink" Target="https://www.arista.com/assets/data/pdf/Datasheets/CCS-710XP-Datasheet.pdf" TargetMode="External"/><Relationship Id="rId233" Type="http://schemas.openxmlformats.org/officeDocument/2006/relationships/hyperlink" Target="https://www.arista.com/en/products/platforms" TargetMode="External"/><Relationship Id="rId254" Type="http://schemas.openxmlformats.org/officeDocument/2006/relationships/vmlDrawing" Target="../drawings/vmlDrawing1.vml"/><Relationship Id="rId28" Type="http://schemas.openxmlformats.org/officeDocument/2006/relationships/hyperlink" Target="https://www.arista.com/assets/data/pdf/Datasheets/7500R3-Data-Sheet.pdf" TargetMode="External"/><Relationship Id="rId49" Type="http://schemas.openxmlformats.org/officeDocument/2006/relationships/hyperlink" Target="https://www.arista.com/en/products/platforms" TargetMode="External"/><Relationship Id="rId114" Type="http://schemas.openxmlformats.org/officeDocument/2006/relationships/hyperlink" Target="https://www.arista.com/assets/data/pdf/Datasheets/7060X5-Datasheet.pdf" TargetMode="External"/><Relationship Id="rId60" Type="http://schemas.openxmlformats.org/officeDocument/2006/relationships/hyperlink" Target="https://www.arista.com/assets/data/pdf/Datasheets/7280R3-Data-Sheet.pdf" TargetMode="External"/><Relationship Id="rId81" Type="http://schemas.openxmlformats.org/officeDocument/2006/relationships/hyperlink" Target="https://www.arista.com/en/products/platforms" TargetMode="External"/><Relationship Id="rId135" Type="http://schemas.openxmlformats.org/officeDocument/2006/relationships/hyperlink" Target="https://www.arista.com/en/products/platforms" TargetMode="External"/><Relationship Id="rId156" Type="http://schemas.openxmlformats.org/officeDocument/2006/relationships/hyperlink" Target="https://www.arista.com/assets/data/pdf/Datasheets/7050X3-Datasheet.pdf" TargetMode="External"/><Relationship Id="rId177" Type="http://schemas.openxmlformats.org/officeDocument/2006/relationships/hyperlink" Target="https://www.arista.com/en/products/platforms" TargetMode="External"/><Relationship Id="rId198" Type="http://schemas.openxmlformats.org/officeDocument/2006/relationships/hyperlink" Target="https://www.arista.com/assets/data/pdf/Datasheets/CCS-750-Series-Datasheet.pdf" TargetMode="External"/><Relationship Id="rId202" Type="http://schemas.openxmlformats.org/officeDocument/2006/relationships/hyperlink" Target="https://www.arista.com/assets/data/pdf/Datasheets/CCS-750-Series-Datasheet.pdf" TargetMode="External"/><Relationship Id="rId223" Type="http://schemas.openxmlformats.org/officeDocument/2006/relationships/hyperlink" Target="https://www.arista.com/en/products/platforms" TargetMode="External"/><Relationship Id="rId244" Type="http://schemas.openxmlformats.org/officeDocument/2006/relationships/hyperlink" Target="https://www.arista.com/assets/data/pdf/Datasheets/CCS-720D-Datasheet.pdf" TargetMode="External"/><Relationship Id="rId18" Type="http://schemas.openxmlformats.org/officeDocument/2006/relationships/hyperlink" Target="https://www.arista.com/assets/data/pdf/Datasheets/7800R3-Data-Sheet.pdf" TargetMode="External"/><Relationship Id="rId39" Type="http://schemas.openxmlformats.org/officeDocument/2006/relationships/hyperlink" Target="https://www.arista.com/en/products/platforms" TargetMode="External"/><Relationship Id="rId50" Type="http://schemas.openxmlformats.org/officeDocument/2006/relationships/hyperlink" Target="https://www.arista.com/assets/data/pdf/Datasheets/7280R4-Series-Datasheet.pdf" TargetMode="External"/><Relationship Id="rId104" Type="http://schemas.openxmlformats.org/officeDocument/2006/relationships/hyperlink" Target="https://www.arista.com/assets/data/pdf/Datasheets/7060XE7-Datasheet.pdf" TargetMode="External"/><Relationship Id="rId125" Type="http://schemas.openxmlformats.org/officeDocument/2006/relationships/hyperlink" Target="https://www.arista.com/en/products/platforms" TargetMode="External"/><Relationship Id="rId146" Type="http://schemas.openxmlformats.org/officeDocument/2006/relationships/hyperlink" Target="https://www.arista.com/assets/data/pdf/Datasheets/7050X4-Datasheet.pdf" TargetMode="External"/><Relationship Id="rId167" Type="http://schemas.openxmlformats.org/officeDocument/2006/relationships/hyperlink" Target="https://www.arista.com/en/products/platforms" TargetMode="External"/><Relationship Id="rId188" Type="http://schemas.openxmlformats.org/officeDocument/2006/relationships/hyperlink" Target="https://www.arista.com/assets/data/pdf/Datasheets/CCS-750-Series-Datasheet.pdf" TargetMode="External"/><Relationship Id="rId71" Type="http://schemas.openxmlformats.org/officeDocument/2006/relationships/hyperlink" Target="https://www.arista.com/en/products/platforms" TargetMode="External"/><Relationship Id="rId92" Type="http://schemas.openxmlformats.org/officeDocument/2006/relationships/hyperlink" Target="https://www.arista.com/assets/data/pdf/Datasheets/7130LS-Series-Data-Sheet.pdf" TargetMode="External"/><Relationship Id="rId213" Type="http://schemas.openxmlformats.org/officeDocument/2006/relationships/hyperlink" Target="https://www.arista.com/en/products/platforms" TargetMode="External"/><Relationship Id="rId234" Type="http://schemas.openxmlformats.org/officeDocument/2006/relationships/hyperlink" Target="https://www.arista.com/assets/data/pdf/Datasheets/CCS-722XP-Datasheet.pdf" TargetMode="External"/><Relationship Id="rId2" Type="http://schemas.openxmlformats.org/officeDocument/2006/relationships/hyperlink" Target="https://www.arista.com/assets/data/pdf/Datasheets/7800R4-Series-AI-Spine-Datasheet.pdf" TargetMode="External"/><Relationship Id="rId29" Type="http://schemas.openxmlformats.org/officeDocument/2006/relationships/hyperlink" Target="https://www.arista.com/en/products/platforms" TargetMode="External"/><Relationship Id="rId255" Type="http://schemas.openxmlformats.org/officeDocument/2006/relationships/comments" Target="../comments1.xml"/><Relationship Id="rId40" Type="http://schemas.openxmlformats.org/officeDocument/2006/relationships/hyperlink" Target="https://www.arista.com/assets/data/pdf/Datasheets/7300X3-Datasheet.pdf" TargetMode="External"/><Relationship Id="rId115" Type="http://schemas.openxmlformats.org/officeDocument/2006/relationships/hyperlink" Target="https://www.arista.com/en/products/platforms" TargetMode="External"/><Relationship Id="rId136" Type="http://schemas.openxmlformats.org/officeDocument/2006/relationships/hyperlink" Target="https://www.arista.com/assets/data/pdf/Datasheets/7050X4-Datasheet.pdf" TargetMode="External"/><Relationship Id="rId157" Type="http://schemas.openxmlformats.org/officeDocument/2006/relationships/hyperlink" Target="https://www.arista.com/en/products/platforms" TargetMode="External"/><Relationship Id="rId178" Type="http://schemas.openxmlformats.org/officeDocument/2006/relationships/hyperlink" Target="https://www.arista.com/assets/data/pdf/Datasheets/7020R-48_Datasheet.pdf" TargetMode="External"/><Relationship Id="rId61" Type="http://schemas.openxmlformats.org/officeDocument/2006/relationships/hyperlink" Target="https://www.arista.com/en/products/platforms" TargetMode="External"/><Relationship Id="rId82" Type="http://schemas.openxmlformats.org/officeDocument/2006/relationships/hyperlink" Target="https://www.arista.com/assets/data/pdf/Datasheets/7135V-Datasheet.pdf" TargetMode="External"/><Relationship Id="rId199" Type="http://schemas.openxmlformats.org/officeDocument/2006/relationships/hyperlink" Target="https://www.arista.com/en/products/platforms" TargetMode="External"/><Relationship Id="rId203" Type="http://schemas.openxmlformats.org/officeDocument/2006/relationships/hyperlink" Target="https://www.arista.com/en/products/platforms" TargetMode="External"/><Relationship Id="rId19" Type="http://schemas.openxmlformats.org/officeDocument/2006/relationships/hyperlink" Target="https://www.arista.com/en/products/platforms" TargetMode="External"/><Relationship Id="rId224" Type="http://schemas.openxmlformats.org/officeDocument/2006/relationships/hyperlink" Target="https://www.arista.com/assets/data/pdf/Datasheets/CCS-720XP-Datasheet.pdf" TargetMode="External"/><Relationship Id="rId245" Type="http://schemas.openxmlformats.org/officeDocument/2006/relationships/hyperlink" Target="https://www.arista.com/en/products/platforms" TargetMode="External"/><Relationship Id="rId30" Type="http://schemas.openxmlformats.org/officeDocument/2006/relationships/hyperlink" Target="https://www.arista.com/assets/data/pdf/Datasheets/7500RDataSheet.pdf" TargetMode="External"/><Relationship Id="rId105" Type="http://schemas.openxmlformats.org/officeDocument/2006/relationships/hyperlink" Target="https://www.arista.com/en/products/platforms" TargetMode="External"/><Relationship Id="rId126" Type="http://schemas.openxmlformats.org/officeDocument/2006/relationships/hyperlink" Target="https://www.arista.com/assets/data/pdf/Datasheets/7060X_7260X_DS.pdf" TargetMode="External"/><Relationship Id="rId147" Type="http://schemas.openxmlformats.org/officeDocument/2006/relationships/hyperlink" Target="https://www.arista.com/en/products/platforms" TargetMode="External"/><Relationship Id="rId168" Type="http://schemas.openxmlformats.org/officeDocument/2006/relationships/hyperlink" Target="https://www.arista.com/assets/data/pdf/Datasheets/7020R4-Datasheet.pdf" TargetMode="External"/><Relationship Id="rId51" Type="http://schemas.openxmlformats.org/officeDocument/2006/relationships/hyperlink" Target="https://www.arista.com/en/products/platforms" TargetMode="External"/><Relationship Id="rId72" Type="http://schemas.openxmlformats.org/officeDocument/2006/relationships/hyperlink" Target="https://www.arista.com/assets/data/pdf/Datasheets/7280R3-Data-Sheet.pdf" TargetMode="External"/><Relationship Id="rId93" Type="http://schemas.openxmlformats.org/officeDocument/2006/relationships/hyperlink" Target="https://www.arista.com/en/products/platforms" TargetMode="External"/><Relationship Id="rId189" Type="http://schemas.openxmlformats.org/officeDocument/2006/relationships/hyperlink" Target="https://www.arista.com/en/products/platforms" TargetMode="External"/><Relationship Id="rId3" Type="http://schemas.openxmlformats.org/officeDocument/2006/relationships/hyperlink" Target="https://www.arista.com/en/products/platforms" TargetMode="External"/><Relationship Id="rId214" Type="http://schemas.openxmlformats.org/officeDocument/2006/relationships/hyperlink" Target="https://www.arista.com/assets/data/pdf/Datasheets/CCS-720XPM-Datasheet.pdf" TargetMode="External"/><Relationship Id="rId235" Type="http://schemas.openxmlformats.org/officeDocument/2006/relationships/hyperlink" Target="https://www.arista.com/en/products/platforms" TargetMode="External"/><Relationship Id="rId116" Type="http://schemas.openxmlformats.org/officeDocument/2006/relationships/hyperlink" Target="https://www.arista.com/assets/data/pdf/Datasheets/7060X5-Datasheet.pdf" TargetMode="External"/><Relationship Id="rId137" Type="http://schemas.openxmlformats.org/officeDocument/2006/relationships/hyperlink" Target="https://www.arista.com/en/products/platforms" TargetMode="External"/><Relationship Id="rId158" Type="http://schemas.openxmlformats.org/officeDocument/2006/relationships/hyperlink" Target="https://www.arista.com/assets/data/pdf/Datasheets/7050X3-Datasheet.pdf" TargetMode="External"/><Relationship Id="rId20" Type="http://schemas.openxmlformats.org/officeDocument/2006/relationships/hyperlink" Target="https://www.arista.com/assets/data/pdf/Datasheets/7700R4-Distributed-Etherlink-Switch-Datasheet.pdf" TargetMode="External"/><Relationship Id="rId41" Type="http://schemas.openxmlformats.org/officeDocument/2006/relationships/hyperlink" Target="https://www.arista.com/en/products/platforms" TargetMode="External"/><Relationship Id="rId62" Type="http://schemas.openxmlformats.org/officeDocument/2006/relationships/hyperlink" Target="https://www.arista.com/assets/data/pdf/Datasheets/7280R3A-Datasheet.pdf" TargetMode="External"/><Relationship Id="rId83" Type="http://schemas.openxmlformats.org/officeDocument/2006/relationships/hyperlink" Target="https://www.arista.com/en/products/platforms" TargetMode="External"/><Relationship Id="rId179" Type="http://schemas.openxmlformats.org/officeDocument/2006/relationships/hyperlink" Target="https://www.arista.com/en/products/platforms" TargetMode="External"/><Relationship Id="rId190" Type="http://schemas.openxmlformats.org/officeDocument/2006/relationships/hyperlink" Target="https://www.arista.com/assets/data/pdf/Datasheets/CCS-750-Series-Datasheet.pdf" TargetMode="External"/><Relationship Id="rId204" Type="http://schemas.openxmlformats.org/officeDocument/2006/relationships/hyperlink" Target="https://www.arista.com/assets/data/pdf/Datasheets/CCS-750-Series-Datasheet.pdf" TargetMode="External"/><Relationship Id="rId225" Type="http://schemas.openxmlformats.org/officeDocument/2006/relationships/hyperlink" Target="https://www.arista.com/en/products/platforms" TargetMode="External"/><Relationship Id="rId246" Type="http://schemas.openxmlformats.org/officeDocument/2006/relationships/hyperlink" Target="https://www.arista.com/assets/data/pdf/Datasheets/CCS-720D-Datasheet.pdf" TargetMode="External"/><Relationship Id="rId106" Type="http://schemas.openxmlformats.org/officeDocument/2006/relationships/hyperlink" Target="https://www.arista.com/assets/data/pdf/Datasheets/7060X6-Datasheet.pdf" TargetMode="External"/><Relationship Id="rId127" Type="http://schemas.openxmlformats.org/officeDocument/2006/relationships/hyperlink" Target="https://www.arista.com/en/products/platforms" TargetMode="External"/><Relationship Id="rId10" Type="http://schemas.openxmlformats.org/officeDocument/2006/relationships/hyperlink" Target="https://www.arista.com/assets/data/pdf/Datasheets/7800R3-Data-Sheet.pdf" TargetMode="External"/><Relationship Id="rId31" Type="http://schemas.openxmlformats.org/officeDocument/2006/relationships/hyperlink" Target="https://www.arista.com/en/products/platforms" TargetMode="External"/><Relationship Id="rId52" Type="http://schemas.openxmlformats.org/officeDocument/2006/relationships/hyperlink" Target="https://www.arista.com/assets/data/pdf/Datasheets/7280R3A-Datasheet.pdf" TargetMode="External"/><Relationship Id="rId73" Type="http://schemas.openxmlformats.org/officeDocument/2006/relationships/hyperlink" Target="https://www.arista.com/en/products/platforms" TargetMode="External"/><Relationship Id="rId94" Type="http://schemas.openxmlformats.org/officeDocument/2006/relationships/hyperlink" Target="https://www.arista.com/assets/data/pdf/Datasheets/7130LS-Series-Data-Sheet.pdf" TargetMode="External"/><Relationship Id="rId148" Type="http://schemas.openxmlformats.org/officeDocument/2006/relationships/hyperlink" Target="https://www.arista.com/assets/data/pdf/Datasheets/7050X4-Datasheet.pdf" TargetMode="External"/><Relationship Id="rId169" Type="http://schemas.openxmlformats.org/officeDocument/2006/relationships/hyperlink" Target="https://www.arista.com/en/products/platforms" TargetMode="External"/><Relationship Id="rId4" Type="http://schemas.openxmlformats.org/officeDocument/2006/relationships/hyperlink" Target="https://www.arista.com/assets/data/pdf/Datasheets/7800R4-Series-AI-Spine-Datasheet.pdf" TargetMode="External"/><Relationship Id="rId180" Type="http://schemas.openxmlformats.org/officeDocument/2006/relationships/hyperlink" Target="https://www.arista.com/assets/data/pdf/Datasheets/7010TX-Datasheet.pdf" TargetMode="External"/><Relationship Id="rId215" Type="http://schemas.openxmlformats.org/officeDocument/2006/relationships/hyperlink" Target="https://www.arista.com/en/products/platforms" TargetMode="External"/><Relationship Id="rId236" Type="http://schemas.openxmlformats.org/officeDocument/2006/relationships/hyperlink" Target="https://www.arista.com/assets/data/pdf/Datasheets/CCS-720D-Datasheet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ista.com/en/products/wifi7-series" TargetMode="External"/><Relationship Id="rId18" Type="http://schemas.openxmlformats.org/officeDocument/2006/relationships/hyperlink" Target="https://www.arista.com/assets/data/pdf/Datasheets/Arista-O-405E-Datasheet.pdf" TargetMode="External"/><Relationship Id="rId26" Type="http://schemas.openxmlformats.org/officeDocument/2006/relationships/hyperlink" Target="https://www.arista.com/assets/data/pdf/Datasheets/Arista-C-260-Datasheet.pdf" TargetMode="External"/><Relationship Id="rId39" Type="http://schemas.openxmlformats.org/officeDocument/2006/relationships/drawing" Target="../drawings/drawing2.xml"/><Relationship Id="rId21" Type="http://schemas.openxmlformats.org/officeDocument/2006/relationships/hyperlink" Target="https://www.arista.com/en/products/wifi6e-series" TargetMode="External"/><Relationship Id="rId34" Type="http://schemas.openxmlformats.org/officeDocument/2006/relationships/hyperlink" Target="https://www.arista.com/assets/data/pdf/Datasheets/Arista-O235-Datasheet.pdf" TargetMode="External"/><Relationship Id="rId7" Type="http://schemas.openxmlformats.org/officeDocument/2006/relationships/hyperlink" Target="https://www.arista.com/en/products/wifi7-series" TargetMode="External"/><Relationship Id="rId2" Type="http://schemas.openxmlformats.org/officeDocument/2006/relationships/hyperlink" Target="https://www.arista.com/assets/data/pdf/Datasheets/Arista-C-460-Datasheet.pdf" TargetMode="External"/><Relationship Id="rId16" Type="http://schemas.openxmlformats.org/officeDocument/2006/relationships/hyperlink" Target="https://www.arista.com/assets/data/pdf/Datasheets/Arista-O-405-Datasheet.pdf" TargetMode="External"/><Relationship Id="rId20" Type="http://schemas.openxmlformats.org/officeDocument/2006/relationships/hyperlink" Target="https://www.arista.com/assets/data/pdf/Datasheets/Arista-C-360-Datasheet.pdf" TargetMode="External"/><Relationship Id="rId29" Type="http://schemas.openxmlformats.org/officeDocument/2006/relationships/hyperlink" Target="https://www.arista.com/en/products/wifi6-series" TargetMode="External"/><Relationship Id="rId41" Type="http://schemas.openxmlformats.org/officeDocument/2006/relationships/comments" Target="../comments2.xml"/><Relationship Id="rId1" Type="http://schemas.openxmlformats.org/officeDocument/2006/relationships/hyperlink" Target="https://www.arista.com/en/products/wifi7-series" TargetMode="External"/><Relationship Id="rId6" Type="http://schemas.openxmlformats.org/officeDocument/2006/relationships/hyperlink" Target="https://www.arista.com/assets/data/pdf/Datasheets/Arista-C-460D-Datasheet.pdf" TargetMode="External"/><Relationship Id="rId11" Type="http://schemas.openxmlformats.org/officeDocument/2006/relationships/hyperlink" Target="https://www.arista.com/en/products/wifi7-series" TargetMode="External"/><Relationship Id="rId24" Type="http://schemas.openxmlformats.org/officeDocument/2006/relationships/hyperlink" Target="https://www.arista.com/assets/data/pdf/Datasheets/Arista-W-318-Datasheet.pdf" TargetMode="External"/><Relationship Id="rId32" Type="http://schemas.openxmlformats.org/officeDocument/2006/relationships/hyperlink" Target="https://www.arista.com/assets/data/pdf/Datasheets/Arista-C-230E-Datasheet.pdf" TargetMode="External"/><Relationship Id="rId37" Type="http://schemas.openxmlformats.org/officeDocument/2006/relationships/hyperlink" Target="https://www.arista.com/en/products/wifi6-series" TargetMode="External"/><Relationship Id="rId40" Type="http://schemas.openxmlformats.org/officeDocument/2006/relationships/vmlDrawing" Target="../drawings/vmlDrawing2.vml"/><Relationship Id="rId5" Type="http://schemas.openxmlformats.org/officeDocument/2006/relationships/hyperlink" Target="https://www.arista.com/en/products/wifi7-series" TargetMode="External"/><Relationship Id="rId15" Type="http://schemas.openxmlformats.org/officeDocument/2006/relationships/hyperlink" Target="https://www.arista.com/en/products/wifi7-series" TargetMode="External"/><Relationship Id="rId23" Type="http://schemas.openxmlformats.org/officeDocument/2006/relationships/hyperlink" Target="https://www.arista.com/en/products/wifi6e-series" TargetMode="External"/><Relationship Id="rId28" Type="http://schemas.openxmlformats.org/officeDocument/2006/relationships/hyperlink" Target="https://www.arista.com/assets/data/pdf/Datasheets/Arista-C-250-Datasheet.pdf" TargetMode="External"/><Relationship Id="rId36" Type="http://schemas.openxmlformats.org/officeDocument/2006/relationships/hyperlink" Target="https://www.arista.com/assets/data/pdf/Datasheets/Arista-O235E-Datasheet.pdf" TargetMode="External"/><Relationship Id="rId10" Type="http://schemas.openxmlformats.org/officeDocument/2006/relationships/hyperlink" Target="https://www.arista.com/assets/data/pdf/Datasheets/Arista-C-400-Datasheet.pdf" TargetMode="External"/><Relationship Id="rId19" Type="http://schemas.openxmlformats.org/officeDocument/2006/relationships/hyperlink" Target="https://www.arista.com/en/products/wifi6e-series" TargetMode="External"/><Relationship Id="rId31" Type="http://schemas.openxmlformats.org/officeDocument/2006/relationships/hyperlink" Target="https://www.arista.com/en/products/wifi6-series" TargetMode="External"/><Relationship Id="rId4" Type="http://schemas.openxmlformats.org/officeDocument/2006/relationships/hyperlink" Target="https://www.arista.com/assets/data/pdf/Datasheets/Arista-C-460E-Datasheet.pdf" TargetMode="External"/><Relationship Id="rId9" Type="http://schemas.openxmlformats.org/officeDocument/2006/relationships/hyperlink" Target="https://www.arista.com/en/products/wifi7-series" TargetMode="External"/><Relationship Id="rId14" Type="http://schemas.openxmlformats.org/officeDocument/2006/relationships/hyperlink" Target="https://www.arista.com/assets/data/pdf/Datasheets/Arista-O-435E-Datasheet.pdf" TargetMode="External"/><Relationship Id="rId22" Type="http://schemas.openxmlformats.org/officeDocument/2006/relationships/hyperlink" Target="https://www.arista.com/assets/data/pdf/Datasheets/Arista-C-330-Datasheet.pdf" TargetMode="External"/><Relationship Id="rId27" Type="http://schemas.openxmlformats.org/officeDocument/2006/relationships/hyperlink" Target="https://www.arista.com/en/products/wifi6-series" TargetMode="External"/><Relationship Id="rId30" Type="http://schemas.openxmlformats.org/officeDocument/2006/relationships/hyperlink" Target="https://www.arista.com/assets/data/pdf/Datasheets/Arista-C-230-Datasheet.pdf" TargetMode="External"/><Relationship Id="rId35" Type="http://schemas.openxmlformats.org/officeDocument/2006/relationships/hyperlink" Target="https://www.arista.com/en/products/wifi6-series" TargetMode="External"/><Relationship Id="rId8" Type="http://schemas.openxmlformats.org/officeDocument/2006/relationships/hyperlink" Target="https://www.arista.com/assets/data/pdf/Datasheets/Arista-C-430-Datasheet.pdf" TargetMode="External"/><Relationship Id="rId3" Type="http://schemas.openxmlformats.org/officeDocument/2006/relationships/hyperlink" Target="https://www.arista.com/en/products/wifi7-series" TargetMode="External"/><Relationship Id="rId12" Type="http://schemas.openxmlformats.org/officeDocument/2006/relationships/hyperlink" Target="https://www.arista.com/assets/data/pdf/Datasheets/Arista-O-435-Datasheet.pdf" TargetMode="External"/><Relationship Id="rId17" Type="http://schemas.openxmlformats.org/officeDocument/2006/relationships/hyperlink" Target="https://www.arista.com/en/products/wifi7-series" TargetMode="External"/><Relationship Id="rId25" Type="http://schemas.openxmlformats.org/officeDocument/2006/relationships/hyperlink" Target="https://www.arista.com/en/products/wifi6-series" TargetMode="External"/><Relationship Id="rId33" Type="http://schemas.openxmlformats.org/officeDocument/2006/relationships/hyperlink" Target="https://www.arista.com/en/products/wifi6-series" TargetMode="External"/><Relationship Id="rId38" Type="http://schemas.openxmlformats.org/officeDocument/2006/relationships/hyperlink" Target="https://www.arista.com/assets/data/pdf/Datasheets/Arista-C-200-Datasheet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ista.com/assets/data/pdf/Datasheets/AP-Mounting-Brackets-Datasheet.pdf" TargetMode="External"/><Relationship Id="rId3" Type="http://schemas.openxmlformats.org/officeDocument/2006/relationships/hyperlink" Target="https://www.arista.com/assets/data/pdf/Datasheets/AP-Mounting-Brackets-Datasheet.pdf" TargetMode="External"/><Relationship Id="rId7" Type="http://schemas.openxmlformats.org/officeDocument/2006/relationships/hyperlink" Target="https://www.arista.com/assets/data/pdf/Datasheets/AP-Mounting-Brackets-Datasheet.pdf" TargetMode="External"/><Relationship Id="rId2" Type="http://schemas.openxmlformats.org/officeDocument/2006/relationships/hyperlink" Target="https://www.arista.com/assets/data/pdf/Datasheets/AP-Mounting-Brackets-Datasheet.pdf" TargetMode="External"/><Relationship Id="rId1" Type="http://schemas.openxmlformats.org/officeDocument/2006/relationships/hyperlink" Target="https://www.arista.com/assets/data/pdf/Datasheets/AP-Mounting-Brackets-Datasheet.pdf" TargetMode="External"/><Relationship Id="rId6" Type="http://schemas.openxmlformats.org/officeDocument/2006/relationships/hyperlink" Target="https://www.arista.com/assets/data/pdf/Datasheets/AP-Mounting-Brackets-Datasheet.pdf" TargetMode="External"/><Relationship Id="rId5" Type="http://schemas.openxmlformats.org/officeDocument/2006/relationships/hyperlink" Target="https://www.arista.com/assets/data/pdf/Datasheets/AP-Mounting-Brackets-Datasheet.pdf" TargetMode="External"/><Relationship Id="rId4" Type="http://schemas.openxmlformats.org/officeDocument/2006/relationships/hyperlink" Target="https://www.arista.com/assets/data/pdf/Datasheets/AP-Mounting-Brackets-Datasheet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ista.com/assets/data/pdf/Datasheets/Antenna-Selection-Guide.pdf" TargetMode="External"/><Relationship Id="rId18" Type="http://schemas.openxmlformats.org/officeDocument/2006/relationships/hyperlink" Target="https://www.arista.com/assets/data/pdf/Datasheets/Antenna-Selection-Guide.pdf" TargetMode="External"/><Relationship Id="rId26" Type="http://schemas.openxmlformats.org/officeDocument/2006/relationships/hyperlink" Target="https://www.arista.com/assets/data/pdf/Datasheets/Antenna-Selection-Guide.pdf" TargetMode="External"/><Relationship Id="rId39" Type="http://schemas.openxmlformats.org/officeDocument/2006/relationships/hyperlink" Target="https://www.arista.com/assets/data/pdf/Datasheets/Antenna-Selection-Guide.pdf" TargetMode="External"/><Relationship Id="rId21" Type="http://schemas.openxmlformats.org/officeDocument/2006/relationships/hyperlink" Target="https://www.arista.com/assets/data/pdf/Datasheets/Antenna-Selection-Guide.pdf" TargetMode="External"/><Relationship Id="rId34" Type="http://schemas.openxmlformats.org/officeDocument/2006/relationships/hyperlink" Target="https://www.arista.com/assets/data/pdf/Datasheets/Antenna-Selection-Guide.pdf" TargetMode="External"/><Relationship Id="rId42" Type="http://schemas.openxmlformats.org/officeDocument/2006/relationships/comments" Target="../comments3.xml"/><Relationship Id="rId7" Type="http://schemas.openxmlformats.org/officeDocument/2006/relationships/hyperlink" Target="https://www.arista.com/assets/data/pdf/Datasheets/Antenna-Selection-Guide.pdf" TargetMode="External"/><Relationship Id="rId2" Type="http://schemas.openxmlformats.org/officeDocument/2006/relationships/hyperlink" Target="https://www.arista.com/assets/data/pdf/Datasheets/Antenna-Selection-Guide.pdf" TargetMode="External"/><Relationship Id="rId16" Type="http://schemas.openxmlformats.org/officeDocument/2006/relationships/hyperlink" Target="https://www.arista.com/assets/data/pdf/Datasheets/Antenna-Selection-Guide.pdf" TargetMode="External"/><Relationship Id="rId20" Type="http://schemas.openxmlformats.org/officeDocument/2006/relationships/hyperlink" Target="https://www.arista.com/assets/data/pdf/Datasheets/Antenna-Selection-Guide.pdf" TargetMode="External"/><Relationship Id="rId29" Type="http://schemas.openxmlformats.org/officeDocument/2006/relationships/hyperlink" Target="https://www.arista.com/assets/data/pdf/Datasheets/Antenna-Selection-Guide.pdf" TargetMode="External"/><Relationship Id="rId41" Type="http://schemas.openxmlformats.org/officeDocument/2006/relationships/vmlDrawing" Target="../drawings/vmlDrawing3.vml"/><Relationship Id="rId1" Type="http://schemas.openxmlformats.org/officeDocument/2006/relationships/hyperlink" Target="https://www.arista.com/assets/data/pdf/Datasheets/Antenna-Selection-Guide.pdf" TargetMode="External"/><Relationship Id="rId6" Type="http://schemas.openxmlformats.org/officeDocument/2006/relationships/hyperlink" Target="https://www.arista.com/assets/data/pdf/Datasheets/Antenna-Selection-Guide.pdf" TargetMode="External"/><Relationship Id="rId11" Type="http://schemas.openxmlformats.org/officeDocument/2006/relationships/hyperlink" Target="https://www.arista.com/assets/data/pdf/Datasheets/Antenna-Selection-Guide.pdf" TargetMode="External"/><Relationship Id="rId24" Type="http://schemas.openxmlformats.org/officeDocument/2006/relationships/hyperlink" Target="https://www.arista.com/assets/data/pdf/Datasheets/Antenna-Selection-Guide.pdf" TargetMode="External"/><Relationship Id="rId32" Type="http://schemas.openxmlformats.org/officeDocument/2006/relationships/hyperlink" Target="https://www.arista.com/assets/data/pdf/Datasheets/Antenna-Selection-Guide.pdf" TargetMode="External"/><Relationship Id="rId37" Type="http://schemas.openxmlformats.org/officeDocument/2006/relationships/hyperlink" Target="https://www.arista.com/assets/data/pdf/Datasheets/Antenna-Selection-Guide.pdf" TargetMode="External"/><Relationship Id="rId40" Type="http://schemas.openxmlformats.org/officeDocument/2006/relationships/drawing" Target="../drawings/drawing3.xml"/><Relationship Id="rId5" Type="http://schemas.openxmlformats.org/officeDocument/2006/relationships/hyperlink" Target="https://www.arista.com/assets/data/pdf/Datasheets/Antenna-Selection-Guide.pdf" TargetMode="External"/><Relationship Id="rId15" Type="http://schemas.openxmlformats.org/officeDocument/2006/relationships/hyperlink" Target="https://www.arista.com/assets/data/pdf/Datasheets/Antenna-Selection-Guide.pdf" TargetMode="External"/><Relationship Id="rId23" Type="http://schemas.openxmlformats.org/officeDocument/2006/relationships/hyperlink" Target="https://www.arista.com/assets/data/pdf/Datasheets/Antenna-Selection-Guide.pdf" TargetMode="External"/><Relationship Id="rId28" Type="http://schemas.openxmlformats.org/officeDocument/2006/relationships/hyperlink" Target="https://www.arista.com/assets/data/pdf/Datasheets/Antenna-Selection-Guide.pdf" TargetMode="External"/><Relationship Id="rId36" Type="http://schemas.openxmlformats.org/officeDocument/2006/relationships/hyperlink" Target="https://www.arista.com/assets/data/pdf/Datasheets/Antenna-Selection-Guide.pdf" TargetMode="External"/><Relationship Id="rId10" Type="http://schemas.openxmlformats.org/officeDocument/2006/relationships/hyperlink" Target="https://www.arista.com/assets/data/pdf/Datasheets/Antenna-Selection-Guide.pdf" TargetMode="External"/><Relationship Id="rId19" Type="http://schemas.openxmlformats.org/officeDocument/2006/relationships/hyperlink" Target="https://www.arista.com/assets/data/pdf/Datasheets/Antenna-Selection-Guide.pdf" TargetMode="External"/><Relationship Id="rId31" Type="http://schemas.openxmlformats.org/officeDocument/2006/relationships/hyperlink" Target="https://www.arista.com/assets/data/pdf/Datasheets/Antenna-Selection-Guide.pdf" TargetMode="External"/><Relationship Id="rId4" Type="http://schemas.openxmlformats.org/officeDocument/2006/relationships/hyperlink" Target="https://www.arista.com/assets/data/pdf/Datasheets/Antenna-Selection-Guide.pdf" TargetMode="External"/><Relationship Id="rId9" Type="http://schemas.openxmlformats.org/officeDocument/2006/relationships/hyperlink" Target="https://www.arista.com/assets/data/pdf/Datasheets/Antenna-Selection-Guide.pdf" TargetMode="External"/><Relationship Id="rId14" Type="http://schemas.openxmlformats.org/officeDocument/2006/relationships/hyperlink" Target="https://www.arista.com/assets/data/pdf/Datasheets/Antenna-Selection-Guide.pdf" TargetMode="External"/><Relationship Id="rId22" Type="http://schemas.openxmlformats.org/officeDocument/2006/relationships/hyperlink" Target="https://www.arista.com/assets/data/pdf/Datasheets/Antenna-Selection-Guide.pdf" TargetMode="External"/><Relationship Id="rId27" Type="http://schemas.openxmlformats.org/officeDocument/2006/relationships/hyperlink" Target="https://www.arista.com/assets/data/pdf/Datasheets/Antenna-Selection-Guide.pdf" TargetMode="External"/><Relationship Id="rId30" Type="http://schemas.openxmlformats.org/officeDocument/2006/relationships/hyperlink" Target="https://www.arista.com/assets/data/pdf/Datasheets/Antenna-Selection-Guide.pdf" TargetMode="External"/><Relationship Id="rId35" Type="http://schemas.openxmlformats.org/officeDocument/2006/relationships/hyperlink" Target="https://www.arista.com/assets/data/pdf/Datasheets/Antenna-Selection-Guide.pdf" TargetMode="External"/><Relationship Id="rId8" Type="http://schemas.openxmlformats.org/officeDocument/2006/relationships/hyperlink" Target="https://www.arista.com/assets/data/pdf/Datasheets/Antenna-Selection-Guide.pdf" TargetMode="External"/><Relationship Id="rId3" Type="http://schemas.openxmlformats.org/officeDocument/2006/relationships/hyperlink" Target="https://www.arista.com/assets/data/pdf/Datasheets/Antenna-Selection-Guide.pdf" TargetMode="External"/><Relationship Id="rId12" Type="http://schemas.openxmlformats.org/officeDocument/2006/relationships/hyperlink" Target="https://www.arista.com/assets/data/pdf/Datasheets/Antenna-Selection-Guide.pdf" TargetMode="External"/><Relationship Id="rId17" Type="http://schemas.openxmlformats.org/officeDocument/2006/relationships/hyperlink" Target="https://www.arista.com/assets/data/pdf/Datasheets/Antenna-Selection-Guide.pdf" TargetMode="External"/><Relationship Id="rId25" Type="http://schemas.openxmlformats.org/officeDocument/2006/relationships/hyperlink" Target="https://www.arista.com/assets/data/pdf/Datasheets/Antenna-Selection-Guide.pdf" TargetMode="External"/><Relationship Id="rId33" Type="http://schemas.openxmlformats.org/officeDocument/2006/relationships/hyperlink" Target="https://www.arista.com/assets/data/pdf/Datasheets/Antenna-Selection-Guide.pdf" TargetMode="External"/><Relationship Id="rId38" Type="http://schemas.openxmlformats.org/officeDocument/2006/relationships/hyperlink" Target="https://www.arista.com/assets/data/pdf/Datasheets/Antenna-Selection-Guide.pdf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ista.com/assets/data/pdf/Datasheets/7060X4-Datasheet.pdf" TargetMode="External"/><Relationship Id="rId21" Type="http://schemas.openxmlformats.org/officeDocument/2006/relationships/hyperlink" Target="https://www.arista.com/assets/data/pdf/Datasheets/7130-Connect-S-Series-Datasheet.pdf" TargetMode="External"/><Relationship Id="rId42" Type="http://schemas.openxmlformats.org/officeDocument/2006/relationships/hyperlink" Target="https://www.arista.com/assets/data/pdf/Datasheets/CCS-720D-Datasheet.pdf" TargetMode="External"/><Relationship Id="rId47" Type="http://schemas.openxmlformats.org/officeDocument/2006/relationships/hyperlink" Target="https://www.arista.com/assets/data/pdf/Datasheets/Arista-C-430-Datasheet.pdf" TargetMode="External"/><Relationship Id="rId63" Type="http://schemas.openxmlformats.org/officeDocument/2006/relationships/hyperlink" Target="https://www.arista.com/en/products/platforms" TargetMode="External"/><Relationship Id="rId68" Type="http://schemas.openxmlformats.org/officeDocument/2006/relationships/hyperlink" Target="https://www.arista.com/assets/data/pdf/Datasheets/AP-Comparison-Matrix-Datasheet-WiFi6.pdf" TargetMode="External"/><Relationship Id="rId2" Type="http://schemas.openxmlformats.org/officeDocument/2006/relationships/hyperlink" Target="https://www.arista.com/assets/data/pdf/Datasheets/7800R3-Data-Sheet.pdf" TargetMode="External"/><Relationship Id="rId16" Type="http://schemas.openxmlformats.org/officeDocument/2006/relationships/hyperlink" Target="https://www.arista.com/assets/data/pdf/Datasheets/7130LBR-Datasheet.pdf" TargetMode="External"/><Relationship Id="rId29" Type="http://schemas.openxmlformats.org/officeDocument/2006/relationships/hyperlink" Target="https://www.arista.com/assets/data/pdf/Datasheets/7050X4-Datasheet.pdf" TargetMode="External"/><Relationship Id="rId11" Type="http://schemas.openxmlformats.org/officeDocument/2006/relationships/hyperlink" Target="https://www.arista.com/assets/data/pdf/Datasheets/7280R3A-Datasheet.pdf" TargetMode="External"/><Relationship Id="rId24" Type="http://schemas.openxmlformats.org/officeDocument/2006/relationships/hyperlink" Target="https://www.arista.com/assets/data/pdf/Datasheets/7060X6-Datasheet.pdf" TargetMode="External"/><Relationship Id="rId32" Type="http://schemas.openxmlformats.org/officeDocument/2006/relationships/hyperlink" Target="https://www.arista.com/assets/data/pdf/Datasheets/7050QX-32_32S_Datasheet_S.pdf" TargetMode="External"/><Relationship Id="rId37" Type="http://schemas.openxmlformats.org/officeDocument/2006/relationships/hyperlink" Target="https://www.arista.com/assets/data/pdf/Datasheets/CCS-710HXP-Datasheet.pdf" TargetMode="External"/><Relationship Id="rId40" Type="http://schemas.openxmlformats.org/officeDocument/2006/relationships/hyperlink" Target="https://www.arista.com/assets/data/pdf/Datasheets/CCS-720XP-Datasheet.pdf" TargetMode="External"/><Relationship Id="rId45" Type="http://schemas.openxmlformats.org/officeDocument/2006/relationships/hyperlink" Target="https://www.arista.com/assets/data/pdf/Datasheets/Arista-C-460D-Datasheet.pdf" TargetMode="External"/><Relationship Id="rId53" Type="http://schemas.openxmlformats.org/officeDocument/2006/relationships/hyperlink" Target="https://www.arista.com/assets/data/pdf/Datasheets/Arista-C-360-Datasheet.pdf" TargetMode="External"/><Relationship Id="rId58" Type="http://schemas.openxmlformats.org/officeDocument/2006/relationships/hyperlink" Target="https://www.arista.com/assets/data/pdf/Datasheets/Arista-C-230-Datasheet.pdf" TargetMode="External"/><Relationship Id="rId66" Type="http://schemas.openxmlformats.org/officeDocument/2006/relationships/hyperlink" Target="https://www.arista.com/en/products/wifi6-series" TargetMode="External"/><Relationship Id="rId5" Type="http://schemas.openxmlformats.org/officeDocument/2006/relationships/hyperlink" Target="https://www.arista.com/assets/data/pdf/Datasheets/7500RDataSheet.pdf" TargetMode="External"/><Relationship Id="rId61" Type="http://schemas.openxmlformats.org/officeDocument/2006/relationships/hyperlink" Target="https://www.arista.com/assets/data/pdf/Datasheets/Arista-O235E-Datasheet.pdf" TargetMode="External"/><Relationship Id="rId19" Type="http://schemas.openxmlformats.org/officeDocument/2006/relationships/hyperlink" Target="https://www.arista.com/assets/data/pdf/Datasheets/7130E-Series-Data-Sheet.pdf" TargetMode="External"/><Relationship Id="rId14" Type="http://schemas.openxmlformats.org/officeDocument/2006/relationships/hyperlink" Target="https://www.arista.com/assets/data/pdf/Datasheets/7280R3-MACSec-Datasheet.pdf" TargetMode="External"/><Relationship Id="rId22" Type="http://schemas.openxmlformats.org/officeDocument/2006/relationships/hyperlink" Target="https://www.arista.com/assets/data/pdf/Datasheets/7060XE7-Datasheet.pdf" TargetMode="External"/><Relationship Id="rId27" Type="http://schemas.openxmlformats.org/officeDocument/2006/relationships/hyperlink" Target="https://www.arista.com/assets/data/pdf/Datasheets/7060X_7260X_DS.pdf" TargetMode="External"/><Relationship Id="rId30" Type="http://schemas.openxmlformats.org/officeDocument/2006/relationships/hyperlink" Target="https://www.arista.com/assets/data/pdf/Datasheets/7050X3-Datasheet.pdf" TargetMode="External"/><Relationship Id="rId35" Type="http://schemas.openxmlformats.org/officeDocument/2006/relationships/hyperlink" Target="https://www.arista.com/assets/data/pdf/Datasheets/7010TX-Datasheet.pdf" TargetMode="External"/><Relationship Id="rId43" Type="http://schemas.openxmlformats.org/officeDocument/2006/relationships/hyperlink" Target="https://www.arista.com/assets/data/pdf/Datasheets/CCS-710P-Datasheet.pdf" TargetMode="External"/><Relationship Id="rId48" Type="http://schemas.openxmlformats.org/officeDocument/2006/relationships/hyperlink" Target="https://www.arista.com/assets/data/pdf/Datasheets/Arista-C-400-Datasheet.pdf" TargetMode="External"/><Relationship Id="rId56" Type="http://schemas.openxmlformats.org/officeDocument/2006/relationships/hyperlink" Target="https://www.arista.com/assets/data/pdf/Datasheets/Arista-C-260-Datasheet.pdf" TargetMode="External"/><Relationship Id="rId64" Type="http://schemas.openxmlformats.org/officeDocument/2006/relationships/hyperlink" Target="https://www.arista.com/en/products/wifi7-series" TargetMode="External"/><Relationship Id="rId69" Type="http://schemas.openxmlformats.org/officeDocument/2006/relationships/hyperlink" Target="https://www.arista.com/assets/data/pdf/Datasheets/AP-Mounting-Brackets-Datasheet.pdf" TargetMode="External"/><Relationship Id="rId8" Type="http://schemas.openxmlformats.org/officeDocument/2006/relationships/hyperlink" Target="https://www.arista.com/assets/data/pdf/Datasheets/7368X4-Datasheet.pdf" TargetMode="External"/><Relationship Id="rId51" Type="http://schemas.openxmlformats.org/officeDocument/2006/relationships/hyperlink" Target="https://www.arista.com/assets/data/pdf/Datasheets/Arista-O-405-Datasheet.pdf" TargetMode="External"/><Relationship Id="rId72" Type="http://schemas.openxmlformats.org/officeDocument/2006/relationships/vmlDrawing" Target="../drawings/vmlDrawing4.vml"/><Relationship Id="rId3" Type="http://schemas.openxmlformats.org/officeDocument/2006/relationships/hyperlink" Target="https://www.arista.com/assets/data/pdf/Datasheets/7700R4-Distributed-Etherlink-Switch-Datasheet.pdf" TargetMode="External"/><Relationship Id="rId12" Type="http://schemas.openxmlformats.org/officeDocument/2006/relationships/hyperlink" Target="https://www.arista.com/assets/data/pdf/Datasheets/7280R3A-Modular-Datasheet.pdf" TargetMode="External"/><Relationship Id="rId17" Type="http://schemas.openxmlformats.org/officeDocument/2006/relationships/hyperlink" Target="https://www.arista.com/assets/data/pdf/Datasheets/7132LB-Datasheet.pdf" TargetMode="External"/><Relationship Id="rId25" Type="http://schemas.openxmlformats.org/officeDocument/2006/relationships/hyperlink" Target="https://www.arista.com/assets/data/pdf/Datasheets/7060X5-Datasheet.pdf" TargetMode="External"/><Relationship Id="rId33" Type="http://schemas.openxmlformats.org/officeDocument/2006/relationships/hyperlink" Target="https://www.arista.com/assets/data/pdf/Datasheets/7020R4-Datasheet.pdf" TargetMode="External"/><Relationship Id="rId38" Type="http://schemas.openxmlformats.org/officeDocument/2006/relationships/hyperlink" Target="https://www.arista.com/assets/data/pdf/Datasheets/CCS-710XP-Datasheet.pdf" TargetMode="External"/><Relationship Id="rId46" Type="http://schemas.openxmlformats.org/officeDocument/2006/relationships/hyperlink" Target="https://www.arista.com/assets/data/pdf/Datasheets/Arista-C-460E-Datasheet.pdf" TargetMode="External"/><Relationship Id="rId59" Type="http://schemas.openxmlformats.org/officeDocument/2006/relationships/hyperlink" Target="https://www.arista.com/assets/data/pdf/Datasheets/Arista-C-230E-Datasheet.pdf" TargetMode="External"/><Relationship Id="rId67" Type="http://schemas.openxmlformats.org/officeDocument/2006/relationships/hyperlink" Target="https://www.arista.com/en/products/cloudvision-cue" TargetMode="External"/><Relationship Id="rId20" Type="http://schemas.openxmlformats.org/officeDocument/2006/relationships/hyperlink" Target="https://www.arista.com/assets/data/pdf/Datasheets/7130LS-Series-Data-Sheet.pdf" TargetMode="External"/><Relationship Id="rId41" Type="http://schemas.openxmlformats.org/officeDocument/2006/relationships/hyperlink" Target="https://www.arista.com/assets/data/pdf/Datasheets/CCS-722XP-Datasheet.pdf" TargetMode="External"/><Relationship Id="rId54" Type="http://schemas.openxmlformats.org/officeDocument/2006/relationships/hyperlink" Target="https://www.arista.com/assets/data/pdf/Datasheets/Arista-C-330-Datasheet.pdf" TargetMode="External"/><Relationship Id="rId62" Type="http://schemas.openxmlformats.org/officeDocument/2006/relationships/hyperlink" Target="https://www.arista.com/assets/data/pdf/Datasheets/Arista-C-200-Datasheet.pdf" TargetMode="External"/><Relationship Id="rId70" Type="http://schemas.openxmlformats.org/officeDocument/2006/relationships/hyperlink" Target="https://www.arista.com/assets/data/pdf/Datasheets/Antenna-Selection-Guide.pdf" TargetMode="External"/><Relationship Id="rId1" Type="http://schemas.openxmlformats.org/officeDocument/2006/relationships/hyperlink" Target="https://www.arista.com/assets/data/pdf/Datasheets/7800R4-Series-AI-Spine-Datasheet.pdf" TargetMode="External"/><Relationship Id="rId6" Type="http://schemas.openxmlformats.org/officeDocument/2006/relationships/hyperlink" Target="https://www.arista.com/assets/data/pdf/Datasheets/7300X3-Datasheet.pdf" TargetMode="External"/><Relationship Id="rId15" Type="http://schemas.openxmlformats.org/officeDocument/2006/relationships/hyperlink" Target="https://www.arista.com/assets/data/pdf/Datasheets/7135V-Datasheet.pdf" TargetMode="External"/><Relationship Id="rId23" Type="http://schemas.openxmlformats.org/officeDocument/2006/relationships/hyperlink" Target="https://www.arista.com/assets/data/pdf/Datasheets/7060XE7-Series-Quick-Look.pdf" TargetMode="External"/><Relationship Id="rId28" Type="http://schemas.openxmlformats.org/officeDocument/2006/relationships/hyperlink" Target="https://www.arista.com/assets/data/pdf/Datasheets/7260X3_Datasheet.pdf" TargetMode="External"/><Relationship Id="rId36" Type="http://schemas.openxmlformats.org/officeDocument/2006/relationships/hyperlink" Target="https://www.arista.com/assets/data/pdf/Datasheets/CCS-750-Series-Datasheet.pdf" TargetMode="External"/><Relationship Id="rId49" Type="http://schemas.openxmlformats.org/officeDocument/2006/relationships/hyperlink" Target="https://www.arista.com/assets/data/pdf/Datasheets/Arista-O-435-Datasheet.pdf" TargetMode="External"/><Relationship Id="rId57" Type="http://schemas.openxmlformats.org/officeDocument/2006/relationships/hyperlink" Target="https://www.arista.com/assets/data/pdf/Datasheets/Arista-C-250-Datasheet.pdf" TargetMode="External"/><Relationship Id="rId10" Type="http://schemas.openxmlformats.org/officeDocument/2006/relationships/hyperlink" Target="https://www.arista.com/assets/data/pdf/Datasheets/7280R4-Series-Datasheet.pdf" TargetMode="External"/><Relationship Id="rId31" Type="http://schemas.openxmlformats.org/officeDocument/2006/relationships/hyperlink" Target="https://www.arista.com/assets/data/pdf/Datasheets/7050X3-macsec-Datasheet.pdf" TargetMode="External"/><Relationship Id="rId44" Type="http://schemas.openxmlformats.org/officeDocument/2006/relationships/hyperlink" Target="https://www.arista.com/assets/data/pdf/Datasheets/Arista-C-460-Datasheet.pdf" TargetMode="External"/><Relationship Id="rId52" Type="http://schemas.openxmlformats.org/officeDocument/2006/relationships/hyperlink" Target="https://www.arista.com/assets/data/pdf/Datasheets/Arista-O-405E-Datasheet.pdf" TargetMode="External"/><Relationship Id="rId60" Type="http://schemas.openxmlformats.org/officeDocument/2006/relationships/hyperlink" Target="https://www.arista.com/assets/data/pdf/Datasheets/Arista-O235-Datasheet.pdf" TargetMode="External"/><Relationship Id="rId65" Type="http://schemas.openxmlformats.org/officeDocument/2006/relationships/hyperlink" Target="https://www.arista.com/en/products/wifi6e-series" TargetMode="External"/><Relationship Id="rId73" Type="http://schemas.openxmlformats.org/officeDocument/2006/relationships/comments" Target="../comments4.xml"/><Relationship Id="rId4" Type="http://schemas.openxmlformats.org/officeDocument/2006/relationships/hyperlink" Target="https://www.arista.com/assets/data/pdf/Datasheets/7500R3-Data-Sheet.pdf" TargetMode="External"/><Relationship Id="rId9" Type="http://schemas.openxmlformats.org/officeDocument/2006/relationships/hyperlink" Target="https://www.arista.com/assets/data/pdf/Datasheets/7358X4-Datasheet.pdf" TargetMode="External"/><Relationship Id="rId13" Type="http://schemas.openxmlformats.org/officeDocument/2006/relationships/hyperlink" Target="https://www.arista.com/assets/data/pdf/Datasheets/7280R3-Data-Sheet.pdf" TargetMode="External"/><Relationship Id="rId18" Type="http://schemas.openxmlformats.org/officeDocument/2006/relationships/hyperlink" Target="https://www.arista.com/assets/data/pdf/Datasheets/7135LB-Datasheet.pdf" TargetMode="External"/><Relationship Id="rId39" Type="http://schemas.openxmlformats.org/officeDocument/2006/relationships/hyperlink" Target="https://www.arista.com/assets/data/pdf/Datasheets/CCS-720XPM-Datasheet.pdf" TargetMode="External"/><Relationship Id="rId34" Type="http://schemas.openxmlformats.org/officeDocument/2006/relationships/hyperlink" Target="https://www.arista.com/assets/data/pdf/Datasheets/7020R-48_Datasheet.pdf" TargetMode="External"/><Relationship Id="rId50" Type="http://schemas.openxmlformats.org/officeDocument/2006/relationships/hyperlink" Target="https://www.arista.com/assets/data/pdf/Datasheets/Arista-O-435E-Datasheet.pdf" TargetMode="External"/><Relationship Id="rId55" Type="http://schemas.openxmlformats.org/officeDocument/2006/relationships/hyperlink" Target="https://www.arista.com/assets/data/pdf/Datasheets/Arista-W-318-Datasheet.pdf" TargetMode="External"/><Relationship Id="rId7" Type="http://schemas.openxmlformats.org/officeDocument/2006/relationships/hyperlink" Target="https://www.arista.com/assets/data/pdf/Datasheets/7388X5-Datasheet.pdf" TargetMode="External"/><Relationship Id="rId7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ista.com/en/products/platforms" TargetMode="External"/><Relationship Id="rId13" Type="http://schemas.openxmlformats.org/officeDocument/2006/relationships/hyperlink" Target="https://www.arista.com/assets/data/pdf/Datasheets/Antenna-Selection-Guide.pdf" TargetMode="External"/><Relationship Id="rId3" Type="http://schemas.openxmlformats.org/officeDocument/2006/relationships/hyperlink" Target="https://www.arista.com/assets/data/pdf/Datasheets/AP-Comparison-Matrix-Datasheet-WiFi6.pdf" TargetMode="External"/><Relationship Id="rId7" Type="http://schemas.openxmlformats.org/officeDocument/2006/relationships/hyperlink" Target="https://www.arista.com/en/products/platforms" TargetMode="External"/><Relationship Id="rId12" Type="http://schemas.openxmlformats.org/officeDocument/2006/relationships/hyperlink" Target="https://www.arista.com/en/products/platforms" TargetMode="External"/><Relationship Id="rId2" Type="http://schemas.openxmlformats.org/officeDocument/2006/relationships/hyperlink" Target="https://www.arista.com/en/products/platforms" TargetMode="External"/><Relationship Id="rId16" Type="http://schemas.openxmlformats.org/officeDocument/2006/relationships/hyperlink" Target="https://www.arista.com/en/products/platforms" TargetMode="External"/><Relationship Id="rId1" Type="http://schemas.openxmlformats.org/officeDocument/2006/relationships/hyperlink" Target="https://www.arista.com/en/products/platforms" TargetMode="External"/><Relationship Id="rId6" Type="http://schemas.openxmlformats.org/officeDocument/2006/relationships/hyperlink" Target="https://www.arista.com/en/products/platforms" TargetMode="External"/><Relationship Id="rId11" Type="http://schemas.openxmlformats.org/officeDocument/2006/relationships/hyperlink" Target="https://www.arista.com/en/products/platforms" TargetMode="External"/><Relationship Id="rId5" Type="http://schemas.openxmlformats.org/officeDocument/2006/relationships/hyperlink" Target="https://www.arista.com/en/products/platforms" TargetMode="External"/><Relationship Id="rId15" Type="http://schemas.openxmlformats.org/officeDocument/2006/relationships/hyperlink" Target="https://www.arista.com/assets/data/pdf/Datasheets/Arista-C-250-Datasheet.pdf" TargetMode="External"/><Relationship Id="rId10" Type="http://schemas.openxmlformats.org/officeDocument/2006/relationships/hyperlink" Target="https://www.arista.com/en/products/platforms" TargetMode="External"/><Relationship Id="rId4" Type="http://schemas.openxmlformats.org/officeDocument/2006/relationships/hyperlink" Target="https://www.arista.com/en/products/platforms" TargetMode="External"/><Relationship Id="rId9" Type="http://schemas.openxmlformats.org/officeDocument/2006/relationships/hyperlink" Target="https://www.arista.com/assets/data/pdf/Datasheets/7135V-Datasheet.pdf" TargetMode="External"/><Relationship Id="rId14" Type="http://schemas.openxmlformats.org/officeDocument/2006/relationships/hyperlink" Target="https://www.arista.com/assets/data/pdf/Datasheets/Arista-O-405E-Data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</sheetPr>
  <dimension ref="A1:H30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2" width="18" customWidth="1"/>
    <col min="3" max="3" width="12" customWidth="1"/>
    <col min="4" max="4" width="3" customWidth="1"/>
    <col min="5" max="6" width="18" customWidth="1"/>
    <col min="7" max="7" width="12" customWidth="1"/>
    <col min="8" max="8" width="8" customWidth="1"/>
  </cols>
  <sheetData>
    <row r="1" spans="1:8" ht="33.950000000000003" customHeight="1" x14ac:dyDescent="0.3">
      <c r="A1" s="52" t="s">
        <v>0</v>
      </c>
      <c r="B1" s="50"/>
      <c r="C1" s="50"/>
      <c r="D1" s="50"/>
      <c r="E1" s="50"/>
      <c r="F1" s="50"/>
      <c r="G1" s="50"/>
      <c r="H1" s="50"/>
    </row>
    <row r="2" spans="1:8" ht="24" customHeight="1" x14ac:dyDescent="0.3">
      <c r="A2" s="57" t="s">
        <v>1</v>
      </c>
      <c r="B2" s="50"/>
      <c r="C2" s="50"/>
      <c r="D2" s="50"/>
      <c r="E2" s="50"/>
      <c r="F2" s="50"/>
      <c r="G2" s="50"/>
      <c r="H2" s="50"/>
    </row>
    <row r="3" spans="1:8" ht="38.1" customHeight="1" x14ac:dyDescent="0.3">
      <c r="A3" s="58" t="s">
        <v>2</v>
      </c>
      <c r="B3" s="50"/>
      <c r="C3" s="50"/>
      <c r="D3" s="50"/>
      <c r="E3" s="50"/>
      <c r="F3" s="50"/>
      <c r="G3" s="50"/>
      <c r="H3" s="50"/>
    </row>
    <row r="5" spans="1:8" x14ac:dyDescent="0.3">
      <c r="A5" s="55" t="s">
        <v>3</v>
      </c>
      <c r="B5" s="50"/>
      <c r="C5" s="50"/>
      <c r="E5" s="55" t="s">
        <v>4</v>
      </c>
      <c r="F5" s="50"/>
      <c r="G5" s="50"/>
    </row>
    <row r="6" spans="1:8" ht="24" customHeight="1" x14ac:dyDescent="0.3">
      <c r="A6" s="54" t="s">
        <v>5</v>
      </c>
      <c r="B6" s="50"/>
      <c r="C6" s="32">
        <f>COUNTA('유선 스위치'!D6:D2000)</f>
        <v>126</v>
      </c>
      <c r="E6" s="54" t="s">
        <v>6</v>
      </c>
      <c r="F6" s="50"/>
      <c r="G6" s="32">
        <f>COUNTA('무선 AP'!D6:D2000)</f>
        <v>19</v>
      </c>
    </row>
    <row r="7" spans="1:8" ht="24" customHeight="1" x14ac:dyDescent="0.3">
      <c r="A7" s="54" t="s">
        <v>7</v>
      </c>
      <c r="B7" s="50"/>
      <c r="C7" s="32">
        <f>COUNTIF('유선 스위치'!B6:B2000,"DCS")</f>
        <v>91</v>
      </c>
      <c r="E7" s="54" t="s">
        <v>8</v>
      </c>
      <c r="F7" s="50"/>
      <c r="G7" s="32">
        <f>COUNTIF('무선 AP'!B6:B2000,"Wi-Fi 7")</f>
        <v>9</v>
      </c>
    </row>
    <row r="8" spans="1:8" ht="24" customHeight="1" x14ac:dyDescent="0.3">
      <c r="A8" s="54" t="s">
        <v>9</v>
      </c>
      <c r="B8" s="50"/>
      <c r="C8" s="32">
        <f>COUNTIF('유선 스위치'!B6:B2000,"CCS")</f>
        <v>35</v>
      </c>
      <c r="E8" s="54" t="s">
        <v>10</v>
      </c>
      <c r="F8" s="50"/>
      <c r="G8" s="32">
        <f>COUNTIF('무선 AP'!B6:B2000,"Wi-Fi 6E")</f>
        <v>3</v>
      </c>
    </row>
    <row r="9" spans="1:8" ht="24" customHeight="1" x14ac:dyDescent="0.3">
      <c r="A9" s="54" t="s">
        <v>11</v>
      </c>
      <c r="B9" s="50"/>
      <c r="C9" s="32">
        <f>COUNTIF('유선 스위치'!H6:H2000,"주력")+COUNTIF('유선 스위치'!H6:H2000,"적합")+COUNTIF('유선 스위치'!H6:H2000,"보조")+COUNTIF('유선 스위치'!H6:H2000,"특화")</f>
        <v>56</v>
      </c>
      <c r="E9" s="54" t="s">
        <v>12</v>
      </c>
      <c r="F9" s="50"/>
      <c r="G9" s="32">
        <f>COUNTIF('무선 AP'!B6:B2000,"Wi-Fi 6")</f>
        <v>7</v>
      </c>
    </row>
    <row r="10" spans="1:8" ht="24" customHeight="1" x14ac:dyDescent="0.3">
      <c r="A10" s="54" t="s">
        <v>13</v>
      </c>
      <c r="B10" s="50"/>
      <c r="C10" s="32">
        <f>COUNTIF('유선 스위치'!I6:I2000,"주력")+COUNTIF('유선 스위치'!I6:I2000,"적합")+COUNTIF('유선 스위치'!I6:I2000,"보조")+COUNTIF('유선 스위치'!I6:I2000,"특화")</f>
        <v>91</v>
      </c>
      <c r="E10" s="54" t="s">
        <v>14</v>
      </c>
      <c r="F10" s="50"/>
      <c r="G10" s="32">
        <f>COUNTIF('무선 AP'!F6:F2000,"외장 안테나")</f>
        <v>5</v>
      </c>
    </row>
    <row r="11" spans="1:8" ht="24" customHeight="1" x14ac:dyDescent="0.3">
      <c r="A11" s="54" t="s">
        <v>15</v>
      </c>
      <c r="B11" s="50"/>
      <c r="C11" s="32">
        <f>COUNTIF('유선 스위치'!J6:J2000,"주력")+COUNTIF('유선 스위치'!J6:J2000,"적합")+COUNTIF('유선 스위치'!J6:J2000,"보조")+COUNTIF('유선 스위치'!J6:J2000,"특화")</f>
        <v>41</v>
      </c>
      <c r="E11" s="54" t="s">
        <v>16</v>
      </c>
      <c r="F11" s="50"/>
      <c r="G11" s="32">
        <f>COUNTA(마운트킷!B6:B2000)</f>
        <v>8</v>
      </c>
    </row>
    <row r="12" spans="1:8" ht="24" customHeight="1" x14ac:dyDescent="0.3">
      <c r="A12" s="54" t="s">
        <v>17</v>
      </c>
      <c r="B12" s="50"/>
      <c r="C12" s="32">
        <f>43</f>
        <v>43</v>
      </c>
      <c r="E12" s="54" t="s">
        <v>18</v>
      </c>
      <c r="F12" s="50"/>
      <c r="G12" s="32">
        <f>COUNTA('외장 안테나'!C6:C2000)</f>
        <v>39</v>
      </c>
    </row>
    <row r="13" spans="1:8" ht="24" customHeight="1" x14ac:dyDescent="0.3">
      <c r="E13" s="54" t="s">
        <v>19</v>
      </c>
      <c r="F13" s="50"/>
      <c r="G13" s="32">
        <f>COUNTA('데이터시트 목록'!D6:D500)</f>
        <v>70</v>
      </c>
    </row>
    <row r="14" spans="1:8" ht="24" customHeight="1" x14ac:dyDescent="0.3">
      <c r="E14" s="51" t="s">
        <v>20</v>
      </c>
      <c r="F14" s="51"/>
      <c r="G14" s="31">
        <v>21</v>
      </c>
    </row>
    <row r="15" spans="1:8" ht="24" customHeight="1" x14ac:dyDescent="0.3">
      <c r="E15" s="51" t="s">
        <v>21</v>
      </c>
      <c r="F15" s="51"/>
      <c r="G15" s="31">
        <v>25</v>
      </c>
    </row>
    <row r="16" spans="1:8" x14ac:dyDescent="0.3">
      <c r="A16" s="56" t="s">
        <v>22</v>
      </c>
      <c r="B16" s="50"/>
      <c r="C16" s="50"/>
      <c r="D16" s="50"/>
      <c r="E16" s="50"/>
      <c r="F16" s="50"/>
      <c r="G16" s="50"/>
      <c r="H16" s="50"/>
    </row>
    <row r="17" spans="1:8" ht="35.1" customHeight="1" x14ac:dyDescent="0.3">
      <c r="A17" s="33" t="s">
        <v>23</v>
      </c>
      <c r="B17" s="53" t="s">
        <v>24</v>
      </c>
      <c r="C17" s="50"/>
      <c r="D17" s="50"/>
      <c r="E17" s="50"/>
      <c r="F17" s="50"/>
      <c r="G17" s="50"/>
      <c r="H17" s="50"/>
    </row>
    <row r="18" spans="1:8" ht="35.1" customHeight="1" x14ac:dyDescent="0.3">
      <c r="A18" s="33" t="s">
        <v>25</v>
      </c>
      <c r="B18" s="53" t="s">
        <v>26</v>
      </c>
      <c r="C18" s="50"/>
      <c r="D18" s="50"/>
      <c r="E18" s="50"/>
      <c r="F18" s="50"/>
      <c r="G18" s="50"/>
      <c r="H18" s="50"/>
    </row>
    <row r="19" spans="1:8" ht="35.1" customHeight="1" x14ac:dyDescent="0.3">
      <c r="A19" s="33" t="s">
        <v>27</v>
      </c>
      <c r="B19" s="53" t="s">
        <v>28</v>
      </c>
      <c r="C19" s="50"/>
      <c r="D19" s="50"/>
      <c r="E19" s="50"/>
      <c r="F19" s="50"/>
      <c r="G19" s="50"/>
      <c r="H19" s="50"/>
    </row>
    <row r="20" spans="1:8" ht="35.1" customHeight="1" x14ac:dyDescent="0.3">
      <c r="A20" s="33" t="s">
        <v>29</v>
      </c>
      <c r="B20" s="53" t="s">
        <v>30</v>
      </c>
      <c r="C20" s="50"/>
      <c r="D20" s="50"/>
      <c r="E20" s="50"/>
      <c r="F20" s="50"/>
      <c r="G20" s="50"/>
      <c r="H20" s="50"/>
    </row>
    <row r="21" spans="1:8" ht="44.1" customHeight="1" x14ac:dyDescent="0.3">
      <c r="A21" s="34" t="s">
        <v>31</v>
      </c>
      <c r="B21" s="59" t="s">
        <v>32</v>
      </c>
      <c r="C21" s="50"/>
      <c r="D21" s="50"/>
      <c r="E21" s="50"/>
      <c r="F21" s="50"/>
      <c r="G21" s="50"/>
      <c r="H21" s="50"/>
    </row>
    <row r="22" spans="1:8" ht="44.1" customHeight="1" x14ac:dyDescent="0.3">
      <c r="A22" s="34" t="s">
        <v>33</v>
      </c>
      <c r="B22" s="59" t="s">
        <v>34</v>
      </c>
      <c r="C22" s="50"/>
      <c r="D22" s="50"/>
      <c r="E22" s="50"/>
      <c r="F22" s="50"/>
      <c r="G22" s="50"/>
      <c r="H22" s="50"/>
    </row>
    <row r="23" spans="1:8" ht="48" customHeight="1" x14ac:dyDescent="0.3">
      <c r="A23" s="33" t="s">
        <v>35</v>
      </c>
      <c r="B23" s="53" t="s">
        <v>36</v>
      </c>
      <c r="C23" s="50"/>
      <c r="D23" s="50"/>
      <c r="E23" s="50"/>
      <c r="F23" s="50"/>
      <c r="G23" s="50"/>
      <c r="H23" s="50"/>
    </row>
    <row r="26" spans="1:8" x14ac:dyDescent="0.3">
      <c r="A26" s="60" t="s">
        <v>37</v>
      </c>
      <c r="B26" s="50"/>
      <c r="C26" s="50"/>
      <c r="D26" s="50"/>
      <c r="E26" s="50"/>
      <c r="F26" s="50"/>
      <c r="G26" s="50"/>
      <c r="H26" s="50"/>
    </row>
    <row r="27" spans="1:8" ht="24" customHeight="1" x14ac:dyDescent="0.3">
      <c r="A27" s="1" t="s">
        <v>38</v>
      </c>
      <c r="B27" s="49" t="s">
        <v>39</v>
      </c>
      <c r="C27" s="50"/>
      <c r="D27" s="50"/>
      <c r="E27" s="50"/>
      <c r="F27" s="50"/>
      <c r="G27" s="50"/>
      <c r="H27" s="50"/>
    </row>
    <row r="28" spans="1:8" ht="24" customHeight="1" x14ac:dyDescent="0.3">
      <c r="A28" s="1" t="s">
        <v>40</v>
      </c>
      <c r="B28" s="49" t="s">
        <v>41</v>
      </c>
      <c r="C28" s="50"/>
      <c r="D28" s="50"/>
      <c r="E28" s="50"/>
      <c r="F28" s="50"/>
      <c r="G28" s="50"/>
      <c r="H28" s="50"/>
    </row>
    <row r="29" spans="1:8" ht="24" customHeight="1" x14ac:dyDescent="0.3">
      <c r="A29" s="1" t="s">
        <v>42</v>
      </c>
      <c r="B29" s="49" t="s">
        <v>43</v>
      </c>
      <c r="C29" s="50"/>
      <c r="D29" s="50"/>
      <c r="E29" s="50"/>
      <c r="F29" s="50"/>
      <c r="G29" s="50"/>
      <c r="H29" s="50"/>
    </row>
    <row r="30" spans="1:8" ht="24" customHeight="1" x14ac:dyDescent="0.3">
      <c r="A30" s="1" t="s">
        <v>44</v>
      </c>
      <c r="B30" s="49" t="s">
        <v>45</v>
      </c>
      <c r="C30" s="50"/>
      <c r="D30" s="50"/>
      <c r="E30" s="50"/>
      <c r="F30" s="50"/>
      <c r="G30" s="50"/>
      <c r="H30" s="50"/>
    </row>
  </sheetData>
  <mergeCells count="35">
    <mergeCell ref="B30:H30"/>
    <mergeCell ref="B22:H22"/>
    <mergeCell ref="B29:H29"/>
    <mergeCell ref="B28:H28"/>
    <mergeCell ref="B23:H23"/>
    <mergeCell ref="A26:H26"/>
    <mergeCell ref="A2:H2"/>
    <mergeCell ref="E11:F11"/>
    <mergeCell ref="A8:B8"/>
    <mergeCell ref="A3:H3"/>
    <mergeCell ref="B21:H21"/>
    <mergeCell ref="E12:F12"/>
    <mergeCell ref="A11:B11"/>
    <mergeCell ref="B17:H17"/>
    <mergeCell ref="E7:F7"/>
    <mergeCell ref="E5:G5"/>
    <mergeCell ref="A10:B10"/>
    <mergeCell ref="E6:F6"/>
    <mergeCell ref="B18:H18"/>
    <mergeCell ref="B27:H27"/>
    <mergeCell ref="E14:F14"/>
    <mergeCell ref="E15:F15"/>
    <mergeCell ref="A1:H1"/>
    <mergeCell ref="B20:H20"/>
    <mergeCell ref="E8:F8"/>
    <mergeCell ref="A6:B6"/>
    <mergeCell ref="A7:B7"/>
    <mergeCell ref="A5:C5"/>
    <mergeCell ref="E10:F10"/>
    <mergeCell ref="A16:H16"/>
    <mergeCell ref="E13:F13"/>
    <mergeCell ref="E9:F9"/>
    <mergeCell ref="A12:B12"/>
    <mergeCell ref="A9:B9"/>
    <mergeCell ref="B19:H19"/>
  </mergeCells>
  <phoneticPr fontId="22" type="noConversion"/>
  <hyperlinks>
    <hyperlink ref="B27" r:id="rId1" xr:uid="{00000000-0004-0000-0000-000000000000}"/>
    <hyperlink ref="B28" r:id="rId2" xr:uid="{00000000-0004-0000-0000-000001000000}"/>
    <hyperlink ref="B29" r:id="rId3" xr:uid="{00000000-0004-0000-0000-000002000000}"/>
    <hyperlink ref="B3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78"/>
  </sheetPr>
  <dimension ref="A1:AE131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12" customWidth="1"/>
    <col min="3" max="3" width="14" customWidth="1"/>
    <col min="4" max="4" width="24" customWidth="1"/>
    <col min="5" max="5" width="31" customWidth="1"/>
    <col min="6" max="6" width="21" customWidth="1"/>
    <col min="7" max="7" width="34" customWidth="1"/>
    <col min="8" max="9" width="10" customWidth="1"/>
    <col min="10" max="10" width="12" customWidth="1"/>
    <col min="11" max="11" width="38" customWidth="1"/>
    <col min="12" max="12" width="23" customWidth="1"/>
    <col min="13" max="13" width="16" customWidth="1"/>
    <col min="14" max="14" width="12" customWidth="1"/>
    <col min="15" max="15" width="21" customWidth="1"/>
    <col min="16" max="16" width="25" customWidth="1"/>
    <col min="17" max="17" width="28" customWidth="1"/>
    <col min="18" max="18" width="48" customWidth="1"/>
    <col min="19" max="19" width="55" customWidth="1"/>
    <col min="20" max="20" width="42" customWidth="1"/>
    <col min="21" max="21" width="38" customWidth="1"/>
    <col min="22" max="22" width="24" customWidth="1"/>
    <col min="23" max="23" width="22" customWidth="1"/>
    <col min="24" max="24" width="20" customWidth="1"/>
    <col min="25" max="25" width="34" customWidth="1"/>
    <col min="26" max="26" width="24" customWidth="1"/>
    <col min="27" max="27" width="30" customWidth="1"/>
    <col min="28" max="28" width="28" customWidth="1"/>
    <col min="29" max="29" width="34" customWidth="1"/>
    <col min="30" max="31" width="32" customWidth="1"/>
  </cols>
  <sheetData>
    <row r="1" spans="1:31" ht="30" customHeight="1" x14ac:dyDescent="0.3">
      <c r="A1" s="52" t="s">
        <v>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 spans="1:31" ht="21.95" customHeight="1" x14ac:dyDescent="0.3">
      <c r="A2" s="62" t="s">
        <v>47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</row>
    <row r="3" spans="1:31" ht="42" customHeight="1" x14ac:dyDescent="0.3">
      <c r="A3" s="64" t="s">
        <v>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 spans="1:31" ht="24" customHeight="1" x14ac:dyDescent="0.3">
      <c r="A4" s="63" t="s">
        <v>49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61" t="s">
        <v>50</v>
      </c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1" ht="42" customHeight="1" x14ac:dyDescent="0.3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69</v>
      </c>
      <c r="T5" s="2" t="s">
        <v>70</v>
      </c>
      <c r="U5" s="2" t="s">
        <v>71</v>
      </c>
      <c r="V5" s="2" t="s">
        <v>72</v>
      </c>
      <c r="W5" s="2" t="s">
        <v>73</v>
      </c>
      <c r="X5" s="2" t="s">
        <v>74</v>
      </c>
      <c r="Y5" s="2" t="s">
        <v>75</v>
      </c>
      <c r="Z5" s="2" t="s">
        <v>76</v>
      </c>
      <c r="AA5" s="2" t="s">
        <v>77</v>
      </c>
      <c r="AB5" s="2" t="s">
        <v>78</v>
      </c>
      <c r="AC5" s="2" t="s">
        <v>79</v>
      </c>
      <c r="AD5" s="2" t="s">
        <v>80</v>
      </c>
      <c r="AE5" s="2" t="s">
        <v>81</v>
      </c>
    </row>
    <row r="6" spans="1:31" ht="72" customHeight="1" x14ac:dyDescent="0.3">
      <c r="A6" s="3">
        <v>1</v>
      </c>
      <c r="B6" s="35" t="s">
        <v>82</v>
      </c>
      <c r="C6" s="4" t="s">
        <v>83</v>
      </c>
      <c r="D6" s="4" t="s">
        <v>84</v>
      </c>
      <c r="E6" s="4" t="s">
        <v>85</v>
      </c>
      <c r="F6" s="4" t="s">
        <v>86</v>
      </c>
      <c r="G6" s="4" t="s">
        <v>87</v>
      </c>
      <c r="H6" s="5" t="s">
        <v>88</v>
      </c>
      <c r="I6" s="5" t="s">
        <v>88</v>
      </c>
      <c r="J6" s="3" t="s">
        <v>89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89</v>
      </c>
      <c r="P6" s="4" t="s">
        <v>94</v>
      </c>
      <c r="Q6" s="4" t="s">
        <v>95</v>
      </c>
      <c r="R6" s="6" t="s">
        <v>39</v>
      </c>
      <c r="S6" s="6" t="s">
        <v>96</v>
      </c>
      <c r="T6" s="4"/>
      <c r="U6" s="6" t="s">
        <v>90</v>
      </c>
      <c r="V6" s="6" t="s">
        <v>97</v>
      </c>
      <c r="W6" s="6" t="s">
        <v>98</v>
      </c>
      <c r="X6" s="6" t="s">
        <v>99</v>
      </c>
      <c r="Y6" s="6" t="s">
        <v>100</v>
      </c>
      <c r="Z6" s="6" t="s">
        <v>101</v>
      </c>
      <c r="AA6" s="36" t="s">
        <v>102</v>
      </c>
      <c r="AB6" s="6" t="s">
        <v>103</v>
      </c>
      <c r="AC6" s="6" t="s">
        <v>104</v>
      </c>
      <c r="AD6" s="6" t="s">
        <v>105</v>
      </c>
      <c r="AE6" s="6" t="s">
        <v>106</v>
      </c>
    </row>
    <row r="7" spans="1:31" ht="72" customHeight="1" x14ac:dyDescent="0.3">
      <c r="A7" s="7">
        <v>2</v>
      </c>
      <c r="B7" s="35" t="s">
        <v>82</v>
      </c>
      <c r="C7" s="8" t="s">
        <v>83</v>
      </c>
      <c r="D7" s="8" t="s">
        <v>107</v>
      </c>
      <c r="E7" s="8" t="s">
        <v>108</v>
      </c>
      <c r="F7" s="8" t="s">
        <v>86</v>
      </c>
      <c r="G7" s="8" t="s">
        <v>109</v>
      </c>
      <c r="H7" s="5" t="s">
        <v>88</v>
      </c>
      <c r="I7" s="5" t="s">
        <v>88</v>
      </c>
      <c r="J7" s="7" t="s">
        <v>89</v>
      </c>
      <c r="K7" s="8" t="s">
        <v>110</v>
      </c>
      <c r="L7" s="8" t="s">
        <v>111</v>
      </c>
      <c r="M7" s="8" t="s">
        <v>92</v>
      </c>
      <c r="N7" s="8" t="s">
        <v>112</v>
      </c>
      <c r="O7" s="8" t="s">
        <v>89</v>
      </c>
      <c r="P7" s="8" t="s">
        <v>94</v>
      </c>
      <c r="Q7" s="8" t="s">
        <v>95</v>
      </c>
      <c r="R7" s="9" t="s">
        <v>39</v>
      </c>
      <c r="S7" s="9" t="s">
        <v>96</v>
      </c>
      <c r="T7" s="8"/>
      <c r="U7" s="9" t="s">
        <v>110</v>
      </c>
      <c r="V7" s="9" t="s">
        <v>113</v>
      </c>
      <c r="W7" s="9" t="s">
        <v>114</v>
      </c>
      <c r="X7" s="9" t="s">
        <v>99</v>
      </c>
      <c r="Y7" s="9" t="s">
        <v>100</v>
      </c>
      <c r="Z7" s="9" t="s">
        <v>101</v>
      </c>
      <c r="AA7" s="36" t="s">
        <v>102</v>
      </c>
      <c r="AB7" s="9" t="s">
        <v>103</v>
      </c>
      <c r="AC7" s="9" t="s">
        <v>115</v>
      </c>
      <c r="AD7" s="9" t="s">
        <v>116</v>
      </c>
      <c r="AE7" s="9" t="s">
        <v>106</v>
      </c>
    </row>
    <row r="8" spans="1:31" ht="72" customHeight="1" x14ac:dyDescent="0.3">
      <c r="A8" s="3">
        <v>3</v>
      </c>
      <c r="B8" s="35" t="s">
        <v>82</v>
      </c>
      <c r="C8" s="4" t="s">
        <v>83</v>
      </c>
      <c r="D8" s="4" t="s">
        <v>117</v>
      </c>
      <c r="E8" s="4" t="s">
        <v>118</v>
      </c>
      <c r="F8" s="4" t="s">
        <v>86</v>
      </c>
      <c r="G8" s="4" t="s">
        <v>119</v>
      </c>
      <c r="H8" s="5" t="s">
        <v>88</v>
      </c>
      <c r="I8" s="5" t="s">
        <v>88</v>
      </c>
      <c r="J8" s="3" t="s">
        <v>89</v>
      </c>
      <c r="K8" s="4" t="s">
        <v>120</v>
      </c>
      <c r="L8" s="4" t="s">
        <v>121</v>
      </c>
      <c r="M8" s="4" t="s">
        <v>92</v>
      </c>
      <c r="N8" s="4" t="s">
        <v>122</v>
      </c>
      <c r="O8" s="4" t="s">
        <v>89</v>
      </c>
      <c r="P8" s="4" t="s">
        <v>94</v>
      </c>
      <c r="Q8" s="4" t="s">
        <v>95</v>
      </c>
      <c r="R8" s="6" t="s">
        <v>39</v>
      </c>
      <c r="S8" s="6" t="s">
        <v>96</v>
      </c>
      <c r="T8" s="4"/>
      <c r="U8" s="6" t="s">
        <v>120</v>
      </c>
      <c r="V8" s="6" t="s">
        <v>123</v>
      </c>
      <c r="W8" s="6" t="s">
        <v>124</v>
      </c>
      <c r="X8" s="6" t="s">
        <v>99</v>
      </c>
      <c r="Y8" s="6" t="s">
        <v>100</v>
      </c>
      <c r="Z8" s="6" t="s">
        <v>101</v>
      </c>
      <c r="AA8" s="36" t="s">
        <v>102</v>
      </c>
      <c r="AB8" s="6" t="s">
        <v>103</v>
      </c>
      <c r="AC8" s="6" t="s">
        <v>125</v>
      </c>
      <c r="AD8" s="6" t="s">
        <v>126</v>
      </c>
      <c r="AE8" s="6" t="s">
        <v>106</v>
      </c>
    </row>
    <row r="9" spans="1:31" ht="72" customHeight="1" x14ac:dyDescent="0.3">
      <c r="A9" s="7">
        <v>4</v>
      </c>
      <c r="B9" s="35" t="s">
        <v>82</v>
      </c>
      <c r="C9" s="8" t="s">
        <v>83</v>
      </c>
      <c r="D9" s="8" t="s">
        <v>127</v>
      </c>
      <c r="E9" s="8" t="s">
        <v>128</v>
      </c>
      <c r="F9" s="8" t="s">
        <v>86</v>
      </c>
      <c r="G9" s="8" t="s">
        <v>129</v>
      </c>
      <c r="H9" s="5" t="s">
        <v>88</v>
      </c>
      <c r="I9" s="5" t="s">
        <v>88</v>
      </c>
      <c r="J9" s="7" t="s">
        <v>89</v>
      </c>
      <c r="K9" s="8" t="s">
        <v>130</v>
      </c>
      <c r="L9" s="8" t="s">
        <v>131</v>
      </c>
      <c r="M9" s="8" t="s">
        <v>92</v>
      </c>
      <c r="N9" s="8" t="s">
        <v>132</v>
      </c>
      <c r="O9" s="8" t="s">
        <v>89</v>
      </c>
      <c r="P9" s="8" t="s">
        <v>94</v>
      </c>
      <c r="Q9" s="8" t="s">
        <v>95</v>
      </c>
      <c r="R9" s="9" t="s">
        <v>39</v>
      </c>
      <c r="S9" s="9" t="s">
        <v>96</v>
      </c>
      <c r="T9" s="8"/>
      <c r="U9" s="9" t="s">
        <v>130</v>
      </c>
      <c r="V9" s="9" t="s">
        <v>133</v>
      </c>
      <c r="W9" s="9" t="s">
        <v>134</v>
      </c>
      <c r="X9" s="9" t="s">
        <v>99</v>
      </c>
      <c r="Y9" s="9" t="s">
        <v>100</v>
      </c>
      <c r="Z9" s="9" t="s">
        <v>101</v>
      </c>
      <c r="AA9" s="36" t="s">
        <v>102</v>
      </c>
      <c r="AB9" s="9" t="s">
        <v>103</v>
      </c>
      <c r="AC9" s="9" t="s">
        <v>135</v>
      </c>
      <c r="AD9" s="9" t="s">
        <v>136</v>
      </c>
      <c r="AE9" s="9" t="s">
        <v>106</v>
      </c>
    </row>
    <row r="10" spans="1:31" ht="72" customHeight="1" x14ac:dyDescent="0.3">
      <c r="A10" s="10">
        <v>5</v>
      </c>
      <c r="B10" s="37" t="s">
        <v>82</v>
      </c>
      <c r="C10" s="11" t="s">
        <v>137</v>
      </c>
      <c r="D10" s="11" t="s">
        <v>138</v>
      </c>
      <c r="E10" s="11" t="s">
        <v>139</v>
      </c>
      <c r="F10" s="11" t="s">
        <v>86</v>
      </c>
      <c r="G10" s="11" t="s">
        <v>140</v>
      </c>
      <c r="H10" s="38" t="s">
        <v>141</v>
      </c>
      <c r="I10" s="12" t="s">
        <v>88</v>
      </c>
      <c r="J10" s="10" t="s">
        <v>89</v>
      </c>
      <c r="K10" s="11" t="s">
        <v>142</v>
      </c>
      <c r="L10" s="11" t="s">
        <v>121</v>
      </c>
      <c r="M10" s="11" t="s">
        <v>92</v>
      </c>
      <c r="N10" s="11" t="s">
        <v>93</v>
      </c>
      <c r="O10" s="11" t="s">
        <v>89</v>
      </c>
      <c r="P10" s="11" t="s">
        <v>143</v>
      </c>
      <c r="Q10" s="11" t="s">
        <v>95</v>
      </c>
      <c r="R10" s="13" t="s">
        <v>39</v>
      </c>
      <c r="S10" s="13" t="s">
        <v>144</v>
      </c>
      <c r="T10" s="11"/>
      <c r="U10" s="13" t="s">
        <v>142</v>
      </c>
      <c r="V10" s="13" t="s">
        <v>123</v>
      </c>
      <c r="W10" s="13" t="s">
        <v>145</v>
      </c>
      <c r="X10" s="13" t="s">
        <v>146</v>
      </c>
      <c r="Y10" s="13" t="s">
        <v>147</v>
      </c>
      <c r="Z10" s="13" t="s">
        <v>148</v>
      </c>
      <c r="AA10" s="13" t="s">
        <v>149</v>
      </c>
      <c r="AB10" s="13" t="s">
        <v>150</v>
      </c>
      <c r="AC10" s="13" t="s">
        <v>104</v>
      </c>
      <c r="AD10" s="13" t="s">
        <v>105</v>
      </c>
      <c r="AE10" s="13" t="s">
        <v>106</v>
      </c>
    </row>
    <row r="11" spans="1:31" ht="72" customHeight="1" x14ac:dyDescent="0.3">
      <c r="A11" s="7">
        <v>6</v>
      </c>
      <c r="B11" s="35" t="s">
        <v>82</v>
      </c>
      <c r="C11" s="8" t="s">
        <v>137</v>
      </c>
      <c r="D11" s="8" t="s">
        <v>151</v>
      </c>
      <c r="E11" s="8" t="s">
        <v>152</v>
      </c>
      <c r="F11" s="8" t="s">
        <v>86</v>
      </c>
      <c r="G11" s="8" t="s">
        <v>140</v>
      </c>
      <c r="H11" s="39" t="s">
        <v>141</v>
      </c>
      <c r="I11" s="5" t="s">
        <v>88</v>
      </c>
      <c r="J11" s="7" t="s">
        <v>89</v>
      </c>
      <c r="K11" s="8" t="s">
        <v>142</v>
      </c>
      <c r="L11" s="8" t="s">
        <v>121</v>
      </c>
      <c r="M11" s="8" t="s">
        <v>92</v>
      </c>
      <c r="N11" s="8" t="s">
        <v>93</v>
      </c>
      <c r="O11" s="8" t="s">
        <v>89</v>
      </c>
      <c r="P11" s="8" t="s">
        <v>143</v>
      </c>
      <c r="Q11" s="8" t="s">
        <v>95</v>
      </c>
      <c r="R11" s="9" t="s">
        <v>39</v>
      </c>
      <c r="S11" s="9" t="s">
        <v>144</v>
      </c>
      <c r="T11" s="8"/>
      <c r="U11" s="9" t="s">
        <v>142</v>
      </c>
      <c r="V11" s="9" t="s">
        <v>123</v>
      </c>
      <c r="W11" s="9" t="s">
        <v>145</v>
      </c>
      <c r="X11" s="9" t="s">
        <v>146</v>
      </c>
      <c r="Y11" s="9" t="s">
        <v>147</v>
      </c>
      <c r="Z11" s="9" t="s">
        <v>148</v>
      </c>
      <c r="AA11" s="9" t="s">
        <v>149</v>
      </c>
      <c r="AB11" s="9" t="s">
        <v>150</v>
      </c>
      <c r="AC11" s="9" t="s">
        <v>104</v>
      </c>
      <c r="AD11" s="9" t="s">
        <v>105</v>
      </c>
      <c r="AE11" s="9" t="s">
        <v>106</v>
      </c>
    </row>
    <row r="12" spans="1:31" ht="72" customHeight="1" x14ac:dyDescent="0.3">
      <c r="A12" s="3">
        <v>7</v>
      </c>
      <c r="B12" s="35" t="s">
        <v>82</v>
      </c>
      <c r="C12" s="4" t="s">
        <v>137</v>
      </c>
      <c r="D12" s="4" t="s">
        <v>153</v>
      </c>
      <c r="E12" s="4" t="s">
        <v>154</v>
      </c>
      <c r="F12" s="4" t="s">
        <v>86</v>
      </c>
      <c r="G12" s="4" t="s">
        <v>140</v>
      </c>
      <c r="H12" s="39" t="s">
        <v>141</v>
      </c>
      <c r="I12" s="5" t="s">
        <v>88</v>
      </c>
      <c r="J12" s="3" t="s">
        <v>89</v>
      </c>
      <c r="K12" s="4" t="s">
        <v>155</v>
      </c>
      <c r="L12" s="4" t="s">
        <v>156</v>
      </c>
      <c r="M12" s="4" t="s">
        <v>92</v>
      </c>
      <c r="N12" s="4" t="s">
        <v>112</v>
      </c>
      <c r="O12" s="4" t="s">
        <v>89</v>
      </c>
      <c r="P12" s="4" t="s">
        <v>143</v>
      </c>
      <c r="Q12" s="4" t="s">
        <v>95</v>
      </c>
      <c r="R12" s="6" t="s">
        <v>39</v>
      </c>
      <c r="S12" s="6" t="s">
        <v>144</v>
      </c>
      <c r="T12" s="4"/>
      <c r="U12" s="6" t="s">
        <v>155</v>
      </c>
      <c r="V12" s="6" t="s">
        <v>157</v>
      </c>
      <c r="W12" s="6" t="s">
        <v>158</v>
      </c>
      <c r="X12" s="6" t="s">
        <v>146</v>
      </c>
      <c r="Y12" s="6" t="s">
        <v>147</v>
      </c>
      <c r="Z12" s="6" t="s">
        <v>148</v>
      </c>
      <c r="AA12" s="6" t="s">
        <v>149</v>
      </c>
      <c r="AB12" s="6" t="s">
        <v>150</v>
      </c>
      <c r="AC12" s="6" t="s">
        <v>115</v>
      </c>
      <c r="AD12" s="6" t="s">
        <v>116</v>
      </c>
      <c r="AE12" s="6" t="s">
        <v>106</v>
      </c>
    </row>
    <row r="13" spans="1:31" ht="72" customHeight="1" x14ac:dyDescent="0.3">
      <c r="A13" s="7">
        <v>8</v>
      </c>
      <c r="B13" s="35" t="s">
        <v>82</v>
      </c>
      <c r="C13" s="8" t="s">
        <v>137</v>
      </c>
      <c r="D13" s="8" t="s">
        <v>159</v>
      </c>
      <c r="E13" s="8" t="s">
        <v>160</v>
      </c>
      <c r="F13" s="8" t="s">
        <v>86</v>
      </c>
      <c r="G13" s="8" t="s">
        <v>140</v>
      </c>
      <c r="H13" s="39" t="s">
        <v>141</v>
      </c>
      <c r="I13" s="5" t="s">
        <v>88</v>
      </c>
      <c r="J13" s="7" t="s">
        <v>89</v>
      </c>
      <c r="K13" s="8" t="s">
        <v>161</v>
      </c>
      <c r="L13" s="8" t="s">
        <v>131</v>
      </c>
      <c r="M13" s="8" t="s">
        <v>92</v>
      </c>
      <c r="N13" s="8" t="s">
        <v>122</v>
      </c>
      <c r="O13" s="8" t="s">
        <v>89</v>
      </c>
      <c r="P13" s="8" t="s">
        <v>143</v>
      </c>
      <c r="Q13" s="8" t="s">
        <v>95</v>
      </c>
      <c r="R13" s="9" t="s">
        <v>39</v>
      </c>
      <c r="S13" s="9" t="s">
        <v>144</v>
      </c>
      <c r="T13" s="8"/>
      <c r="U13" s="9" t="s">
        <v>161</v>
      </c>
      <c r="V13" s="9" t="s">
        <v>133</v>
      </c>
      <c r="W13" s="9" t="s">
        <v>162</v>
      </c>
      <c r="X13" s="9" t="s">
        <v>146</v>
      </c>
      <c r="Y13" s="9" t="s">
        <v>147</v>
      </c>
      <c r="Z13" s="9" t="s">
        <v>148</v>
      </c>
      <c r="AA13" s="9" t="s">
        <v>149</v>
      </c>
      <c r="AB13" s="9" t="s">
        <v>150</v>
      </c>
      <c r="AC13" s="9" t="s">
        <v>125</v>
      </c>
      <c r="AD13" s="9" t="s">
        <v>126</v>
      </c>
      <c r="AE13" s="9" t="s">
        <v>106</v>
      </c>
    </row>
    <row r="14" spans="1:31" ht="72" customHeight="1" x14ac:dyDescent="0.3">
      <c r="A14" s="3">
        <v>9</v>
      </c>
      <c r="B14" s="35" t="s">
        <v>82</v>
      </c>
      <c r="C14" s="4" t="s">
        <v>137</v>
      </c>
      <c r="D14" s="4" t="s">
        <v>163</v>
      </c>
      <c r="E14" s="4" t="s">
        <v>164</v>
      </c>
      <c r="F14" s="4" t="s">
        <v>86</v>
      </c>
      <c r="G14" s="4" t="s">
        <v>140</v>
      </c>
      <c r="H14" s="39" t="s">
        <v>141</v>
      </c>
      <c r="I14" s="5" t="s">
        <v>88</v>
      </c>
      <c r="J14" s="3" t="s">
        <v>89</v>
      </c>
      <c r="K14" s="4" t="s">
        <v>165</v>
      </c>
      <c r="L14" s="4" t="s">
        <v>166</v>
      </c>
      <c r="M14" s="4" t="s">
        <v>92</v>
      </c>
      <c r="N14" s="4" t="s">
        <v>132</v>
      </c>
      <c r="O14" s="4" t="s">
        <v>89</v>
      </c>
      <c r="P14" s="4" t="s">
        <v>143</v>
      </c>
      <c r="Q14" s="4" t="s">
        <v>95</v>
      </c>
      <c r="R14" s="6" t="s">
        <v>39</v>
      </c>
      <c r="S14" s="6" t="s">
        <v>144</v>
      </c>
      <c r="T14" s="4"/>
      <c r="U14" s="6" t="s">
        <v>165</v>
      </c>
      <c r="V14" s="6" t="s">
        <v>167</v>
      </c>
      <c r="W14" s="6" t="s">
        <v>168</v>
      </c>
      <c r="X14" s="6" t="s">
        <v>146</v>
      </c>
      <c r="Y14" s="6" t="s">
        <v>147</v>
      </c>
      <c r="Z14" s="6" t="s">
        <v>148</v>
      </c>
      <c r="AA14" s="6" t="s">
        <v>149</v>
      </c>
      <c r="AB14" s="6" t="s">
        <v>150</v>
      </c>
      <c r="AC14" s="6" t="s">
        <v>135</v>
      </c>
      <c r="AD14" s="6" t="s">
        <v>136</v>
      </c>
      <c r="AE14" s="6" t="s">
        <v>106</v>
      </c>
    </row>
    <row r="15" spans="1:31" ht="72" customHeight="1" x14ac:dyDescent="0.3">
      <c r="A15" s="14">
        <v>10</v>
      </c>
      <c r="B15" s="37" t="s">
        <v>82</v>
      </c>
      <c r="C15" s="15" t="s">
        <v>169</v>
      </c>
      <c r="D15" s="15" t="s">
        <v>170</v>
      </c>
      <c r="E15" s="15" t="s">
        <v>171</v>
      </c>
      <c r="F15" s="15" t="s">
        <v>172</v>
      </c>
      <c r="G15" s="15" t="s">
        <v>173</v>
      </c>
      <c r="H15" s="12" t="s">
        <v>88</v>
      </c>
      <c r="I15" s="38" t="s">
        <v>141</v>
      </c>
      <c r="J15" s="14" t="s">
        <v>89</v>
      </c>
      <c r="K15" s="15" t="s">
        <v>174</v>
      </c>
      <c r="L15" s="15" t="s">
        <v>175</v>
      </c>
      <c r="M15" s="15" t="s">
        <v>176</v>
      </c>
      <c r="N15" s="15" t="s">
        <v>177</v>
      </c>
      <c r="O15" s="15" t="s">
        <v>89</v>
      </c>
      <c r="P15" s="15" t="s">
        <v>178</v>
      </c>
      <c r="Q15" s="15" t="s">
        <v>95</v>
      </c>
      <c r="R15" s="16" t="s">
        <v>39</v>
      </c>
      <c r="S15" s="16" t="s">
        <v>179</v>
      </c>
      <c r="T15" s="15"/>
      <c r="U15" s="16" t="s">
        <v>180</v>
      </c>
      <c r="V15" s="16" t="s">
        <v>181</v>
      </c>
      <c r="W15" s="40" t="s">
        <v>182</v>
      </c>
      <c r="X15" s="16" t="s">
        <v>183</v>
      </c>
      <c r="Y15" s="16" t="s">
        <v>184</v>
      </c>
      <c r="Z15" s="16" t="s">
        <v>148</v>
      </c>
      <c r="AA15" s="16" t="s">
        <v>185</v>
      </c>
      <c r="AB15" s="40" t="s">
        <v>182</v>
      </c>
      <c r="AC15" s="16" t="s">
        <v>186</v>
      </c>
      <c r="AD15" s="16" t="s">
        <v>187</v>
      </c>
      <c r="AE15" s="16" t="s">
        <v>106</v>
      </c>
    </row>
    <row r="16" spans="1:31" ht="72" customHeight="1" x14ac:dyDescent="0.3">
      <c r="A16" s="3">
        <v>11</v>
      </c>
      <c r="B16" s="35" t="s">
        <v>82</v>
      </c>
      <c r="C16" s="4" t="s">
        <v>169</v>
      </c>
      <c r="D16" s="4" t="s">
        <v>188</v>
      </c>
      <c r="E16" s="4" t="s">
        <v>189</v>
      </c>
      <c r="F16" s="4" t="s">
        <v>190</v>
      </c>
      <c r="G16" s="4" t="s">
        <v>191</v>
      </c>
      <c r="H16" s="5" t="s">
        <v>88</v>
      </c>
      <c r="I16" s="39" t="s">
        <v>141</v>
      </c>
      <c r="J16" s="3" t="s">
        <v>89</v>
      </c>
      <c r="K16" s="4" t="s">
        <v>192</v>
      </c>
      <c r="L16" s="4" t="s">
        <v>193</v>
      </c>
      <c r="M16" s="4" t="s">
        <v>176</v>
      </c>
      <c r="N16" s="4" t="s">
        <v>194</v>
      </c>
      <c r="O16" s="4" t="s">
        <v>89</v>
      </c>
      <c r="P16" s="4" t="s">
        <v>178</v>
      </c>
      <c r="Q16" s="4" t="s">
        <v>95</v>
      </c>
      <c r="R16" s="6" t="s">
        <v>39</v>
      </c>
      <c r="S16" s="6" t="s">
        <v>179</v>
      </c>
      <c r="T16" s="4"/>
      <c r="U16" s="6" t="s">
        <v>195</v>
      </c>
      <c r="V16" s="6" t="s">
        <v>196</v>
      </c>
      <c r="W16" s="6" t="s">
        <v>197</v>
      </c>
      <c r="X16" s="6" t="s">
        <v>183</v>
      </c>
      <c r="Y16" s="6" t="s">
        <v>184</v>
      </c>
      <c r="Z16" s="6" t="s">
        <v>148</v>
      </c>
      <c r="AA16" s="6" t="s">
        <v>185</v>
      </c>
      <c r="AB16" s="6" t="s">
        <v>198</v>
      </c>
      <c r="AC16" s="6" t="s">
        <v>199</v>
      </c>
      <c r="AD16" s="6" t="s">
        <v>200</v>
      </c>
      <c r="AE16" s="6" t="s">
        <v>106</v>
      </c>
    </row>
    <row r="17" spans="1:31" ht="72" customHeight="1" x14ac:dyDescent="0.3">
      <c r="A17" s="14">
        <v>12</v>
      </c>
      <c r="B17" s="37" t="s">
        <v>82</v>
      </c>
      <c r="C17" s="15" t="s">
        <v>201</v>
      </c>
      <c r="D17" s="15" t="s">
        <v>202</v>
      </c>
      <c r="E17" s="15" t="s">
        <v>203</v>
      </c>
      <c r="F17" s="15" t="s">
        <v>86</v>
      </c>
      <c r="G17" s="15" t="s">
        <v>204</v>
      </c>
      <c r="H17" s="17" t="s">
        <v>205</v>
      </c>
      <c r="I17" s="12" t="s">
        <v>88</v>
      </c>
      <c r="J17" s="14" t="s">
        <v>89</v>
      </c>
      <c r="K17" s="15" t="s">
        <v>206</v>
      </c>
      <c r="L17" s="15" t="s">
        <v>207</v>
      </c>
      <c r="M17" s="15" t="s">
        <v>92</v>
      </c>
      <c r="N17" s="15" t="s">
        <v>208</v>
      </c>
      <c r="O17" s="15" t="s">
        <v>89</v>
      </c>
      <c r="P17" s="15" t="s">
        <v>209</v>
      </c>
      <c r="Q17" s="15" t="s">
        <v>95</v>
      </c>
      <c r="R17" s="16" t="s">
        <v>39</v>
      </c>
      <c r="S17" s="16" t="s">
        <v>210</v>
      </c>
      <c r="T17" s="15"/>
      <c r="U17" s="16" t="s">
        <v>206</v>
      </c>
      <c r="V17" s="16" t="s">
        <v>207</v>
      </c>
      <c r="W17" s="40" t="s">
        <v>211</v>
      </c>
      <c r="X17" s="16" t="s">
        <v>146</v>
      </c>
      <c r="Y17" s="16" t="s">
        <v>212</v>
      </c>
      <c r="Z17" s="16" t="s">
        <v>213</v>
      </c>
      <c r="AA17" s="16" t="s">
        <v>214</v>
      </c>
      <c r="AB17" s="16" t="s">
        <v>215</v>
      </c>
      <c r="AC17" s="16" t="s">
        <v>216</v>
      </c>
      <c r="AD17" s="16" t="s">
        <v>217</v>
      </c>
      <c r="AE17" s="16" t="s">
        <v>106</v>
      </c>
    </row>
    <row r="18" spans="1:31" ht="72" customHeight="1" x14ac:dyDescent="0.3">
      <c r="A18" s="3">
        <v>13</v>
      </c>
      <c r="B18" s="35" t="s">
        <v>82</v>
      </c>
      <c r="C18" s="4" t="s">
        <v>201</v>
      </c>
      <c r="D18" s="4" t="s">
        <v>218</v>
      </c>
      <c r="E18" s="4" t="s">
        <v>219</v>
      </c>
      <c r="F18" s="4" t="s">
        <v>86</v>
      </c>
      <c r="G18" s="4" t="s">
        <v>204</v>
      </c>
      <c r="H18" s="18" t="s">
        <v>205</v>
      </c>
      <c r="I18" s="5" t="s">
        <v>88</v>
      </c>
      <c r="J18" s="3" t="s">
        <v>89</v>
      </c>
      <c r="K18" s="4" t="s">
        <v>220</v>
      </c>
      <c r="L18" s="4" t="s">
        <v>221</v>
      </c>
      <c r="M18" s="4" t="s">
        <v>92</v>
      </c>
      <c r="N18" s="4" t="s">
        <v>222</v>
      </c>
      <c r="O18" s="4" t="s">
        <v>89</v>
      </c>
      <c r="P18" s="4" t="s">
        <v>209</v>
      </c>
      <c r="Q18" s="4" t="s">
        <v>95</v>
      </c>
      <c r="R18" s="6" t="s">
        <v>39</v>
      </c>
      <c r="S18" s="6" t="s">
        <v>210</v>
      </c>
      <c r="T18" s="4"/>
      <c r="U18" s="6" t="s">
        <v>220</v>
      </c>
      <c r="V18" s="6" t="s">
        <v>221</v>
      </c>
      <c r="W18" s="36" t="s">
        <v>211</v>
      </c>
      <c r="X18" s="6" t="s">
        <v>146</v>
      </c>
      <c r="Y18" s="6" t="s">
        <v>212</v>
      </c>
      <c r="Z18" s="6" t="s">
        <v>213</v>
      </c>
      <c r="AA18" s="6" t="s">
        <v>214</v>
      </c>
      <c r="AB18" s="6" t="s">
        <v>215</v>
      </c>
      <c r="AC18" s="6" t="s">
        <v>216</v>
      </c>
      <c r="AD18" s="6" t="s">
        <v>217</v>
      </c>
      <c r="AE18" s="6" t="s">
        <v>106</v>
      </c>
    </row>
    <row r="19" spans="1:31" ht="72" customHeight="1" x14ac:dyDescent="0.3">
      <c r="A19" s="7">
        <v>14</v>
      </c>
      <c r="B19" s="35" t="s">
        <v>82</v>
      </c>
      <c r="C19" s="8" t="s">
        <v>201</v>
      </c>
      <c r="D19" s="8" t="s">
        <v>223</v>
      </c>
      <c r="E19" s="8" t="s">
        <v>224</v>
      </c>
      <c r="F19" s="8" t="s">
        <v>86</v>
      </c>
      <c r="G19" s="8" t="s">
        <v>204</v>
      </c>
      <c r="H19" s="18" t="s">
        <v>205</v>
      </c>
      <c r="I19" s="5" t="s">
        <v>88</v>
      </c>
      <c r="J19" s="7" t="s">
        <v>89</v>
      </c>
      <c r="K19" s="8" t="s">
        <v>225</v>
      </c>
      <c r="L19" s="8" t="s">
        <v>226</v>
      </c>
      <c r="M19" s="8" t="s">
        <v>92</v>
      </c>
      <c r="N19" s="8" t="s">
        <v>177</v>
      </c>
      <c r="O19" s="8" t="s">
        <v>89</v>
      </c>
      <c r="P19" s="8" t="s">
        <v>209</v>
      </c>
      <c r="Q19" s="8" t="s">
        <v>95</v>
      </c>
      <c r="R19" s="9" t="s">
        <v>39</v>
      </c>
      <c r="S19" s="9" t="s">
        <v>210</v>
      </c>
      <c r="T19" s="8"/>
      <c r="U19" s="9" t="s">
        <v>225</v>
      </c>
      <c r="V19" s="9" t="s">
        <v>226</v>
      </c>
      <c r="W19" s="36" t="s">
        <v>211</v>
      </c>
      <c r="X19" s="9" t="s">
        <v>146</v>
      </c>
      <c r="Y19" s="9" t="s">
        <v>212</v>
      </c>
      <c r="Z19" s="9" t="s">
        <v>213</v>
      </c>
      <c r="AA19" s="9" t="s">
        <v>214</v>
      </c>
      <c r="AB19" s="9" t="s">
        <v>215</v>
      </c>
      <c r="AC19" s="9" t="s">
        <v>216</v>
      </c>
      <c r="AD19" s="9" t="s">
        <v>217</v>
      </c>
      <c r="AE19" s="9" t="s">
        <v>106</v>
      </c>
    </row>
    <row r="20" spans="1:31" ht="72" customHeight="1" x14ac:dyDescent="0.3">
      <c r="A20" s="10">
        <v>15</v>
      </c>
      <c r="B20" s="37" t="s">
        <v>82</v>
      </c>
      <c r="C20" s="11" t="s">
        <v>227</v>
      </c>
      <c r="D20" s="11" t="s">
        <v>228</v>
      </c>
      <c r="E20" s="11" t="s">
        <v>229</v>
      </c>
      <c r="F20" s="11" t="s">
        <v>86</v>
      </c>
      <c r="G20" s="11" t="s">
        <v>230</v>
      </c>
      <c r="H20" s="10" t="s">
        <v>89</v>
      </c>
      <c r="I20" s="12" t="s">
        <v>88</v>
      </c>
      <c r="J20" s="10" t="s">
        <v>89</v>
      </c>
      <c r="K20" s="11" t="s">
        <v>231</v>
      </c>
      <c r="L20" s="11" t="s">
        <v>232</v>
      </c>
      <c r="M20" s="11" t="s">
        <v>233</v>
      </c>
      <c r="N20" s="11" t="s">
        <v>234</v>
      </c>
      <c r="O20" s="11" t="s">
        <v>89</v>
      </c>
      <c r="P20" s="11" t="s">
        <v>235</v>
      </c>
      <c r="Q20" s="11" t="s">
        <v>95</v>
      </c>
      <c r="R20" s="13" t="s">
        <v>39</v>
      </c>
      <c r="S20" s="13" t="s">
        <v>236</v>
      </c>
      <c r="T20" s="11"/>
      <c r="U20" s="13" t="s">
        <v>231</v>
      </c>
      <c r="V20" s="13" t="s">
        <v>232</v>
      </c>
      <c r="W20" s="13" t="s">
        <v>237</v>
      </c>
      <c r="X20" s="13" t="s">
        <v>146</v>
      </c>
      <c r="Y20" s="13" t="s">
        <v>212</v>
      </c>
      <c r="Z20" s="13" t="s">
        <v>238</v>
      </c>
      <c r="AA20" s="13" t="s">
        <v>214</v>
      </c>
      <c r="AB20" s="13" t="s">
        <v>150</v>
      </c>
      <c r="AC20" s="13" t="s">
        <v>216</v>
      </c>
      <c r="AD20" s="13" t="s">
        <v>217</v>
      </c>
      <c r="AE20" s="13" t="s">
        <v>106</v>
      </c>
    </row>
    <row r="21" spans="1:31" ht="72" customHeight="1" x14ac:dyDescent="0.3">
      <c r="A21" s="7">
        <v>16</v>
      </c>
      <c r="B21" s="35" t="s">
        <v>82</v>
      </c>
      <c r="C21" s="8" t="s">
        <v>227</v>
      </c>
      <c r="D21" s="8" t="s">
        <v>239</v>
      </c>
      <c r="E21" s="8" t="s">
        <v>240</v>
      </c>
      <c r="F21" s="8" t="s">
        <v>86</v>
      </c>
      <c r="G21" s="8" t="s">
        <v>230</v>
      </c>
      <c r="H21" s="7" t="s">
        <v>89</v>
      </c>
      <c r="I21" s="5" t="s">
        <v>88</v>
      </c>
      <c r="J21" s="7" t="s">
        <v>89</v>
      </c>
      <c r="K21" s="8" t="s">
        <v>241</v>
      </c>
      <c r="L21" s="8" t="s">
        <v>242</v>
      </c>
      <c r="M21" s="8" t="s">
        <v>233</v>
      </c>
      <c r="N21" s="8" t="s">
        <v>208</v>
      </c>
      <c r="O21" s="8" t="s">
        <v>89</v>
      </c>
      <c r="P21" s="8" t="s">
        <v>235</v>
      </c>
      <c r="Q21" s="8" t="s">
        <v>95</v>
      </c>
      <c r="R21" s="9" t="s">
        <v>39</v>
      </c>
      <c r="S21" s="9" t="s">
        <v>236</v>
      </c>
      <c r="T21" s="8"/>
      <c r="U21" s="9" t="s">
        <v>241</v>
      </c>
      <c r="V21" s="9" t="s">
        <v>242</v>
      </c>
      <c r="W21" s="9" t="s">
        <v>237</v>
      </c>
      <c r="X21" s="9" t="s">
        <v>146</v>
      </c>
      <c r="Y21" s="9" t="s">
        <v>212</v>
      </c>
      <c r="Z21" s="9" t="s">
        <v>213</v>
      </c>
      <c r="AA21" s="9" t="s">
        <v>214</v>
      </c>
      <c r="AB21" s="9" t="s">
        <v>150</v>
      </c>
      <c r="AC21" s="9" t="s">
        <v>216</v>
      </c>
      <c r="AD21" s="9" t="s">
        <v>217</v>
      </c>
      <c r="AE21" s="9" t="s">
        <v>106</v>
      </c>
    </row>
    <row r="22" spans="1:31" ht="72" customHeight="1" x14ac:dyDescent="0.3">
      <c r="A22" s="3">
        <v>17</v>
      </c>
      <c r="B22" s="35" t="s">
        <v>82</v>
      </c>
      <c r="C22" s="4" t="s">
        <v>227</v>
      </c>
      <c r="D22" s="4" t="s">
        <v>243</v>
      </c>
      <c r="E22" s="4" t="s">
        <v>244</v>
      </c>
      <c r="F22" s="4" t="s">
        <v>86</v>
      </c>
      <c r="G22" s="4" t="s">
        <v>230</v>
      </c>
      <c r="H22" s="3" t="s">
        <v>89</v>
      </c>
      <c r="I22" s="5" t="s">
        <v>88</v>
      </c>
      <c r="J22" s="3" t="s">
        <v>89</v>
      </c>
      <c r="K22" s="4" t="s">
        <v>245</v>
      </c>
      <c r="L22" s="4" t="s">
        <v>246</v>
      </c>
      <c r="M22" s="4" t="s">
        <v>233</v>
      </c>
      <c r="N22" s="4" t="s">
        <v>222</v>
      </c>
      <c r="O22" s="4" t="s">
        <v>89</v>
      </c>
      <c r="P22" s="4" t="s">
        <v>235</v>
      </c>
      <c r="Q22" s="4" t="s">
        <v>95</v>
      </c>
      <c r="R22" s="6" t="s">
        <v>39</v>
      </c>
      <c r="S22" s="6" t="s">
        <v>236</v>
      </c>
      <c r="T22" s="4"/>
      <c r="U22" s="6" t="s">
        <v>245</v>
      </c>
      <c r="V22" s="6" t="s">
        <v>246</v>
      </c>
      <c r="W22" s="6" t="s">
        <v>237</v>
      </c>
      <c r="X22" s="6" t="s">
        <v>146</v>
      </c>
      <c r="Y22" s="6" t="s">
        <v>212</v>
      </c>
      <c r="Z22" s="6" t="s">
        <v>213</v>
      </c>
      <c r="AA22" s="6" t="s">
        <v>214</v>
      </c>
      <c r="AB22" s="6" t="s">
        <v>150</v>
      </c>
      <c r="AC22" s="6" t="s">
        <v>216</v>
      </c>
      <c r="AD22" s="6" t="s">
        <v>217</v>
      </c>
      <c r="AE22" s="6" t="s">
        <v>106</v>
      </c>
    </row>
    <row r="23" spans="1:31" ht="72" customHeight="1" x14ac:dyDescent="0.3">
      <c r="A23" s="7">
        <v>18</v>
      </c>
      <c r="B23" s="35" t="s">
        <v>82</v>
      </c>
      <c r="C23" s="8" t="s">
        <v>227</v>
      </c>
      <c r="D23" s="8" t="s">
        <v>247</v>
      </c>
      <c r="E23" s="8" t="s">
        <v>248</v>
      </c>
      <c r="F23" s="8" t="s">
        <v>86</v>
      </c>
      <c r="G23" s="8" t="s">
        <v>230</v>
      </c>
      <c r="H23" s="7" t="s">
        <v>89</v>
      </c>
      <c r="I23" s="5" t="s">
        <v>88</v>
      </c>
      <c r="J23" s="7" t="s">
        <v>89</v>
      </c>
      <c r="K23" s="8" t="s">
        <v>249</v>
      </c>
      <c r="L23" s="8" t="s">
        <v>250</v>
      </c>
      <c r="M23" s="8" t="s">
        <v>233</v>
      </c>
      <c r="N23" s="8" t="s">
        <v>177</v>
      </c>
      <c r="O23" s="8" t="s">
        <v>89</v>
      </c>
      <c r="P23" s="8" t="s">
        <v>235</v>
      </c>
      <c r="Q23" s="8" t="s">
        <v>95</v>
      </c>
      <c r="R23" s="9" t="s">
        <v>39</v>
      </c>
      <c r="S23" s="9" t="s">
        <v>236</v>
      </c>
      <c r="T23" s="8"/>
      <c r="U23" s="9" t="s">
        <v>249</v>
      </c>
      <c r="V23" s="9" t="s">
        <v>250</v>
      </c>
      <c r="W23" s="9" t="s">
        <v>237</v>
      </c>
      <c r="X23" s="9" t="s">
        <v>146</v>
      </c>
      <c r="Y23" s="9" t="s">
        <v>212</v>
      </c>
      <c r="Z23" s="9" t="s">
        <v>213</v>
      </c>
      <c r="AA23" s="9" t="s">
        <v>214</v>
      </c>
      <c r="AB23" s="9" t="s">
        <v>150</v>
      </c>
      <c r="AC23" s="9" t="s">
        <v>216</v>
      </c>
      <c r="AD23" s="9" t="s">
        <v>217</v>
      </c>
      <c r="AE23" s="9" t="s">
        <v>106</v>
      </c>
    </row>
    <row r="24" spans="1:31" ht="72" customHeight="1" x14ac:dyDescent="0.3">
      <c r="A24" s="10">
        <v>19</v>
      </c>
      <c r="B24" s="37" t="s">
        <v>82</v>
      </c>
      <c r="C24" s="11" t="s">
        <v>251</v>
      </c>
      <c r="D24" s="11" t="s">
        <v>252</v>
      </c>
      <c r="E24" s="11" t="s">
        <v>253</v>
      </c>
      <c r="F24" s="11" t="s">
        <v>254</v>
      </c>
      <c r="G24" s="11" t="s">
        <v>255</v>
      </c>
      <c r="H24" s="17" t="s">
        <v>205</v>
      </c>
      <c r="I24" s="12" t="s">
        <v>88</v>
      </c>
      <c r="J24" s="10" t="s">
        <v>89</v>
      </c>
      <c r="K24" s="11" t="s">
        <v>256</v>
      </c>
      <c r="L24" s="11" t="s">
        <v>257</v>
      </c>
      <c r="M24" s="11" t="s">
        <v>258</v>
      </c>
      <c r="N24" s="11" t="s">
        <v>222</v>
      </c>
      <c r="O24" s="11" t="s">
        <v>89</v>
      </c>
      <c r="P24" s="11" t="s">
        <v>259</v>
      </c>
      <c r="Q24" s="11" t="s">
        <v>95</v>
      </c>
      <c r="R24" s="13" t="s">
        <v>39</v>
      </c>
      <c r="S24" s="13" t="s">
        <v>260</v>
      </c>
      <c r="T24" s="11"/>
      <c r="U24" s="13" t="s">
        <v>256</v>
      </c>
      <c r="V24" s="13" t="s">
        <v>261</v>
      </c>
      <c r="W24" s="13" t="s">
        <v>262</v>
      </c>
      <c r="X24" s="13" t="s">
        <v>263</v>
      </c>
      <c r="Y24" s="13" t="s">
        <v>264</v>
      </c>
      <c r="Z24" s="13" t="s">
        <v>265</v>
      </c>
      <c r="AA24" s="13" t="s">
        <v>266</v>
      </c>
      <c r="AB24" s="13" t="s">
        <v>267</v>
      </c>
      <c r="AC24" s="13" t="s">
        <v>268</v>
      </c>
      <c r="AD24" s="13" t="s">
        <v>269</v>
      </c>
      <c r="AE24" s="13" t="s">
        <v>106</v>
      </c>
    </row>
    <row r="25" spans="1:31" ht="72" customHeight="1" x14ac:dyDescent="0.3">
      <c r="A25" s="7">
        <v>20</v>
      </c>
      <c r="B25" s="35" t="s">
        <v>82</v>
      </c>
      <c r="C25" s="8" t="s">
        <v>251</v>
      </c>
      <c r="D25" s="8" t="s">
        <v>270</v>
      </c>
      <c r="E25" s="8" t="s">
        <v>271</v>
      </c>
      <c r="F25" s="8" t="s">
        <v>254</v>
      </c>
      <c r="G25" s="8" t="s">
        <v>255</v>
      </c>
      <c r="H25" s="18" t="s">
        <v>205</v>
      </c>
      <c r="I25" s="5" t="s">
        <v>88</v>
      </c>
      <c r="J25" s="7" t="s">
        <v>89</v>
      </c>
      <c r="K25" s="8" t="s">
        <v>272</v>
      </c>
      <c r="L25" s="8" t="s">
        <v>273</v>
      </c>
      <c r="M25" s="8" t="s">
        <v>258</v>
      </c>
      <c r="N25" s="8" t="s">
        <v>274</v>
      </c>
      <c r="O25" s="8" t="s">
        <v>89</v>
      </c>
      <c r="P25" s="8" t="s">
        <v>259</v>
      </c>
      <c r="Q25" s="8" t="s">
        <v>95</v>
      </c>
      <c r="R25" s="9" t="s">
        <v>39</v>
      </c>
      <c r="S25" s="9" t="s">
        <v>260</v>
      </c>
      <c r="T25" s="8"/>
      <c r="U25" s="9" t="s">
        <v>272</v>
      </c>
      <c r="V25" s="9" t="s">
        <v>275</v>
      </c>
      <c r="W25" s="9" t="s">
        <v>276</v>
      </c>
      <c r="X25" s="9" t="s">
        <v>263</v>
      </c>
      <c r="Y25" s="9" t="s">
        <v>264</v>
      </c>
      <c r="Z25" s="9" t="s">
        <v>265</v>
      </c>
      <c r="AA25" s="9" t="s">
        <v>266</v>
      </c>
      <c r="AB25" s="9" t="s">
        <v>267</v>
      </c>
      <c r="AC25" s="9" t="s">
        <v>268</v>
      </c>
      <c r="AD25" s="9" t="s">
        <v>269</v>
      </c>
      <c r="AE25" s="9" t="s">
        <v>106</v>
      </c>
    </row>
    <row r="26" spans="1:31" ht="72" customHeight="1" x14ac:dyDescent="0.3">
      <c r="A26" s="10">
        <v>21</v>
      </c>
      <c r="B26" s="37" t="s">
        <v>82</v>
      </c>
      <c r="C26" s="11" t="s">
        <v>277</v>
      </c>
      <c r="D26" s="11" t="s">
        <v>277</v>
      </c>
      <c r="E26" s="11" t="s">
        <v>278</v>
      </c>
      <c r="F26" s="11" t="s">
        <v>279</v>
      </c>
      <c r="G26" s="11" t="s">
        <v>280</v>
      </c>
      <c r="H26" s="38" t="s">
        <v>141</v>
      </c>
      <c r="I26" s="12" t="s">
        <v>88</v>
      </c>
      <c r="J26" s="10" t="s">
        <v>89</v>
      </c>
      <c r="K26" s="11" t="s">
        <v>281</v>
      </c>
      <c r="L26" s="11" t="s">
        <v>275</v>
      </c>
      <c r="M26" s="11" t="s">
        <v>282</v>
      </c>
      <c r="N26" s="11" t="s">
        <v>283</v>
      </c>
      <c r="O26" s="11" t="s">
        <v>89</v>
      </c>
      <c r="P26" s="11" t="s">
        <v>284</v>
      </c>
      <c r="Q26" s="11" t="s">
        <v>95</v>
      </c>
      <c r="R26" s="13" t="s">
        <v>39</v>
      </c>
      <c r="S26" s="13" t="s">
        <v>285</v>
      </c>
      <c r="T26" s="11"/>
      <c r="U26" s="13" t="s">
        <v>286</v>
      </c>
      <c r="V26" s="13" t="s">
        <v>275</v>
      </c>
      <c r="W26" s="13" t="s">
        <v>287</v>
      </c>
      <c r="X26" s="13" t="s">
        <v>282</v>
      </c>
      <c r="Y26" s="13" t="s">
        <v>288</v>
      </c>
      <c r="Z26" s="13" t="s">
        <v>213</v>
      </c>
      <c r="AA26" s="40" t="s">
        <v>289</v>
      </c>
      <c r="AB26" s="13" t="s">
        <v>290</v>
      </c>
      <c r="AC26" s="13" t="s">
        <v>186</v>
      </c>
      <c r="AD26" s="13" t="s">
        <v>291</v>
      </c>
      <c r="AE26" s="13" t="s">
        <v>106</v>
      </c>
    </row>
    <row r="27" spans="1:31" ht="72" customHeight="1" x14ac:dyDescent="0.3">
      <c r="A27" s="14">
        <v>22</v>
      </c>
      <c r="B27" s="37" t="s">
        <v>82</v>
      </c>
      <c r="C27" s="15" t="s">
        <v>292</v>
      </c>
      <c r="D27" s="15" t="s">
        <v>292</v>
      </c>
      <c r="E27" s="15" t="s">
        <v>293</v>
      </c>
      <c r="F27" s="15" t="s">
        <v>279</v>
      </c>
      <c r="G27" s="15" t="s">
        <v>294</v>
      </c>
      <c r="H27" s="38" t="s">
        <v>141</v>
      </c>
      <c r="I27" s="12" t="s">
        <v>88</v>
      </c>
      <c r="J27" s="14" t="s">
        <v>89</v>
      </c>
      <c r="K27" s="15" t="s">
        <v>295</v>
      </c>
      <c r="L27" s="15" t="s">
        <v>275</v>
      </c>
      <c r="M27" s="15" t="s">
        <v>296</v>
      </c>
      <c r="N27" s="15" t="s">
        <v>283</v>
      </c>
      <c r="O27" s="15" t="s">
        <v>89</v>
      </c>
      <c r="P27" s="15" t="s">
        <v>284</v>
      </c>
      <c r="Q27" s="15" t="s">
        <v>95</v>
      </c>
      <c r="R27" s="16" t="s">
        <v>39</v>
      </c>
      <c r="S27" s="16" t="s">
        <v>297</v>
      </c>
      <c r="T27" s="15"/>
      <c r="U27" s="16" t="s">
        <v>298</v>
      </c>
      <c r="V27" s="16" t="s">
        <v>299</v>
      </c>
      <c r="W27" s="16" t="s">
        <v>300</v>
      </c>
      <c r="X27" s="16" t="s">
        <v>296</v>
      </c>
      <c r="Y27" s="16" t="s">
        <v>288</v>
      </c>
      <c r="Z27" s="16" t="s">
        <v>213</v>
      </c>
      <c r="AA27" s="16" t="s">
        <v>301</v>
      </c>
      <c r="AB27" s="16" t="s">
        <v>302</v>
      </c>
      <c r="AC27" s="16" t="s">
        <v>186</v>
      </c>
      <c r="AD27" s="16" t="s">
        <v>291</v>
      </c>
      <c r="AE27" s="16" t="s">
        <v>303</v>
      </c>
    </row>
    <row r="28" spans="1:31" ht="72" customHeight="1" x14ac:dyDescent="0.3">
      <c r="A28" s="10">
        <v>23</v>
      </c>
      <c r="B28" s="37" t="s">
        <v>82</v>
      </c>
      <c r="C28" s="11" t="s">
        <v>304</v>
      </c>
      <c r="D28" s="11" t="s">
        <v>304</v>
      </c>
      <c r="E28" s="11" t="s">
        <v>305</v>
      </c>
      <c r="F28" s="11" t="s">
        <v>279</v>
      </c>
      <c r="G28" s="11" t="s">
        <v>294</v>
      </c>
      <c r="H28" s="38" t="s">
        <v>141</v>
      </c>
      <c r="I28" s="12" t="s">
        <v>88</v>
      </c>
      <c r="J28" s="10" t="s">
        <v>89</v>
      </c>
      <c r="K28" s="11" t="s">
        <v>295</v>
      </c>
      <c r="L28" s="11" t="s">
        <v>275</v>
      </c>
      <c r="M28" s="11" t="s">
        <v>306</v>
      </c>
      <c r="N28" s="11" t="s">
        <v>283</v>
      </c>
      <c r="O28" s="11" t="s">
        <v>89</v>
      </c>
      <c r="P28" s="11" t="s">
        <v>284</v>
      </c>
      <c r="Q28" s="11" t="s">
        <v>95</v>
      </c>
      <c r="R28" s="13" t="s">
        <v>39</v>
      </c>
      <c r="S28" s="13" t="s">
        <v>307</v>
      </c>
      <c r="T28" s="11"/>
      <c r="U28" s="13" t="s">
        <v>298</v>
      </c>
      <c r="V28" s="13" t="s">
        <v>299</v>
      </c>
      <c r="W28" s="13" t="s">
        <v>308</v>
      </c>
      <c r="X28" s="13" t="s">
        <v>306</v>
      </c>
      <c r="Y28" s="13" t="s">
        <v>288</v>
      </c>
      <c r="Z28" s="13" t="s">
        <v>213</v>
      </c>
      <c r="AA28" s="13" t="s">
        <v>309</v>
      </c>
      <c r="AB28" s="13" t="s">
        <v>310</v>
      </c>
      <c r="AC28" s="13" t="s">
        <v>186</v>
      </c>
      <c r="AD28" s="13" t="s">
        <v>291</v>
      </c>
      <c r="AE28" s="13" t="s">
        <v>311</v>
      </c>
    </row>
    <row r="29" spans="1:31" ht="72" customHeight="1" x14ac:dyDescent="0.3">
      <c r="A29" s="14">
        <v>24</v>
      </c>
      <c r="B29" s="37" t="s">
        <v>82</v>
      </c>
      <c r="C29" s="15" t="s">
        <v>312</v>
      </c>
      <c r="D29" s="15" t="s">
        <v>313</v>
      </c>
      <c r="E29" s="15" t="s">
        <v>314</v>
      </c>
      <c r="F29" s="15" t="s">
        <v>315</v>
      </c>
      <c r="G29" s="15" t="s">
        <v>316</v>
      </c>
      <c r="H29" s="38" t="s">
        <v>141</v>
      </c>
      <c r="I29" s="12" t="s">
        <v>88</v>
      </c>
      <c r="J29" s="14" t="s">
        <v>89</v>
      </c>
      <c r="K29" s="15" t="s">
        <v>317</v>
      </c>
      <c r="L29" s="15" t="s">
        <v>318</v>
      </c>
      <c r="M29" s="15" t="s">
        <v>92</v>
      </c>
      <c r="N29" s="15" t="s">
        <v>194</v>
      </c>
      <c r="O29" s="15" t="s">
        <v>89</v>
      </c>
      <c r="P29" s="15" t="s">
        <v>94</v>
      </c>
      <c r="Q29" s="15" t="s">
        <v>95</v>
      </c>
      <c r="R29" s="16" t="s">
        <v>39</v>
      </c>
      <c r="S29" s="16" t="s">
        <v>319</v>
      </c>
      <c r="T29" s="15"/>
      <c r="U29" s="16" t="s">
        <v>317</v>
      </c>
      <c r="V29" s="16" t="s">
        <v>196</v>
      </c>
      <c r="W29" s="16" t="s">
        <v>197</v>
      </c>
      <c r="X29" s="16" t="s">
        <v>183</v>
      </c>
      <c r="Y29" s="16" t="s">
        <v>184</v>
      </c>
      <c r="Z29" s="16" t="s">
        <v>148</v>
      </c>
      <c r="AA29" s="16" t="s">
        <v>320</v>
      </c>
      <c r="AB29" s="16" t="s">
        <v>198</v>
      </c>
      <c r="AC29" s="16" t="s">
        <v>199</v>
      </c>
      <c r="AD29" s="16" t="s">
        <v>200</v>
      </c>
      <c r="AE29" s="16" t="s">
        <v>106</v>
      </c>
    </row>
    <row r="30" spans="1:31" ht="72" customHeight="1" x14ac:dyDescent="0.3">
      <c r="A30" s="3">
        <v>25</v>
      </c>
      <c r="B30" s="35" t="s">
        <v>82</v>
      </c>
      <c r="C30" s="4" t="s">
        <v>312</v>
      </c>
      <c r="D30" s="4" t="s">
        <v>321</v>
      </c>
      <c r="E30" s="4" t="s">
        <v>322</v>
      </c>
      <c r="F30" s="4" t="s">
        <v>315</v>
      </c>
      <c r="G30" s="4" t="s">
        <v>323</v>
      </c>
      <c r="H30" s="39" t="s">
        <v>141</v>
      </c>
      <c r="I30" s="5" t="s">
        <v>88</v>
      </c>
      <c r="J30" s="3" t="s">
        <v>89</v>
      </c>
      <c r="K30" s="4" t="s">
        <v>324</v>
      </c>
      <c r="L30" s="4" t="s">
        <v>325</v>
      </c>
      <c r="M30" s="4" t="s">
        <v>92</v>
      </c>
      <c r="N30" s="4" t="s">
        <v>194</v>
      </c>
      <c r="O30" s="4" t="s">
        <v>89</v>
      </c>
      <c r="P30" s="4" t="s">
        <v>94</v>
      </c>
      <c r="Q30" s="4" t="s">
        <v>95</v>
      </c>
      <c r="R30" s="6" t="s">
        <v>39</v>
      </c>
      <c r="S30" s="6" t="s">
        <v>319</v>
      </c>
      <c r="T30" s="4"/>
      <c r="U30" s="6" t="s">
        <v>326</v>
      </c>
      <c r="V30" s="6" t="s">
        <v>327</v>
      </c>
      <c r="W30" s="6" t="s">
        <v>328</v>
      </c>
      <c r="X30" s="6" t="s">
        <v>183</v>
      </c>
      <c r="Y30" s="6" t="s">
        <v>184</v>
      </c>
      <c r="Z30" s="6" t="s">
        <v>148</v>
      </c>
      <c r="AA30" s="6" t="s">
        <v>320</v>
      </c>
      <c r="AB30" s="6" t="s">
        <v>213</v>
      </c>
      <c r="AC30" s="6" t="s">
        <v>199</v>
      </c>
      <c r="AD30" s="6" t="s">
        <v>200</v>
      </c>
      <c r="AE30" s="6" t="s">
        <v>106</v>
      </c>
    </row>
    <row r="31" spans="1:31" ht="72" customHeight="1" x14ac:dyDescent="0.3">
      <c r="A31" s="14">
        <v>26</v>
      </c>
      <c r="B31" s="37" t="s">
        <v>82</v>
      </c>
      <c r="C31" s="15" t="s">
        <v>329</v>
      </c>
      <c r="D31" s="15" t="s">
        <v>330</v>
      </c>
      <c r="E31" s="15" t="s">
        <v>331</v>
      </c>
      <c r="F31" s="15" t="s">
        <v>332</v>
      </c>
      <c r="G31" s="15" t="s">
        <v>333</v>
      </c>
      <c r="H31" s="17" t="s">
        <v>205</v>
      </c>
      <c r="I31" s="12" t="s">
        <v>88</v>
      </c>
      <c r="J31" s="14" t="s">
        <v>89</v>
      </c>
      <c r="K31" s="15" t="s">
        <v>334</v>
      </c>
      <c r="L31" s="15" t="s">
        <v>335</v>
      </c>
      <c r="M31" s="15" t="s">
        <v>92</v>
      </c>
      <c r="N31" s="15" t="s">
        <v>194</v>
      </c>
      <c r="O31" s="15" t="s">
        <v>89</v>
      </c>
      <c r="P31" s="15" t="s">
        <v>336</v>
      </c>
      <c r="Q31" s="15" t="s">
        <v>95</v>
      </c>
      <c r="R31" s="16" t="s">
        <v>39</v>
      </c>
      <c r="S31" s="16" t="s">
        <v>337</v>
      </c>
      <c r="T31" s="15"/>
      <c r="U31" s="16" t="s">
        <v>334</v>
      </c>
      <c r="V31" s="16" t="s">
        <v>338</v>
      </c>
      <c r="W31" s="16" t="s">
        <v>339</v>
      </c>
      <c r="X31" s="16" t="s">
        <v>183</v>
      </c>
      <c r="Y31" s="16" t="s">
        <v>184</v>
      </c>
      <c r="Z31" s="16" t="s">
        <v>148</v>
      </c>
      <c r="AA31" s="16" t="s">
        <v>340</v>
      </c>
      <c r="AB31" s="16" t="s">
        <v>341</v>
      </c>
      <c r="AC31" s="16" t="s">
        <v>199</v>
      </c>
      <c r="AD31" s="16" t="s">
        <v>200</v>
      </c>
      <c r="AE31" s="16" t="s">
        <v>106</v>
      </c>
    </row>
    <row r="32" spans="1:31" ht="72" customHeight="1" x14ac:dyDescent="0.3">
      <c r="A32" s="3">
        <v>27</v>
      </c>
      <c r="B32" s="35" t="s">
        <v>82</v>
      </c>
      <c r="C32" s="4" t="s">
        <v>329</v>
      </c>
      <c r="D32" s="4" t="s">
        <v>342</v>
      </c>
      <c r="E32" s="4" t="s">
        <v>343</v>
      </c>
      <c r="F32" s="4" t="s">
        <v>332</v>
      </c>
      <c r="G32" s="4" t="s">
        <v>344</v>
      </c>
      <c r="H32" s="18" t="s">
        <v>205</v>
      </c>
      <c r="I32" s="5" t="s">
        <v>88</v>
      </c>
      <c r="J32" s="3" t="s">
        <v>89</v>
      </c>
      <c r="K32" s="4" t="s">
        <v>345</v>
      </c>
      <c r="L32" s="4" t="s">
        <v>193</v>
      </c>
      <c r="M32" s="4" t="s">
        <v>92</v>
      </c>
      <c r="N32" s="4" t="s">
        <v>283</v>
      </c>
      <c r="O32" s="4" t="s">
        <v>89</v>
      </c>
      <c r="P32" s="4" t="s">
        <v>336</v>
      </c>
      <c r="Q32" s="4" t="s">
        <v>95</v>
      </c>
      <c r="R32" s="6" t="s">
        <v>39</v>
      </c>
      <c r="S32" s="6" t="s">
        <v>346</v>
      </c>
      <c r="T32" s="4"/>
      <c r="U32" s="6" t="s">
        <v>347</v>
      </c>
      <c r="V32" s="6" t="s">
        <v>193</v>
      </c>
      <c r="W32" s="6" t="s">
        <v>197</v>
      </c>
      <c r="X32" s="6" t="s">
        <v>146</v>
      </c>
      <c r="Y32" s="6" t="s">
        <v>184</v>
      </c>
      <c r="Z32" s="6" t="s">
        <v>148</v>
      </c>
      <c r="AA32" s="6" t="s">
        <v>348</v>
      </c>
      <c r="AB32" s="6" t="s">
        <v>198</v>
      </c>
      <c r="AC32" s="6" t="s">
        <v>186</v>
      </c>
      <c r="AD32" s="6" t="s">
        <v>291</v>
      </c>
      <c r="AE32" s="36" t="s">
        <v>182</v>
      </c>
    </row>
    <row r="33" spans="1:31" ht="72" customHeight="1" x14ac:dyDescent="0.3">
      <c r="A33" s="7">
        <v>28</v>
      </c>
      <c r="B33" s="35" t="s">
        <v>82</v>
      </c>
      <c r="C33" s="8" t="s">
        <v>329</v>
      </c>
      <c r="D33" s="8" t="s">
        <v>349</v>
      </c>
      <c r="E33" s="8" t="s">
        <v>350</v>
      </c>
      <c r="F33" s="8" t="s">
        <v>332</v>
      </c>
      <c r="G33" s="8" t="s">
        <v>351</v>
      </c>
      <c r="H33" s="18" t="s">
        <v>205</v>
      </c>
      <c r="I33" s="5" t="s">
        <v>88</v>
      </c>
      <c r="J33" s="7" t="s">
        <v>89</v>
      </c>
      <c r="K33" s="8" t="s">
        <v>352</v>
      </c>
      <c r="L33" s="8" t="s">
        <v>193</v>
      </c>
      <c r="M33" s="8" t="s">
        <v>92</v>
      </c>
      <c r="N33" s="8" t="s">
        <v>194</v>
      </c>
      <c r="O33" s="8" t="s">
        <v>89</v>
      </c>
      <c r="P33" s="8" t="s">
        <v>336</v>
      </c>
      <c r="Q33" s="8" t="s">
        <v>95</v>
      </c>
      <c r="R33" s="9" t="s">
        <v>39</v>
      </c>
      <c r="S33" s="9" t="s">
        <v>337</v>
      </c>
      <c r="T33" s="8"/>
      <c r="U33" s="9" t="s">
        <v>352</v>
      </c>
      <c r="V33" s="9" t="s">
        <v>196</v>
      </c>
      <c r="W33" s="9" t="s">
        <v>197</v>
      </c>
      <c r="X33" s="9" t="s">
        <v>183</v>
      </c>
      <c r="Y33" s="9" t="s">
        <v>184</v>
      </c>
      <c r="Z33" s="9" t="s">
        <v>148</v>
      </c>
      <c r="AA33" s="9" t="s">
        <v>320</v>
      </c>
      <c r="AB33" s="9" t="s">
        <v>198</v>
      </c>
      <c r="AC33" s="9" t="s">
        <v>199</v>
      </c>
      <c r="AD33" s="9" t="s">
        <v>200</v>
      </c>
      <c r="AE33" s="9" t="s">
        <v>106</v>
      </c>
    </row>
    <row r="34" spans="1:31" ht="72" customHeight="1" x14ac:dyDescent="0.3">
      <c r="A34" s="3">
        <v>29</v>
      </c>
      <c r="B34" s="35" t="s">
        <v>82</v>
      </c>
      <c r="C34" s="4" t="s">
        <v>329</v>
      </c>
      <c r="D34" s="4" t="s">
        <v>353</v>
      </c>
      <c r="E34" s="4" t="s">
        <v>354</v>
      </c>
      <c r="F34" s="4" t="s">
        <v>332</v>
      </c>
      <c r="G34" s="4" t="s">
        <v>355</v>
      </c>
      <c r="H34" s="18" t="s">
        <v>205</v>
      </c>
      <c r="I34" s="5" t="s">
        <v>88</v>
      </c>
      <c r="J34" s="3" t="s">
        <v>89</v>
      </c>
      <c r="K34" s="4" t="s">
        <v>356</v>
      </c>
      <c r="L34" s="4" t="s">
        <v>357</v>
      </c>
      <c r="M34" s="4" t="s">
        <v>92</v>
      </c>
      <c r="N34" s="4" t="s">
        <v>358</v>
      </c>
      <c r="O34" s="4" t="s">
        <v>89</v>
      </c>
      <c r="P34" s="4" t="s">
        <v>336</v>
      </c>
      <c r="Q34" s="4" t="s">
        <v>95</v>
      </c>
      <c r="R34" s="6" t="s">
        <v>39</v>
      </c>
      <c r="S34" s="6" t="s">
        <v>337</v>
      </c>
      <c r="T34" s="4"/>
      <c r="U34" s="6" t="s">
        <v>356</v>
      </c>
      <c r="V34" s="6" t="s">
        <v>359</v>
      </c>
      <c r="W34" s="6" t="s">
        <v>360</v>
      </c>
      <c r="X34" s="6" t="s">
        <v>183</v>
      </c>
      <c r="Y34" s="6" t="s">
        <v>184</v>
      </c>
      <c r="Z34" s="6" t="s">
        <v>148</v>
      </c>
      <c r="AA34" s="6" t="s">
        <v>320</v>
      </c>
      <c r="AB34" s="6" t="s">
        <v>301</v>
      </c>
      <c r="AC34" s="6" t="s">
        <v>199</v>
      </c>
      <c r="AD34" s="6" t="s">
        <v>361</v>
      </c>
      <c r="AE34" s="6" t="s">
        <v>362</v>
      </c>
    </row>
    <row r="35" spans="1:31" ht="72" customHeight="1" x14ac:dyDescent="0.3">
      <c r="A35" s="7">
        <v>30</v>
      </c>
      <c r="B35" s="35" t="s">
        <v>82</v>
      </c>
      <c r="C35" s="8" t="s">
        <v>329</v>
      </c>
      <c r="D35" s="8" t="s">
        <v>363</v>
      </c>
      <c r="E35" s="8" t="s">
        <v>364</v>
      </c>
      <c r="F35" s="8" t="s">
        <v>332</v>
      </c>
      <c r="G35" s="8" t="s">
        <v>351</v>
      </c>
      <c r="H35" s="18" t="s">
        <v>205</v>
      </c>
      <c r="I35" s="5" t="s">
        <v>88</v>
      </c>
      <c r="J35" s="7" t="s">
        <v>89</v>
      </c>
      <c r="K35" s="8" t="s">
        <v>365</v>
      </c>
      <c r="L35" s="8" t="s">
        <v>366</v>
      </c>
      <c r="M35" s="8" t="s">
        <v>92</v>
      </c>
      <c r="N35" s="8" t="s">
        <v>358</v>
      </c>
      <c r="O35" s="8" t="s">
        <v>89</v>
      </c>
      <c r="P35" s="8" t="s">
        <v>336</v>
      </c>
      <c r="Q35" s="8" t="s">
        <v>95</v>
      </c>
      <c r="R35" s="9" t="s">
        <v>39</v>
      </c>
      <c r="S35" s="9" t="s">
        <v>367</v>
      </c>
      <c r="T35" s="8"/>
      <c r="U35" s="9" t="s">
        <v>365</v>
      </c>
      <c r="V35" s="9" t="s">
        <v>368</v>
      </c>
      <c r="W35" s="9" t="s">
        <v>369</v>
      </c>
      <c r="X35" s="9" t="s">
        <v>183</v>
      </c>
      <c r="Y35" s="9" t="s">
        <v>370</v>
      </c>
      <c r="Z35" s="9" t="s">
        <v>371</v>
      </c>
      <c r="AA35" s="9" t="s">
        <v>372</v>
      </c>
      <c r="AB35" s="9" t="s">
        <v>198</v>
      </c>
      <c r="AC35" s="9" t="s">
        <v>199</v>
      </c>
      <c r="AD35" s="9" t="s">
        <v>361</v>
      </c>
      <c r="AE35" s="9" t="s">
        <v>106</v>
      </c>
    </row>
    <row r="36" spans="1:31" ht="72" customHeight="1" x14ac:dyDescent="0.3">
      <c r="A36" s="3">
        <v>31</v>
      </c>
      <c r="B36" s="35" t="s">
        <v>82</v>
      </c>
      <c r="C36" s="4" t="s">
        <v>329</v>
      </c>
      <c r="D36" s="4" t="s">
        <v>373</v>
      </c>
      <c r="E36" s="4" t="s">
        <v>374</v>
      </c>
      <c r="F36" s="4" t="s">
        <v>332</v>
      </c>
      <c r="G36" s="4" t="s">
        <v>355</v>
      </c>
      <c r="H36" s="18" t="s">
        <v>205</v>
      </c>
      <c r="I36" s="5" t="s">
        <v>88</v>
      </c>
      <c r="J36" s="3" t="s">
        <v>89</v>
      </c>
      <c r="K36" s="4" t="s">
        <v>375</v>
      </c>
      <c r="L36" s="4" t="s">
        <v>357</v>
      </c>
      <c r="M36" s="4" t="s">
        <v>92</v>
      </c>
      <c r="N36" s="4" t="s">
        <v>194</v>
      </c>
      <c r="O36" s="4" t="s">
        <v>89</v>
      </c>
      <c r="P36" s="4" t="s">
        <v>336</v>
      </c>
      <c r="Q36" s="4" t="s">
        <v>95</v>
      </c>
      <c r="R36" s="6" t="s">
        <v>39</v>
      </c>
      <c r="S36" s="6" t="s">
        <v>337</v>
      </c>
      <c r="T36" s="4"/>
      <c r="U36" s="6" t="s">
        <v>375</v>
      </c>
      <c r="V36" s="6" t="s">
        <v>359</v>
      </c>
      <c r="W36" s="6" t="s">
        <v>360</v>
      </c>
      <c r="X36" s="6" t="s">
        <v>183</v>
      </c>
      <c r="Y36" s="6" t="s">
        <v>184</v>
      </c>
      <c r="Z36" s="6" t="s">
        <v>148</v>
      </c>
      <c r="AA36" s="6" t="s">
        <v>376</v>
      </c>
      <c r="AB36" s="6" t="s">
        <v>301</v>
      </c>
      <c r="AC36" s="6" t="s">
        <v>199</v>
      </c>
      <c r="AD36" s="6" t="s">
        <v>200</v>
      </c>
      <c r="AE36" s="6" t="s">
        <v>362</v>
      </c>
    </row>
    <row r="37" spans="1:31" ht="72" customHeight="1" x14ac:dyDescent="0.3">
      <c r="A37" s="7">
        <v>32</v>
      </c>
      <c r="B37" s="35" t="s">
        <v>82</v>
      </c>
      <c r="C37" s="8" t="s">
        <v>329</v>
      </c>
      <c r="D37" s="8" t="s">
        <v>377</v>
      </c>
      <c r="E37" s="8"/>
      <c r="F37" s="8" t="s">
        <v>332</v>
      </c>
      <c r="G37" s="8" t="s">
        <v>378</v>
      </c>
      <c r="H37" s="18" t="s">
        <v>205</v>
      </c>
      <c r="I37" s="5" t="s">
        <v>88</v>
      </c>
      <c r="J37" s="7" t="s">
        <v>89</v>
      </c>
      <c r="K37" s="8" t="s">
        <v>379</v>
      </c>
      <c r="L37" s="8" t="s">
        <v>380</v>
      </c>
      <c r="M37" s="8" t="s">
        <v>92</v>
      </c>
      <c r="N37" s="8" t="s">
        <v>358</v>
      </c>
      <c r="O37" s="8" t="s">
        <v>89</v>
      </c>
      <c r="P37" s="8" t="s">
        <v>381</v>
      </c>
      <c r="Q37" s="8" t="s">
        <v>95</v>
      </c>
      <c r="R37" s="9" t="s">
        <v>39</v>
      </c>
      <c r="S37" s="9" t="s">
        <v>382</v>
      </c>
      <c r="T37" s="8"/>
      <c r="U37" s="9" t="s">
        <v>379</v>
      </c>
      <c r="V37" s="9" t="s">
        <v>383</v>
      </c>
      <c r="W37" s="9" t="s">
        <v>384</v>
      </c>
      <c r="X37" s="9" t="s">
        <v>183</v>
      </c>
      <c r="Y37" s="9" t="s">
        <v>370</v>
      </c>
      <c r="Z37" s="9" t="s">
        <v>148</v>
      </c>
      <c r="AA37" s="9" t="s">
        <v>385</v>
      </c>
      <c r="AB37" s="9" t="s">
        <v>301</v>
      </c>
      <c r="AC37" s="9" t="s">
        <v>199</v>
      </c>
      <c r="AD37" s="9" t="s">
        <v>361</v>
      </c>
      <c r="AE37" s="9" t="s">
        <v>362</v>
      </c>
    </row>
    <row r="38" spans="1:31" ht="72" customHeight="1" x14ac:dyDescent="0.3">
      <c r="A38" s="3">
        <v>33</v>
      </c>
      <c r="B38" s="35" t="s">
        <v>82</v>
      </c>
      <c r="C38" s="4" t="s">
        <v>329</v>
      </c>
      <c r="D38" s="4" t="s">
        <v>386</v>
      </c>
      <c r="E38" s="4" t="s">
        <v>387</v>
      </c>
      <c r="F38" s="4" t="s">
        <v>332</v>
      </c>
      <c r="G38" s="4" t="s">
        <v>388</v>
      </c>
      <c r="H38" s="18" t="s">
        <v>205</v>
      </c>
      <c r="I38" s="5" t="s">
        <v>88</v>
      </c>
      <c r="J38" s="3" t="s">
        <v>89</v>
      </c>
      <c r="K38" s="4" t="s">
        <v>379</v>
      </c>
      <c r="L38" s="4" t="s">
        <v>380</v>
      </c>
      <c r="M38" s="4" t="s">
        <v>92</v>
      </c>
      <c r="N38" s="4" t="s">
        <v>358</v>
      </c>
      <c r="O38" s="4" t="s">
        <v>89</v>
      </c>
      <c r="P38" s="4" t="s">
        <v>336</v>
      </c>
      <c r="Q38" s="4" t="s">
        <v>95</v>
      </c>
      <c r="R38" s="6" t="s">
        <v>39</v>
      </c>
      <c r="S38" s="6" t="s">
        <v>367</v>
      </c>
      <c r="T38" s="4"/>
      <c r="U38" s="6" t="s">
        <v>379</v>
      </c>
      <c r="V38" s="6" t="s">
        <v>383</v>
      </c>
      <c r="W38" s="6" t="s">
        <v>384</v>
      </c>
      <c r="X38" s="6" t="s">
        <v>183</v>
      </c>
      <c r="Y38" s="6" t="s">
        <v>370</v>
      </c>
      <c r="Z38" s="6" t="s">
        <v>389</v>
      </c>
      <c r="AA38" s="6" t="s">
        <v>385</v>
      </c>
      <c r="AB38" s="6" t="s">
        <v>301</v>
      </c>
      <c r="AC38" s="6" t="s">
        <v>199</v>
      </c>
      <c r="AD38" s="6" t="s">
        <v>361</v>
      </c>
      <c r="AE38" s="6" t="s">
        <v>362</v>
      </c>
    </row>
    <row r="39" spans="1:31" ht="72" customHeight="1" x14ac:dyDescent="0.3">
      <c r="A39" s="7">
        <v>34</v>
      </c>
      <c r="B39" s="35" t="s">
        <v>82</v>
      </c>
      <c r="C39" s="8" t="s">
        <v>329</v>
      </c>
      <c r="D39" s="8" t="s">
        <v>390</v>
      </c>
      <c r="E39" s="8" t="s">
        <v>391</v>
      </c>
      <c r="F39" s="8" t="s">
        <v>332</v>
      </c>
      <c r="G39" s="8" t="s">
        <v>392</v>
      </c>
      <c r="H39" s="18" t="s">
        <v>205</v>
      </c>
      <c r="I39" s="5" t="s">
        <v>88</v>
      </c>
      <c r="J39" s="7" t="s">
        <v>89</v>
      </c>
      <c r="K39" s="8" t="s">
        <v>393</v>
      </c>
      <c r="L39" s="8" t="s">
        <v>394</v>
      </c>
      <c r="M39" s="8" t="s">
        <v>92</v>
      </c>
      <c r="N39" s="8" t="s">
        <v>358</v>
      </c>
      <c r="O39" s="8" t="s">
        <v>89</v>
      </c>
      <c r="P39" s="8" t="s">
        <v>336</v>
      </c>
      <c r="Q39" s="8" t="s">
        <v>95</v>
      </c>
      <c r="R39" s="9" t="s">
        <v>39</v>
      </c>
      <c r="S39" s="9" t="s">
        <v>367</v>
      </c>
      <c r="T39" s="8"/>
      <c r="U39" s="9" t="s">
        <v>393</v>
      </c>
      <c r="V39" s="9" t="s">
        <v>395</v>
      </c>
      <c r="W39" s="9" t="s">
        <v>396</v>
      </c>
      <c r="X39" s="9" t="s">
        <v>183</v>
      </c>
      <c r="Y39" s="9" t="s">
        <v>370</v>
      </c>
      <c r="Z39" s="9" t="s">
        <v>148</v>
      </c>
      <c r="AA39" s="9" t="s">
        <v>385</v>
      </c>
      <c r="AB39" s="9" t="s">
        <v>397</v>
      </c>
      <c r="AC39" s="9" t="s">
        <v>199</v>
      </c>
      <c r="AD39" s="9" t="s">
        <v>398</v>
      </c>
      <c r="AE39" s="9" t="s">
        <v>399</v>
      </c>
    </row>
    <row r="40" spans="1:31" ht="72" customHeight="1" x14ac:dyDescent="0.3">
      <c r="A40" s="3">
        <v>35</v>
      </c>
      <c r="B40" s="35" t="s">
        <v>82</v>
      </c>
      <c r="C40" s="4" t="s">
        <v>329</v>
      </c>
      <c r="D40" s="4" t="s">
        <v>400</v>
      </c>
      <c r="E40" s="4" t="s">
        <v>401</v>
      </c>
      <c r="F40" s="4" t="s">
        <v>332</v>
      </c>
      <c r="G40" s="4" t="s">
        <v>392</v>
      </c>
      <c r="H40" s="18" t="s">
        <v>205</v>
      </c>
      <c r="I40" s="5" t="s">
        <v>88</v>
      </c>
      <c r="J40" s="3" t="s">
        <v>89</v>
      </c>
      <c r="K40" s="4" t="s">
        <v>402</v>
      </c>
      <c r="L40" s="4" t="s">
        <v>403</v>
      </c>
      <c r="M40" s="4" t="s">
        <v>92</v>
      </c>
      <c r="N40" s="4" t="s">
        <v>358</v>
      </c>
      <c r="O40" s="4" t="s">
        <v>89</v>
      </c>
      <c r="P40" s="4" t="s">
        <v>336</v>
      </c>
      <c r="Q40" s="4" t="s">
        <v>95</v>
      </c>
      <c r="R40" s="6" t="s">
        <v>39</v>
      </c>
      <c r="S40" s="6" t="s">
        <v>337</v>
      </c>
      <c r="T40" s="4"/>
      <c r="U40" s="6" t="s">
        <v>402</v>
      </c>
      <c r="V40" s="6" t="s">
        <v>404</v>
      </c>
      <c r="W40" s="6" t="s">
        <v>405</v>
      </c>
      <c r="X40" s="6" t="s">
        <v>183</v>
      </c>
      <c r="Y40" s="6" t="s">
        <v>184</v>
      </c>
      <c r="Z40" s="6" t="s">
        <v>148</v>
      </c>
      <c r="AA40" s="6" t="s">
        <v>376</v>
      </c>
      <c r="AB40" s="6" t="s">
        <v>397</v>
      </c>
      <c r="AC40" s="6" t="s">
        <v>199</v>
      </c>
      <c r="AD40" s="6" t="s">
        <v>361</v>
      </c>
      <c r="AE40" s="6" t="s">
        <v>362</v>
      </c>
    </row>
    <row r="41" spans="1:31" ht="72" customHeight="1" x14ac:dyDescent="0.3">
      <c r="A41" s="7">
        <v>36</v>
      </c>
      <c r="B41" s="35" t="s">
        <v>82</v>
      </c>
      <c r="C41" s="8" t="s">
        <v>329</v>
      </c>
      <c r="D41" s="8" t="s">
        <v>406</v>
      </c>
      <c r="E41" s="8" t="s">
        <v>407</v>
      </c>
      <c r="F41" s="8" t="s">
        <v>332</v>
      </c>
      <c r="G41" s="8" t="s">
        <v>408</v>
      </c>
      <c r="H41" s="18" t="s">
        <v>205</v>
      </c>
      <c r="I41" s="5" t="s">
        <v>88</v>
      </c>
      <c r="J41" s="7" t="s">
        <v>89</v>
      </c>
      <c r="K41" s="8" t="s">
        <v>409</v>
      </c>
      <c r="L41" s="8" t="s">
        <v>366</v>
      </c>
      <c r="M41" s="8" t="s">
        <v>92</v>
      </c>
      <c r="N41" s="8" t="s">
        <v>194</v>
      </c>
      <c r="O41" s="8" t="s">
        <v>89</v>
      </c>
      <c r="P41" s="8" t="s">
        <v>336</v>
      </c>
      <c r="Q41" s="8" t="s">
        <v>95</v>
      </c>
      <c r="R41" s="9" t="s">
        <v>39</v>
      </c>
      <c r="S41" s="9" t="s">
        <v>367</v>
      </c>
      <c r="T41" s="8"/>
      <c r="U41" s="9" t="s">
        <v>409</v>
      </c>
      <c r="V41" s="9" t="s">
        <v>368</v>
      </c>
      <c r="W41" s="9" t="s">
        <v>369</v>
      </c>
      <c r="X41" s="9" t="s">
        <v>183</v>
      </c>
      <c r="Y41" s="9" t="s">
        <v>410</v>
      </c>
      <c r="Z41" s="9" t="s">
        <v>148</v>
      </c>
      <c r="AA41" s="9" t="s">
        <v>411</v>
      </c>
      <c r="AB41" s="9" t="s">
        <v>198</v>
      </c>
      <c r="AC41" s="9" t="s">
        <v>199</v>
      </c>
      <c r="AD41" s="9" t="s">
        <v>200</v>
      </c>
      <c r="AE41" s="9" t="s">
        <v>106</v>
      </c>
    </row>
    <row r="42" spans="1:31" ht="72" customHeight="1" x14ac:dyDescent="0.3">
      <c r="A42" s="3">
        <v>37</v>
      </c>
      <c r="B42" s="35" t="s">
        <v>82</v>
      </c>
      <c r="C42" s="4" t="s">
        <v>329</v>
      </c>
      <c r="D42" s="4" t="s">
        <v>412</v>
      </c>
      <c r="E42" s="4" t="s">
        <v>413</v>
      </c>
      <c r="F42" s="4" t="s">
        <v>332</v>
      </c>
      <c r="G42" s="4" t="s">
        <v>408</v>
      </c>
      <c r="H42" s="18" t="s">
        <v>205</v>
      </c>
      <c r="I42" s="5" t="s">
        <v>88</v>
      </c>
      <c r="J42" s="3" t="s">
        <v>89</v>
      </c>
      <c r="K42" s="4" t="s">
        <v>414</v>
      </c>
      <c r="L42" s="4" t="s">
        <v>357</v>
      </c>
      <c r="M42" s="4" t="s">
        <v>92</v>
      </c>
      <c r="N42" s="4" t="s">
        <v>194</v>
      </c>
      <c r="O42" s="4" t="s">
        <v>89</v>
      </c>
      <c r="P42" s="4" t="s">
        <v>336</v>
      </c>
      <c r="Q42" s="4" t="s">
        <v>95</v>
      </c>
      <c r="R42" s="6" t="s">
        <v>39</v>
      </c>
      <c r="S42" s="6" t="s">
        <v>337</v>
      </c>
      <c r="T42" s="4"/>
      <c r="U42" s="6" t="s">
        <v>414</v>
      </c>
      <c r="V42" s="6" t="s">
        <v>359</v>
      </c>
      <c r="W42" s="6" t="s">
        <v>360</v>
      </c>
      <c r="X42" s="6" t="s">
        <v>183</v>
      </c>
      <c r="Y42" s="6" t="s">
        <v>184</v>
      </c>
      <c r="Z42" s="6" t="s">
        <v>148</v>
      </c>
      <c r="AA42" s="6" t="s">
        <v>376</v>
      </c>
      <c r="AB42" s="6" t="s">
        <v>301</v>
      </c>
      <c r="AC42" s="6" t="s">
        <v>199</v>
      </c>
      <c r="AD42" s="6" t="s">
        <v>200</v>
      </c>
      <c r="AE42" s="6" t="s">
        <v>362</v>
      </c>
    </row>
    <row r="43" spans="1:31" ht="72" customHeight="1" x14ac:dyDescent="0.3">
      <c r="A43" s="7">
        <v>38</v>
      </c>
      <c r="B43" s="35" t="s">
        <v>82</v>
      </c>
      <c r="C43" s="8" t="s">
        <v>329</v>
      </c>
      <c r="D43" s="8" t="s">
        <v>415</v>
      </c>
      <c r="E43" s="8" t="s">
        <v>416</v>
      </c>
      <c r="F43" s="8" t="s">
        <v>332</v>
      </c>
      <c r="G43" s="8" t="s">
        <v>417</v>
      </c>
      <c r="H43" s="18" t="s">
        <v>205</v>
      </c>
      <c r="I43" s="5" t="s">
        <v>88</v>
      </c>
      <c r="J43" s="7" t="s">
        <v>89</v>
      </c>
      <c r="K43" s="8" t="s">
        <v>418</v>
      </c>
      <c r="L43" s="8" t="s">
        <v>403</v>
      </c>
      <c r="M43" s="8" t="s">
        <v>92</v>
      </c>
      <c r="N43" s="8" t="s">
        <v>358</v>
      </c>
      <c r="O43" s="8" t="s">
        <v>89</v>
      </c>
      <c r="P43" s="8" t="s">
        <v>336</v>
      </c>
      <c r="Q43" s="8" t="s">
        <v>95</v>
      </c>
      <c r="R43" s="9" t="s">
        <v>39</v>
      </c>
      <c r="S43" s="9" t="s">
        <v>337</v>
      </c>
      <c r="T43" s="8"/>
      <c r="U43" s="9" t="s">
        <v>418</v>
      </c>
      <c r="V43" s="9" t="s">
        <v>404</v>
      </c>
      <c r="W43" s="9" t="s">
        <v>405</v>
      </c>
      <c r="X43" s="9" t="s">
        <v>183</v>
      </c>
      <c r="Y43" s="9" t="s">
        <v>184</v>
      </c>
      <c r="Z43" s="9" t="s">
        <v>148</v>
      </c>
      <c r="AA43" s="9" t="s">
        <v>376</v>
      </c>
      <c r="AB43" s="9" t="s">
        <v>397</v>
      </c>
      <c r="AC43" s="9" t="s">
        <v>199</v>
      </c>
      <c r="AD43" s="9" t="s">
        <v>361</v>
      </c>
      <c r="AE43" s="9" t="s">
        <v>362</v>
      </c>
    </row>
    <row r="44" spans="1:31" ht="72" customHeight="1" x14ac:dyDescent="0.3">
      <c r="A44" s="3">
        <v>39</v>
      </c>
      <c r="B44" s="35" t="s">
        <v>82</v>
      </c>
      <c r="C44" s="4" t="s">
        <v>329</v>
      </c>
      <c r="D44" s="4" t="s">
        <v>419</v>
      </c>
      <c r="E44" s="4" t="s">
        <v>420</v>
      </c>
      <c r="F44" s="4" t="s">
        <v>332</v>
      </c>
      <c r="G44" s="4" t="s">
        <v>421</v>
      </c>
      <c r="H44" s="18" t="s">
        <v>205</v>
      </c>
      <c r="I44" s="5" t="s">
        <v>88</v>
      </c>
      <c r="J44" s="3" t="s">
        <v>89</v>
      </c>
      <c r="K44" s="4" t="s">
        <v>422</v>
      </c>
      <c r="L44" s="4" t="s">
        <v>394</v>
      </c>
      <c r="M44" s="4" t="s">
        <v>92</v>
      </c>
      <c r="N44" s="4" t="s">
        <v>358</v>
      </c>
      <c r="O44" s="4" t="s">
        <v>89</v>
      </c>
      <c r="P44" s="4" t="s">
        <v>336</v>
      </c>
      <c r="Q44" s="4" t="s">
        <v>95</v>
      </c>
      <c r="R44" s="6" t="s">
        <v>39</v>
      </c>
      <c r="S44" s="6" t="s">
        <v>367</v>
      </c>
      <c r="T44" s="4"/>
      <c r="U44" s="6" t="s">
        <v>422</v>
      </c>
      <c r="V44" s="6" t="s">
        <v>423</v>
      </c>
      <c r="W44" s="6" t="s">
        <v>396</v>
      </c>
      <c r="X44" s="6" t="s">
        <v>183</v>
      </c>
      <c r="Y44" s="6" t="s">
        <v>410</v>
      </c>
      <c r="Z44" s="6" t="s">
        <v>424</v>
      </c>
      <c r="AA44" s="6" t="s">
        <v>385</v>
      </c>
      <c r="AB44" s="6" t="s">
        <v>397</v>
      </c>
      <c r="AC44" s="6" t="s">
        <v>199</v>
      </c>
      <c r="AD44" s="6" t="s">
        <v>398</v>
      </c>
      <c r="AE44" s="6" t="s">
        <v>362</v>
      </c>
    </row>
    <row r="45" spans="1:31" ht="72" customHeight="1" x14ac:dyDescent="0.3">
      <c r="A45" s="7">
        <v>40</v>
      </c>
      <c r="B45" s="35" t="s">
        <v>82</v>
      </c>
      <c r="C45" s="8" t="s">
        <v>329</v>
      </c>
      <c r="D45" s="8" t="s">
        <v>425</v>
      </c>
      <c r="E45" s="8"/>
      <c r="F45" s="8" t="s">
        <v>332</v>
      </c>
      <c r="G45" s="8" t="s">
        <v>421</v>
      </c>
      <c r="H45" s="18" t="s">
        <v>205</v>
      </c>
      <c r="I45" s="5" t="s">
        <v>88</v>
      </c>
      <c r="J45" s="7" t="s">
        <v>89</v>
      </c>
      <c r="K45" s="8" t="s">
        <v>426</v>
      </c>
      <c r="L45" s="8" t="s">
        <v>427</v>
      </c>
      <c r="M45" s="8" t="s">
        <v>92</v>
      </c>
      <c r="N45" s="8" t="s">
        <v>358</v>
      </c>
      <c r="O45" s="8" t="s">
        <v>89</v>
      </c>
      <c r="P45" s="8" t="s">
        <v>284</v>
      </c>
      <c r="Q45" s="8" t="s">
        <v>95</v>
      </c>
      <c r="R45" s="9" t="s">
        <v>39</v>
      </c>
      <c r="S45" s="9" t="s">
        <v>367</v>
      </c>
      <c r="T45" s="8"/>
      <c r="U45" s="9" t="s">
        <v>426</v>
      </c>
      <c r="V45" s="9" t="s">
        <v>428</v>
      </c>
      <c r="W45" s="9" t="s">
        <v>429</v>
      </c>
      <c r="X45" s="9" t="s">
        <v>183</v>
      </c>
      <c r="Y45" s="9" t="s">
        <v>410</v>
      </c>
      <c r="Z45" s="9" t="s">
        <v>301</v>
      </c>
      <c r="AA45" s="9" t="s">
        <v>430</v>
      </c>
      <c r="AB45" s="9" t="s">
        <v>431</v>
      </c>
      <c r="AC45" s="9" t="s">
        <v>199</v>
      </c>
      <c r="AD45" s="9" t="s">
        <v>398</v>
      </c>
      <c r="AE45" s="9" t="s">
        <v>362</v>
      </c>
    </row>
    <row r="46" spans="1:31" ht="72" customHeight="1" x14ac:dyDescent="0.3">
      <c r="A46" s="10">
        <v>41</v>
      </c>
      <c r="B46" s="37" t="s">
        <v>82</v>
      </c>
      <c r="C46" s="11" t="s">
        <v>432</v>
      </c>
      <c r="D46" s="11" t="s">
        <v>433</v>
      </c>
      <c r="E46" s="11" t="s">
        <v>434</v>
      </c>
      <c r="F46" s="11" t="s">
        <v>435</v>
      </c>
      <c r="G46" s="11" t="s">
        <v>436</v>
      </c>
      <c r="H46" s="10" t="s">
        <v>89</v>
      </c>
      <c r="I46" s="19" t="s">
        <v>437</v>
      </c>
      <c r="J46" s="10" t="s">
        <v>89</v>
      </c>
      <c r="K46" s="11" t="s">
        <v>438</v>
      </c>
      <c r="L46" s="11" t="s">
        <v>439</v>
      </c>
      <c r="M46" s="11" t="s">
        <v>440</v>
      </c>
      <c r="N46" s="11" t="s">
        <v>358</v>
      </c>
      <c r="O46" s="11" t="s">
        <v>89</v>
      </c>
      <c r="P46" s="11" t="s">
        <v>89</v>
      </c>
      <c r="Q46" s="11" t="s">
        <v>95</v>
      </c>
      <c r="R46" s="13" t="s">
        <v>39</v>
      </c>
      <c r="S46" s="13" t="s">
        <v>441</v>
      </c>
      <c r="T46" s="11"/>
      <c r="U46" s="13" t="s">
        <v>438</v>
      </c>
      <c r="V46" s="13" t="s">
        <v>442</v>
      </c>
      <c r="W46" s="40" t="s">
        <v>182</v>
      </c>
      <c r="X46" s="13" t="s">
        <v>443</v>
      </c>
      <c r="Y46" s="13" t="s">
        <v>184</v>
      </c>
      <c r="Z46" s="13" t="s">
        <v>444</v>
      </c>
      <c r="AA46" s="13" t="s">
        <v>348</v>
      </c>
      <c r="AB46" s="13" t="s">
        <v>445</v>
      </c>
      <c r="AC46" s="13" t="s">
        <v>199</v>
      </c>
      <c r="AD46" s="13" t="s">
        <v>361</v>
      </c>
      <c r="AE46" s="13" t="s">
        <v>446</v>
      </c>
    </row>
    <row r="47" spans="1:31" ht="72" customHeight="1" x14ac:dyDescent="0.3">
      <c r="A47" s="7">
        <v>42</v>
      </c>
      <c r="B47" s="35" t="s">
        <v>82</v>
      </c>
      <c r="C47" s="8" t="s">
        <v>432</v>
      </c>
      <c r="D47" s="8" t="s">
        <v>447</v>
      </c>
      <c r="E47" s="8" t="s">
        <v>448</v>
      </c>
      <c r="F47" s="8" t="s">
        <v>435</v>
      </c>
      <c r="G47" s="8" t="s">
        <v>449</v>
      </c>
      <c r="H47" s="7" t="s">
        <v>89</v>
      </c>
      <c r="I47" s="20" t="s">
        <v>437</v>
      </c>
      <c r="J47" s="7" t="s">
        <v>89</v>
      </c>
      <c r="K47" s="8" t="s">
        <v>450</v>
      </c>
      <c r="L47" s="8" t="s">
        <v>451</v>
      </c>
      <c r="M47" s="8" t="s">
        <v>452</v>
      </c>
      <c r="N47" s="8" t="s">
        <v>358</v>
      </c>
      <c r="O47" s="8" t="s">
        <v>89</v>
      </c>
      <c r="P47" s="8" t="s">
        <v>89</v>
      </c>
      <c r="Q47" s="8" t="s">
        <v>95</v>
      </c>
      <c r="R47" s="9" t="s">
        <v>39</v>
      </c>
      <c r="S47" s="9" t="s">
        <v>453</v>
      </c>
      <c r="T47" s="8"/>
      <c r="U47" s="9" t="s">
        <v>450</v>
      </c>
      <c r="V47" s="9" t="s">
        <v>454</v>
      </c>
      <c r="W47" s="36" t="s">
        <v>182</v>
      </c>
      <c r="X47" s="9" t="s">
        <v>455</v>
      </c>
      <c r="Y47" s="9" t="s">
        <v>184</v>
      </c>
      <c r="Z47" s="9" t="s">
        <v>456</v>
      </c>
      <c r="AA47" s="9" t="s">
        <v>376</v>
      </c>
      <c r="AB47" s="9" t="s">
        <v>397</v>
      </c>
      <c r="AC47" s="9" t="s">
        <v>199</v>
      </c>
      <c r="AD47" s="9" t="s">
        <v>361</v>
      </c>
      <c r="AE47" s="9" t="s">
        <v>446</v>
      </c>
    </row>
    <row r="48" spans="1:31" ht="72" customHeight="1" x14ac:dyDescent="0.3">
      <c r="A48" s="3">
        <v>43</v>
      </c>
      <c r="B48" s="35" t="s">
        <v>82</v>
      </c>
      <c r="C48" s="4" t="s">
        <v>432</v>
      </c>
      <c r="D48" s="4" t="s">
        <v>457</v>
      </c>
      <c r="E48" s="4" t="s">
        <v>458</v>
      </c>
      <c r="F48" s="4" t="s">
        <v>435</v>
      </c>
      <c r="G48" s="4" t="s">
        <v>459</v>
      </c>
      <c r="H48" s="3" t="s">
        <v>89</v>
      </c>
      <c r="I48" s="20" t="s">
        <v>437</v>
      </c>
      <c r="J48" s="3" t="s">
        <v>89</v>
      </c>
      <c r="K48" s="4" t="s">
        <v>438</v>
      </c>
      <c r="L48" s="4" t="s">
        <v>439</v>
      </c>
      <c r="M48" s="4" t="s">
        <v>460</v>
      </c>
      <c r="N48" s="4" t="s">
        <v>194</v>
      </c>
      <c r="O48" s="4" t="s">
        <v>89</v>
      </c>
      <c r="P48" s="4" t="s">
        <v>89</v>
      </c>
      <c r="Q48" s="4" t="s">
        <v>95</v>
      </c>
      <c r="R48" s="6" t="s">
        <v>39</v>
      </c>
      <c r="S48" s="6" t="s">
        <v>461</v>
      </c>
      <c r="T48" s="4"/>
      <c r="U48" s="6" t="s">
        <v>438</v>
      </c>
      <c r="V48" s="6" t="s">
        <v>462</v>
      </c>
      <c r="W48" s="36" t="s">
        <v>182</v>
      </c>
      <c r="X48" s="6" t="s">
        <v>463</v>
      </c>
      <c r="Y48" s="6" t="s">
        <v>184</v>
      </c>
      <c r="Z48" s="6" t="s">
        <v>464</v>
      </c>
      <c r="AA48" s="6" t="s">
        <v>376</v>
      </c>
      <c r="AB48" s="36" t="s">
        <v>182</v>
      </c>
      <c r="AC48" s="6" t="s">
        <v>199</v>
      </c>
      <c r="AD48" s="6" t="s">
        <v>398</v>
      </c>
      <c r="AE48" s="6" t="s">
        <v>446</v>
      </c>
    </row>
    <row r="49" spans="1:31" ht="72" customHeight="1" x14ac:dyDescent="0.3">
      <c r="A49" s="7">
        <v>44</v>
      </c>
      <c r="B49" s="35" t="s">
        <v>82</v>
      </c>
      <c r="C49" s="8" t="s">
        <v>432</v>
      </c>
      <c r="D49" s="8" t="s">
        <v>465</v>
      </c>
      <c r="E49" s="8" t="s">
        <v>466</v>
      </c>
      <c r="F49" s="8" t="s">
        <v>435</v>
      </c>
      <c r="G49" s="8" t="s">
        <v>467</v>
      </c>
      <c r="H49" s="7" t="s">
        <v>89</v>
      </c>
      <c r="I49" s="20" t="s">
        <v>437</v>
      </c>
      <c r="J49" s="7" t="s">
        <v>89</v>
      </c>
      <c r="K49" s="8" t="s">
        <v>438</v>
      </c>
      <c r="L49" s="8" t="s">
        <v>439</v>
      </c>
      <c r="M49" s="8" t="s">
        <v>440</v>
      </c>
      <c r="N49" s="8" t="s">
        <v>358</v>
      </c>
      <c r="O49" s="8" t="s">
        <v>89</v>
      </c>
      <c r="P49" s="8" t="s">
        <v>89</v>
      </c>
      <c r="Q49" s="8" t="s">
        <v>95</v>
      </c>
      <c r="R49" s="9" t="s">
        <v>39</v>
      </c>
      <c r="S49" s="9" t="s">
        <v>468</v>
      </c>
      <c r="T49" s="8"/>
      <c r="U49" s="9" t="s">
        <v>438</v>
      </c>
      <c r="V49" s="9" t="s">
        <v>469</v>
      </c>
      <c r="W49" s="36" t="s">
        <v>182</v>
      </c>
      <c r="X49" s="9" t="s">
        <v>443</v>
      </c>
      <c r="Y49" s="9" t="s">
        <v>184</v>
      </c>
      <c r="Z49" s="9" t="s">
        <v>444</v>
      </c>
      <c r="AA49" s="9" t="s">
        <v>376</v>
      </c>
      <c r="AB49" s="9" t="s">
        <v>470</v>
      </c>
      <c r="AC49" s="9" t="s">
        <v>199</v>
      </c>
      <c r="AD49" s="9" t="s">
        <v>361</v>
      </c>
      <c r="AE49" s="9" t="s">
        <v>446</v>
      </c>
    </row>
    <row r="50" spans="1:31" ht="72" customHeight="1" x14ac:dyDescent="0.3">
      <c r="A50" s="3">
        <v>45</v>
      </c>
      <c r="B50" s="35" t="s">
        <v>82</v>
      </c>
      <c r="C50" s="4" t="s">
        <v>432</v>
      </c>
      <c r="D50" s="4" t="s">
        <v>471</v>
      </c>
      <c r="E50" s="4" t="s">
        <v>472</v>
      </c>
      <c r="F50" s="4" t="s">
        <v>435</v>
      </c>
      <c r="G50" s="4" t="s">
        <v>473</v>
      </c>
      <c r="H50" s="3" t="s">
        <v>89</v>
      </c>
      <c r="I50" s="20" t="s">
        <v>437</v>
      </c>
      <c r="J50" s="3" t="s">
        <v>89</v>
      </c>
      <c r="K50" s="4" t="s">
        <v>474</v>
      </c>
      <c r="L50" s="4" t="s">
        <v>475</v>
      </c>
      <c r="M50" s="4" t="s">
        <v>440</v>
      </c>
      <c r="N50" s="4" t="s">
        <v>358</v>
      </c>
      <c r="O50" s="4" t="s">
        <v>89</v>
      </c>
      <c r="P50" s="4" t="s">
        <v>89</v>
      </c>
      <c r="Q50" s="4" t="s">
        <v>95</v>
      </c>
      <c r="R50" s="6" t="s">
        <v>39</v>
      </c>
      <c r="S50" s="6" t="s">
        <v>476</v>
      </c>
      <c r="T50" s="4"/>
      <c r="U50" s="6" t="s">
        <v>474</v>
      </c>
      <c r="V50" s="6" t="s">
        <v>475</v>
      </c>
      <c r="W50" s="36" t="s">
        <v>182</v>
      </c>
      <c r="X50" s="6" t="s">
        <v>477</v>
      </c>
      <c r="Y50" s="36" t="s">
        <v>478</v>
      </c>
      <c r="Z50" s="36" t="s">
        <v>182</v>
      </c>
      <c r="AA50" s="36" t="s">
        <v>182</v>
      </c>
      <c r="AB50" s="36" t="s">
        <v>182</v>
      </c>
      <c r="AC50" s="36" t="s">
        <v>182</v>
      </c>
      <c r="AD50" s="36" t="s">
        <v>182</v>
      </c>
      <c r="AE50" s="36" t="s">
        <v>182</v>
      </c>
    </row>
    <row r="51" spans="1:31" ht="72" customHeight="1" x14ac:dyDescent="0.3">
      <c r="A51" s="7">
        <v>46</v>
      </c>
      <c r="B51" s="35" t="s">
        <v>82</v>
      </c>
      <c r="C51" s="8" t="s">
        <v>432</v>
      </c>
      <c r="D51" s="8" t="s">
        <v>479</v>
      </c>
      <c r="E51" s="8" t="s">
        <v>480</v>
      </c>
      <c r="F51" s="8" t="s">
        <v>435</v>
      </c>
      <c r="G51" s="8" t="s">
        <v>481</v>
      </c>
      <c r="H51" s="7" t="s">
        <v>89</v>
      </c>
      <c r="I51" s="20" t="s">
        <v>437</v>
      </c>
      <c r="J51" s="7" t="s">
        <v>89</v>
      </c>
      <c r="K51" s="8" t="s">
        <v>482</v>
      </c>
      <c r="L51" s="8" t="s">
        <v>483</v>
      </c>
      <c r="M51" s="8" t="s">
        <v>440</v>
      </c>
      <c r="N51" s="8" t="s">
        <v>194</v>
      </c>
      <c r="O51" s="8" t="s">
        <v>89</v>
      </c>
      <c r="P51" s="8" t="s">
        <v>89</v>
      </c>
      <c r="Q51" s="8" t="s">
        <v>95</v>
      </c>
      <c r="R51" s="9" t="s">
        <v>39</v>
      </c>
      <c r="S51" s="9" t="s">
        <v>484</v>
      </c>
      <c r="T51" s="8"/>
      <c r="U51" s="9" t="s">
        <v>482</v>
      </c>
      <c r="V51" s="9" t="s">
        <v>485</v>
      </c>
      <c r="W51" s="36" t="s">
        <v>182</v>
      </c>
      <c r="X51" s="9" t="s">
        <v>452</v>
      </c>
      <c r="Y51" s="9" t="s">
        <v>410</v>
      </c>
      <c r="Z51" s="9" t="s">
        <v>301</v>
      </c>
      <c r="AA51" s="9" t="s">
        <v>486</v>
      </c>
      <c r="AB51" s="9" t="s">
        <v>487</v>
      </c>
      <c r="AC51" s="9" t="s">
        <v>199</v>
      </c>
      <c r="AD51" s="9" t="s">
        <v>488</v>
      </c>
      <c r="AE51" s="9" t="s">
        <v>446</v>
      </c>
    </row>
    <row r="52" spans="1:31" ht="72" customHeight="1" x14ac:dyDescent="0.3">
      <c r="A52" s="3">
        <v>47</v>
      </c>
      <c r="B52" s="35" t="s">
        <v>82</v>
      </c>
      <c r="C52" s="4" t="s">
        <v>432</v>
      </c>
      <c r="D52" s="4" t="s">
        <v>489</v>
      </c>
      <c r="E52" s="4" t="s">
        <v>490</v>
      </c>
      <c r="F52" s="4" t="s">
        <v>435</v>
      </c>
      <c r="G52" s="4" t="s">
        <v>481</v>
      </c>
      <c r="H52" s="3" t="s">
        <v>89</v>
      </c>
      <c r="I52" s="20" t="s">
        <v>437</v>
      </c>
      <c r="J52" s="3" t="s">
        <v>89</v>
      </c>
      <c r="K52" s="4" t="s">
        <v>474</v>
      </c>
      <c r="L52" s="4" t="s">
        <v>475</v>
      </c>
      <c r="M52" s="4" t="s">
        <v>440</v>
      </c>
      <c r="N52" s="4" t="s">
        <v>358</v>
      </c>
      <c r="O52" s="4" t="s">
        <v>89</v>
      </c>
      <c r="P52" s="4" t="s">
        <v>89</v>
      </c>
      <c r="Q52" s="4" t="s">
        <v>95</v>
      </c>
      <c r="R52" s="6" t="s">
        <v>39</v>
      </c>
      <c r="S52" s="6" t="s">
        <v>484</v>
      </c>
      <c r="T52" s="4"/>
      <c r="U52" s="6" t="s">
        <v>474</v>
      </c>
      <c r="V52" s="6" t="s">
        <v>491</v>
      </c>
      <c r="W52" s="36" t="s">
        <v>182</v>
      </c>
      <c r="X52" s="6" t="s">
        <v>440</v>
      </c>
      <c r="Y52" s="6" t="s">
        <v>410</v>
      </c>
      <c r="Z52" s="6" t="s">
        <v>301</v>
      </c>
      <c r="AA52" s="6" t="s">
        <v>486</v>
      </c>
      <c r="AB52" s="6" t="s">
        <v>487</v>
      </c>
      <c r="AC52" s="6" t="s">
        <v>199</v>
      </c>
      <c r="AD52" s="6" t="s">
        <v>492</v>
      </c>
      <c r="AE52" s="6" t="s">
        <v>446</v>
      </c>
    </row>
    <row r="53" spans="1:31" ht="72" customHeight="1" x14ac:dyDescent="0.3">
      <c r="A53" s="7">
        <v>48</v>
      </c>
      <c r="B53" s="35" t="s">
        <v>82</v>
      </c>
      <c r="C53" s="8" t="s">
        <v>432</v>
      </c>
      <c r="D53" s="8" t="s">
        <v>493</v>
      </c>
      <c r="E53" s="8" t="s">
        <v>494</v>
      </c>
      <c r="F53" s="8" t="s">
        <v>435</v>
      </c>
      <c r="G53" s="8" t="s">
        <v>495</v>
      </c>
      <c r="H53" s="7" t="s">
        <v>89</v>
      </c>
      <c r="I53" s="20" t="s">
        <v>437</v>
      </c>
      <c r="J53" s="7" t="s">
        <v>89</v>
      </c>
      <c r="K53" s="8" t="s">
        <v>474</v>
      </c>
      <c r="L53" s="8" t="s">
        <v>475</v>
      </c>
      <c r="M53" s="8" t="s">
        <v>440</v>
      </c>
      <c r="N53" s="8" t="s">
        <v>358</v>
      </c>
      <c r="O53" s="8" t="s">
        <v>89</v>
      </c>
      <c r="P53" s="8" t="s">
        <v>89</v>
      </c>
      <c r="Q53" s="8" t="s">
        <v>95</v>
      </c>
      <c r="R53" s="9" t="s">
        <v>39</v>
      </c>
      <c r="S53" s="9" t="s">
        <v>496</v>
      </c>
      <c r="T53" s="8"/>
      <c r="U53" s="9" t="s">
        <v>474</v>
      </c>
      <c r="V53" s="9" t="s">
        <v>491</v>
      </c>
      <c r="W53" s="36" t="s">
        <v>497</v>
      </c>
      <c r="X53" s="9" t="s">
        <v>498</v>
      </c>
      <c r="Y53" s="9" t="s">
        <v>410</v>
      </c>
      <c r="Z53" s="9" t="s">
        <v>301</v>
      </c>
      <c r="AA53" s="9" t="s">
        <v>486</v>
      </c>
      <c r="AB53" s="9" t="s">
        <v>499</v>
      </c>
      <c r="AC53" s="9" t="s">
        <v>199</v>
      </c>
      <c r="AD53" s="9" t="s">
        <v>500</v>
      </c>
      <c r="AE53" s="9" t="s">
        <v>446</v>
      </c>
    </row>
    <row r="54" spans="1:31" ht="72" customHeight="1" x14ac:dyDescent="0.3">
      <c r="A54" s="10">
        <v>49</v>
      </c>
      <c r="B54" s="37" t="s">
        <v>82</v>
      </c>
      <c r="C54" s="11" t="s">
        <v>501</v>
      </c>
      <c r="D54" s="11" t="s">
        <v>502</v>
      </c>
      <c r="E54" s="11" t="s">
        <v>503</v>
      </c>
      <c r="F54" s="11" t="s">
        <v>504</v>
      </c>
      <c r="G54" s="11" t="s">
        <v>505</v>
      </c>
      <c r="H54" s="12" t="s">
        <v>88</v>
      </c>
      <c r="I54" s="38" t="s">
        <v>141</v>
      </c>
      <c r="J54" s="10" t="s">
        <v>89</v>
      </c>
      <c r="K54" s="11" t="s">
        <v>506</v>
      </c>
      <c r="L54" s="11" t="s">
        <v>507</v>
      </c>
      <c r="M54" s="11" t="s">
        <v>508</v>
      </c>
      <c r="N54" s="11" t="s">
        <v>283</v>
      </c>
      <c r="O54" s="11" t="s">
        <v>89</v>
      </c>
      <c r="P54" s="11" t="s">
        <v>284</v>
      </c>
      <c r="Q54" s="11" t="s">
        <v>95</v>
      </c>
      <c r="R54" s="13" t="s">
        <v>39</v>
      </c>
      <c r="S54" s="13" t="s">
        <v>509</v>
      </c>
      <c r="T54" s="11"/>
      <c r="U54" s="13" t="s">
        <v>510</v>
      </c>
      <c r="V54" s="13" t="s">
        <v>181</v>
      </c>
      <c r="W54" s="40" t="s">
        <v>182</v>
      </c>
      <c r="X54" s="40" t="s">
        <v>511</v>
      </c>
      <c r="Y54" s="40" t="s">
        <v>182</v>
      </c>
      <c r="Z54" s="13" t="s">
        <v>213</v>
      </c>
      <c r="AA54" s="13" t="s">
        <v>320</v>
      </c>
      <c r="AB54" s="13" t="s">
        <v>512</v>
      </c>
      <c r="AC54" s="13" t="s">
        <v>513</v>
      </c>
      <c r="AD54" s="13" t="s">
        <v>514</v>
      </c>
      <c r="AE54" s="13" t="s">
        <v>106</v>
      </c>
    </row>
    <row r="55" spans="1:31" ht="72" customHeight="1" x14ac:dyDescent="0.3">
      <c r="A55" s="7">
        <v>50</v>
      </c>
      <c r="B55" s="35" t="s">
        <v>82</v>
      </c>
      <c r="C55" s="8" t="s">
        <v>501</v>
      </c>
      <c r="D55" s="8" t="s">
        <v>515</v>
      </c>
      <c r="E55" s="8" t="s">
        <v>516</v>
      </c>
      <c r="F55" s="8" t="s">
        <v>517</v>
      </c>
      <c r="G55" s="8" t="s">
        <v>505</v>
      </c>
      <c r="H55" s="5" t="s">
        <v>88</v>
      </c>
      <c r="I55" s="39" t="s">
        <v>141</v>
      </c>
      <c r="J55" s="7" t="s">
        <v>89</v>
      </c>
      <c r="K55" s="8" t="s">
        <v>518</v>
      </c>
      <c r="L55" s="8" t="s">
        <v>507</v>
      </c>
      <c r="M55" s="8" t="s">
        <v>508</v>
      </c>
      <c r="N55" s="8" t="s">
        <v>519</v>
      </c>
      <c r="O55" s="8" t="s">
        <v>89</v>
      </c>
      <c r="P55" s="8" t="s">
        <v>284</v>
      </c>
      <c r="Q55" s="8" t="s">
        <v>95</v>
      </c>
      <c r="R55" s="9" t="s">
        <v>39</v>
      </c>
      <c r="S55" s="9" t="s">
        <v>509</v>
      </c>
      <c r="T55" s="8"/>
      <c r="U55" s="9" t="s">
        <v>520</v>
      </c>
      <c r="V55" s="9" t="s">
        <v>181</v>
      </c>
      <c r="W55" s="36" t="s">
        <v>182</v>
      </c>
      <c r="X55" s="36" t="s">
        <v>511</v>
      </c>
      <c r="Y55" s="36" t="s">
        <v>182</v>
      </c>
      <c r="Z55" s="9" t="s">
        <v>213</v>
      </c>
      <c r="AA55" s="9" t="s">
        <v>320</v>
      </c>
      <c r="AB55" s="9" t="s">
        <v>512</v>
      </c>
      <c r="AC55" s="36" t="s">
        <v>521</v>
      </c>
      <c r="AD55" s="36" t="s">
        <v>522</v>
      </c>
      <c r="AE55" s="36" t="s">
        <v>522</v>
      </c>
    </row>
    <row r="56" spans="1:31" ht="72" customHeight="1" x14ac:dyDescent="0.3">
      <c r="A56" s="3">
        <v>51</v>
      </c>
      <c r="B56" s="35" t="s">
        <v>82</v>
      </c>
      <c r="C56" s="4" t="s">
        <v>501</v>
      </c>
      <c r="D56" s="4" t="s">
        <v>523</v>
      </c>
      <c r="E56" s="4" t="s">
        <v>524</v>
      </c>
      <c r="F56" s="4" t="s">
        <v>504</v>
      </c>
      <c r="G56" s="4" t="s">
        <v>505</v>
      </c>
      <c r="H56" s="5" t="s">
        <v>88</v>
      </c>
      <c r="I56" s="39" t="s">
        <v>141</v>
      </c>
      <c r="J56" s="3" t="s">
        <v>89</v>
      </c>
      <c r="K56" s="4" t="s">
        <v>518</v>
      </c>
      <c r="L56" s="4" t="s">
        <v>507</v>
      </c>
      <c r="M56" s="4" t="s">
        <v>508</v>
      </c>
      <c r="N56" s="4" t="s">
        <v>283</v>
      </c>
      <c r="O56" s="4" t="s">
        <v>89</v>
      </c>
      <c r="P56" s="4" t="s">
        <v>284</v>
      </c>
      <c r="Q56" s="4" t="s">
        <v>95</v>
      </c>
      <c r="R56" s="6" t="s">
        <v>39</v>
      </c>
      <c r="S56" s="6" t="s">
        <v>509</v>
      </c>
      <c r="T56" s="4"/>
      <c r="U56" s="6" t="s">
        <v>520</v>
      </c>
      <c r="V56" s="6" t="s">
        <v>181</v>
      </c>
      <c r="W56" s="36" t="s">
        <v>182</v>
      </c>
      <c r="X56" s="36" t="s">
        <v>511</v>
      </c>
      <c r="Y56" s="36" t="s">
        <v>182</v>
      </c>
      <c r="Z56" s="6" t="s">
        <v>213</v>
      </c>
      <c r="AA56" s="6" t="s">
        <v>320</v>
      </c>
      <c r="AB56" s="6" t="s">
        <v>512</v>
      </c>
      <c r="AC56" s="6" t="s">
        <v>513</v>
      </c>
      <c r="AD56" s="6" t="s">
        <v>514</v>
      </c>
      <c r="AE56" s="6" t="s">
        <v>106</v>
      </c>
    </row>
    <row r="57" spans="1:31" ht="72" customHeight="1" x14ac:dyDescent="0.3">
      <c r="A57" s="7">
        <v>52</v>
      </c>
      <c r="B57" s="35" t="s">
        <v>82</v>
      </c>
      <c r="C57" s="8" t="s">
        <v>501</v>
      </c>
      <c r="D57" s="8" t="s">
        <v>525</v>
      </c>
      <c r="E57" s="8" t="s">
        <v>526</v>
      </c>
      <c r="F57" s="8" t="s">
        <v>504</v>
      </c>
      <c r="G57" s="8" t="s">
        <v>505</v>
      </c>
      <c r="H57" s="5" t="s">
        <v>88</v>
      </c>
      <c r="I57" s="39" t="s">
        <v>141</v>
      </c>
      <c r="J57" s="7" t="s">
        <v>89</v>
      </c>
      <c r="K57" s="8" t="s">
        <v>527</v>
      </c>
      <c r="L57" s="8" t="s">
        <v>507</v>
      </c>
      <c r="M57" s="8" t="s">
        <v>508</v>
      </c>
      <c r="N57" s="8" t="s">
        <v>283</v>
      </c>
      <c r="O57" s="8" t="s">
        <v>89</v>
      </c>
      <c r="P57" s="8" t="s">
        <v>284</v>
      </c>
      <c r="Q57" s="8" t="s">
        <v>95</v>
      </c>
      <c r="R57" s="9" t="s">
        <v>39</v>
      </c>
      <c r="S57" s="9" t="s">
        <v>509</v>
      </c>
      <c r="T57" s="8"/>
      <c r="U57" s="9" t="s">
        <v>528</v>
      </c>
      <c r="V57" s="9" t="s">
        <v>181</v>
      </c>
      <c r="W57" s="36" t="s">
        <v>182</v>
      </c>
      <c r="X57" s="36" t="s">
        <v>511</v>
      </c>
      <c r="Y57" s="36" t="s">
        <v>182</v>
      </c>
      <c r="Z57" s="9" t="s">
        <v>213</v>
      </c>
      <c r="AA57" s="9" t="s">
        <v>320</v>
      </c>
      <c r="AB57" s="9" t="s">
        <v>512</v>
      </c>
      <c r="AC57" s="9" t="s">
        <v>513</v>
      </c>
      <c r="AD57" s="9" t="s">
        <v>514</v>
      </c>
      <c r="AE57" s="9" t="s">
        <v>106</v>
      </c>
    </row>
    <row r="58" spans="1:31" ht="72" customHeight="1" x14ac:dyDescent="0.3">
      <c r="A58" s="10">
        <v>53</v>
      </c>
      <c r="B58" s="37" t="s">
        <v>82</v>
      </c>
      <c r="C58" s="11" t="s">
        <v>529</v>
      </c>
      <c r="D58" s="11" t="s">
        <v>530</v>
      </c>
      <c r="E58" s="11" t="s">
        <v>531</v>
      </c>
      <c r="F58" s="11" t="s">
        <v>532</v>
      </c>
      <c r="G58" s="11" t="s">
        <v>533</v>
      </c>
      <c r="H58" s="12" t="s">
        <v>88</v>
      </c>
      <c r="I58" s="38" t="s">
        <v>141</v>
      </c>
      <c r="J58" s="10" t="s">
        <v>89</v>
      </c>
      <c r="K58" s="11" t="s">
        <v>534</v>
      </c>
      <c r="L58" s="11" t="s">
        <v>261</v>
      </c>
      <c r="M58" s="11" t="s">
        <v>296</v>
      </c>
      <c r="N58" s="11" t="s">
        <v>194</v>
      </c>
      <c r="O58" s="11" t="s">
        <v>89</v>
      </c>
      <c r="P58" s="11" t="s">
        <v>284</v>
      </c>
      <c r="Q58" s="11" t="s">
        <v>95</v>
      </c>
      <c r="R58" s="13" t="s">
        <v>39</v>
      </c>
      <c r="S58" s="13" t="s">
        <v>535</v>
      </c>
      <c r="T58" s="11"/>
      <c r="U58" s="13" t="s">
        <v>536</v>
      </c>
      <c r="V58" s="13" t="s">
        <v>537</v>
      </c>
      <c r="W58" s="13" t="s">
        <v>538</v>
      </c>
      <c r="X58" s="13" t="s">
        <v>296</v>
      </c>
      <c r="Y58" s="13" t="s">
        <v>288</v>
      </c>
      <c r="Z58" s="13" t="s">
        <v>213</v>
      </c>
      <c r="AA58" s="13" t="s">
        <v>348</v>
      </c>
      <c r="AB58" s="13" t="s">
        <v>539</v>
      </c>
      <c r="AC58" s="13" t="s">
        <v>199</v>
      </c>
      <c r="AD58" s="13" t="s">
        <v>200</v>
      </c>
      <c r="AE58" s="13" t="s">
        <v>106</v>
      </c>
    </row>
    <row r="59" spans="1:31" ht="72" customHeight="1" x14ac:dyDescent="0.3">
      <c r="A59" s="7">
        <v>54</v>
      </c>
      <c r="B59" s="35" t="s">
        <v>82</v>
      </c>
      <c r="C59" s="8" t="s">
        <v>529</v>
      </c>
      <c r="D59" s="8" t="s">
        <v>540</v>
      </c>
      <c r="E59" s="8" t="s">
        <v>541</v>
      </c>
      <c r="F59" s="8" t="s">
        <v>532</v>
      </c>
      <c r="G59" s="8" t="s">
        <v>533</v>
      </c>
      <c r="H59" s="5" t="s">
        <v>88</v>
      </c>
      <c r="I59" s="39" t="s">
        <v>141</v>
      </c>
      <c r="J59" s="7" t="s">
        <v>89</v>
      </c>
      <c r="K59" s="8" t="s">
        <v>542</v>
      </c>
      <c r="L59" s="8" t="s">
        <v>275</v>
      </c>
      <c r="M59" s="8" t="s">
        <v>296</v>
      </c>
      <c r="N59" s="8" t="s">
        <v>358</v>
      </c>
      <c r="O59" s="8" t="s">
        <v>89</v>
      </c>
      <c r="P59" s="8" t="s">
        <v>284</v>
      </c>
      <c r="Q59" s="8" t="s">
        <v>95</v>
      </c>
      <c r="R59" s="9" t="s">
        <v>39</v>
      </c>
      <c r="S59" s="9" t="s">
        <v>535</v>
      </c>
      <c r="T59" s="8"/>
      <c r="U59" s="9" t="s">
        <v>543</v>
      </c>
      <c r="V59" s="9" t="s">
        <v>327</v>
      </c>
      <c r="W59" s="9" t="s">
        <v>544</v>
      </c>
      <c r="X59" s="9" t="s">
        <v>296</v>
      </c>
      <c r="Y59" s="9" t="s">
        <v>288</v>
      </c>
      <c r="Z59" s="9" t="s">
        <v>213</v>
      </c>
      <c r="AA59" s="9" t="s">
        <v>348</v>
      </c>
      <c r="AB59" s="9" t="s">
        <v>545</v>
      </c>
      <c r="AC59" s="9" t="s">
        <v>199</v>
      </c>
      <c r="AD59" s="9" t="s">
        <v>361</v>
      </c>
      <c r="AE59" s="9" t="s">
        <v>106</v>
      </c>
    </row>
    <row r="60" spans="1:31" ht="72" customHeight="1" x14ac:dyDescent="0.3">
      <c r="A60" s="10">
        <v>55</v>
      </c>
      <c r="B60" s="37" t="s">
        <v>82</v>
      </c>
      <c r="C60" s="11" t="s">
        <v>546</v>
      </c>
      <c r="D60" s="11" t="s">
        <v>547</v>
      </c>
      <c r="E60" s="11" t="s">
        <v>548</v>
      </c>
      <c r="F60" s="11" t="s">
        <v>532</v>
      </c>
      <c r="G60" s="11" t="s">
        <v>549</v>
      </c>
      <c r="H60" s="38" t="s">
        <v>141</v>
      </c>
      <c r="I60" s="12" t="s">
        <v>88</v>
      </c>
      <c r="J60" s="10" t="s">
        <v>89</v>
      </c>
      <c r="K60" s="11" t="s">
        <v>550</v>
      </c>
      <c r="L60" s="11" t="s">
        <v>275</v>
      </c>
      <c r="M60" s="11" t="s">
        <v>282</v>
      </c>
      <c r="N60" s="11" t="s">
        <v>358</v>
      </c>
      <c r="O60" s="11" t="s">
        <v>89</v>
      </c>
      <c r="P60" s="11" t="s">
        <v>284</v>
      </c>
      <c r="Q60" s="11" t="s">
        <v>95</v>
      </c>
      <c r="R60" s="13" t="s">
        <v>39</v>
      </c>
      <c r="S60" s="13" t="s">
        <v>551</v>
      </c>
      <c r="T60" s="11"/>
      <c r="U60" s="13" t="s">
        <v>543</v>
      </c>
      <c r="V60" s="13" t="s">
        <v>327</v>
      </c>
      <c r="W60" s="13" t="s">
        <v>544</v>
      </c>
      <c r="X60" s="13" t="s">
        <v>282</v>
      </c>
      <c r="Y60" s="13" t="s">
        <v>288</v>
      </c>
      <c r="Z60" s="13" t="s">
        <v>148</v>
      </c>
      <c r="AA60" s="13" t="s">
        <v>376</v>
      </c>
      <c r="AB60" s="13" t="s">
        <v>290</v>
      </c>
      <c r="AC60" s="13" t="s">
        <v>199</v>
      </c>
      <c r="AD60" s="13" t="s">
        <v>361</v>
      </c>
      <c r="AE60" s="13" t="s">
        <v>106</v>
      </c>
    </row>
    <row r="61" spans="1:31" ht="72" customHeight="1" x14ac:dyDescent="0.3">
      <c r="A61" s="7">
        <v>56</v>
      </c>
      <c r="B61" s="35" t="s">
        <v>82</v>
      </c>
      <c r="C61" s="8" t="s">
        <v>546</v>
      </c>
      <c r="D61" s="8" t="s">
        <v>552</v>
      </c>
      <c r="E61" s="8" t="s">
        <v>553</v>
      </c>
      <c r="F61" s="8" t="s">
        <v>532</v>
      </c>
      <c r="G61" s="8" t="s">
        <v>549</v>
      </c>
      <c r="H61" s="39" t="s">
        <v>141</v>
      </c>
      <c r="I61" s="5" t="s">
        <v>88</v>
      </c>
      <c r="J61" s="7" t="s">
        <v>89</v>
      </c>
      <c r="K61" s="8" t="s">
        <v>554</v>
      </c>
      <c r="L61" s="8" t="s">
        <v>275</v>
      </c>
      <c r="M61" s="8" t="s">
        <v>282</v>
      </c>
      <c r="N61" s="8" t="s">
        <v>358</v>
      </c>
      <c r="O61" s="8" t="s">
        <v>89</v>
      </c>
      <c r="P61" s="8" t="s">
        <v>284</v>
      </c>
      <c r="Q61" s="8" t="s">
        <v>95</v>
      </c>
      <c r="R61" s="9" t="s">
        <v>39</v>
      </c>
      <c r="S61" s="9" t="s">
        <v>551</v>
      </c>
      <c r="T61" s="8"/>
      <c r="U61" s="9" t="s">
        <v>555</v>
      </c>
      <c r="V61" s="9" t="s">
        <v>327</v>
      </c>
      <c r="W61" s="9" t="s">
        <v>544</v>
      </c>
      <c r="X61" s="9" t="s">
        <v>282</v>
      </c>
      <c r="Y61" s="9" t="s">
        <v>288</v>
      </c>
      <c r="Z61" s="9" t="s">
        <v>148</v>
      </c>
      <c r="AA61" s="9" t="s">
        <v>376</v>
      </c>
      <c r="AB61" s="9" t="s">
        <v>290</v>
      </c>
      <c r="AC61" s="9" t="s">
        <v>199</v>
      </c>
      <c r="AD61" s="9" t="s">
        <v>361</v>
      </c>
      <c r="AE61" s="9" t="s">
        <v>106</v>
      </c>
    </row>
    <row r="62" spans="1:31" ht="72" customHeight="1" x14ac:dyDescent="0.3">
      <c r="A62" s="3">
        <v>57</v>
      </c>
      <c r="B62" s="35" t="s">
        <v>82</v>
      </c>
      <c r="C62" s="4" t="s">
        <v>546</v>
      </c>
      <c r="D62" s="4" t="s">
        <v>556</v>
      </c>
      <c r="E62" s="4" t="s">
        <v>557</v>
      </c>
      <c r="F62" s="4" t="s">
        <v>532</v>
      </c>
      <c r="G62" s="4" t="s">
        <v>549</v>
      </c>
      <c r="H62" s="39" t="s">
        <v>141</v>
      </c>
      <c r="I62" s="5" t="s">
        <v>88</v>
      </c>
      <c r="J62" s="3" t="s">
        <v>89</v>
      </c>
      <c r="K62" s="4" t="s">
        <v>558</v>
      </c>
      <c r="L62" s="4" t="s">
        <v>275</v>
      </c>
      <c r="M62" s="4" t="s">
        <v>282</v>
      </c>
      <c r="N62" s="4" t="s">
        <v>194</v>
      </c>
      <c r="O62" s="4" t="s">
        <v>89</v>
      </c>
      <c r="P62" s="4" t="s">
        <v>284</v>
      </c>
      <c r="Q62" s="4" t="s">
        <v>95</v>
      </c>
      <c r="R62" s="6" t="s">
        <v>39</v>
      </c>
      <c r="S62" s="6" t="s">
        <v>551</v>
      </c>
      <c r="T62" s="4"/>
      <c r="U62" s="6" t="s">
        <v>559</v>
      </c>
      <c r="V62" s="6" t="s">
        <v>327</v>
      </c>
      <c r="W62" s="6" t="s">
        <v>544</v>
      </c>
      <c r="X62" s="6" t="s">
        <v>282</v>
      </c>
      <c r="Y62" s="6" t="s">
        <v>288</v>
      </c>
      <c r="Z62" s="6" t="s">
        <v>148</v>
      </c>
      <c r="AA62" s="6" t="s">
        <v>376</v>
      </c>
      <c r="AB62" s="6" t="s">
        <v>290</v>
      </c>
      <c r="AC62" s="6" t="s">
        <v>199</v>
      </c>
      <c r="AD62" s="6" t="s">
        <v>200</v>
      </c>
      <c r="AE62" s="6" t="s">
        <v>560</v>
      </c>
    </row>
    <row r="63" spans="1:31" ht="72" customHeight="1" x14ac:dyDescent="0.3">
      <c r="A63" s="7">
        <v>58</v>
      </c>
      <c r="B63" s="35" t="s">
        <v>82</v>
      </c>
      <c r="C63" s="8" t="s">
        <v>546</v>
      </c>
      <c r="D63" s="8" t="s">
        <v>561</v>
      </c>
      <c r="E63" s="8" t="s">
        <v>562</v>
      </c>
      <c r="F63" s="8" t="s">
        <v>532</v>
      </c>
      <c r="G63" s="8" t="s">
        <v>549</v>
      </c>
      <c r="H63" s="39" t="s">
        <v>141</v>
      </c>
      <c r="I63" s="5" t="s">
        <v>88</v>
      </c>
      <c r="J63" s="7" t="s">
        <v>89</v>
      </c>
      <c r="K63" s="8" t="s">
        <v>563</v>
      </c>
      <c r="L63" s="8" t="s">
        <v>564</v>
      </c>
      <c r="M63" s="8" t="s">
        <v>282</v>
      </c>
      <c r="N63" s="8" t="s">
        <v>358</v>
      </c>
      <c r="O63" s="8" t="s">
        <v>89</v>
      </c>
      <c r="P63" s="8" t="s">
        <v>284</v>
      </c>
      <c r="Q63" s="8" t="s">
        <v>95</v>
      </c>
      <c r="R63" s="9" t="s">
        <v>39</v>
      </c>
      <c r="S63" s="9" t="s">
        <v>551</v>
      </c>
      <c r="T63" s="8"/>
      <c r="U63" s="9" t="s">
        <v>565</v>
      </c>
      <c r="V63" s="9" t="s">
        <v>299</v>
      </c>
      <c r="W63" s="9" t="s">
        <v>308</v>
      </c>
      <c r="X63" s="9" t="s">
        <v>282</v>
      </c>
      <c r="Y63" s="9" t="s">
        <v>288</v>
      </c>
      <c r="Z63" s="9" t="s">
        <v>198</v>
      </c>
      <c r="AA63" s="9" t="s">
        <v>376</v>
      </c>
      <c r="AB63" s="9" t="s">
        <v>566</v>
      </c>
      <c r="AC63" s="9" t="s">
        <v>199</v>
      </c>
      <c r="AD63" s="9" t="s">
        <v>361</v>
      </c>
      <c r="AE63" s="9" t="s">
        <v>362</v>
      </c>
    </row>
    <row r="64" spans="1:31" ht="72" customHeight="1" x14ac:dyDescent="0.3">
      <c r="A64" s="10">
        <v>59</v>
      </c>
      <c r="B64" s="37" t="s">
        <v>82</v>
      </c>
      <c r="C64" s="11" t="s">
        <v>567</v>
      </c>
      <c r="D64" s="11" t="s">
        <v>568</v>
      </c>
      <c r="E64" s="11" t="s">
        <v>569</v>
      </c>
      <c r="F64" s="11" t="s">
        <v>532</v>
      </c>
      <c r="G64" s="11" t="s">
        <v>570</v>
      </c>
      <c r="H64" s="38" t="s">
        <v>141</v>
      </c>
      <c r="I64" s="12" t="s">
        <v>88</v>
      </c>
      <c r="J64" s="10" t="s">
        <v>89</v>
      </c>
      <c r="K64" s="11" t="s">
        <v>571</v>
      </c>
      <c r="L64" s="11" t="s">
        <v>275</v>
      </c>
      <c r="M64" s="11" t="s">
        <v>296</v>
      </c>
      <c r="N64" s="11" t="s">
        <v>358</v>
      </c>
      <c r="O64" s="11" t="s">
        <v>89</v>
      </c>
      <c r="P64" s="11" t="s">
        <v>284</v>
      </c>
      <c r="Q64" s="11" t="s">
        <v>95</v>
      </c>
      <c r="R64" s="13" t="s">
        <v>39</v>
      </c>
      <c r="S64" s="13" t="s">
        <v>572</v>
      </c>
      <c r="T64" s="11"/>
      <c r="U64" s="13" t="s">
        <v>573</v>
      </c>
      <c r="V64" s="13" t="s">
        <v>574</v>
      </c>
      <c r="W64" s="13" t="s">
        <v>300</v>
      </c>
      <c r="X64" s="13" t="s">
        <v>296</v>
      </c>
      <c r="Y64" s="13" t="s">
        <v>288</v>
      </c>
      <c r="Z64" s="13" t="s">
        <v>301</v>
      </c>
      <c r="AA64" s="13" t="s">
        <v>301</v>
      </c>
      <c r="AB64" s="13" t="s">
        <v>302</v>
      </c>
      <c r="AC64" s="13" t="s">
        <v>199</v>
      </c>
      <c r="AD64" s="13" t="s">
        <v>291</v>
      </c>
      <c r="AE64" s="13" t="s">
        <v>106</v>
      </c>
    </row>
    <row r="65" spans="1:31" ht="72" customHeight="1" x14ac:dyDescent="0.3">
      <c r="A65" s="7">
        <v>60</v>
      </c>
      <c r="B65" s="35" t="s">
        <v>82</v>
      </c>
      <c r="C65" s="8" t="s">
        <v>567</v>
      </c>
      <c r="D65" s="8" t="s">
        <v>575</v>
      </c>
      <c r="E65" s="8" t="s">
        <v>576</v>
      </c>
      <c r="F65" s="8" t="s">
        <v>532</v>
      </c>
      <c r="G65" s="8" t="s">
        <v>570</v>
      </c>
      <c r="H65" s="39" t="s">
        <v>141</v>
      </c>
      <c r="I65" s="5" t="s">
        <v>88</v>
      </c>
      <c r="J65" s="7" t="s">
        <v>89</v>
      </c>
      <c r="K65" s="8" t="s">
        <v>563</v>
      </c>
      <c r="L65" s="8" t="s">
        <v>275</v>
      </c>
      <c r="M65" s="8" t="s">
        <v>296</v>
      </c>
      <c r="N65" s="8" t="s">
        <v>358</v>
      </c>
      <c r="O65" s="8" t="s">
        <v>89</v>
      </c>
      <c r="P65" s="8" t="s">
        <v>284</v>
      </c>
      <c r="Q65" s="8" t="s">
        <v>95</v>
      </c>
      <c r="R65" s="9" t="s">
        <v>39</v>
      </c>
      <c r="S65" s="9" t="s">
        <v>572</v>
      </c>
      <c r="T65" s="8"/>
      <c r="U65" s="9" t="s">
        <v>577</v>
      </c>
      <c r="V65" s="9" t="s">
        <v>574</v>
      </c>
      <c r="W65" s="9" t="s">
        <v>300</v>
      </c>
      <c r="X65" s="9" t="s">
        <v>296</v>
      </c>
      <c r="Y65" s="9" t="s">
        <v>288</v>
      </c>
      <c r="Z65" s="9" t="s">
        <v>301</v>
      </c>
      <c r="AA65" s="9" t="s">
        <v>301</v>
      </c>
      <c r="AB65" s="9" t="s">
        <v>302</v>
      </c>
      <c r="AC65" s="9" t="s">
        <v>199</v>
      </c>
      <c r="AD65" s="9" t="s">
        <v>291</v>
      </c>
      <c r="AE65" s="9" t="s">
        <v>106</v>
      </c>
    </row>
    <row r="66" spans="1:31" ht="72" customHeight="1" x14ac:dyDescent="0.3">
      <c r="A66" s="10">
        <v>61</v>
      </c>
      <c r="B66" s="37" t="s">
        <v>82</v>
      </c>
      <c r="C66" s="11" t="s">
        <v>578</v>
      </c>
      <c r="D66" s="11" t="s">
        <v>579</v>
      </c>
      <c r="E66" s="11" t="s">
        <v>580</v>
      </c>
      <c r="F66" s="11" t="s">
        <v>532</v>
      </c>
      <c r="G66" s="11" t="s">
        <v>581</v>
      </c>
      <c r="H66" s="10" t="s">
        <v>89</v>
      </c>
      <c r="I66" s="12" t="s">
        <v>88</v>
      </c>
      <c r="J66" s="10" t="s">
        <v>89</v>
      </c>
      <c r="K66" s="11" t="s">
        <v>582</v>
      </c>
      <c r="L66" s="11" t="s">
        <v>583</v>
      </c>
      <c r="M66" s="11" t="s">
        <v>584</v>
      </c>
      <c r="N66" s="11" t="s">
        <v>194</v>
      </c>
      <c r="O66" s="11" t="s">
        <v>89</v>
      </c>
      <c r="P66" s="11" t="s">
        <v>284</v>
      </c>
      <c r="Q66" s="11" t="s">
        <v>95</v>
      </c>
      <c r="R66" s="13" t="s">
        <v>39</v>
      </c>
      <c r="S66" s="13" t="s">
        <v>585</v>
      </c>
      <c r="T66" s="11" t="s">
        <v>586</v>
      </c>
      <c r="U66" s="13" t="s">
        <v>587</v>
      </c>
      <c r="V66" s="13" t="s">
        <v>583</v>
      </c>
      <c r="W66" s="13" t="s">
        <v>588</v>
      </c>
      <c r="X66" s="13" t="s">
        <v>584</v>
      </c>
      <c r="Y66" s="13" t="s">
        <v>288</v>
      </c>
      <c r="Z66" s="13" t="s">
        <v>397</v>
      </c>
      <c r="AA66" s="13" t="s">
        <v>397</v>
      </c>
      <c r="AB66" s="13" t="s">
        <v>589</v>
      </c>
      <c r="AC66" s="13" t="s">
        <v>199</v>
      </c>
      <c r="AD66" s="13" t="s">
        <v>200</v>
      </c>
      <c r="AE66" s="13" t="s">
        <v>362</v>
      </c>
    </row>
    <row r="67" spans="1:31" ht="72" customHeight="1" x14ac:dyDescent="0.3">
      <c r="A67" s="14">
        <v>62</v>
      </c>
      <c r="B67" s="37" t="s">
        <v>82</v>
      </c>
      <c r="C67" s="15" t="s">
        <v>590</v>
      </c>
      <c r="D67" s="15" t="s">
        <v>591</v>
      </c>
      <c r="E67" s="15" t="s">
        <v>592</v>
      </c>
      <c r="F67" s="15" t="s">
        <v>532</v>
      </c>
      <c r="G67" s="15" t="s">
        <v>581</v>
      </c>
      <c r="H67" s="14" t="s">
        <v>89</v>
      </c>
      <c r="I67" s="12" t="s">
        <v>88</v>
      </c>
      <c r="J67" s="14" t="s">
        <v>89</v>
      </c>
      <c r="K67" s="15" t="s">
        <v>593</v>
      </c>
      <c r="L67" s="15" t="s">
        <v>564</v>
      </c>
      <c r="M67" s="15" t="s">
        <v>594</v>
      </c>
      <c r="N67" s="15" t="s">
        <v>194</v>
      </c>
      <c r="O67" s="15" t="s">
        <v>89</v>
      </c>
      <c r="P67" s="15" t="s">
        <v>284</v>
      </c>
      <c r="Q67" s="15" t="s">
        <v>95</v>
      </c>
      <c r="R67" s="16" t="s">
        <v>39</v>
      </c>
      <c r="S67" s="16" t="s">
        <v>595</v>
      </c>
      <c r="T67" s="15" t="s">
        <v>586</v>
      </c>
      <c r="U67" s="16" t="s">
        <v>596</v>
      </c>
      <c r="V67" s="16" t="s">
        <v>597</v>
      </c>
      <c r="W67" s="16" t="s">
        <v>598</v>
      </c>
      <c r="X67" s="16" t="s">
        <v>594</v>
      </c>
      <c r="Y67" s="16" t="s">
        <v>599</v>
      </c>
      <c r="Z67" s="16" t="s">
        <v>301</v>
      </c>
      <c r="AA67" s="16" t="s">
        <v>600</v>
      </c>
      <c r="AB67" s="16" t="s">
        <v>601</v>
      </c>
      <c r="AC67" s="16" t="s">
        <v>199</v>
      </c>
      <c r="AD67" s="16" t="s">
        <v>200</v>
      </c>
      <c r="AE67" s="16" t="s">
        <v>362</v>
      </c>
    </row>
    <row r="68" spans="1:31" ht="72" customHeight="1" x14ac:dyDescent="0.3">
      <c r="A68" s="10">
        <v>63</v>
      </c>
      <c r="B68" s="37" t="s">
        <v>82</v>
      </c>
      <c r="C68" s="11" t="s">
        <v>578</v>
      </c>
      <c r="D68" s="11" t="s">
        <v>602</v>
      </c>
      <c r="E68" s="11" t="s">
        <v>603</v>
      </c>
      <c r="F68" s="11" t="s">
        <v>532</v>
      </c>
      <c r="G68" s="11" t="s">
        <v>581</v>
      </c>
      <c r="H68" s="10" t="s">
        <v>89</v>
      </c>
      <c r="I68" s="12" t="s">
        <v>88</v>
      </c>
      <c r="J68" s="10" t="s">
        <v>89</v>
      </c>
      <c r="K68" s="11" t="s">
        <v>593</v>
      </c>
      <c r="L68" s="11" t="s">
        <v>564</v>
      </c>
      <c r="M68" s="11" t="s">
        <v>584</v>
      </c>
      <c r="N68" s="11" t="s">
        <v>194</v>
      </c>
      <c r="O68" s="11" t="s">
        <v>89</v>
      </c>
      <c r="P68" s="11" t="s">
        <v>284</v>
      </c>
      <c r="Q68" s="11" t="s">
        <v>95</v>
      </c>
      <c r="R68" s="13" t="s">
        <v>39</v>
      </c>
      <c r="S68" s="13" t="s">
        <v>585</v>
      </c>
      <c r="T68" s="11" t="s">
        <v>586</v>
      </c>
      <c r="U68" s="13" t="s">
        <v>596</v>
      </c>
      <c r="V68" s="13" t="s">
        <v>564</v>
      </c>
      <c r="W68" s="13" t="s">
        <v>604</v>
      </c>
      <c r="X68" s="13" t="s">
        <v>605</v>
      </c>
      <c r="Y68" s="13" t="s">
        <v>606</v>
      </c>
      <c r="Z68" s="13" t="s">
        <v>301</v>
      </c>
      <c r="AA68" s="13" t="s">
        <v>397</v>
      </c>
      <c r="AB68" s="13" t="s">
        <v>302</v>
      </c>
      <c r="AC68" s="13" t="s">
        <v>199</v>
      </c>
      <c r="AD68" s="13" t="s">
        <v>200</v>
      </c>
      <c r="AE68" s="13" t="s">
        <v>362</v>
      </c>
    </row>
    <row r="69" spans="1:31" ht="72" customHeight="1" x14ac:dyDescent="0.3">
      <c r="A69" s="14">
        <v>64</v>
      </c>
      <c r="B69" s="37" t="s">
        <v>82</v>
      </c>
      <c r="C69" s="15" t="s">
        <v>607</v>
      </c>
      <c r="D69" s="15" t="s">
        <v>608</v>
      </c>
      <c r="E69" s="15" t="s">
        <v>609</v>
      </c>
      <c r="F69" s="15" t="s">
        <v>532</v>
      </c>
      <c r="G69" s="15" t="s">
        <v>581</v>
      </c>
      <c r="H69" s="14" t="s">
        <v>89</v>
      </c>
      <c r="I69" s="12" t="s">
        <v>88</v>
      </c>
      <c r="J69" s="14" t="s">
        <v>89</v>
      </c>
      <c r="K69" s="15" t="s">
        <v>610</v>
      </c>
      <c r="L69" s="15" t="s">
        <v>403</v>
      </c>
      <c r="M69" s="15" t="s">
        <v>594</v>
      </c>
      <c r="N69" s="15" t="s">
        <v>358</v>
      </c>
      <c r="O69" s="15" t="s">
        <v>89</v>
      </c>
      <c r="P69" s="15" t="s">
        <v>284</v>
      </c>
      <c r="Q69" s="15" t="s">
        <v>95</v>
      </c>
      <c r="R69" s="16" t="s">
        <v>39</v>
      </c>
      <c r="S69" s="16" t="s">
        <v>585</v>
      </c>
      <c r="T69" s="15" t="s">
        <v>586</v>
      </c>
      <c r="U69" s="16" t="s">
        <v>611</v>
      </c>
      <c r="V69" s="16" t="s">
        <v>403</v>
      </c>
      <c r="W69" s="16" t="s">
        <v>360</v>
      </c>
      <c r="X69" s="16" t="s">
        <v>594</v>
      </c>
      <c r="Y69" s="16" t="s">
        <v>288</v>
      </c>
      <c r="Z69" s="16" t="s">
        <v>301</v>
      </c>
      <c r="AA69" s="16" t="s">
        <v>397</v>
      </c>
      <c r="AB69" s="16" t="s">
        <v>612</v>
      </c>
      <c r="AC69" s="16" t="s">
        <v>199</v>
      </c>
      <c r="AD69" s="16" t="s">
        <v>200</v>
      </c>
      <c r="AE69" s="16" t="s">
        <v>362</v>
      </c>
    </row>
    <row r="70" spans="1:31" ht="72" customHeight="1" x14ac:dyDescent="0.3">
      <c r="A70" s="3">
        <v>65</v>
      </c>
      <c r="B70" s="35" t="s">
        <v>82</v>
      </c>
      <c r="C70" s="4" t="s">
        <v>607</v>
      </c>
      <c r="D70" s="4" t="s">
        <v>613</v>
      </c>
      <c r="E70" s="4" t="s">
        <v>614</v>
      </c>
      <c r="F70" s="4" t="s">
        <v>532</v>
      </c>
      <c r="G70" s="4" t="s">
        <v>581</v>
      </c>
      <c r="H70" s="3" t="s">
        <v>89</v>
      </c>
      <c r="I70" s="5" t="s">
        <v>88</v>
      </c>
      <c r="J70" s="3" t="s">
        <v>89</v>
      </c>
      <c r="K70" s="4" t="s">
        <v>615</v>
      </c>
      <c r="L70" s="4" t="s">
        <v>616</v>
      </c>
      <c r="M70" s="4" t="s">
        <v>594</v>
      </c>
      <c r="N70" s="4" t="s">
        <v>358</v>
      </c>
      <c r="O70" s="4" t="s">
        <v>89</v>
      </c>
      <c r="P70" s="4" t="s">
        <v>284</v>
      </c>
      <c r="Q70" s="4" t="s">
        <v>95</v>
      </c>
      <c r="R70" s="6" t="s">
        <v>39</v>
      </c>
      <c r="S70" s="6" t="s">
        <v>585</v>
      </c>
      <c r="T70" s="4" t="s">
        <v>586</v>
      </c>
      <c r="U70" s="6" t="s">
        <v>617</v>
      </c>
      <c r="V70" s="6" t="s">
        <v>616</v>
      </c>
      <c r="W70" s="6" t="s">
        <v>588</v>
      </c>
      <c r="X70" s="6" t="s">
        <v>594</v>
      </c>
      <c r="Y70" s="6" t="s">
        <v>288</v>
      </c>
      <c r="Z70" s="6" t="s">
        <v>301</v>
      </c>
      <c r="AA70" s="6" t="s">
        <v>397</v>
      </c>
      <c r="AB70" s="6" t="s">
        <v>612</v>
      </c>
      <c r="AC70" s="6" t="s">
        <v>199</v>
      </c>
      <c r="AD70" s="6" t="s">
        <v>200</v>
      </c>
      <c r="AE70" s="6" t="s">
        <v>362</v>
      </c>
    </row>
    <row r="71" spans="1:31" ht="72" customHeight="1" x14ac:dyDescent="0.3">
      <c r="A71" s="7">
        <v>66</v>
      </c>
      <c r="B71" s="35" t="s">
        <v>82</v>
      </c>
      <c r="C71" s="8" t="s">
        <v>607</v>
      </c>
      <c r="D71" s="8" t="s">
        <v>618</v>
      </c>
      <c r="E71" s="8" t="s">
        <v>619</v>
      </c>
      <c r="F71" s="8" t="s">
        <v>532</v>
      </c>
      <c r="G71" s="8" t="s">
        <v>581</v>
      </c>
      <c r="H71" s="7" t="s">
        <v>89</v>
      </c>
      <c r="I71" s="5" t="s">
        <v>88</v>
      </c>
      <c r="J71" s="7" t="s">
        <v>89</v>
      </c>
      <c r="K71" s="8" t="s">
        <v>615</v>
      </c>
      <c r="L71" s="8" t="s">
        <v>616</v>
      </c>
      <c r="M71" s="8" t="s">
        <v>594</v>
      </c>
      <c r="N71" s="8" t="s">
        <v>358</v>
      </c>
      <c r="O71" s="8" t="s">
        <v>89</v>
      </c>
      <c r="P71" s="8" t="s">
        <v>284</v>
      </c>
      <c r="Q71" s="8" t="s">
        <v>95</v>
      </c>
      <c r="R71" s="9" t="s">
        <v>39</v>
      </c>
      <c r="S71" s="9" t="s">
        <v>585</v>
      </c>
      <c r="T71" s="8" t="s">
        <v>586</v>
      </c>
      <c r="U71" s="9" t="s">
        <v>617</v>
      </c>
      <c r="V71" s="9" t="s">
        <v>616</v>
      </c>
      <c r="W71" s="9" t="s">
        <v>588</v>
      </c>
      <c r="X71" s="9" t="s">
        <v>594</v>
      </c>
      <c r="Y71" s="9" t="s">
        <v>288</v>
      </c>
      <c r="Z71" s="9" t="s">
        <v>397</v>
      </c>
      <c r="AA71" s="9" t="s">
        <v>397</v>
      </c>
      <c r="AB71" s="9" t="s">
        <v>589</v>
      </c>
      <c r="AC71" s="9" t="s">
        <v>199</v>
      </c>
      <c r="AD71" s="9" t="s">
        <v>200</v>
      </c>
      <c r="AE71" s="9" t="s">
        <v>362</v>
      </c>
    </row>
    <row r="72" spans="1:31" ht="72" customHeight="1" x14ac:dyDescent="0.3">
      <c r="A72" s="10">
        <v>67</v>
      </c>
      <c r="B72" s="37" t="s">
        <v>82</v>
      </c>
      <c r="C72" s="11" t="s">
        <v>620</v>
      </c>
      <c r="D72" s="11" t="s">
        <v>621</v>
      </c>
      <c r="E72" s="11" t="s">
        <v>622</v>
      </c>
      <c r="F72" s="11" t="s">
        <v>532</v>
      </c>
      <c r="G72" s="11" t="s">
        <v>623</v>
      </c>
      <c r="H72" s="38" t="s">
        <v>141</v>
      </c>
      <c r="I72" s="12" t="s">
        <v>88</v>
      </c>
      <c r="J72" s="10" t="s">
        <v>89</v>
      </c>
      <c r="K72" s="11" t="s">
        <v>573</v>
      </c>
      <c r="L72" s="11" t="s">
        <v>564</v>
      </c>
      <c r="M72" s="11" t="s">
        <v>624</v>
      </c>
      <c r="N72" s="11" t="s">
        <v>358</v>
      </c>
      <c r="O72" s="11" t="s">
        <v>89</v>
      </c>
      <c r="P72" s="11" t="s">
        <v>89</v>
      </c>
      <c r="Q72" s="11" t="s">
        <v>95</v>
      </c>
      <c r="R72" s="13" t="s">
        <v>39</v>
      </c>
      <c r="S72" s="13" t="s">
        <v>625</v>
      </c>
      <c r="T72" s="11" t="s">
        <v>626</v>
      </c>
      <c r="U72" s="13" t="s">
        <v>573</v>
      </c>
      <c r="V72" s="13" t="s">
        <v>299</v>
      </c>
      <c r="W72" s="13" t="s">
        <v>308</v>
      </c>
      <c r="X72" s="13" t="s">
        <v>306</v>
      </c>
      <c r="Y72" s="13" t="s">
        <v>410</v>
      </c>
      <c r="Z72" s="13" t="s">
        <v>198</v>
      </c>
      <c r="AA72" s="13" t="s">
        <v>198</v>
      </c>
      <c r="AB72" s="13" t="s">
        <v>310</v>
      </c>
      <c r="AC72" s="13" t="s">
        <v>199</v>
      </c>
      <c r="AD72" s="13" t="s">
        <v>361</v>
      </c>
      <c r="AE72" s="13" t="s">
        <v>362</v>
      </c>
    </row>
    <row r="73" spans="1:31" ht="72" customHeight="1" x14ac:dyDescent="0.3">
      <c r="A73" s="7">
        <v>68</v>
      </c>
      <c r="B73" s="35" t="s">
        <v>82</v>
      </c>
      <c r="C73" s="8" t="s">
        <v>620</v>
      </c>
      <c r="D73" s="8" t="s">
        <v>627</v>
      </c>
      <c r="E73" s="8" t="s">
        <v>628</v>
      </c>
      <c r="F73" s="8" t="s">
        <v>532</v>
      </c>
      <c r="G73" s="8" t="s">
        <v>623</v>
      </c>
      <c r="H73" s="39" t="s">
        <v>141</v>
      </c>
      <c r="I73" s="5" t="s">
        <v>88</v>
      </c>
      <c r="J73" s="7" t="s">
        <v>89</v>
      </c>
      <c r="K73" s="8" t="s">
        <v>577</v>
      </c>
      <c r="L73" s="8" t="s">
        <v>564</v>
      </c>
      <c r="M73" s="8" t="s">
        <v>624</v>
      </c>
      <c r="N73" s="8" t="s">
        <v>358</v>
      </c>
      <c r="O73" s="8" t="s">
        <v>89</v>
      </c>
      <c r="P73" s="8" t="s">
        <v>89</v>
      </c>
      <c r="Q73" s="8" t="s">
        <v>95</v>
      </c>
      <c r="R73" s="9" t="s">
        <v>39</v>
      </c>
      <c r="S73" s="9" t="s">
        <v>625</v>
      </c>
      <c r="T73" s="8" t="s">
        <v>626</v>
      </c>
      <c r="U73" s="9" t="s">
        <v>577</v>
      </c>
      <c r="V73" s="9" t="s">
        <v>299</v>
      </c>
      <c r="W73" s="9" t="s">
        <v>308</v>
      </c>
      <c r="X73" s="9" t="s">
        <v>306</v>
      </c>
      <c r="Y73" s="9" t="s">
        <v>410</v>
      </c>
      <c r="Z73" s="9" t="s">
        <v>198</v>
      </c>
      <c r="AA73" s="9" t="s">
        <v>198</v>
      </c>
      <c r="AB73" s="9" t="s">
        <v>310</v>
      </c>
      <c r="AC73" s="9" t="s">
        <v>199</v>
      </c>
      <c r="AD73" s="9" t="s">
        <v>361</v>
      </c>
      <c r="AE73" s="9" t="s">
        <v>362</v>
      </c>
    </row>
    <row r="74" spans="1:31" ht="72" customHeight="1" x14ac:dyDescent="0.3">
      <c r="A74" s="3">
        <v>69</v>
      </c>
      <c r="B74" s="35" t="s">
        <v>82</v>
      </c>
      <c r="C74" s="4" t="s">
        <v>620</v>
      </c>
      <c r="D74" s="4" t="s">
        <v>629</v>
      </c>
      <c r="E74" s="4" t="s">
        <v>630</v>
      </c>
      <c r="F74" s="4" t="s">
        <v>532</v>
      </c>
      <c r="G74" s="4" t="s">
        <v>623</v>
      </c>
      <c r="H74" s="39" t="s">
        <v>141</v>
      </c>
      <c r="I74" s="5" t="s">
        <v>88</v>
      </c>
      <c r="J74" s="3" t="s">
        <v>89</v>
      </c>
      <c r="K74" s="4" t="s">
        <v>577</v>
      </c>
      <c r="L74" s="4" t="s">
        <v>564</v>
      </c>
      <c r="M74" s="4" t="s">
        <v>306</v>
      </c>
      <c r="N74" s="4" t="s">
        <v>358</v>
      </c>
      <c r="O74" s="4" t="s">
        <v>89</v>
      </c>
      <c r="P74" s="4" t="s">
        <v>631</v>
      </c>
      <c r="Q74" s="4" t="s">
        <v>95</v>
      </c>
      <c r="R74" s="6" t="s">
        <v>39</v>
      </c>
      <c r="S74" s="6" t="s">
        <v>625</v>
      </c>
      <c r="T74" s="4" t="s">
        <v>632</v>
      </c>
      <c r="U74" s="6" t="s">
        <v>577</v>
      </c>
      <c r="V74" s="6" t="s">
        <v>299</v>
      </c>
      <c r="W74" s="6" t="s">
        <v>308</v>
      </c>
      <c r="X74" s="6" t="s">
        <v>306</v>
      </c>
      <c r="Y74" s="6" t="s">
        <v>410</v>
      </c>
      <c r="Z74" s="6" t="s">
        <v>198</v>
      </c>
      <c r="AA74" s="6" t="s">
        <v>198</v>
      </c>
      <c r="AB74" s="6" t="s">
        <v>310</v>
      </c>
      <c r="AC74" s="6" t="s">
        <v>199</v>
      </c>
      <c r="AD74" s="6" t="s">
        <v>361</v>
      </c>
      <c r="AE74" s="6" t="s">
        <v>106</v>
      </c>
    </row>
    <row r="75" spans="1:31" ht="72" customHeight="1" x14ac:dyDescent="0.3">
      <c r="A75" s="7">
        <v>70</v>
      </c>
      <c r="B75" s="35" t="s">
        <v>82</v>
      </c>
      <c r="C75" s="8" t="s">
        <v>620</v>
      </c>
      <c r="D75" s="8" t="s">
        <v>633</v>
      </c>
      <c r="E75" s="8" t="s">
        <v>634</v>
      </c>
      <c r="F75" s="8" t="s">
        <v>532</v>
      </c>
      <c r="G75" s="8" t="s">
        <v>623</v>
      </c>
      <c r="H75" s="39" t="s">
        <v>141</v>
      </c>
      <c r="I75" s="5" t="s">
        <v>88</v>
      </c>
      <c r="J75" s="7" t="s">
        <v>89</v>
      </c>
      <c r="K75" s="8" t="s">
        <v>635</v>
      </c>
      <c r="L75" s="8" t="s">
        <v>636</v>
      </c>
      <c r="M75" s="8" t="s">
        <v>306</v>
      </c>
      <c r="N75" s="8" t="s">
        <v>358</v>
      </c>
      <c r="O75" s="8" t="s">
        <v>89</v>
      </c>
      <c r="P75" s="8" t="s">
        <v>89</v>
      </c>
      <c r="Q75" s="8" t="s">
        <v>95</v>
      </c>
      <c r="R75" s="9" t="s">
        <v>39</v>
      </c>
      <c r="S75" s="9" t="s">
        <v>625</v>
      </c>
      <c r="T75" s="8"/>
      <c r="U75" s="9" t="s">
        <v>635</v>
      </c>
      <c r="V75" s="9" t="s">
        <v>637</v>
      </c>
      <c r="W75" s="9" t="s">
        <v>360</v>
      </c>
      <c r="X75" s="9" t="s">
        <v>306</v>
      </c>
      <c r="Y75" s="9" t="s">
        <v>410</v>
      </c>
      <c r="Z75" s="9" t="s">
        <v>198</v>
      </c>
      <c r="AA75" s="9" t="s">
        <v>198</v>
      </c>
      <c r="AB75" s="9" t="s">
        <v>638</v>
      </c>
      <c r="AC75" s="9" t="s">
        <v>199</v>
      </c>
      <c r="AD75" s="9" t="s">
        <v>200</v>
      </c>
      <c r="AE75" s="9" t="s">
        <v>362</v>
      </c>
    </row>
    <row r="76" spans="1:31" ht="72" customHeight="1" x14ac:dyDescent="0.3">
      <c r="A76" s="3">
        <v>71</v>
      </c>
      <c r="B76" s="35" t="s">
        <v>82</v>
      </c>
      <c r="C76" s="4" t="s">
        <v>620</v>
      </c>
      <c r="D76" s="4" t="s">
        <v>639</v>
      </c>
      <c r="E76" s="4" t="s">
        <v>640</v>
      </c>
      <c r="F76" s="4" t="s">
        <v>532</v>
      </c>
      <c r="G76" s="4" t="s">
        <v>623</v>
      </c>
      <c r="H76" s="39" t="s">
        <v>141</v>
      </c>
      <c r="I76" s="5" t="s">
        <v>88</v>
      </c>
      <c r="J76" s="3" t="s">
        <v>89</v>
      </c>
      <c r="K76" s="4" t="s">
        <v>641</v>
      </c>
      <c r="L76" s="4" t="s">
        <v>636</v>
      </c>
      <c r="M76" s="4" t="s">
        <v>306</v>
      </c>
      <c r="N76" s="4" t="s">
        <v>358</v>
      </c>
      <c r="O76" s="4" t="s">
        <v>89</v>
      </c>
      <c r="P76" s="4" t="s">
        <v>89</v>
      </c>
      <c r="Q76" s="4" t="s">
        <v>95</v>
      </c>
      <c r="R76" s="6" t="s">
        <v>39</v>
      </c>
      <c r="S76" s="6" t="s">
        <v>625</v>
      </c>
      <c r="T76" s="4"/>
      <c r="U76" s="6" t="s">
        <v>641</v>
      </c>
      <c r="V76" s="6" t="s">
        <v>637</v>
      </c>
      <c r="W76" s="6" t="s">
        <v>360</v>
      </c>
      <c r="X76" s="6" t="s">
        <v>306</v>
      </c>
      <c r="Y76" s="6" t="s">
        <v>410</v>
      </c>
      <c r="Z76" s="6" t="s">
        <v>198</v>
      </c>
      <c r="AA76" s="6" t="s">
        <v>198</v>
      </c>
      <c r="AB76" s="6" t="s">
        <v>638</v>
      </c>
      <c r="AC76" s="6" t="s">
        <v>199</v>
      </c>
      <c r="AD76" s="6" t="s">
        <v>200</v>
      </c>
      <c r="AE76" s="6" t="s">
        <v>362</v>
      </c>
    </row>
    <row r="77" spans="1:31" ht="72" customHeight="1" x14ac:dyDescent="0.3">
      <c r="A77" s="7">
        <v>72</v>
      </c>
      <c r="B77" s="35" t="s">
        <v>82</v>
      </c>
      <c r="C77" s="8" t="s">
        <v>620</v>
      </c>
      <c r="D77" s="8" t="s">
        <v>642</v>
      </c>
      <c r="E77" s="8" t="s">
        <v>643</v>
      </c>
      <c r="F77" s="8" t="s">
        <v>532</v>
      </c>
      <c r="G77" s="8" t="s">
        <v>623</v>
      </c>
      <c r="H77" s="39" t="s">
        <v>141</v>
      </c>
      <c r="I77" s="5" t="s">
        <v>88</v>
      </c>
      <c r="J77" s="7" t="s">
        <v>89</v>
      </c>
      <c r="K77" s="8" t="s">
        <v>644</v>
      </c>
      <c r="L77" s="8" t="s">
        <v>636</v>
      </c>
      <c r="M77" s="8" t="s">
        <v>306</v>
      </c>
      <c r="N77" s="8" t="s">
        <v>194</v>
      </c>
      <c r="O77" s="8" t="s">
        <v>89</v>
      </c>
      <c r="P77" s="8" t="s">
        <v>381</v>
      </c>
      <c r="Q77" s="8" t="s">
        <v>95</v>
      </c>
      <c r="R77" s="9" t="s">
        <v>39</v>
      </c>
      <c r="S77" s="9" t="s">
        <v>625</v>
      </c>
      <c r="T77" s="8"/>
      <c r="U77" s="9" t="s">
        <v>644</v>
      </c>
      <c r="V77" s="9" t="s">
        <v>637</v>
      </c>
      <c r="W77" s="9" t="s">
        <v>360</v>
      </c>
      <c r="X77" s="9" t="s">
        <v>306</v>
      </c>
      <c r="Y77" s="9" t="s">
        <v>410</v>
      </c>
      <c r="Z77" s="9" t="s">
        <v>198</v>
      </c>
      <c r="AA77" s="9" t="s">
        <v>198</v>
      </c>
      <c r="AB77" s="9" t="s">
        <v>638</v>
      </c>
      <c r="AC77" s="9" t="s">
        <v>199</v>
      </c>
      <c r="AD77" s="9" t="s">
        <v>200</v>
      </c>
      <c r="AE77" s="9" t="s">
        <v>645</v>
      </c>
    </row>
    <row r="78" spans="1:31" ht="72" customHeight="1" x14ac:dyDescent="0.3">
      <c r="A78" s="3">
        <v>73</v>
      </c>
      <c r="B78" s="35" t="s">
        <v>82</v>
      </c>
      <c r="C78" s="4" t="s">
        <v>620</v>
      </c>
      <c r="D78" s="4" t="s">
        <v>646</v>
      </c>
      <c r="E78" s="4" t="s">
        <v>647</v>
      </c>
      <c r="F78" s="4" t="s">
        <v>532</v>
      </c>
      <c r="G78" s="4" t="s">
        <v>623</v>
      </c>
      <c r="H78" s="39" t="s">
        <v>141</v>
      </c>
      <c r="I78" s="5" t="s">
        <v>88</v>
      </c>
      <c r="J78" s="3" t="s">
        <v>89</v>
      </c>
      <c r="K78" s="4" t="s">
        <v>648</v>
      </c>
      <c r="L78" s="4" t="s">
        <v>636</v>
      </c>
      <c r="M78" s="4" t="s">
        <v>306</v>
      </c>
      <c r="N78" s="4" t="s">
        <v>358</v>
      </c>
      <c r="O78" s="4" t="s">
        <v>89</v>
      </c>
      <c r="P78" s="4" t="s">
        <v>89</v>
      </c>
      <c r="Q78" s="4" t="s">
        <v>95</v>
      </c>
      <c r="R78" s="6" t="s">
        <v>39</v>
      </c>
      <c r="S78" s="6" t="s">
        <v>625</v>
      </c>
      <c r="T78" s="4"/>
      <c r="U78" s="6" t="s">
        <v>648</v>
      </c>
      <c r="V78" s="6" t="s">
        <v>637</v>
      </c>
      <c r="W78" s="6" t="s">
        <v>360</v>
      </c>
      <c r="X78" s="6" t="s">
        <v>306</v>
      </c>
      <c r="Y78" s="6" t="s">
        <v>410</v>
      </c>
      <c r="Z78" s="6" t="s">
        <v>198</v>
      </c>
      <c r="AA78" s="6" t="s">
        <v>198</v>
      </c>
      <c r="AB78" s="6" t="s">
        <v>638</v>
      </c>
      <c r="AC78" s="6" t="s">
        <v>199</v>
      </c>
      <c r="AD78" s="6" t="s">
        <v>200</v>
      </c>
      <c r="AE78" s="6" t="s">
        <v>362</v>
      </c>
    </row>
    <row r="79" spans="1:31" ht="72" customHeight="1" x14ac:dyDescent="0.3">
      <c r="A79" s="7">
        <v>74</v>
      </c>
      <c r="B79" s="35" t="s">
        <v>82</v>
      </c>
      <c r="C79" s="8" t="s">
        <v>620</v>
      </c>
      <c r="D79" s="8" t="s">
        <v>649</v>
      </c>
      <c r="E79" s="8" t="s">
        <v>650</v>
      </c>
      <c r="F79" s="8" t="s">
        <v>532</v>
      </c>
      <c r="G79" s="8" t="s">
        <v>623</v>
      </c>
      <c r="H79" s="39" t="s">
        <v>141</v>
      </c>
      <c r="I79" s="5" t="s">
        <v>88</v>
      </c>
      <c r="J79" s="7" t="s">
        <v>89</v>
      </c>
      <c r="K79" s="8" t="s">
        <v>651</v>
      </c>
      <c r="L79" s="8" t="s">
        <v>652</v>
      </c>
      <c r="M79" s="8" t="s">
        <v>306</v>
      </c>
      <c r="N79" s="8" t="s">
        <v>358</v>
      </c>
      <c r="O79" s="8" t="s">
        <v>89</v>
      </c>
      <c r="P79" s="8" t="s">
        <v>89</v>
      </c>
      <c r="Q79" s="8" t="s">
        <v>95</v>
      </c>
      <c r="R79" s="9" t="s">
        <v>39</v>
      </c>
      <c r="S79" s="9" t="s">
        <v>625</v>
      </c>
      <c r="T79" s="8" t="s">
        <v>632</v>
      </c>
      <c r="U79" s="9" t="s">
        <v>653</v>
      </c>
      <c r="V79" s="9" t="s">
        <v>654</v>
      </c>
      <c r="W79" s="9" t="s">
        <v>360</v>
      </c>
      <c r="X79" s="9" t="s">
        <v>306</v>
      </c>
      <c r="Y79" s="9" t="s">
        <v>410</v>
      </c>
      <c r="Z79" s="9" t="s">
        <v>198</v>
      </c>
      <c r="AA79" s="9" t="s">
        <v>213</v>
      </c>
      <c r="AB79" s="9" t="s">
        <v>655</v>
      </c>
      <c r="AC79" s="9" t="s">
        <v>199</v>
      </c>
      <c r="AD79" s="9" t="s">
        <v>361</v>
      </c>
      <c r="AE79" s="9" t="s">
        <v>362</v>
      </c>
    </row>
    <row r="80" spans="1:31" ht="72" customHeight="1" x14ac:dyDescent="0.3">
      <c r="A80" s="10">
        <v>75</v>
      </c>
      <c r="B80" s="37" t="s">
        <v>82</v>
      </c>
      <c r="C80" s="11" t="s">
        <v>656</v>
      </c>
      <c r="D80" s="11" t="s">
        <v>657</v>
      </c>
      <c r="E80" s="11" t="s">
        <v>658</v>
      </c>
      <c r="F80" s="11" t="s">
        <v>532</v>
      </c>
      <c r="G80" s="11" t="s">
        <v>659</v>
      </c>
      <c r="H80" s="10" t="s">
        <v>89</v>
      </c>
      <c r="I80" s="12" t="s">
        <v>88</v>
      </c>
      <c r="J80" s="10" t="s">
        <v>89</v>
      </c>
      <c r="K80" s="11" t="s">
        <v>660</v>
      </c>
      <c r="L80" s="11" t="s">
        <v>661</v>
      </c>
      <c r="M80" s="11" t="s">
        <v>662</v>
      </c>
      <c r="N80" s="11" t="s">
        <v>358</v>
      </c>
      <c r="O80" s="11" t="s">
        <v>89</v>
      </c>
      <c r="P80" s="11" t="s">
        <v>89</v>
      </c>
      <c r="Q80" s="11" t="s">
        <v>95</v>
      </c>
      <c r="R80" s="13" t="s">
        <v>39</v>
      </c>
      <c r="S80" s="13" t="s">
        <v>663</v>
      </c>
      <c r="T80" s="11"/>
      <c r="U80" s="13" t="s">
        <v>664</v>
      </c>
      <c r="V80" s="13" t="s">
        <v>665</v>
      </c>
      <c r="W80" s="13" t="s">
        <v>396</v>
      </c>
      <c r="X80" s="13" t="s">
        <v>666</v>
      </c>
      <c r="Y80" s="13" t="s">
        <v>410</v>
      </c>
      <c r="Z80" s="13" t="s">
        <v>301</v>
      </c>
      <c r="AA80" s="13" t="s">
        <v>301</v>
      </c>
      <c r="AB80" s="13" t="s">
        <v>667</v>
      </c>
      <c r="AC80" s="13" t="s">
        <v>199</v>
      </c>
      <c r="AD80" s="13" t="s">
        <v>199</v>
      </c>
      <c r="AE80" s="13" t="s">
        <v>362</v>
      </c>
    </row>
    <row r="81" spans="1:31" ht="72" customHeight="1" x14ac:dyDescent="0.3">
      <c r="A81" s="7">
        <v>76</v>
      </c>
      <c r="B81" s="35" t="s">
        <v>82</v>
      </c>
      <c r="C81" s="8" t="s">
        <v>656</v>
      </c>
      <c r="D81" s="8" t="s">
        <v>668</v>
      </c>
      <c r="E81" s="8" t="s">
        <v>669</v>
      </c>
      <c r="F81" s="8" t="s">
        <v>532</v>
      </c>
      <c r="G81" s="8" t="s">
        <v>659</v>
      </c>
      <c r="H81" s="7" t="s">
        <v>89</v>
      </c>
      <c r="I81" s="5" t="s">
        <v>88</v>
      </c>
      <c r="J81" s="7" t="s">
        <v>89</v>
      </c>
      <c r="K81" s="8" t="s">
        <v>670</v>
      </c>
      <c r="L81" s="8" t="s">
        <v>661</v>
      </c>
      <c r="M81" s="8" t="s">
        <v>671</v>
      </c>
      <c r="N81" s="8" t="s">
        <v>358</v>
      </c>
      <c r="O81" s="8" t="s">
        <v>89</v>
      </c>
      <c r="P81" s="8" t="s">
        <v>89</v>
      </c>
      <c r="Q81" s="8" t="s">
        <v>95</v>
      </c>
      <c r="R81" s="9" t="s">
        <v>39</v>
      </c>
      <c r="S81" s="9" t="s">
        <v>663</v>
      </c>
      <c r="T81" s="8"/>
      <c r="U81" s="9" t="s">
        <v>672</v>
      </c>
      <c r="V81" s="9" t="s">
        <v>665</v>
      </c>
      <c r="W81" s="9" t="s">
        <v>396</v>
      </c>
      <c r="X81" s="9" t="s">
        <v>671</v>
      </c>
      <c r="Y81" s="9" t="s">
        <v>410</v>
      </c>
      <c r="Z81" s="9" t="s">
        <v>301</v>
      </c>
      <c r="AA81" s="9" t="s">
        <v>301</v>
      </c>
      <c r="AB81" s="9" t="s">
        <v>667</v>
      </c>
      <c r="AC81" s="9" t="s">
        <v>199</v>
      </c>
      <c r="AD81" s="9" t="s">
        <v>199</v>
      </c>
      <c r="AE81" s="9" t="s">
        <v>362</v>
      </c>
    </row>
    <row r="82" spans="1:31" ht="72" customHeight="1" x14ac:dyDescent="0.3">
      <c r="A82" s="3">
        <v>77</v>
      </c>
      <c r="B82" s="35" t="s">
        <v>82</v>
      </c>
      <c r="C82" s="4" t="s">
        <v>656</v>
      </c>
      <c r="D82" s="4" t="s">
        <v>673</v>
      </c>
      <c r="E82" s="4" t="s">
        <v>674</v>
      </c>
      <c r="F82" s="4" t="s">
        <v>532</v>
      </c>
      <c r="G82" s="4" t="s">
        <v>659</v>
      </c>
      <c r="H82" s="3" t="s">
        <v>89</v>
      </c>
      <c r="I82" s="5" t="s">
        <v>88</v>
      </c>
      <c r="J82" s="3" t="s">
        <v>89</v>
      </c>
      <c r="K82" s="4" t="s">
        <v>675</v>
      </c>
      <c r="L82" s="4" t="s">
        <v>676</v>
      </c>
      <c r="M82" s="4" t="s">
        <v>671</v>
      </c>
      <c r="N82" s="4" t="s">
        <v>358</v>
      </c>
      <c r="O82" s="4" t="s">
        <v>89</v>
      </c>
      <c r="P82" s="4" t="s">
        <v>89</v>
      </c>
      <c r="Q82" s="4" t="s">
        <v>95</v>
      </c>
      <c r="R82" s="6" t="s">
        <v>39</v>
      </c>
      <c r="S82" s="6" t="s">
        <v>663</v>
      </c>
      <c r="T82" s="4"/>
      <c r="U82" s="6" t="s">
        <v>677</v>
      </c>
      <c r="V82" s="6" t="s">
        <v>423</v>
      </c>
      <c r="W82" s="6" t="s">
        <v>396</v>
      </c>
      <c r="X82" s="6" t="s">
        <v>671</v>
      </c>
      <c r="Y82" s="6" t="s">
        <v>410</v>
      </c>
      <c r="Z82" s="6" t="s">
        <v>301</v>
      </c>
      <c r="AA82" s="6" t="s">
        <v>301</v>
      </c>
      <c r="AB82" s="6" t="s">
        <v>667</v>
      </c>
      <c r="AC82" s="6" t="s">
        <v>199</v>
      </c>
      <c r="AD82" s="6" t="s">
        <v>199</v>
      </c>
      <c r="AE82" s="6" t="s">
        <v>362</v>
      </c>
    </row>
    <row r="83" spans="1:31" ht="72" customHeight="1" x14ac:dyDescent="0.3">
      <c r="A83" s="7">
        <v>78</v>
      </c>
      <c r="B83" s="35" t="s">
        <v>82</v>
      </c>
      <c r="C83" s="8" t="s">
        <v>656</v>
      </c>
      <c r="D83" s="8" t="s">
        <v>678</v>
      </c>
      <c r="E83" s="8" t="s">
        <v>679</v>
      </c>
      <c r="F83" s="8" t="s">
        <v>532</v>
      </c>
      <c r="G83" s="8" t="s">
        <v>659</v>
      </c>
      <c r="H83" s="7" t="s">
        <v>89</v>
      </c>
      <c r="I83" s="5" t="s">
        <v>88</v>
      </c>
      <c r="J83" s="7" t="s">
        <v>89</v>
      </c>
      <c r="K83" s="8" t="s">
        <v>680</v>
      </c>
      <c r="L83" s="8" t="s">
        <v>380</v>
      </c>
      <c r="M83" s="8" t="s">
        <v>671</v>
      </c>
      <c r="N83" s="8" t="s">
        <v>358</v>
      </c>
      <c r="O83" s="8" t="s">
        <v>89</v>
      </c>
      <c r="P83" s="8" t="s">
        <v>89</v>
      </c>
      <c r="Q83" s="8" t="s">
        <v>95</v>
      </c>
      <c r="R83" s="9" t="s">
        <v>39</v>
      </c>
      <c r="S83" s="9" t="s">
        <v>663</v>
      </c>
      <c r="T83" s="8"/>
      <c r="U83" s="9" t="s">
        <v>681</v>
      </c>
      <c r="V83" s="9" t="s">
        <v>395</v>
      </c>
      <c r="W83" s="9" t="s">
        <v>384</v>
      </c>
      <c r="X83" s="9" t="s">
        <v>671</v>
      </c>
      <c r="Y83" s="9" t="s">
        <v>410</v>
      </c>
      <c r="Z83" s="9" t="s">
        <v>301</v>
      </c>
      <c r="AA83" s="9" t="s">
        <v>301</v>
      </c>
      <c r="AB83" s="9" t="s">
        <v>667</v>
      </c>
      <c r="AC83" s="9" t="s">
        <v>199</v>
      </c>
      <c r="AD83" s="9" t="s">
        <v>200</v>
      </c>
      <c r="AE83" s="9" t="s">
        <v>106</v>
      </c>
    </row>
    <row r="84" spans="1:31" ht="72" customHeight="1" x14ac:dyDescent="0.3">
      <c r="A84" s="3">
        <v>79</v>
      </c>
      <c r="B84" s="35" t="s">
        <v>82</v>
      </c>
      <c r="C84" s="4" t="s">
        <v>656</v>
      </c>
      <c r="D84" s="4" t="s">
        <v>682</v>
      </c>
      <c r="E84" s="4" t="s">
        <v>683</v>
      </c>
      <c r="F84" s="4" t="s">
        <v>532</v>
      </c>
      <c r="G84" s="4" t="s">
        <v>659</v>
      </c>
      <c r="H84" s="3" t="s">
        <v>89</v>
      </c>
      <c r="I84" s="5" t="s">
        <v>88</v>
      </c>
      <c r="J84" s="3" t="s">
        <v>89</v>
      </c>
      <c r="K84" s="4" t="s">
        <v>684</v>
      </c>
      <c r="L84" s="4" t="s">
        <v>616</v>
      </c>
      <c r="M84" s="4" t="s">
        <v>671</v>
      </c>
      <c r="N84" s="4" t="s">
        <v>194</v>
      </c>
      <c r="O84" s="4" t="s">
        <v>89</v>
      </c>
      <c r="P84" s="4" t="s">
        <v>89</v>
      </c>
      <c r="Q84" s="4" t="s">
        <v>95</v>
      </c>
      <c r="R84" s="6" t="s">
        <v>39</v>
      </c>
      <c r="S84" s="6" t="s">
        <v>663</v>
      </c>
      <c r="T84" s="4"/>
      <c r="U84" s="6" t="s">
        <v>685</v>
      </c>
      <c r="V84" s="6" t="s">
        <v>686</v>
      </c>
      <c r="W84" s="6" t="s">
        <v>384</v>
      </c>
      <c r="X84" s="6" t="s">
        <v>671</v>
      </c>
      <c r="Y84" s="6" t="s">
        <v>410</v>
      </c>
      <c r="Z84" s="6" t="s">
        <v>301</v>
      </c>
      <c r="AA84" s="6" t="s">
        <v>301</v>
      </c>
      <c r="AB84" s="6" t="s">
        <v>667</v>
      </c>
      <c r="AC84" s="6" t="s">
        <v>199</v>
      </c>
      <c r="AD84" s="6" t="s">
        <v>200</v>
      </c>
      <c r="AE84" s="6" t="s">
        <v>362</v>
      </c>
    </row>
    <row r="85" spans="1:31" ht="72" customHeight="1" x14ac:dyDescent="0.3">
      <c r="A85" s="7">
        <v>80</v>
      </c>
      <c r="B85" s="35" t="s">
        <v>82</v>
      </c>
      <c r="C85" s="8" t="s">
        <v>656</v>
      </c>
      <c r="D85" s="8" t="s">
        <v>687</v>
      </c>
      <c r="E85" s="8" t="s">
        <v>688</v>
      </c>
      <c r="F85" s="8" t="s">
        <v>532</v>
      </c>
      <c r="G85" s="8" t="s">
        <v>659</v>
      </c>
      <c r="H85" s="7" t="s">
        <v>89</v>
      </c>
      <c r="I85" s="5" t="s">
        <v>88</v>
      </c>
      <c r="J85" s="7" t="s">
        <v>89</v>
      </c>
      <c r="K85" s="8" t="s">
        <v>689</v>
      </c>
      <c r="L85" s="8" t="s">
        <v>616</v>
      </c>
      <c r="M85" s="8" t="s">
        <v>671</v>
      </c>
      <c r="N85" s="8" t="s">
        <v>358</v>
      </c>
      <c r="O85" s="8" t="s">
        <v>89</v>
      </c>
      <c r="P85" s="8" t="s">
        <v>89</v>
      </c>
      <c r="Q85" s="8" t="s">
        <v>95</v>
      </c>
      <c r="R85" s="9" t="s">
        <v>39</v>
      </c>
      <c r="S85" s="9" t="s">
        <v>663</v>
      </c>
      <c r="T85" s="8"/>
      <c r="U85" s="9" t="s">
        <v>617</v>
      </c>
      <c r="V85" s="9" t="s">
        <v>686</v>
      </c>
      <c r="W85" s="9" t="s">
        <v>384</v>
      </c>
      <c r="X85" s="9" t="s">
        <v>671</v>
      </c>
      <c r="Y85" s="9" t="s">
        <v>410</v>
      </c>
      <c r="Z85" s="9" t="s">
        <v>690</v>
      </c>
      <c r="AA85" s="9" t="s">
        <v>691</v>
      </c>
      <c r="AB85" s="9" t="s">
        <v>667</v>
      </c>
      <c r="AC85" s="9" t="s">
        <v>199</v>
      </c>
      <c r="AD85" s="9" t="s">
        <v>200</v>
      </c>
      <c r="AE85" s="9" t="s">
        <v>362</v>
      </c>
    </row>
    <row r="86" spans="1:31" ht="72" customHeight="1" x14ac:dyDescent="0.3">
      <c r="A86" s="3">
        <v>81</v>
      </c>
      <c r="B86" s="35" t="s">
        <v>82</v>
      </c>
      <c r="C86" s="4" t="s">
        <v>656</v>
      </c>
      <c r="D86" s="4" t="s">
        <v>692</v>
      </c>
      <c r="E86" s="4" t="s">
        <v>693</v>
      </c>
      <c r="F86" s="4" t="s">
        <v>532</v>
      </c>
      <c r="G86" s="4" t="s">
        <v>659</v>
      </c>
      <c r="H86" s="3" t="s">
        <v>89</v>
      </c>
      <c r="I86" s="5" t="s">
        <v>88</v>
      </c>
      <c r="J86" s="3" t="s">
        <v>89</v>
      </c>
      <c r="K86" s="4" t="s">
        <v>689</v>
      </c>
      <c r="L86" s="4" t="s">
        <v>616</v>
      </c>
      <c r="M86" s="4" t="s">
        <v>671</v>
      </c>
      <c r="N86" s="4" t="s">
        <v>358</v>
      </c>
      <c r="O86" s="4" t="s">
        <v>89</v>
      </c>
      <c r="P86" s="4" t="s">
        <v>381</v>
      </c>
      <c r="Q86" s="4" t="s">
        <v>95</v>
      </c>
      <c r="R86" s="6" t="s">
        <v>39</v>
      </c>
      <c r="S86" s="6" t="s">
        <v>694</v>
      </c>
      <c r="T86" s="4"/>
      <c r="U86" s="6" t="s">
        <v>617</v>
      </c>
      <c r="V86" s="6" t="s">
        <v>695</v>
      </c>
      <c r="W86" s="6" t="s">
        <v>384</v>
      </c>
      <c r="X86" s="6" t="s">
        <v>671</v>
      </c>
      <c r="Y86" s="6" t="s">
        <v>410</v>
      </c>
      <c r="Z86" s="6" t="s">
        <v>301</v>
      </c>
      <c r="AA86" s="6" t="s">
        <v>301</v>
      </c>
      <c r="AB86" s="6" t="s">
        <v>667</v>
      </c>
      <c r="AC86" s="6" t="s">
        <v>199</v>
      </c>
      <c r="AD86" s="6" t="s">
        <v>696</v>
      </c>
      <c r="AE86" s="6" t="s">
        <v>362</v>
      </c>
    </row>
    <row r="87" spans="1:31" ht="72" customHeight="1" x14ac:dyDescent="0.3">
      <c r="A87" s="14">
        <v>82</v>
      </c>
      <c r="B87" s="37" t="s">
        <v>82</v>
      </c>
      <c r="C87" s="15" t="s">
        <v>697</v>
      </c>
      <c r="D87" s="15" t="s">
        <v>698</v>
      </c>
      <c r="E87" s="15" t="s">
        <v>699</v>
      </c>
      <c r="F87" s="15" t="s">
        <v>532</v>
      </c>
      <c r="G87" s="15" t="s">
        <v>700</v>
      </c>
      <c r="H87" s="14" t="s">
        <v>89</v>
      </c>
      <c r="I87" s="12" t="s">
        <v>88</v>
      </c>
      <c r="J87" s="14" t="s">
        <v>89</v>
      </c>
      <c r="K87" s="15" t="s">
        <v>701</v>
      </c>
      <c r="L87" s="15" t="s">
        <v>661</v>
      </c>
      <c r="M87" s="15" t="s">
        <v>702</v>
      </c>
      <c r="N87" s="15" t="s">
        <v>358</v>
      </c>
      <c r="O87" s="15" t="s">
        <v>89</v>
      </c>
      <c r="P87" s="15" t="s">
        <v>89</v>
      </c>
      <c r="Q87" s="15" t="s">
        <v>95</v>
      </c>
      <c r="R87" s="16" t="s">
        <v>39</v>
      </c>
      <c r="S87" s="16" t="s">
        <v>703</v>
      </c>
      <c r="T87" s="15" t="s">
        <v>586</v>
      </c>
      <c r="U87" s="16" t="s">
        <v>704</v>
      </c>
      <c r="V87" s="16" t="s">
        <v>661</v>
      </c>
      <c r="W87" s="16" t="s">
        <v>705</v>
      </c>
      <c r="X87" s="16" t="s">
        <v>584</v>
      </c>
      <c r="Y87" s="16" t="s">
        <v>410</v>
      </c>
      <c r="Z87" s="16" t="s">
        <v>397</v>
      </c>
      <c r="AA87" s="16" t="s">
        <v>397</v>
      </c>
      <c r="AB87" s="16" t="s">
        <v>706</v>
      </c>
      <c r="AC87" s="16" t="s">
        <v>199</v>
      </c>
      <c r="AD87" s="16" t="s">
        <v>200</v>
      </c>
      <c r="AE87" s="16" t="s">
        <v>362</v>
      </c>
    </row>
    <row r="88" spans="1:31" ht="72" customHeight="1" x14ac:dyDescent="0.3">
      <c r="A88" s="10">
        <v>83</v>
      </c>
      <c r="B88" s="37" t="s">
        <v>82</v>
      </c>
      <c r="C88" s="11" t="s">
        <v>707</v>
      </c>
      <c r="D88" s="11" t="s">
        <v>708</v>
      </c>
      <c r="E88" s="11" t="s">
        <v>709</v>
      </c>
      <c r="F88" s="11" t="s">
        <v>315</v>
      </c>
      <c r="G88" s="11" t="s">
        <v>710</v>
      </c>
      <c r="H88" s="10" t="s">
        <v>89</v>
      </c>
      <c r="I88" s="12" t="s">
        <v>88</v>
      </c>
      <c r="J88" s="10" t="s">
        <v>89</v>
      </c>
      <c r="K88" s="11" t="s">
        <v>711</v>
      </c>
      <c r="L88" s="11" t="s">
        <v>712</v>
      </c>
      <c r="M88" s="11" t="s">
        <v>92</v>
      </c>
      <c r="N88" s="11" t="s">
        <v>358</v>
      </c>
      <c r="O88" s="11" t="s">
        <v>89</v>
      </c>
      <c r="P88" s="11" t="s">
        <v>94</v>
      </c>
      <c r="Q88" s="11" t="s">
        <v>95</v>
      </c>
      <c r="R88" s="13" t="s">
        <v>39</v>
      </c>
      <c r="S88" s="13" t="s">
        <v>713</v>
      </c>
      <c r="T88" s="11"/>
      <c r="U88" s="13" t="s">
        <v>714</v>
      </c>
      <c r="V88" s="13" t="s">
        <v>715</v>
      </c>
      <c r="W88" s="13" t="s">
        <v>716</v>
      </c>
      <c r="X88" s="13" t="s">
        <v>183</v>
      </c>
      <c r="Y88" s="13" t="s">
        <v>717</v>
      </c>
      <c r="Z88" s="13" t="s">
        <v>198</v>
      </c>
      <c r="AA88" s="13" t="s">
        <v>718</v>
      </c>
      <c r="AB88" s="13" t="s">
        <v>431</v>
      </c>
      <c r="AC88" s="13" t="s">
        <v>199</v>
      </c>
      <c r="AD88" s="13" t="s">
        <v>398</v>
      </c>
      <c r="AE88" s="13" t="s">
        <v>362</v>
      </c>
    </row>
    <row r="89" spans="1:31" ht="72" customHeight="1" x14ac:dyDescent="0.3">
      <c r="A89" s="7">
        <v>84</v>
      </c>
      <c r="B89" s="35" t="s">
        <v>82</v>
      </c>
      <c r="C89" s="8" t="s">
        <v>707</v>
      </c>
      <c r="D89" s="8" t="s">
        <v>719</v>
      </c>
      <c r="E89" s="8" t="s">
        <v>720</v>
      </c>
      <c r="F89" s="8" t="s">
        <v>315</v>
      </c>
      <c r="G89" s="8" t="s">
        <v>710</v>
      </c>
      <c r="H89" s="7" t="s">
        <v>89</v>
      </c>
      <c r="I89" s="5" t="s">
        <v>88</v>
      </c>
      <c r="J89" s="7" t="s">
        <v>89</v>
      </c>
      <c r="K89" s="8" t="s">
        <v>721</v>
      </c>
      <c r="L89" s="8" t="s">
        <v>722</v>
      </c>
      <c r="M89" s="8" t="s">
        <v>723</v>
      </c>
      <c r="N89" s="8" t="s">
        <v>358</v>
      </c>
      <c r="O89" s="8" t="s">
        <v>89</v>
      </c>
      <c r="P89" s="8" t="s">
        <v>94</v>
      </c>
      <c r="Q89" s="8" t="s">
        <v>95</v>
      </c>
      <c r="R89" s="9" t="s">
        <v>39</v>
      </c>
      <c r="S89" s="9" t="s">
        <v>713</v>
      </c>
      <c r="T89" s="8"/>
      <c r="U89" s="9" t="s">
        <v>724</v>
      </c>
      <c r="V89" s="9" t="s">
        <v>725</v>
      </c>
      <c r="W89" s="9" t="s">
        <v>716</v>
      </c>
      <c r="X89" s="9" t="s">
        <v>183</v>
      </c>
      <c r="Y89" s="9" t="s">
        <v>717</v>
      </c>
      <c r="Z89" s="9" t="s">
        <v>198</v>
      </c>
      <c r="AA89" s="9" t="s">
        <v>718</v>
      </c>
      <c r="AB89" s="9" t="s">
        <v>431</v>
      </c>
      <c r="AC89" s="9" t="s">
        <v>199</v>
      </c>
      <c r="AD89" s="9" t="s">
        <v>398</v>
      </c>
      <c r="AE89" s="9" t="s">
        <v>362</v>
      </c>
    </row>
    <row r="90" spans="1:31" ht="72" customHeight="1" x14ac:dyDescent="0.3">
      <c r="A90" s="3">
        <v>85</v>
      </c>
      <c r="B90" s="35" t="s">
        <v>82</v>
      </c>
      <c r="C90" s="4" t="s">
        <v>707</v>
      </c>
      <c r="D90" s="4" t="s">
        <v>726</v>
      </c>
      <c r="E90" s="4" t="s">
        <v>727</v>
      </c>
      <c r="F90" s="4" t="s">
        <v>315</v>
      </c>
      <c r="G90" s="4" t="s">
        <v>710</v>
      </c>
      <c r="H90" s="3" t="s">
        <v>89</v>
      </c>
      <c r="I90" s="5" t="s">
        <v>88</v>
      </c>
      <c r="J90" s="3" t="s">
        <v>89</v>
      </c>
      <c r="K90" s="4" t="s">
        <v>728</v>
      </c>
      <c r="L90" s="4" t="s">
        <v>729</v>
      </c>
      <c r="M90" s="4" t="s">
        <v>723</v>
      </c>
      <c r="N90" s="4" t="s">
        <v>358</v>
      </c>
      <c r="O90" s="4" t="s">
        <v>89</v>
      </c>
      <c r="P90" s="4" t="s">
        <v>94</v>
      </c>
      <c r="Q90" s="4" t="s">
        <v>95</v>
      </c>
      <c r="R90" s="6" t="s">
        <v>39</v>
      </c>
      <c r="S90" s="6" t="s">
        <v>713</v>
      </c>
      <c r="T90" s="4"/>
      <c r="U90" s="6" t="s">
        <v>730</v>
      </c>
      <c r="V90" s="6" t="s">
        <v>423</v>
      </c>
      <c r="W90" s="6" t="s">
        <v>396</v>
      </c>
      <c r="X90" s="6" t="s">
        <v>183</v>
      </c>
      <c r="Y90" s="6" t="s">
        <v>717</v>
      </c>
      <c r="Z90" s="6" t="s">
        <v>213</v>
      </c>
      <c r="AA90" s="6" t="s">
        <v>376</v>
      </c>
      <c r="AB90" s="6" t="s">
        <v>397</v>
      </c>
      <c r="AC90" s="6" t="s">
        <v>199</v>
      </c>
      <c r="AD90" s="6" t="s">
        <v>361</v>
      </c>
      <c r="AE90" s="6" t="s">
        <v>362</v>
      </c>
    </row>
    <row r="91" spans="1:31" ht="72" customHeight="1" x14ac:dyDescent="0.3">
      <c r="A91" s="14">
        <v>86</v>
      </c>
      <c r="B91" s="37" t="s">
        <v>82</v>
      </c>
      <c r="C91" s="15" t="s">
        <v>731</v>
      </c>
      <c r="D91" s="15" t="s">
        <v>732</v>
      </c>
      <c r="E91" s="15" t="s">
        <v>733</v>
      </c>
      <c r="F91" s="15" t="s">
        <v>532</v>
      </c>
      <c r="G91" s="15" t="s">
        <v>734</v>
      </c>
      <c r="H91" s="14" t="s">
        <v>89</v>
      </c>
      <c r="I91" s="17" t="s">
        <v>205</v>
      </c>
      <c r="J91" s="17" t="s">
        <v>205</v>
      </c>
      <c r="K91" s="15" t="s">
        <v>735</v>
      </c>
      <c r="L91" s="15" t="s">
        <v>284</v>
      </c>
      <c r="M91" s="15" t="s">
        <v>284</v>
      </c>
      <c r="N91" s="15" t="s">
        <v>358</v>
      </c>
      <c r="O91" s="15" t="s">
        <v>89</v>
      </c>
      <c r="P91" s="15" t="s">
        <v>89</v>
      </c>
      <c r="Q91" s="41" t="s">
        <v>736</v>
      </c>
      <c r="R91" s="16" t="s">
        <v>39</v>
      </c>
      <c r="S91" s="16" t="s">
        <v>737</v>
      </c>
      <c r="T91" s="15" t="s">
        <v>738</v>
      </c>
      <c r="U91" s="16" t="s">
        <v>739</v>
      </c>
      <c r="V91" s="16" t="s">
        <v>740</v>
      </c>
      <c r="W91" s="16" t="s">
        <v>741</v>
      </c>
      <c r="X91" s="16" t="s">
        <v>183</v>
      </c>
      <c r="Y91" s="16" t="s">
        <v>410</v>
      </c>
      <c r="Z91" s="16" t="s">
        <v>301</v>
      </c>
      <c r="AA91" s="16" t="s">
        <v>397</v>
      </c>
      <c r="AB91" s="16" t="s">
        <v>742</v>
      </c>
      <c r="AC91" s="16" t="s">
        <v>199</v>
      </c>
      <c r="AD91" s="16" t="s">
        <v>361</v>
      </c>
      <c r="AE91" s="16" t="s">
        <v>362</v>
      </c>
    </row>
    <row r="92" spans="1:31" ht="72" customHeight="1" x14ac:dyDescent="0.3">
      <c r="A92" s="3">
        <v>87</v>
      </c>
      <c r="B92" s="35" t="s">
        <v>82</v>
      </c>
      <c r="C92" s="4" t="s">
        <v>731</v>
      </c>
      <c r="D92" s="4" t="s">
        <v>743</v>
      </c>
      <c r="E92" s="4" t="s">
        <v>744</v>
      </c>
      <c r="F92" s="4" t="s">
        <v>532</v>
      </c>
      <c r="G92" s="4" t="s">
        <v>734</v>
      </c>
      <c r="H92" s="3" t="s">
        <v>89</v>
      </c>
      <c r="I92" s="18" t="s">
        <v>205</v>
      </c>
      <c r="J92" s="18" t="s">
        <v>205</v>
      </c>
      <c r="K92" s="4" t="s">
        <v>745</v>
      </c>
      <c r="L92" s="4" t="s">
        <v>284</v>
      </c>
      <c r="M92" s="4" t="s">
        <v>284</v>
      </c>
      <c r="N92" s="4" t="s">
        <v>358</v>
      </c>
      <c r="O92" s="4" t="s">
        <v>89</v>
      </c>
      <c r="P92" s="4" t="s">
        <v>89</v>
      </c>
      <c r="Q92" s="42" t="s">
        <v>736</v>
      </c>
      <c r="R92" s="6" t="s">
        <v>39</v>
      </c>
      <c r="S92" s="6" t="s">
        <v>737</v>
      </c>
      <c r="T92" s="4" t="s">
        <v>738</v>
      </c>
      <c r="U92" s="6" t="s">
        <v>746</v>
      </c>
      <c r="V92" s="6" t="s">
        <v>747</v>
      </c>
      <c r="W92" s="6" t="s">
        <v>741</v>
      </c>
      <c r="X92" s="6" t="s">
        <v>183</v>
      </c>
      <c r="Y92" s="6" t="s">
        <v>599</v>
      </c>
      <c r="Z92" s="6" t="s">
        <v>301</v>
      </c>
      <c r="AA92" s="6" t="s">
        <v>301</v>
      </c>
      <c r="AB92" s="6" t="s">
        <v>742</v>
      </c>
      <c r="AC92" s="6" t="s">
        <v>199</v>
      </c>
      <c r="AD92" s="6" t="s">
        <v>398</v>
      </c>
      <c r="AE92" s="6" t="s">
        <v>362</v>
      </c>
    </row>
    <row r="93" spans="1:31" ht="72" customHeight="1" x14ac:dyDescent="0.3">
      <c r="A93" s="7">
        <v>88</v>
      </c>
      <c r="B93" s="35" t="s">
        <v>82</v>
      </c>
      <c r="C93" s="8" t="s">
        <v>731</v>
      </c>
      <c r="D93" s="8" t="s">
        <v>748</v>
      </c>
      <c r="E93" s="8" t="s">
        <v>749</v>
      </c>
      <c r="F93" s="8" t="s">
        <v>532</v>
      </c>
      <c r="G93" s="8" t="s">
        <v>734</v>
      </c>
      <c r="H93" s="7" t="s">
        <v>89</v>
      </c>
      <c r="I93" s="18" t="s">
        <v>205</v>
      </c>
      <c r="J93" s="18" t="s">
        <v>205</v>
      </c>
      <c r="K93" s="8" t="s">
        <v>750</v>
      </c>
      <c r="L93" s="8" t="s">
        <v>284</v>
      </c>
      <c r="M93" s="8" t="s">
        <v>284</v>
      </c>
      <c r="N93" s="8" t="s">
        <v>358</v>
      </c>
      <c r="O93" s="8" t="s">
        <v>89</v>
      </c>
      <c r="P93" s="8" t="s">
        <v>89</v>
      </c>
      <c r="Q93" s="42" t="s">
        <v>736</v>
      </c>
      <c r="R93" s="9" t="s">
        <v>39</v>
      </c>
      <c r="S93" s="9" t="s">
        <v>737</v>
      </c>
      <c r="T93" s="8" t="s">
        <v>738</v>
      </c>
      <c r="U93" s="9" t="s">
        <v>751</v>
      </c>
      <c r="V93" s="9" t="s">
        <v>752</v>
      </c>
      <c r="W93" s="9" t="s">
        <v>753</v>
      </c>
      <c r="X93" s="9" t="s">
        <v>183</v>
      </c>
      <c r="Y93" s="9" t="s">
        <v>410</v>
      </c>
      <c r="Z93" s="9" t="s">
        <v>301</v>
      </c>
      <c r="AA93" s="9" t="s">
        <v>397</v>
      </c>
      <c r="AB93" s="9" t="s">
        <v>742</v>
      </c>
      <c r="AC93" s="9" t="s">
        <v>199</v>
      </c>
      <c r="AD93" s="9" t="s">
        <v>200</v>
      </c>
      <c r="AE93" s="9" t="s">
        <v>362</v>
      </c>
    </row>
    <row r="94" spans="1:31" ht="72" customHeight="1" x14ac:dyDescent="0.3">
      <c r="A94" s="3">
        <v>89</v>
      </c>
      <c r="B94" s="35" t="s">
        <v>82</v>
      </c>
      <c r="C94" s="4" t="s">
        <v>731</v>
      </c>
      <c r="D94" s="4" t="s">
        <v>754</v>
      </c>
      <c r="E94" s="4" t="s">
        <v>755</v>
      </c>
      <c r="F94" s="4" t="s">
        <v>532</v>
      </c>
      <c r="G94" s="4" t="s">
        <v>734</v>
      </c>
      <c r="H94" s="3" t="s">
        <v>89</v>
      </c>
      <c r="I94" s="18" t="s">
        <v>205</v>
      </c>
      <c r="J94" s="18" t="s">
        <v>205</v>
      </c>
      <c r="K94" s="4" t="s">
        <v>750</v>
      </c>
      <c r="L94" s="4" t="s">
        <v>284</v>
      </c>
      <c r="M94" s="4" t="s">
        <v>284</v>
      </c>
      <c r="N94" s="4" t="s">
        <v>358</v>
      </c>
      <c r="O94" s="4" t="s">
        <v>89</v>
      </c>
      <c r="P94" s="4" t="s">
        <v>89</v>
      </c>
      <c r="Q94" s="42" t="s">
        <v>736</v>
      </c>
      <c r="R94" s="6" t="s">
        <v>39</v>
      </c>
      <c r="S94" s="6" t="s">
        <v>737</v>
      </c>
      <c r="T94" s="4" t="s">
        <v>738</v>
      </c>
      <c r="U94" s="6" t="s">
        <v>751</v>
      </c>
      <c r="V94" s="6" t="s">
        <v>752</v>
      </c>
      <c r="W94" s="6" t="s">
        <v>753</v>
      </c>
      <c r="X94" s="6" t="s">
        <v>183</v>
      </c>
      <c r="Y94" s="6" t="s">
        <v>410</v>
      </c>
      <c r="Z94" s="6" t="s">
        <v>301</v>
      </c>
      <c r="AA94" s="6" t="s">
        <v>397</v>
      </c>
      <c r="AB94" s="6" t="s">
        <v>742</v>
      </c>
      <c r="AC94" s="6" t="s">
        <v>199</v>
      </c>
      <c r="AD94" s="6" t="s">
        <v>200</v>
      </c>
      <c r="AE94" s="6" t="s">
        <v>362</v>
      </c>
    </row>
    <row r="95" spans="1:31" ht="72" customHeight="1" x14ac:dyDescent="0.3">
      <c r="A95" s="14">
        <v>90</v>
      </c>
      <c r="B95" s="37" t="s">
        <v>82</v>
      </c>
      <c r="C95" s="15" t="s">
        <v>756</v>
      </c>
      <c r="D95" s="15" t="s">
        <v>757</v>
      </c>
      <c r="E95" s="15" t="s">
        <v>758</v>
      </c>
      <c r="F95" s="15" t="s">
        <v>532</v>
      </c>
      <c r="G95" s="15" t="s">
        <v>759</v>
      </c>
      <c r="H95" s="14" t="s">
        <v>89</v>
      </c>
      <c r="I95" s="17" t="s">
        <v>205</v>
      </c>
      <c r="J95" s="17" t="s">
        <v>205</v>
      </c>
      <c r="K95" s="15" t="s">
        <v>760</v>
      </c>
      <c r="L95" s="15" t="s">
        <v>761</v>
      </c>
      <c r="M95" s="15" t="s">
        <v>762</v>
      </c>
      <c r="N95" s="15" t="s">
        <v>358</v>
      </c>
      <c r="O95" s="15" t="s">
        <v>89</v>
      </c>
      <c r="P95" s="15" t="s">
        <v>89</v>
      </c>
      <c r="Q95" s="15" t="s">
        <v>95</v>
      </c>
      <c r="R95" s="16" t="s">
        <v>39</v>
      </c>
      <c r="S95" s="16" t="s">
        <v>763</v>
      </c>
      <c r="T95" s="15"/>
      <c r="U95" s="16" t="s">
        <v>764</v>
      </c>
      <c r="V95" s="16" t="s">
        <v>761</v>
      </c>
      <c r="W95" s="16" t="s">
        <v>765</v>
      </c>
      <c r="X95" s="16" t="s">
        <v>766</v>
      </c>
      <c r="Y95" s="16" t="s">
        <v>599</v>
      </c>
      <c r="Z95" s="16" t="s">
        <v>397</v>
      </c>
      <c r="AA95" s="16" t="s">
        <v>301</v>
      </c>
      <c r="AB95" s="16" t="s">
        <v>767</v>
      </c>
      <c r="AC95" s="16" t="s">
        <v>768</v>
      </c>
      <c r="AD95" s="16" t="s">
        <v>769</v>
      </c>
      <c r="AE95" s="16" t="s">
        <v>362</v>
      </c>
    </row>
    <row r="96" spans="1:31" ht="72" customHeight="1" x14ac:dyDescent="0.3">
      <c r="A96" s="3">
        <v>91</v>
      </c>
      <c r="B96" s="35" t="s">
        <v>82</v>
      </c>
      <c r="C96" s="4" t="s">
        <v>756</v>
      </c>
      <c r="D96" s="4" t="s">
        <v>770</v>
      </c>
      <c r="E96" s="4" t="s">
        <v>771</v>
      </c>
      <c r="F96" s="4" t="s">
        <v>532</v>
      </c>
      <c r="G96" s="4" t="s">
        <v>759</v>
      </c>
      <c r="H96" s="3" t="s">
        <v>89</v>
      </c>
      <c r="I96" s="18" t="s">
        <v>205</v>
      </c>
      <c r="J96" s="18" t="s">
        <v>205</v>
      </c>
      <c r="K96" s="4" t="s">
        <v>760</v>
      </c>
      <c r="L96" s="4" t="s">
        <v>761</v>
      </c>
      <c r="M96" s="4" t="s">
        <v>762</v>
      </c>
      <c r="N96" s="4" t="s">
        <v>358</v>
      </c>
      <c r="O96" s="4" t="s">
        <v>89</v>
      </c>
      <c r="P96" s="4" t="s">
        <v>89</v>
      </c>
      <c r="Q96" s="4" t="s">
        <v>95</v>
      </c>
      <c r="R96" s="6" t="s">
        <v>39</v>
      </c>
      <c r="S96" s="6" t="s">
        <v>763</v>
      </c>
      <c r="T96" s="4" t="s">
        <v>772</v>
      </c>
      <c r="U96" s="6" t="s">
        <v>764</v>
      </c>
      <c r="V96" s="6" t="s">
        <v>761</v>
      </c>
      <c r="W96" s="6" t="s">
        <v>765</v>
      </c>
      <c r="X96" s="6" t="s">
        <v>766</v>
      </c>
      <c r="Y96" s="6" t="s">
        <v>599</v>
      </c>
      <c r="Z96" s="6" t="s">
        <v>301</v>
      </c>
      <c r="AA96" s="6" t="s">
        <v>301</v>
      </c>
      <c r="AB96" s="6" t="s">
        <v>767</v>
      </c>
      <c r="AC96" s="6" t="s">
        <v>768</v>
      </c>
      <c r="AD96" s="6" t="s">
        <v>769</v>
      </c>
      <c r="AE96" s="6" t="s">
        <v>362</v>
      </c>
    </row>
    <row r="97" spans="1:31" ht="72" customHeight="1" x14ac:dyDescent="0.3">
      <c r="A97" s="14">
        <v>92</v>
      </c>
      <c r="B97" s="21" t="s">
        <v>773</v>
      </c>
      <c r="C97" s="15" t="s">
        <v>774</v>
      </c>
      <c r="D97" s="15" t="s">
        <v>775</v>
      </c>
      <c r="E97" s="15" t="s">
        <v>776</v>
      </c>
      <c r="F97" s="15" t="s">
        <v>777</v>
      </c>
      <c r="G97" s="15" t="s">
        <v>778</v>
      </c>
      <c r="H97" s="14" t="s">
        <v>89</v>
      </c>
      <c r="I97" s="14" t="s">
        <v>89</v>
      </c>
      <c r="J97" s="12" t="s">
        <v>88</v>
      </c>
      <c r="K97" s="15" t="s">
        <v>779</v>
      </c>
      <c r="L97" s="15" t="s">
        <v>780</v>
      </c>
      <c r="M97" s="15" t="s">
        <v>781</v>
      </c>
      <c r="N97" s="15" t="s">
        <v>132</v>
      </c>
      <c r="O97" s="15" t="s">
        <v>782</v>
      </c>
      <c r="P97" s="15" t="s">
        <v>783</v>
      </c>
      <c r="Q97" s="15" t="s">
        <v>784</v>
      </c>
      <c r="R97" s="16" t="s">
        <v>39</v>
      </c>
      <c r="S97" s="16" t="s">
        <v>785</v>
      </c>
      <c r="T97" s="15" t="s">
        <v>786</v>
      </c>
      <c r="U97" s="16" t="s">
        <v>787</v>
      </c>
      <c r="V97" s="16" t="s">
        <v>780</v>
      </c>
      <c r="W97" s="16" t="s">
        <v>788</v>
      </c>
      <c r="X97" s="16" t="s">
        <v>789</v>
      </c>
      <c r="Y97" s="16" t="s">
        <v>790</v>
      </c>
      <c r="Z97" s="16" t="s">
        <v>791</v>
      </c>
      <c r="AA97" s="16" t="s">
        <v>792</v>
      </c>
      <c r="AB97" s="16" t="s">
        <v>793</v>
      </c>
      <c r="AC97" s="16" t="s">
        <v>794</v>
      </c>
      <c r="AD97" s="16" t="s">
        <v>795</v>
      </c>
      <c r="AE97" s="16" t="s">
        <v>106</v>
      </c>
    </row>
    <row r="98" spans="1:31" ht="72" customHeight="1" x14ac:dyDescent="0.3">
      <c r="A98" s="3">
        <v>93</v>
      </c>
      <c r="B98" s="22" t="s">
        <v>773</v>
      </c>
      <c r="C98" s="4" t="s">
        <v>774</v>
      </c>
      <c r="D98" s="4" t="s">
        <v>796</v>
      </c>
      <c r="E98" s="4" t="s">
        <v>797</v>
      </c>
      <c r="F98" s="4" t="s">
        <v>798</v>
      </c>
      <c r="G98" s="4" t="s">
        <v>799</v>
      </c>
      <c r="H98" s="3" t="s">
        <v>89</v>
      </c>
      <c r="I98" s="3" t="s">
        <v>89</v>
      </c>
      <c r="J98" s="5" t="s">
        <v>88</v>
      </c>
      <c r="K98" s="4" t="s">
        <v>800</v>
      </c>
      <c r="L98" s="4" t="s">
        <v>801</v>
      </c>
      <c r="M98" s="4" t="s">
        <v>781</v>
      </c>
      <c r="N98" s="4" t="s">
        <v>177</v>
      </c>
      <c r="O98" s="4" t="s">
        <v>782</v>
      </c>
      <c r="P98" s="4" t="s">
        <v>783</v>
      </c>
      <c r="Q98" s="4" t="s">
        <v>784</v>
      </c>
      <c r="R98" s="6" t="s">
        <v>39</v>
      </c>
      <c r="S98" s="6" t="s">
        <v>785</v>
      </c>
      <c r="T98" s="4" t="s">
        <v>786</v>
      </c>
      <c r="U98" s="6" t="s">
        <v>802</v>
      </c>
      <c r="V98" s="6" t="s">
        <v>801</v>
      </c>
      <c r="W98" s="6" t="s">
        <v>788</v>
      </c>
      <c r="X98" s="6" t="s">
        <v>789</v>
      </c>
      <c r="Y98" s="6" t="s">
        <v>790</v>
      </c>
      <c r="Z98" s="6" t="s">
        <v>791</v>
      </c>
      <c r="AA98" s="6" t="s">
        <v>792</v>
      </c>
      <c r="AB98" s="6" t="s">
        <v>793</v>
      </c>
      <c r="AC98" s="6" t="s">
        <v>803</v>
      </c>
      <c r="AD98" s="6" t="s">
        <v>803</v>
      </c>
      <c r="AE98" s="6" t="s">
        <v>106</v>
      </c>
    </row>
    <row r="99" spans="1:31" ht="72" customHeight="1" x14ac:dyDescent="0.3">
      <c r="A99" s="7">
        <v>94</v>
      </c>
      <c r="B99" s="22" t="s">
        <v>773</v>
      </c>
      <c r="C99" s="8" t="s">
        <v>774</v>
      </c>
      <c r="D99" s="8" t="s">
        <v>804</v>
      </c>
      <c r="E99" s="8" t="s">
        <v>805</v>
      </c>
      <c r="F99" s="8" t="s">
        <v>806</v>
      </c>
      <c r="G99" s="8" t="s">
        <v>807</v>
      </c>
      <c r="H99" s="7" t="s">
        <v>89</v>
      </c>
      <c r="I99" s="7" t="s">
        <v>89</v>
      </c>
      <c r="J99" s="5" t="s">
        <v>88</v>
      </c>
      <c r="K99" s="8" t="s">
        <v>808</v>
      </c>
      <c r="L99" s="8" t="s">
        <v>809</v>
      </c>
      <c r="M99" s="8" t="s">
        <v>810</v>
      </c>
      <c r="N99" s="8" t="s">
        <v>811</v>
      </c>
      <c r="O99" s="8" t="s">
        <v>812</v>
      </c>
      <c r="P99" s="8" t="s">
        <v>813</v>
      </c>
      <c r="Q99" s="8" t="s">
        <v>784</v>
      </c>
      <c r="R99" s="9" t="s">
        <v>39</v>
      </c>
      <c r="S99" s="9" t="s">
        <v>785</v>
      </c>
      <c r="T99" s="8" t="s">
        <v>814</v>
      </c>
      <c r="U99" s="9" t="s">
        <v>808</v>
      </c>
      <c r="V99" s="9" t="s">
        <v>815</v>
      </c>
      <c r="W99" s="9" t="s">
        <v>816</v>
      </c>
      <c r="X99" s="9" t="s">
        <v>817</v>
      </c>
      <c r="Y99" s="9" t="s">
        <v>818</v>
      </c>
      <c r="Z99" s="9" t="s">
        <v>819</v>
      </c>
      <c r="AA99" s="9" t="s">
        <v>820</v>
      </c>
      <c r="AB99" s="9" t="s">
        <v>793</v>
      </c>
      <c r="AC99" s="9" t="s">
        <v>821</v>
      </c>
      <c r="AD99" s="9" t="s">
        <v>822</v>
      </c>
      <c r="AE99" s="9" t="s">
        <v>823</v>
      </c>
    </row>
    <row r="100" spans="1:31" ht="72" customHeight="1" x14ac:dyDescent="0.3">
      <c r="A100" s="3">
        <v>95</v>
      </c>
      <c r="B100" s="22" t="s">
        <v>773</v>
      </c>
      <c r="C100" s="4" t="s">
        <v>774</v>
      </c>
      <c r="D100" s="4" t="s">
        <v>824</v>
      </c>
      <c r="E100" s="4" t="s">
        <v>805</v>
      </c>
      <c r="F100" s="4" t="s">
        <v>806</v>
      </c>
      <c r="G100" s="4" t="s">
        <v>807</v>
      </c>
      <c r="H100" s="3" t="s">
        <v>89</v>
      </c>
      <c r="I100" s="3" t="s">
        <v>89</v>
      </c>
      <c r="J100" s="5" t="s">
        <v>88</v>
      </c>
      <c r="K100" s="4" t="s">
        <v>808</v>
      </c>
      <c r="L100" s="4" t="s">
        <v>809</v>
      </c>
      <c r="M100" s="4" t="s">
        <v>810</v>
      </c>
      <c r="N100" s="4" t="s">
        <v>811</v>
      </c>
      <c r="O100" s="4" t="s">
        <v>825</v>
      </c>
      <c r="P100" s="4" t="s">
        <v>813</v>
      </c>
      <c r="Q100" s="4" t="s">
        <v>784</v>
      </c>
      <c r="R100" s="6" t="s">
        <v>39</v>
      </c>
      <c r="S100" s="6" t="s">
        <v>785</v>
      </c>
      <c r="T100" s="4" t="s">
        <v>826</v>
      </c>
      <c r="U100" s="6" t="s">
        <v>808</v>
      </c>
      <c r="V100" s="6" t="s">
        <v>815</v>
      </c>
      <c r="W100" s="6" t="s">
        <v>816</v>
      </c>
      <c r="X100" s="6" t="s">
        <v>817</v>
      </c>
      <c r="Y100" s="6" t="s">
        <v>818</v>
      </c>
      <c r="Z100" s="6" t="s">
        <v>819</v>
      </c>
      <c r="AA100" s="6" t="s">
        <v>820</v>
      </c>
      <c r="AB100" s="6" t="s">
        <v>793</v>
      </c>
      <c r="AC100" s="6" t="s">
        <v>821</v>
      </c>
      <c r="AD100" s="6" t="s">
        <v>822</v>
      </c>
      <c r="AE100" s="6" t="s">
        <v>823</v>
      </c>
    </row>
    <row r="101" spans="1:31" ht="72" customHeight="1" x14ac:dyDescent="0.3">
      <c r="A101" s="7">
        <v>96</v>
      </c>
      <c r="B101" s="22" t="s">
        <v>773</v>
      </c>
      <c r="C101" s="8" t="s">
        <v>774</v>
      </c>
      <c r="D101" s="8" t="s">
        <v>827</v>
      </c>
      <c r="E101" s="8" t="s">
        <v>805</v>
      </c>
      <c r="F101" s="8" t="s">
        <v>806</v>
      </c>
      <c r="G101" s="8" t="s">
        <v>807</v>
      </c>
      <c r="H101" s="7" t="s">
        <v>89</v>
      </c>
      <c r="I101" s="7" t="s">
        <v>89</v>
      </c>
      <c r="J101" s="5" t="s">
        <v>88</v>
      </c>
      <c r="K101" s="8" t="s">
        <v>828</v>
      </c>
      <c r="L101" s="8" t="s">
        <v>809</v>
      </c>
      <c r="M101" s="8" t="s">
        <v>810</v>
      </c>
      <c r="N101" s="8" t="s">
        <v>811</v>
      </c>
      <c r="O101" s="8" t="s">
        <v>829</v>
      </c>
      <c r="P101" s="8" t="s">
        <v>813</v>
      </c>
      <c r="Q101" s="8" t="s">
        <v>784</v>
      </c>
      <c r="R101" s="9" t="s">
        <v>39</v>
      </c>
      <c r="S101" s="9" t="s">
        <v>785</v>
      </c>
      <c r="T101" s="8" t="s">
        <v>830</v>
      </c>
      <c r="U101" s="9" t="s">
        <v>828</v>
      </c>
      <c r="V101" s="9" t="s">
        <v>815</v>
      </c>
      <c r="W101" s="9" t="s">
        <v>816</v>
      </c>
      <c r="X101" s="9" t="s">
        <v>817</v>
      </c>
      <c r="Y101" s="9" t="s">
        <v>818</v>
      </c>
      <c r="Z101" s="9" t="s">
        <v>819</v>
      </c>
      <c r="AA101" s="9" t="s">
        <v>820</v>
      </c>
      <c r="AB101" s="9" t="s">
        <v>793</v>
      </c>
      <c r="AC101" s="9" t="s">
        <v>821</v>
      </c>
      <c r="AD101" s="9" t="s">
        <v>822</v>
      </c>
      <c r="AE101" s="9" t="s">
        <v>823</v>
      </c>
    </row>
    <row r="102" spans="1:31" ht="72" customHeight="1" x14ac:dyDescent="0.3">
      <c r="A102" s="3">
        <v>97</v>
      </c>
      <c r="B102" s="22" t="s">
        <v>773</v>
      </c>
      <c r="C102" s="4" t="s">
        <v>774</v>
      </c>
      <c r="D102" s="4" t="s">
        <v>831</v>
      </c>
      <c r="E102" s="4" t="s">
        <v>805</v>
      </c>
      <c r="F102" s="4" t="s">
        <v>806</v>
      </c>
      <c r="G102" s="4" t="s">
        <v>807</v>
      </c>
      <c r="H102" s="3" t="s">
        <v>89</v>
      </c>
      <c r="I102" s="3" t="s">
        <v>89</v>
      </c>
      <c r="J102" s="5" t="s">
        <v>88</v>
      </c>
      <c r="K102" s="4" t="s">
        <v>832</v>
      </c>
      <c r="L102" s="4" t="s">
        <v>809</v>
      </c>
      <c r="M102" s="4" t="s">
        <v>810</v>
      </c>
      <c r="N102" s="4" t="s">
        <v>811</v>
      </c>
      <c r="O102" s="4" t="s">
        <v>829</v>
      </c>
      <c r="P102" s="4" t="s">
        <v>813</v>
      </c>
      <c r="Q102" s="4" t="s">
        <v>784</v>
      </c>
      <c r="R102" s="6" t="s">
        <v>39</v>
      </c>
      <c r="S102" s="6" t="s">
        <v>785</v>
      </c>
      <c r="T102" s="4" t="s">
        <v>833</v>
      </c>
      <c r="U102" s="6" t="s">
        <v>832</v>
      </c>
      <c r="V102" s="6" t="s">
        <v>815</v>
      </c>
      <c r="W102" s="6" t="s">
        <v>816</v>
      </c>
      <c r="X102" s="6" t="s">
        <v>817</v>
      </c>
      <c r="Y102" s="6" t="s">
        <v>818</v>
      </c>
      <c r="Z102" s="6" t="s">
        <v>819</v>
      </c>
      <c r="AA102" s="6" t="s">
        <v>820</v>
      </c>
      <c r="AB102" s="6" t="s">
        <v>793</v>
      </c>
      <c r="AC102" s="6" t="s">
        <v>821</v>
      </c>
      <c r="AD102" s="6" t="s">
        <v>822</v>
      </c>
      <c r="AE102" s="6" t="s">
        <v>823</v>
      </c>
    </row>
    <row r="103" spans="1:31" ht="72" customHeight="1" x14ac:dyDescent="0.3">
      <c r="A103" s="7">
        <v>98</v>
      </c>
      <c r="B103" s="22" t="s">
        <v>773</v>
      </c>
      <c r="C103" s="8" t="s">
        <v>774</v>
      </c>
      <c r="D103" s="8" t="s">
        <v>834</v>
      </c>
      <c r="E103" s="8" t="s">
        <v>805</v>
      </c>
      <c r="F103" s="8" t="s">
        <v>806</v>
      </c>
      <c r="G103" s="8" t="s">
        <v>807</v>
      </c>
      <c r="H103" s="7" t="s">
        <v>89</v>
      </c>
      <c r="I103" s="7" t="s">
        <v>89</v>
      </c>
      <c r="J103" s="5" t="s">
        <v>88</v>
      </c>
      <c r="K103" s="8" t="s">
        <v>835</v>
      </c>
      <c r="L103" s="8" t="s">
        <v>809</v>
      </c>
      <c r="M103" s="8" t="s">
        <v>810</v>
      </c>
      <c r="N103" s="8" t="s">
        <v>811</v>
      </c>
      <c r="O103" s="8" t="s">
        <v>825</v>
      </c>
      <c r="P103" s="8" t="s">
        <v>813</v>
      </c>
      <c r="Q103" s="8" t="s">
        <v>784</v>
      </c>
      <c r="R103" s="9" t="s">
        <v>39</v>
      </c>
      <c r="S103" s="9" t="s">
        <v>785</v>
      </c>
      <c r="T103" s="8" t="s">
        <v>836</v>
      </c>
      <c r="U103" s="9" t="s">
        <v>835</v>
      </c>
      <c r="V103" s="9" t="s">
        <v>815</v>
      </c>
      <c r="W103" s="9" t="s">
        <v>816</v>
      </c>
      <c r="X103" s="9" t="s">
        <v>817</v>
      </c>
      <c r="Y103" s="9" t="s">
        <v>818</v>
      </c>
      <c r="Z103" s="9" t="s">
        <v>819</v>
      </c>
      <c r="AA103" s="9" t="s">
        <v>820</v>
      </c>
      <c r="AB103" s="9" t="s">
        <v>793</v>
      </c>
      <c r="AC103" s="9" t="s">
        <v>821</v>
      </c>
      <c r="AD103" s="9" t="s">
        <v>822</v>
      </c>
      <c r="AE103" s="9" t="s">
        <v>823</v>
      </c>
    </row>
    <row r="104" spans="1:31" ht="72" customHeight="1" x14ac:dyDescent="0.3">
      <c r="A104" s="3">
        <v>99</v>
      </c>
      <c r="B104" s="22" t="s">
        <v>773</v>
      </c>
      <c r="C104" s="4" t="s">
        <v>774</v>
      </c>
      <c r="D104" s="4" t="s">
        <v>837</v>
      </c>
      <c r="E104" s="4" t="s">
        <v>805</v>
      </c>
      <c r="F104" s="4" t="s">
        <v>806</v>
      </c>
      <c r="G104" s="4" t="s">
        <v>807</v>
      </c>
      <c r="H104" s="3" t="s">
        <v>89</v>
      </c>
      <c r="I104" s="3" t="s">
        <v>89</v>
      </c>
      <c r="J104" s="5" t="s">
        <v>88</v>
      </c>
      <c r="K104" s="4" t="s">
        <v>838</v>
      </c>
      <c r="L104" s="4" t="s">
        <v>809</v>
      </c>
      <c r="M104" s="4" t="s">
        <v>810</v>
      </c>
      <c r="N104" s="4" t="s">
        <v>811</v>
      </c>
      <c r="O104" s="4" t="s">
        <v>825</v>
      </c>
      <c r="P104" s="4" t="s">
        <v>813</v>
      </c>
      <c r="Q104" s="4" t="s">
        <v>784</v>
      </c>
      <c r="R104" s="6" t="s">
        <v>39</v>
      </c>
      <c r="S104" s="6" t="s">
        <v>785</v>
      </c>
      <c r="T104" s="4" t="s">
        <v>839</v>
      </c>
      <c r="U104" s="6" t="s">
        <v>838</v>
      </c>
      <c r="V104" s="6" t="s">
        <v>815</v>
      </c>
      <c r="W104" s="6" t="s">
        <v>816</v>
      </c>
      <c r="X104" s="6" t="s">
        <v>817</v>
      </c>
      <c r="Y104" s="6" t="s">
        <v>818</v>
      </c>
      <c r="Z104" s="6" t="s">
        <v>819</v>
      </c>
      <c r="AA104" s="6" t="s">
        <v>820</v>
      </c>
      <c r="AB104" s="6" t="s">
        <v>793</v>
      </c>
      <c r="AC104" s="6" t="s">
        <v>821</v>
      </c>
      <c r="AD104" s="6" t="s">
        <v>822</v>
      </c>
      <c r="AE104" s="6" t="s">
        <v>823</v>
      </c>
    </row>
    <row r="105" spans="1:31" ht="72" customHeight="1" x14ac:dyDescent="0.3">
      <c r="A105" s="7">
        <v>100</v>
      </c>
      <c r="B105" s="22" t="s">
        <v>773</v>
      </c>
      <c r="C105" s="8" t="s">
        <v>774</v>
      </c>
      <c r="D105" s="8" t="s">
        <v>840</v>
      </c>
      <c r="E105" s="8" t="s">
        <v>805</v>
      </c>
      <c r="F105" s="8" t="s">
        <v>806</v>
      </c>
      <c r="G105" s="8" t="s">
        <v>807</v>
      </c>
      <c r="H105" s="7" t="s">
        <v>89</v>
      </c>
      <c r="I105" s="7" t="s">
        <v>89</v>
      </c>
      <c r="J105" s="5" t="s">
        <v>88</v>
      </c>
      <c r="K105" s="8" t="s">
        <v>835</v>
      </c>
      <c r="L105" s="8" t="s">
        <v>809</v>
      </c>
      <c r="M105" s="8" t="s">
        <v>810</v>
      </c>
      <c r="N105" s="8" t="s">
        <v>811</v>
      </c>
      <c r="O105" s="8" t="s">
        <v>841</v>
      </c>
      <c r="P105" s="8" t="s">
        <v>813</v>
      </c>
      <c r="Q105" s="8" t="s">
        <v>784</v>
      </c>
      <c r="R105" s="9" t="s">
        <v>39</v>
      </c>
      <c r="S105" s="9" t="s">
        <v>785</v>
      </c>
      <c r="T105" s="8" t="s">
        <v>842</v>
      </c>
      <c r="U105" s="9" t="s">
        <v>835</v>
      </c>
      <c r="V105" s="9" t="s">
        <v>815</v>
      </c>
      <c r="W105" s="9" t="s">
        <v>816</v>
      </c>
      <c r="X105" s="9" t="s">
        <v>817</v>
      </c>
      <c r="Y105" s="9" t="s">
        <v>818</v>
      </c>
      <c r="Z105" s="9" t="s">
        <v>819</v>
      </c>
      <c r="AA105" s="9" t="s">
        <v>820</v>
      </c>
      <c r="AB105" s="9" t="s">
        <v>793</v>
      </c>
      <c r="AC105" s="9" t="s">
        <v>821</v>
      </c>
      <c r="AD105" s="9" t="s">
        <v>822</v>
      </c>
      <c r="AE105" s="9" t="s">
        <v>823</v>
      </c>
    </row>
    <row r="106" spans="1:31" ht="72" customHeight="1" x14ac:dyDescent="0.3">
      <c r="A106" s="3">
        <v>101</v>
      </c>
      <c r="B106" s="22" t="s">
        <v>773</v>
      </c>
      <c r="C106" s="4" t="s">
        <v>774</v>
      </c>
      <c r="D106" s="4" t="s">
        <v>843</v>
      </c>
      <c r="E106" s="4" t="s">
        <v>805</v>
      </c>
      <c r="F106" s="4" t="s">
        <v>806</v>
      </c>
      <c r="G106" s="4" t="s">
        <v>807</v>
      </c>
      <c r="H106" s="3" t="s">
        <v>89</v>
      </c>
      <c r="I106" s="3" t="s">
        <v>89</v>
      </c>
      <c r="J106" s="5" t="s">
        <v>88</v>
      </c>
      <c r="K106" s="4" t="s">
        <v>844</v>
      </c>
      <c r="L106" s="4" t="s">
        <v>809</v>
      </c>
      <c r="M106" s="4" t="s">
        <v>810</v>
      </c>
      <c r="N106" s="4" t="s">
        <v>811</v>
      </c>
      <c r="O106" s="4" t="s">
        <v>841</v>
      </c>
      <c r="P106" s="4" t="s">
        <v>813</v>
      </c>
      <c r="Q106" s="4" t="s">
        <v>784</v>
      </c>
      <c r="R106" s="6" t="s">
        <v>39</v>
      </c>
      <c r="S106" s="6" t="s">
        <v>785</v>
      </c>
      <c r="T106" s="4" t="s">
        <v>845</v>
      </c>
      <c r="U106" s="6" t="s">
        <v>844</v>
      </c>
      <c r="V106" s="6" t="s">
        <v>815</v>
      </c>
      <c r="W106" s="6" t="s">
        <v>816</v>
      </c>
      <c r="X106" s="6" t="s">
        <v>817</v>
      </c>
      <c r="Y106" s="6" t="s">
        <v>818</v>
      </c>
      <c r="Z106" s="6" t="s">
        <v>819</v>
      </c>
      <c r="AA106" s="6" t="s">
        <v>820</v>
      </c>
      <c r="AB106" s="6" t="s">
        <v>793</v>
      </c>
      <c r="AC106" s="6" t="s">
        <v>821</v>
      </c>
      <c r="AD106" s="6" t="s">
        <v>822</v>
      </c>
      <c r="AE106" s="6" t="s">
        <v>823</v>
      </c>
    </row>
    <row r="107" spans="1:31" ht="72" customHeight="1" x14ac:dyDescent="0.3">
      <c r="A107" s="7">
        <v>102</v>
      </c>
      <c r="B107" s="22" t="s">
        <v>773</v>
      </c>
      <c r="C107" s="8" t="s">
        <v>774</v>
      </c>
      <c r="D107" s="8" t="s">
        <v>846</v>
      </c>
      <c r="E107" s="8" t="s">
        <v>805</v>
      </c>
      <c r="F107" s="8" t="s">
        <v>806</v>
      </c>
      <c r="G107" s="8" t="s">
        <v>807</v>
      </c>
      <c r="H107" s="7" t="s">
        <v>89</v>
      </c>
      <c r="I107" s="7" t="s">
        <v>89</v>
      </c>
      <c r="J107" s="5" t="s">
        <v>88</v>
      </c>
      <c r="K107" s="8" t="s">
        <v>808</v>
      </c>
      <c r="L107" s="8" t="s">
        <v>809</v>
      </c>
      <c r="M107" s="8" t="s">
        <v>810</v>
      </c>
      <c r="N107" s="8" t="s">
        <v>811</v>
      </c>
      <c r="O107" s="8" t="s">
        <v>841</v>
      </c>
      <c r="P107" s="8" t="s">
        <v>813</v>
      </c>
      <c r="Q107" s="8" t="s">
        <v>784</v>
      </c>
      <c r="R107" s="9" t="s">
        <v>39</v>
      </c>
      <c r="S107" s="9" t="s">
        <v>785</v>
      </c>
      <c r="T107" s="8" t="s">
        <v>847</v>
      </c>
      <c r="U107" s="9" t="s">
        <v>808</v>
      </c>
      <c r="V107" s="9" t="s">
        <v>815</v>
      </c>
      <c r="W107" s="9" t="s">
        <v>816</v>
      </c>
      <c r="X107" s="9" t="s">
        <v>817</v>
      </c>
      <c r="Y107" s="9" t="s">
        <v>818</v>
      </c>
      <c r="Z107" s="9" t="s">
        <v>819</v>
      </c>
      <c r="AA107" s="9" t="s">
        <v>820</v>
      </c>
      <c r="AB107" s="9" t="s">
        <v>793</v>
      </c>
      <c r="AC107" s="9" t="s">
        <v>821</v>
      </c>
      <c r="AD107" s="9" t="s">
        <v>822</v>
      </c>
      <c r="AE107" s="9" t="s">
        <v>823</v>
      </c>
    </row>
    <row r="108" spans="1:31" ht="72" customHeight="1" x14ac:dyDescent="0.3">
      <c r="A108" s="10">
        <v>103</v>
      </c>
      <c r="B108" s="21" t="s">
        <v>773</v>
      </c>
      <c r="C108" s="11" t="s">
        <v>848</v>
      </c>
      <c r="D108" s="11" t="s">
        <v>849</v>
      </c>
      <c r="E108" s="11"/>
      <c r="F108" s="11" t="s">
        <v>850</v>
      </c>
      <c r="G108" s="11" t="s">
        <v>851</v>
      </c>
      <c r="H108" s="10" t="s">
        <v>89</v>
      </c>
      <c r="I108" s="10" t="s">
        <v>89</v>
      </c>
      <c r="J108" s="12" t="s">
        <v>88</v>
      </c>
      <c r="K108" s="11" t="s">
        <v>852</v>
      </c>
      <c r="L108" s="11" t="s">
        <v>284</v>
      </c>
      <c r="M108" s="11" t="s">
        <v>284</v>
      </c>
      <c r="N108" s="11" t="s">
        <v>358</v>
      </c>
      <c r="O108" s="11" t="s">
        <v>853</v>
      </c>
      <c r="P108" s="11" t="s">
        <v>854</v>
      </c>
      <c r="Q108" s="11" t="s">
        <v>95</v>
      </c>
      <c r="R108" s="13" t="s">
        <v>39</v>
      </c>
      <c r="S108" s="13" t="s">
        <v>855</v>
      </c>
      <c r="T108" s="11" t="s">
        <v>856</v>
      </c>
      <c r="U108" s="13" t="s">
        <v>857</v>
      </c>
      <c r="V108" s="13" t="s">
        <v>858</v>
      </c>
      <c r="W108" s="13" t="s">
        <v>859</v>
      </c>
      <c r="X108" s="13" t="s">
        <v>860</v>
      </c>
      <c r="Y108" s="13" t="s">
        <v>861</v>
      </c>
      <c r="Z108" s="13" t="s">
        <v>301</v>
      </c>
      <c r="AA108" s="13" t="s">
        <v>862</v>
      </c>
      <c r="AB108" s="13" t="s">
        <v>863</v>
      </c>
      <c r="AC108" s="13" t="s">
        <v>864</v>
      </c>
      <c r="AD108" s="40" t="s">
        <v>865</v>
      </c>
      <c r="AE108" s="40" t="s">
        <v>865</v>
      </c>
    </row>
    <row r="109" spans="1:31" ht="72" customHeight="1" x14ac:dyDescent="0.3">
      <c r="A109" s="7">
        <v>104</v>
      </c>
      <c r="B109" s="22" t="s">
        <v>773</v>
      </c>
      <c r="C109" s="8" t="s">
        <v>848</v>
      </c>
      <c r="D109" s="8" t="s">
        <v>866</v>
      </c>
      <c r="E109" s="8"/>
      <c r="F109" s="8" t="s">
        <v>867</v>
      </c>
      <c r="G109" s="8" t="s">
        <v>868</v>
      </c>
      <c r="H109" s="7" t="s">
        <v>89</v>
      </c>
      <c r="I109" s="7" t="s">
        <v>89</v>
      </c>
      <c r="J109" s="5" t="s">
        <v>88</v>
      </c>
      <c r="K109" s="8" t="s">
        <v>869</v>
      </c>
      <c r="L109" s="8" t="s">
        <v>284</v>
      </c>
      <c r="M109" s="8" t="s">
        <v>284</v>
      </c>
      <c r="N109" s="8" t="s">
        <v>870</v>
      </c>
      <c r="O109" s="8" t="s">
        <v>853</v>
      </c>
      <c r="P109" s="8" t="s">
        <v>854</v>
      </c>
      <c r="Q109" s="8" t="s">
        <v>95</v>
      </c>
      <c r="R109" s="9" t="s">
        <v>39</v>
      </c>
      <c r="S109" s="9" t="s">
        <v>855</v>
      </c>
      <c r="T109" s="8" t="s">
        <v>871</v>
      </c>
      <c r="U109" s="9" t="s">
        <v>872</v>
      </c>
      <c r="V109" s="9" t="s">
        <v>873</v>
      </c>
      <c r="W109" s="9" t="s">
        <v>859</v>
      </c>
      <c r="X109" s="9" t="s">
        <v>860</v>
      </c>
      <c r="Y109" s="9" t="s">
        <v>861</v>
      </c>
      <c r="Z109" s="9" t="s">
        <v>301</v>
      </c>
      <c r="AA109" s="9" t="s">
        <v>862</v>
      </c>
      <c r="AB109" s="9" t="s">
        <v>863</v>
      </c>
      <c r="AC109" s="9" t="s">
        <v>874</v>
      </c>
      <c r="AD109" s="36" t="s">
        <v>865</v>
      </c>
      <c r="AE109" s="36" t="s">
        <v>865</v>
      </c>
    </row>
    <row r="110" spans="1:31" ht="72" customHeight="1" x14ac:dyDescent="0.3">
      <c r="A110" s="10">
        <v>105</v>
      </c>
      <c r="B110" s="21" t="s">
        <v>773</v>
      </c>
      <c r="C110" s="11" t="s">
        <v>875</v>
      </c>
      <c r="D110" s="11" t="s">
        <v>876</v>
      </c>
      <c r="E110" s="11"/>
      <c r="F110" s="11" t="s">
        <v>877</v>
      </c>
      <c r="G110" s="11" t="s">
        <v>878</v>
      </c>
      <c r="H110" s="10" t="s">
        <v>89</v>
      </c>
      <c r="I110" s="10" t="s">
        <v>89</v>
      </c>
      <c r="J110" s="12" t="s">
        <v>88</v>
      </c>
      <c r="K110" s="11" t="s">
        <v>879</v>
      </c>
      <c r="L110" s="11" t="s">
        <v>284</v>
      </c>
      <c r="M110" s="11" t="s">
        <v>284</v>
      </c>
      <c r="N110" s="11" t="s">
        <v>880</v>
      </c>
      <c r="O110" s="11" t="s">
        <v>881</v>
      </c>
      <c r="P110" s="11" t="s">
        <v>284</v>
      </c>
      <c r="Q110" s="11" t="s">
        <v>95</v>
      </c>
      <c r="R110" s="13" t="s">
        <v>39</v>
      </c>
      <c r="S110" s="13" t="s">
        <v>882</v>
      </c>
      <c r="T110" s="11" t="s">
        <v>883</v>
      </c>
      <c r="U110" s="13" t="s">
        <v>884</v>
      </c>
      <c r="V110" s="13" t="s">
        <v>885</v>
      </c>
      <c r="W110" s="13" t="s">
        <v>859</v>
      </c>
      <c r="X110" s="13" t="s">
        <v>860</v>
      </c>
      <c r="Y110" s="13" t="s">
        <v>861</v>
      </c>
      <c r="Z110" s="13" t="s">
        <v>301</v>
      </c>
      <c r="AA110" s="13" t="s">
        <v>862</v>
      </c>
      <c r="AB110" s="13" t="s">
        <v>863</v>
      </c>
      <c r="AC110" s="13" t="s">
        <v>886</v>
      </c>
      <c r="AD110" s="40" t="s">
        <v>865</v>
      </c>
      <c r="AE110" s="40" t="s">
        <v>865</v>
      </c>
    </row>
    <row r="111" spans="1:31" ht="72" customHeight="1" x14ac:dyDescent="0.3">
      <c r="A111" s="7">
        <v>106</v>
      </c>
      <c r="B111" s="22" t="s">
        <v>773</v>
      </c>
      <c r="C111" s="8" t="s">
        <v>875</v>
      </c>
      <c r="D111" s="8" t="s">
        <v>887</v>
      </c>
      <c r="E111" s="8"/>
      <c r="F111" s="8" t="s">
        <v>888</v>
      </c>
      <c r="G111" s="8" t="s">
        <v>889</v>
      </c>
      <c r="H111" s="7" t="s">
        <v>89</v>
      </c>
      <c r="I111" s="7" t="s">
        <v>89</v>
      </c>
      <c r="J111" s="5" t="s">
        <v>88</v>
      </c>
      <c r="K111" s="8" t="s">
        <v>890</v>
      </c>
      <c r="L111" s="8" t="s">
        <v>284</v>
      </c>
      <c r="M111" s="8" t="s">
        <v>284</v>
      </c>
      <c r="N111" s="8" t="s">
        <v>358</v>
      </c>
      <c r="O111" s="8" t="s">
        <v>853</v>
      </c>
      <c r="P111" s="8" t="s">
        <v>284</v>
      </c>
      <c r="Q111" s="8" t="s">
        <v>95</v>
      </c>
      <c r="R111" s="9" t="s">
        <v>39</v>
      </c>
      <c r="S111" s="9" t="s">
        <v>882</v>
      </c>
      <c r="T111" s="8" t="s">
        <v>891</v>
      </c>
      <c r="U111" s="9" t="s">
        <v>892</v>
      </c>
      <c r="V111" s="9" t="s">
        <v>893</v>
      </c>
      <c r="W111" s="9" t="s">
        <v>859</v>
      </c>
      <c r="X111" s="9" t="s">
        <v>860</v>
      </c>
      <c r="Y111" s="9" t="s">
        <v>861</v>
      </c>
      <c r="Z111" s="9" t="s">
        <v>301</v>
      </c>
      <c r="AA111" s="9" t="s">
        <v>862</v>
      </c>
      <c r="AB111" s="9" t="s">
        <v>863</v>
      </c>
      <c r="AC111" s="9" t="s">
        <v>894</v>
      </c>
      <c r="AD111" s="36" t="s">
        <v>895</v>
      </c>
      <c r="AE111" s="9" t="s">
        <v>896</v>
      </c>
    </row>
    <row r="112" spans="1:31" ht="72" customHeight="1" x14ac:dyDescent="0.3">
      <c r="A112" s="10">
        <v>107</v>
      </c>
      <c r="B112" s="21" t="s">
        <v>773</v>
      </c>
      <c r="C112" s="11" t="s">
        <v>897</v>
      </c>
      <c r="D112" s="11" t="s">
        <v>898</v>
      </c>
      <c r="E112" s="11"/>
      <c r="F112" s="11" t="s">
        <v>888</v>
      </c>
      <c r="G112" s="11" t="s">
        <v>899</v>
      </c>
      <c r="H112" s="10" t="s">
        <v>89</v>
      </c>
      <c r="I112" s="10" t="s">
        <v>89</v>
      </c>
      <c r="J112" s="12" t="s">
        <v>88</v>
      </c>
      <c r="K112" s="11" t="s">
        <v>900</v>
      </c>
      <c r="L112" s="11" t="s">
        <v>901</v>
      </c>
      <c r="M112" s="11" t="s">
        <v>284</v>
      </c>
      <c r="N112" s="11" t="s">
        <v>358</v>
      </c>
      <c r="O112" s="11" t="s">
        <v>825</v>
      </c>
      <c r="P112" s="11" t="s">
        <v>381</v>
      </c>
      <c r="Q112" s="11" t="s">
        <v>95</v>
      </c>
      <c r="R112" s="13" t="s">
        <v>39</v>
      </c>
      <c r="S112" s="13" t="s">
        <v>902</v>
      </c>
      <c r="T112" s="11"/>
      <c r="U112" s="13" t="s">
        <v>903</v>
      </c>
      <c r="V112" s="13" t="s">
        <v>904</v>
      </c>
      <c r="W112" s="13" t="s">
        <v>905</v>
      </c>
      <c r="X112" s="13" t="s">
        <v>906</v>
      </c>
      <c r="Y112" s="13" t="s">
        <v>599</v>
      </c>
      <c r="Z112" s="13" t="s">
        <v>301</v>
      </c>
      <c r="AA112" s="13" t="s">
        <v>148</v>
      </c>
      <c r="AB112" s="13" t="s">
        <v>767</v>
      </c>
      <c r="AC112" s="13" t="s">
        <v>907</v>
      </c>
      <c r="AD112" s="13" t="s">
        <v>908</v>
      </c>
      <c r="AE112" s="13" t="s">
        <v>362</v>
      </c>
    </row>
    <row r="113" spans="1:31" ht="72" customHeight="1" x14ac:dyDescent="0.3">
      <c r="A113" s="7">
        <v>108</v>
      </c>
      <c r="B113" s="22" t="s">
        <v>773</v>
      </c>
      <c r="C113" s="8" t="s">
        <v>897</v>
      </c>
      <c r="D113" s="8" t="s">
        <v>909</v>
      </c>
      <c r="E113" s="8"/>
      <c r="F113" s="8" t="s">
        <v>888</v>
      </c>
      <c r="G113" s="8" t="s">
        <v>910</v>
      </c>
      <c r="H113" s="7" t="s">
        <v>89</v>
      </c>
      <c r="I113" s="7" t="s">
        <v>89</v>
      </c>
      <c r="J113" s="5" t="s">
        <v>88</v>
      </c>
      <c r="K113" s="8" t="s">
        <v>911</v>
      </c>
      <c r="L113" s="8" t="s">
        <v>901</v>
      </c>
      <c r="M113" s="8" t="s">
        <v>284</v>
      </c>
      <c r="N113" s="8" t="s">
        <v>358</v>
      </c>
      <c r="O113" s="8" t="s">
        <v>841</v>
      </c>
      <c r="P113" s="8" t="s">
        <v>381</v>
      </c>
      <c r="Q113" s="8" t="s">
        <v>95</v>
      </c>
      <c r="R113" s="9" t="s">
        <v>39</v>
      </c>
      <c r="S113" s="9" t="s">
        <v>902</v>
      </c>
      <c r="T113" s="8"/>
      <c r="U113" s="9" t="s">
        <v>912</v>
      </c>
      <c r="V113" s="9" t="s">
        <v>904</v>
      </c>
      <c r="W113" s="9" t="s">
        <v>905</v>
      </c>
      <c r="X113" s="9" t="s">
        <v>906</v>
      </c>
      <c r="Y113" s="9" t="s">
        <v>599</v>
      </c>
      <c r="Z113" s="9" t="s">
        <v>301</v>
      </c>
      <c r="AA113" s="9" t="s">
        <v>148</v>
      </c>
      <c r="AB113" s="9" t="s">
        <v>767</v>
      </c>
      <c r="AC113" s="9" t="s">
        <v>907</v>
      </c>
      <c r="AD113" s="9" t="s">
        <v>908</v>
      </c>
      <c r="AE113" s="9" t="s">
        <v>362</v>
      </c>
    </row>
    <row r="114" spans="1:31" ht="72" customHeight="1" x14ac:dyDescent="0.3">
      <c r="A114" s="3">
        <v>109</v>
      </c>
      <c r="B114" s="22" t="s">
        <v>773</v>
      </c>
      <c r="C114" s="4" t="s">
        <v>897</v>
      </c>
      <c r="D114" s="4" t="s">
        <v>913</v>
      </c>
      <c r="E114" s="4"/>
      <c r="F114" s="4" t="s">
        <v>914</v>
      </c>
      <c r="G114" s="4" t="s">
        <v>915</v>
      </c>
      <c r="H114" s="3" t="s">
        <v>89</v>
      </c>
      <c r="I114" s="3" t="s">
        <v>89</v>
      </c>
      <c r="J114" s="5" t="s">
        <v>88</v>
      </c>
      <c r="K114" s="4" t="s">
        <v>916</v>
      </c>
      <c r="L114" s="4" t="s">
        <v>917</v>
      </c>
      <c r="M114" s="4" t="s">
        <v>284</v>
      </c>
      <c r="N114" s="4" t="s">
        <v>358</v>
      </c>
      <c r="O114" s="4" t="s">
        <v>841</v>
      </c>
      <c r="P114" s="4" t="s">
        <v>381</v>
      </c>
      <c r="Q114" s="4" t="s">
        <v>95</v>
      </c>
      <c r="R114" s="6" t="s">
        <v>39</v>
      </c>
      <c r="S114" s="6" t="s">
        <v>902</v>
      </c>
      <c r="T114" s="4"/>
      <c r="U114" s="6" t="s">
        <v>918</v>
      </c>
      <c r="V114" s="6" t="s">
        <v>919</v>
      </c>
      <c r="W114" s="6" t="s">
        <v>905</v>
      </c>
      <c r="X114" s="6" t="s">
        <v>906</v>
      </c>
      <c r="Y114" s="6" t="s">
        <v>599</v>
      </c>
      <c r="Z114" s="6" t="s">
        <v>301</v>
      </c>
      <c r="AA114" s="6" t="s">
        <v>148</v>
      </c>
      <c r="AB114" s="6" t="s">
        <v>767</v>
      </c>
      <c r="AC114" s="6" t="s">
        <v>907</v>
      </c>
      <c r="AD114" s="6" t="s">
        <v>398</v>
      </c>
      <c r="AE114" s="6" t="s">
        <v>106</v>
      </c>
    </row>
    <row r="115" spans="1:31" ht="72" customHeight="1" x14ac:dyDescent="0.3">
      <c r="A115" s="14">
        <v>110</v>
      </c>
      <c r="B115" s="21" t="s">
        <v>773</v>
      </c>
      <c r="C115" s="15" t="s">
        <v>920</v>
      </c>
      <c r="D115" s="15" t="s">
        <v>921</v>
      </c>
      <c r="E115" s="15" t="s">
        <v>922</v>
      </c>
      <c r="F115" s="15" t="s">
        <v>888</v>
      </c>
      <c r="G115" s="15" t="s">
        <v>923</v>
      </c>
      <c r="H115" s="14" t="s">
        <v>89</v>
      </c>
      <c r="I115" s="14" t="s">
        <v>89</v>
      </c>
      <c r="J115" s="12" t="s">
        <v>88</v>
      </c>
      <c r="K115" s="15" t="s">
        <v>924</v>
      </c>
      <c r="L115" s="15" t="s">
        <v>925</v>
      </c>
      <c r="M115" s="15" t="s">
        <v>284</v>
      </c>
      <c r="N115" s="15" t="s">
        <v>194</v>
      </c>
      <c r="O115" s="15" t="s">
        <v>926</v>
      </c>
      <c r="P115" s="15" t="s">
        <v>284</v>
      </c>
      <c r="Q115" s="15" t="s">
        <v>95</v>
      </c>
      <c r="R115" s="16" t="s">
        <v>39</v>
      </c>
      <c r="S115" s="16" t="s">
        <v>927</v>
      </c>
      <c r="T115" s="15" t="s">
        <v>928</v>
      </c>
      <c r="U115" s="16" t="s">
        <v>929</v>
      </c>
      <c r="V115" s="16" t="s">
        <v>930</v>
      </c>
      <c r="W115" s="16" t="s">
        <v>931</v>
      </c>
      <c r="X115" s="16" t="s">
        <v>906</v>
      </c>
      <c r="Y115" s="16" t="s">
        <v>599</v>
      </c>
      <c r="Z115" s="16" t="s">
        <v>932</v>
      </c>
      <c r="AA115" s="16" t="s">
        <v>301</v>
      </c>
      <c r="AB115" s="16" t="s">
        <v>589</v>
      </c>
      <c r="AC115" s="16" t="s">
        <v>933</v>
      </c>
      <c r="AD115" s="16" t="s">
        <v>361</v>
      </c>
      <c r="AE115" s="16" t="s">
        <v>106</v>
      </c>
    </row>
    <row r="116" spans="1:31" ht="72" customHeight="1" x14ac:dyDescent="0.3">
      <c r="A116" s="3">
        <v>111</v>
      </c>
      <c r="B116" s="22" t="s">
        <v>773</v>
      </c>
      <c r="C116" s="4" t="s">
        <v>920</v>
      </c>
      <c r="D116" s="4" t="s">
        <v>934</v>
      </c>
      <c r="E116" s="4" t="s">
        <v>922</v>
      </c>
      <c r="F116" s="4" t="s">
        <v>888</v>
      </c>
      <c r="G116" s="4" t="s">
        <v>923</v>
      </c>
      <c r="H116" s="3" t="s">
        <v>89</v>
      </c>
      <c r="I116" s="3" t="s">
        <v>89</v>
      </c>
      <c r="J116" s="5" t="s">
        <v>88</v>
      </c>
      <c r="K116" s="4" t="s">
        <v>935</v>
      </c>
      <c r="L116" s="4" t="s">
        <v>936</v>
      </c>
      <c r="M116" s="4" t="s">
        <v>284</v>
      </c>
      <c r="N116" s="4" t="s">
        <v>358</v>
      </c>
      <c r="O116" s="4" t="s">
        <v>926</v>
      </c>
      <c r="P116" s="4" t="s">
        <v>284</v>
      </c>
      <c r="Q116" s="4" t="s">
        <v>95</v>
      </c>
      <c r="R116" s="6" t="s">
        <v>39</v>
      </c>
      <c r="S116" s="6" t="s">
        <v>927</v>
      </c>
      <c r="T116" s="4" t="s">
        <v>937</v>
      </c>
      <c r="U116" s="6" t="s">
        <v>938</v>
      </c>
      <c r="V116" s="6" t="s">
        <v>939</v>
      </c>
      <c r="W116" s="6" t="s">
        <v>940</v>
      </c>
      <c r="X116" s="6" t="s">
        <v>906</v>
      </c>
      <c r="Y116" s="6" t="s">
        <v>599</v>
      </c>
      <c r="Z116" s="6" t="s">
        <v>397</v>
      </c>
      <c r="AA116" s="6" t="s">
        <v>301</v>
      </c>
      <c r="AB116" s="6" t="s">
        <v>941</v>
      </c>
      <c r="AC116" s="6" t="s">
        <v>907</v>
      </c>
      <c r="AD116" s="6" t="s">
        <v>361</v>
      </c>
      <c r="AE116" s="6" t="s">
        <v>106</v>
      </c>
    </row>
    <row r="117" spans="1:31" ht="72" customHeight="1" x14ac:dyDescent="0.3">
      <c r="A117" s="7">
        <v>112</v>
      </c>
      <c r="B117" s="22" t="s">
        <v>773</v>
      </c>
      <c r="C117" s="8" t="s">
        <v>920</v>
      </c>
      <c r="D117" s="8" t="s">
        <v>942</v>
      </c>
      <c r="E117" s="8" t="s">
        <v>922</v>
      </c>
      <c r="F117" s="8" t="s">
        <v>888</v>
      </c>
      <c r="G117" s="8" t="s">
        <v>923</v>
      </c>
      <c r="H117" s="7" t="s">
        <v>89</v>
      </c>
      <c r="I117" s="7" t="s">
        <v>89</v>
      </c>
      <c r="J117" s="5" t="s">
        <v>88</v>
      </c>
      <c r="K117" s="8" t="s">
        <v>943</v>
      </c>
      <c r="L117" s="8" t="s">
        <v>944</v>
      </c>
      <c r="M117" s="8" t="s">
        <v>284</v>
      </c>
      <c r="N117" s="8" t="s">
        <v>358</v>
      </c>
      <c r="O117" s="8" t="s">
        <v>926</v>
      </c>
      <c r="P117" s="8" t="s">
        <v>284</v>
      </c>
      <c r="Q117" s="8" t="s">
        <v>95</v>
      </c>
      <c r="R117" s="9" t="s">
        <v>39</v>
      </c>
      <c r="S117" s="9" t="s">
        <v>927</v>
      </c>
      <c r="T117" s="8" t="s">
        <v>945</v>
      </c>
      <c r="U117" s="9" t="s">
        <v>946</v>
      </c>
      <c r="V117" s="9" t="s">
        <v>947</v>
      </c>
      <c r="W117" s="9" t="s">
        <v>948</v>
      </c>
      <c r="X117" s="9" t="s">
        <v>906</v>
      </c>
      <c r="Y117" s="9" t="s">
        <v>599</v>
      </c>
      <c r="Z117" s="9" t="s">
        <v>397</v>
      </c>
      <c r="AA117" s="9" t="s">
        <v>301</v>
      </c>
      <c r="AB117" s="9" t="s">
        <v>941</v>
      </c>
      <c r="AC117" s="9" t="s">
        <v>907</v>
      </c>
      <c r="AD117" s="9" t="s">
        <v>361</v>
      </c>
      <c r="AE117" s="9" t="s">
        <v>106</v>
      </c>
    </row>
    <row r="118" spans="1:31" ht="72" customHeight="1" x14ac:dyDescent="0.3">
      <c r="A118" s="3">
        <v>113</v>
      </c>
      <c r="B118" s="22" t="s">
        <v>773</v>
      </c>
      <c r="C118" s="4" t="s">
        <v>920</v>
      </c>
      <c r="D118" s="4" t="s">
        <v>949</v>
      </c>
      <c r="E118" s="4" t="s">
        <v>922</v>
      </c>
      <c r="F118" s="4" t="s">
        <v>888</v>
      </c>
      <c r="G118" s="4" t="s">
        <v>923</v>
      </c>
      <c r="H118" s="3" t="s">
        <v>89</v>
      </c>
      <c r="I118" s="3" t="s">
        <v>89</v>
      </c>
      <c r="J118" s="5" t="s">
        <v>88</v>
      </c>
      <c r="K118" s="4" t="s">
        <v>950</v>
      </c>
      <c r="L118" s="4" t="s">
        <v>951</v>
      </c>
      <c r="M118" s="4" t="s">
        <v>284</v>
      </c>
      <c r="N118" s="4" t="s">
        <v>358</v>
      </c>
      <c r="O118" s="4" t="s">
        <v>926</v>
      </c>
      <c r="P118" s="4" t="s">
        <v>284</v>
      </c>
      <c r="Q118" s="4" t="s">
        <v>95</v>
      </c>
      <c r="R118" s="6" t="s">
        <v>39</v>
      </c>
      <c r="S118" s="6" t="s">
        <v>927</v>
      </c>
      <c r="T118" s="4" t="s">
        <v>952</v>
      </c>
      <c r="U118" s="6" t="s">
        <v>953</v>
      </c>
      <c r="V118" s="6" t="s">
        <v>954</v>
      </c>
      <c r="W118" s="6" t="s">
        <v>955</v>
      </c>
      <c r="X118" s="6" t="s">
        <v>906</v>
      </c>
      <c r="Y118" s="6" t="s">
        <v>599</v>
      </c>
      <c r="Z118" s="6" t="s">
        <v>397</v>
      </c>
      <c r="AA118" s="6" t="s">
        <v>301</v>
      </c>
      <c r="AB118" s="6" t="s">
        <v>941</v>
      </c>
      <c r="AC118" s="6" t="s">
        <v>907</v>
      </c>
      <c r="AD118" s="6" t="s">
        <v>361</v>
      </c>
      <c r="AE118" s="6" t="s">
        <v>362</v>
      </c>
    </row>
    <row r="119" spans="1:31" ht="72" customHeight="1" x14ac:dyDescent="0.3">
      <c r="A119" s="7">
        <v>114</v>
      </c>
      <c r="B119" s="22" t="s">
        <v>773</v>
      </c>
      <c r="C119" s="8" t="s">
        <v>920</v>
      </c>
      <c r="D119" s="8" t="s">
        <v>956</v>
      </c>
      <c r="E119" s="8" t="s">
        <v>922</v>
      </c>
      <c r="F119" s="8" t="s">
        <v>888</v>
      </c>
      <c r="G119" s="8" t="s">
        <v>923</v>
      </c>
      <c r="H119" s="7" t="s">
        <v>89</v>
      </c>
      <c r="I119" s="7" t="s">
        <v>89</v>
      </c>
      <c r="J119" s="5" t="s">
        <v>88</v>
      </c>
      <c r="K119" s="8" t="s">
        <v>957</v>
      </c>
      <c r="L119" s="8" t="s">
        <v>958</v>
      </c>
      <c r="M119" s="8" t="s">
        <v>284</v>
      </c>
      <c r="N119" s="8" t="s">
        <v>358</v>
      </c>
      <c r="O119" s="8" t="s">
        <v>926</v>
      </c>
      <c r="P119" s="8" t="s">
        <v>284</v>
      </c>
      <c r="Q119" s="8" t="s">
        <v>95</v>
      </c>
      <c r="R119" s="9" t="s">
        <v>39</v>
      </c>
      <c r="S119" s="9" t="s">
        <v>927</v>
      </c>
      <c r="T119" s="8" t="s">
        <v>959</v>
      </c>
      <c r="U119" s="9" t="s">
        <v>960</v>
      </c>
      <c r="V119" s="9" t="s">
        <v>961</v>
      </c>
      <c r="W119" s="9" t="s">
        <v>962</v>
      </c>
      <c r="X119" s="9" t="s">
        <v>906</v>
      </c>
      <c r="Y119" s="9" t="s">
        <v>599</v>
      </c>
      <c r="Z119" s="9" t="s">
        <v>397</v>
      </c>
      <c r="AA119" s="9" t="s">
        <v>301</v>
      </c>
      <c r="AB119" s="9" t="s">
        <v>941</v>
      </c>
      <c r="AC119" s="9" t="s">
        <v>907</v>
      </c>
      <c r="AD119" s="9" t="s">
        <v>361</v>
      </c>
      <c r="AE119" s="9" t="s">
        <v>362</v>
      </c>
    </row>
    <row r="120" spans="1:31" ht="72" customHeight="1" x14ac:dyDescent="0.3">
      <c r="A120" s="3">
        <v>115</v>
      </c>
      <c r="B120" s="22" t="s">
        <v>773</v>
      </c>
      <c r="C120" s="4" t="s">
        <v>920</v>
      </c>
      <c r="D120" s="4" t="s">
        <v>963</v>
      </c>
      <c r="E120" s="4" t="s">
        <v>922</v>
      </c>
      <c r="F120" s="4" t="s">
        <v>888</v>
      </c>
      <c r="G120" s="4" t="s">
        <v>923</v>
      </c>
      <c r="H120" s="3" t="s">
        <v>89</v>
      </c>
      <c r="I120" s="3" t="s">
        <v>89</v>
      </c>
      <c r="J120" s="5" t="s">
        <v>88</v>
      </c>
      <c r="K120" s="4" t="s">
        <v>964</v>
      </c>
      <c r="L120" s="4" t="s">
        <v>936</v>
      </c>
      <c r="M120" s="4" t="s">
        <v>284</v>
      </c>
      <c r="N120" s="4" t="s">
        <v>358</v>
      </c>
      <c r="O120" s="4" t="s">
        <v>926</v>
      </c>
      <c r="P120" s="4" t="s">
        <v>284</v>
      </c>
      <c r="Q120" s="4" t="s">
        <v>95</v>
      </c>
      <c r="R120" s="6" t="s">
        <v>39</v>
      </c>
      <c r="S120" s="6" t="s">
        <v>927</v>
      </c>
      <c r="T120" s="4" t="s">
        <v>965</v>
      </c>
      <c r="U120" s="6" t="s">
        <v>966</v>
      </c>
      <c r="V120" s="6" t="s">
        <v>967</v>
      </c>
      <c r="W120" s="6" t="s">
        <v>968</v>
      </c>
      <c r="X120" s="6" t="s">
        <v>906</v>
      </c>
      <c r="Y120" s="6" t="s">
        <v>599</v>
      </c>
      <c r="Z120" s="6" t="s">
        <v>301</v>
      </c>
      <c r="AA120" s="6" t="s">
        <v>198</v>
      </c>
      <c r="AB120" s="6" t="s">
        <v>589</v>
      </c>
      <c r="AC120" s="6" t="s">
        <v>907</v>
      </c>
      <c r="AD120" s="6" t="s">
        <v>361</v>
      </c>
      <c r="AE120" s="6" t="s">
        <v>106</v>
      </c>
    </row>
    <row r="121" spans="1:31" ht="72" customHeight="1" x14ac:dyDescent="0.3">
      <c r="A121" s="14">
        <v>116</v>
      </c>
      <c r="B121" s="21" t="s">
        <v>773</v>
      </c>
      <c r="C121" s="15" t="s">
        <v>969</v>
      </c>
      <c r="D121" s="15" t="s">
        <v>970</v>
      </c>
      <c r="E121" s="15"/>
      <c r="F121" s="15" t="s">
        <v>888</v>
      </c>
      <c r="G121" s="15" t="s">
        <v>971</v>
      </c>
      <c r="H121" s="14" t="s">
        <v>89</v>
      </c>
      <c r="I121" s="14" t="s">
        <v>89</v>
      </c>
      <c r="J121" s="12" t="s">
        <v>88</v>
      </c>
      <c r="K121" s="15" t="s">
        <v>972</v>
      </c>
      <c r="L121" s="15" t="s">
        <v>973</v>
      </c>
      <c r="M121" s="15" t="s">
        <v>284</v>
      </c>
      <c r="N121" s="15" t="s">
        <v>358</v>
      </c>
      <c r="O121" s="15" t="s">
        <v>829</v>
      </c>
      <c r="P121" s="15" t="s">
        <v>854</v>
      </c>
      <c r="Q121" s="15" t="s">
        <v>95</v>
      </c>
      <c r="R121" s="16" t="s">
        <v>39</v>
      </c>
      <c r="S121" s="16" t="s">
        <v>974</v>
      </c>
      <c r="T121" s="15"/>
      <c r="U121" s="16" t="s">
        <v>975</v>
      </c>
      <c r="V121" s="16" t="s">
        <v>976</v>
      </c>
      <c r="W121" s="16" t="s">
        <v>977</v>
      </c>
      <c r="X121" s="16" t="s">
        <v>906</v>
      </c>
      <c r="Y121" s="16" t="s">
        <v>599</v>
      </c>
      <c r="Z121" s="16" t="s">
        <v>397</v>
      </c>
      <c r="AA121" s="16" t="s">
        <v>198</v>
      </c>
      <c r="AB121" s="16" t="s">
        <v>941</v>
      </c>
      <c r="AC121" s="16" t="s">
        <v>978</v>
      </c>
      <c r="AD121" s="16" t="s">
        <v>361</v>
      </c>
      <c r="AE121" s="16" t="s">
        <v>106</v>
      </c>
    </row>
    <row r="122" spans="1:31" ht="72" customHeight="1" x14ac:dyDescent="0.3">
      <c r="A122" s="3">
        <v>117</v>
      </c>
      <c r="B122" s="22" t="s">
        <v>773</v>
      </c>
      <c r="C122" s="4" t="s">
        <v>969</v>
      </c>
      <c r="D122" s="4" t="s">
        <v>979</v>
      </c>
      <c r="E122" s="4"/>
      <c r="F122" s="4" t="s">
        <v>888</v>
      </c>
      <c r="G122" s="4" t="s">
        <v>980</v>
      </c>
      <c r="H122" s="3" t="s">
        <v>89</v>
      </c>
      <c r="I122" s="3" t="s">
        <v>89</v>
      </c>
      <c r="J122" s="5" t="s">
        <v>88</v>
      </c>
      <c r="K122" s="4" t="s">
        <v>981</v>
      </c>
      <c r="L122" s="4" t="s">
        <v>982</v>
      </c>
      <c r="M122" s="4" t="s">
        <v>284</v>
      </c>
      <c r="N122" s="4" t="s">
        <v>358</v>
      </c>
      <c r="O122" s="4" t="s">
        <v>812</v>
      </c>
      <c r="P122" s="4" t="s">
        <v>854</v>
      </c>
      <c r="Q122" s="4" t="s">
        <v>95</v>
      </c>
      <c r="R122" s="6" t="s">
        <v>39</v>
      </c>
      <c r="S122" s="6" t="s">
        <v>974</v>
      </c>
      <c r="T122" s="4"/>
      <c r="U122" s="6" t="s">
        <v>983</v>
      </c>
      <c r="V122" s="6" t="s">
        <v>984</v>
      </c>
      <c r="W122" s="6" t="s">
        <v>985</v>
      </c>
      <c r="X122" s="6" t="s">
        <v>906</v>
      </c>
      <c r="Y122" s="6" t="s">
        <v>599</v>
      </c>
      <c r="Z122" s="6" t="s">
        <v>397</v>
      </c>
      <c r="AA122" s="6" t="s">
        <v>198</v>
      </c>
      <c r="AB122" s="6" t="s">
        <v>767</v>
      </c>
      <c r="AC122" s="6" t="s">
        <v>978</v>
      </c>
      <c r="AD122" s="6" t="s">
        <v>361</v>
      </c>
      <c r="AE122" s="6" t="s">
        <v>362</v>
      </c>
    </row>
    <row r="123" spans="1:31" ht="72" customHeight="1" x14ac:dyDescent="0.3">
      <c r="A123" s="14">
        <v>118</v>
      </c>
      <c r="B123" s="21" t="s">
        <v>773</v>
      </c>
      <c r="C123" s="15" t="s">
        <v>986</v>
      </c>
      <c r="D123" s="15" t="s">
        <v>987</v>
      </c>
      <c r="E123" s="15" t="s">
        <v>988</v>
      </c>
      <c r="F123" s="15" t="s">
        <v>989</v>
      </c>
      <c r="G123" s="15" t="s">
        <v>990</v>
      </c>
      <c r="H123" s="14" t="s">
        <v>89</v>
      </c>
      <c r="I123" s="14" t="s">
        <v>89</v>
      </c>
      <c r="J123" s="12" t="s">
        <v>88</v>
      </c>
      <c r="K123" s="15" t="s">
        <v>991</v>
      </c>
      <c r="L123" s="15" t="s">
        <v>992</v>
      </c>
      <c r="M123" s="15" t="s">
        <v>284</v>
      </c>
      <c r="N123" s="15" t="s">
        <v>358</v>
      </c>
      <c r="O123" s="15" t="s">
        <v>812</v>
      </c>
      <c r="P123" s="15" t="s">
        <v>284</v>
      </c>
      <c r="Q123" s="15" t="s">
        <v>95</v>
      </c>
      <c r="R123" s="16" t="s">
        <v>39</v>
      </c>
      <c r="S123" s="16" t="s">
        <v>993</v>
      </c>
      <c r="T123" s="15"/>
      <c r="U123" s="16" t="s">
        <v>994</v>
      </c>
      <c r="V123" s="16" t="s">
        <v>995</v>
      </c>
      <c r="W123" s="16" t="s">
        <v>859</v>
      </c>
      <c r="X123" s="16" t="s">
        <v>906</v>
      </c>
      <c r="Y123" s="16" t="s">
        <v>599</v>
      </c>
      <c r="Z123" s="16" t="s">
        <v>996</v>
      </c>
      <c r="AA123" s="16" t="s">
        <v>301</v>
      </c>
      <c r="AB123" s="16" t="s">
        <v>997</v>
      </c>
      <c r="AC123" s="16" t="s">
        <v>199</v>
      </c>
      <c r="AD123" s="16" t="s">
        <v>488</v>
      </c>
      <c r="AE123" s="16" t="s">
        <v>106</v>
      </c>
    </row>
    <row r="124" spans="1:31" ht="72" customHeight="1" x14ac:dyDescent="0.3">
      <c r="A124" s="3">
        <v>119</v>
      </c>
      <c r="B124" s="22" t="s">
        <v>773</v>
      </c>
      <c r="C124" s="4" t="s">
        <v>986</v>
      </c>
      <c r="D124" s="4" t="s">
        <v>998</v>
      </c>
      <c r="E124" s="4" t="s">
        <v>988</v>
      </c>
      <c r="F124" s="4" t="s">
        <v>989</v>
      </c>
      <c r="G124" s="4" t="s">
        <v>990</v>
      </c>
      <c r="H124" s="3" t="s">
        <v>89</v>
      </c>
      <c r="I124" s="3" t="s">
        <v>89</v>
      </c>
      <c r="J124" s="5" t="s">
        <v>88</v>
      </c>
      <c r="K124" s="4" t="s">
        <v>999</v>
      </c>
      <c r="L124" s="4" t="s">
        <v>1000</v>
      </c>
      <c r="M124" s="4" t="s">
        <v>284</v>
      </c>
      <c r="N124" s="4" t="s">
        <v>358</v>
      </c>
      <c r="O124" s="4" t="s">
        <v>812</v>
      </c>
      <c r="P124" s="4" t="s">
        <v>284</v>
      </c>
      <c r="Q124" s="4" t="s">
        <v>95</v>
      </c>
      <c r="R124" s="6" t="s">
        <v>39</v>
      </c>
      <c r="S124" s="6" t="s">
        <v>993</v>
      </c>
      <c r="T124" s="4"/>
      <c r="U124" s="6" t="s">
        <v>1001</v>
      </c>
      <c r="V124" s="6" t="s">
        <v>1002</v>
      </c>
      <c r="W124" s="6" t="s">
        <v>1003</v>
      </c>
      <c r="X124" s="6" t="s">
        <v>906</v>
      </c>
      <c r="Y124" s="6" t="s">
        <v>599</v>
      </c>
      <c r="Z124" s="6" t="s">
        <v>996</v>
      </c>
      <c r="AA124" s="6" t="s">
        <v>301</v>
      </c>
      <c r="AB124" s="6" t="s">
        <v>767</v>
      </c>
      <c r="AC124" s="6" t="s">
        <v>199</v>
      </c>
      <c r="AD124" s="6" t="s">
        <v>1004</v>
      </c>
      <c r="AE124" s="6" t="s">
        <v>106</v>
      </c>
    </row>
    <row r="125" spans="1:31" ht="72" customHeight="1" x14ac:dyDescent="0.3">
      <c r="A125" s="7">
        <v>120</v>
      </c>
      <c r="B125" s="22" t="s">
        <v>773</v>
      </c>
      <c r="C125" s="8" t="s">
        <v>986</v>
      </c>
      <c r="D125" s="8" t="s">
        <v>1005</v>
      </c>
      <c r="E125" s="8" t="s">
        <v>988</v>
      </c>
      <c r="F125" s="8" t="s">
        <v>989</v>
      </c>
      <c r="G125" s="8" t="s">
        <v>990</v>
      </c>
      <c r="H125" s="7" t="s">
        <v>89</v>
      </c>
      <c r="I125" s="7" t="s">
        <v>89</v>
      </c>
      <c r="J125" s="5" t="s">
        <v>88</v>
      </c>
      <c r="K125" s="8" t="s">
        <v>991</v>
      </c>
      <c r="L125" s="8" t="s">
        <v>992</v>
      </c>
      <c r="M125" s="8" t="s">
        <v>284</v>
      </c>
      <c r="N125" s="8" t="s">
        <v>358</v>
      </c>
      <c r="O125" s="8" t="s">
        <v>841</v>
      </c>
      <c r="P125" s="8" t="s">
        <v>284</v>
      </c>
      <c r="Q125" s="8" t="s">
        <v>95</v>
      </c>
      <c r="R125" s="9" t="s">
        <v>39</v>
      </c>
      <c r="S125" s="9" t="s">
        <v>993</v>
      </c>
      <c r="T125" s="8"/>
      <c r="U125" s="9" t="s">
        <v>1006</v>
      </c>
      <c r="V125" s="9" t="s">
        <v>995</v>
      </c>
      <c r="W125" s="9" t="s">
        <v>859</v>
      </c>
      <c r="X125" s="9" t="s">
        <v>906</v>
      </c>
      <c r="Y125" s="9" t="s">
        <v>599</v>
      </c>
      <c r="Z125" s="9" t="s">
        <v>1007</v>
      </c>
      <c r="AA125" s="9" t="s">
        <v>301</v>
      </c>
      <c r="AB125" s="9" t="s">
        <v>997</v>
      </c>
      <c r="AC125" s="9" t="s">
        <v>199</v>
      </c>
      <c r="AD125" s="9" t="s">
        <v>492</v>
      </c>
      <c r="AE125" s="9" t="s">
        <v>1008</v>
      </c>
    </row>
    <row r="126" spans="1:31" ht="72" customHeight="1" x14ac:dyDescent="0.3">
      <c r="A126" s="3">
        <v>121</v>
      </c>
      <c r="B126" s="22" t="s">
        <v>773</v>
      </c>
      <c r="C126" s="4" t="s">
        <v>986</v>
      </c>
      <c r="D126" s="4" t="s">
        <v>1009</v>
      </c>
      <c r="E126" s="4" t="s">
        <v>988</v>
      </c>
      <c r="F126" s="4" t="s">
        <v>989</v>
      </c>
      <c r="G126" s="4" t="s">
        <v>990</v>
      </c>
      <c r="H126" s="3" t="s">
        <v>89</v>
      </c>
      <c r="I126" s="3" t="s">
        <v>89</v>
      </c>
      <c r="J126" s="5" t="s">
        <v>88</v>
      </c>
      <c r="K126" s="4" t="s">
        <v>999</v>
      </c>
      <c r="L126" s="4" t="s">
        <v>1000</v>
      </c>
      <c r="M126" s="4" t="s">
        <v>284</v>
      </c>
      <c r="N126" s="4" t="s">
        <v>358</v>
      </c>
      <c r="O126" s="4" t="s">
        <v>841</v>
      </c>
      <c r="P126" s="4" t="s">
        <v>284</v>
      </c>
      <c r="Q126" s="4" t="s">
        <v>95</v>
      </c>
      <c r="R126" s="6" t="s">
        <v>39</v>
      </c>
      <c r="S126" s="6" t="s">
        <v>993</v>
      </c>
      <c r="T126" s="4"/>
      <c r="U126" s="6" t="s">
        <v>1010</v>
      </c>
      <c r="V126" s="6" t="s">
        <v>1002</v>
      </c>
      <c r="W126" s="6" t="s">
        <v>1003</v>
      </c>
      <c r="X126" s="6" t="s">
        <v>906</v>
      </c>
      <c r="Y126" s="6" t="s">
        <v>599</v>
      </c>
      <c r="Z126" s="6" t="s">
        <v>301</v>
      </c>
      <c r="AA126" s="6" t="s">
        <v>198</v>
      </c>
      <c r="AB126" s="6" t="s">
        <v>767</v>
      </c>
      <c r="AC126" s="6" t="s">
        <v>199</v>
      </c>
      <c r="AD126" s="6" t="s">
        <v>492</v>
      </c>
      <c r="AE126" s="6" t="s">
        <v>362</v>
      </c>
    </row>
    <row r="127" spans="1:31" ht="72" customHeight="1" x14ac:dyDescent="0.3">
      <c r="A127" s="7">
        <v>122</v>
      </c>
      <c r="B127" s="22" t="s">
        <v>773</v>
      </c>
      <c r="C127" s="8" t="s">
        <v>986</v>
      </c>
      <c r="D127" s="8" t="s">
        <v>1011</v>
      </c>
      <c r="E127" s="8" t="s">
        <v>988</v>
      </c>
      <c r="F127" s="8" t="s">
        <v>989</v>
      </c>
      <c r="G127" s="8" t="s">
        <v>990</v>
      </c>
      <c r="H127" s="7" t="s">
        <v>89</v>
      </c>
      <c r="I127" s="7" t="s">
        <v>89</v>
      </c>
      <c r="J127" s="5" t="s">
        <v>88</v>
      </c>
      <c r="K127" s="8" t="s">
        <v>1012</v>
      </c>
      <c r="L127" s="8" t="s">
        <v>1013</v>
      </c>
      <c r="M127" s="8" t="s">
        <v>284</v>
      </c>
      <c r="N127" s="8" t="s">
        <v>358</v>
      </c>
      <c r="O127" s="8" t="s">
        <v>829</v>
      </c>
      <c r="P127" s="8" t="s">
        <v>284</v>
      </c>
      <c r="Q127" s="8" t="s">
        <v>95</v>
      </c>
      <c r="R127" s="9" t="s">
        <v>39</v>
      </c>
      <c r="S127" s="9" t="s">
        <v>993</v>
      </c>
      <c r="T127" s="8"/>
      <c r="U127" s="9" t="s">
        <v>1014</v>
      </c>
      <c r="V127" s="9" t="s">
        <v>1015</v>
      </c>
      <c r="W127" s="9" t="s">
        <v>1016</v>
      </c>
      <c r="X127" s="9" t="s">
        <v>906</v>
      </c>
      <c r="Y127" s="9" t="s">
        <v>599</v>
      </c>
      <c r="Z127" s="9" t="s">
        <v>301</v>
      </c>
      <c r="AA127" s="9" t="s">
        <v>301</v>
      </c>
      <c r="AB127" s="9" t="s">
        <v>941</v>
      </c>
      <c r="AC127" s="9" t="s">
        <v>199</v>
      </c>
      <c r="AD127" s="9" t="s">
        <v>1004</v>
      </c>
      <c r="AE127" s="9" t="s">
        <v>106</v>
      </c>
    </row>
    <row r="128" spans="1:31" ht="72" customHeight="1" x14ac:dyDescent="0.3">
      <c r="A128" s="3">
        <v>123</v>
      </c>
      <c r="B128" s="22" t="s">
        <v>773</v>
      </c>
      <c r="C128" s="4" t="s">
        <v>986</v>
      </c>
      <c r="D128" s="4" t="s">
        <v>1017</v>
      </c>
      <c r="E128" s="4" t="s">
        <v>988</v>
      </c>
      <c r="F128" s="4" t="s">
        <v>989</v>
      </c>
      <c r="G128" s="4" t="s">
        <v>990</v>
      </c>
      <c r="H128" s="3" t="s">
        <v>89</v>
      </c>
      <c r="I128" s="3" t="s">
        <v>89</v>
      </c>
      <c r="J128" s="5" t="s">
        <v>88</v>
      </c>
      <c r="K128" s="4" t="s">
        <v>1018</v>
      </c>
      <c r="L128" s="4" t="s">
        <v>1019</v>
      </c>
      <c r="M128" s="4" t="s">
        <v>284</v>
      </c>
      <c r="N128" s="4" t="s">
        <v>358</v>
      </c>
      <c r="O128" s="4" t="s">
        <v>829</v>
      </c>
      <c r="P128" s="4" t="s">
        <v>284</v>
      </c>
      <c r="Q128" s="4" t="s">
        <v>95</v>
      </c>
      <c r="R128" s="6" t="s">
        <v>39</v>
      </c>
      <c r="S128" s="6" t="s">
        <v>993</v>
      </c>
      <c r="T128" s="4"/>
      <c r="U128" s="6" t="s">
        <v>1020</v>
      </c>
      <c r="V128" s="6" t="s">
        <v>1021</v>
      </c>
      <c r="W128" s="6" t="s">
        <v>1022</v>
      </c>
      <c r="X128" s="6" t="s">
        <v>906</v>
      </c>
      <c r="Y128" s="6" t="s">
        <v>599</v>
      </c>
      <c r="Z128" s="6" t="s">
        <v>301</v>
      </c>
      <c r="AA128" s="6" t="s">
        <v>301</v>
      </c>
      <c r="AB128" s="6" t="s">
        <v>941</v>
      </c>
      <c r="AC128" s="6" t="s">
        <v>199</v>
      </c>
      <c r="AD128" s="6" t="s">
        <v>1004</v>
      </c>
      <c r="AE128" s="6" t="s">
        <v>106</v>
      </c>
    </row>
    <row r="129" spans="1:31" ht="72" customHeight="1" x14ac:dyDescent="0.3">
      <c r="A129" s="7">
        <v>124</v>
      </c>
      <c r="B129" s="22" t="s">
        <v>773</v>
      </c>
      <c r="C129" s="8" t="s">
        <v>986</v>
      </c>
      <c r="D129" s="8" t="s">
        <v>1023</v>
      </c>
      <c r="E129" s="8" t="s">
        <v>988</v>
      </c>
      <c r="F129" s="8" t="s">
        <v>989</v>
      </c>
      <c r="G129" s="8" t="s">
        <v>990</v>
      </c>
      <c r="H129" s="7" t="s">
        <v>89</v>
      </c>
      <c r="I129" s="7" t="s">
        <v>89</v>
      </c>
      <c r="J129" s="5" t="s">
        <v>88</v>
      </c>
      <c r="K129" s="8" t="s">
        <v>1024</v>
      </c>
      <c r="L129" s="8" t="s">
        <v>761</v>
      </c>
      <c r="M129" s="8" t="s">
        <v>284</v>
      </c>
      <c r="N129" s="8" t="s">
        <v>358</v>
      </c>
      <c r="O129" s="8" t="s">
        <v>841</v>
      </c>
      <c r="P129" s="8" t="s">
        <v>284</v>
      </c>
      <c r="Q129" s="42" t="s">
        <v>1025</v>
      </c>
      <c r="R129" s="9" t="s">
        <v>39</v>
      </c>
      <c r="S129" s="9" t="s">
        <v>993</v>
      </c>
      <c r="T129" s="8" t="s">
        <v>1026</v>
      </c>
      <c r="U129" s="9" t="s">
        <v>1027</v>
      </c>
      <c r="V129" s="9" t="s">
        <v>1028</v>
      </c>
      <c r="W129" s="9" t="s">
        <v>765</v>
      </c>
      <c r="X129" s="9" t="s">
        <v>906</v>
      </c>
      <c r="Y129" s="9" t="s">
        <v>599</v>
      </c>
      <c r="Z129" s="9" t="s">
        <v>1029</v>
      </c>
      <c r="AA129" s="9" t="s">
        <v>1030</v>
      </c>
      <c r="AB129" s="9" t="s">
        <v>941</v>
      </c>
      <c r="AC129" s="9" t="s">
        <v>199</v>
      </c>
      <c r="AD129" s="9" t="s">
        <v>488</v>
      </c>
      <c r="AE129" s="9" t="s">
        <v>106</v>
      </c>
    </row>
    <row r="130" spans="1:31" ht="72" customHeight="1" x14ac:dyDescent="0.3">
      <c r="A130" s="10">
        <v>125</v>
      </c>
      <c r="B130" s="21" t="s">
        <v>773</v>
      </c>
      <c r="C130" s="11" t="s">
        <v>1031</v>
      </c>
      <c r="D130" s="11" t="s">
        <v>1032</v>
      </c>
      <c r="E130" s="11"/>
      <c r="F130" s="11" t="s">
        <v>1033</v>
      </c>
      <c r="G130" s="11" t="s">
        <v>1034</v>
      </c>
      <c r="H130" s="10" t="s">
        <v>89</v>
      </c>
      <c r="I130" s="10" t="s">
        <v>89</v>
      </c>
      <c r="J130" s="12" t="s">
        <v>88</v>
      </c>
      <c r="K130" s="11" t="s">
        <v>1035</v>
      </c>
      <c r="L130" s="11" t="s">
        <v>1036</v>
      </c>
      <c r="M130" s="11" t="s">
        <v>284</v>
      </c>
      <c r="N130" s="11" t="s">
        <v>1037</v>
      </c>
      <c r="O130" s="11" t="s">
        <v>65</v>
      </c>
      <c r="P130" s="11" t="s">
        <v>284</v>
      </c>
      <c r="Q130" s="11" t="s">
        <v>95</v>
      </c>
      <c r="R130" s="13" t="s">
        <v>39</v>
      </c>
      <c r="S130" s="13" t="s">
        <v>1038</v>
      </c>
      <c r="T130" s="11"/>
      <c r="U130" s="13" t="s">
        <v>1039</v>
      </c>
      <c r="V130" s="13" t="s">
        <v>885</v>
      </c>
      <c r="W130" s="13" t="s">
        <v>859</v>
      </c>
      <c r="X130" s="13" t="s">
        <v>906</v>
      </c>
      <c r="Y130" s="13" t="s">
        <v>599</v>
      </c>
      <c r="Z130" s="13" t="s">
        <v>397</v>
      </c>
      <c r="AA130" s="13" t="s">
        <v>301</v>
      </c>
      <c r="AB130" s="13" t="s">
        <v>997</v>
      </c>
      <c r="AC130" s="13" t="s">
        <v>1040</v>
      </c>
      <c r="AD130" s="40" t="s">
        <v>1041</v>
      </c>
      <c r="AE130" s="40" t="s">
        <v>1042</v>
      </c>
    </row>
    <row r="131" spans="1:31" ht="72" customHeight="1" x14ac:dyDescent="0.3">
      <c r="A131" s="7">
        <v>126</v>
      </c>
      <c r="B131" s="22" t="s">
        <v>773</v>
      </c>
      <c r="C131" s="8" t="s">
        <v>1031</v>
      </c>
      <c r="D131" s="8" t="s">
        <v>1043</v>
      </c>
      <c r="E131" s="8"/>
      <c r="F131" s="8" t="s">
        <v>1033</v>
      </c>
      <c r="G131" s="8" t="s">
        <v>1044</v>
      </c>
      <c r="H131" s="7" t="s">
        <v>89</v>
      </c>
      <c r="I131" s="7" t="s">
        <v>89</v>
      </c>
      <c r="J131" s="5" t="s">
        <v>88</v>
      </c>
      <c r="K131" s="8" t="s">
        <v>1045</v>
      </c>
      <c r="L131" s="8" t="s">
        <v>1046</v>
      </c>
      <c r="M131" s="8" t="s">
        <v>284</v>
      </c>
      <c r="N131" s="8" t="s">
        <v>1037</v>
      </c>
      <c r="O131" s="8" t="s">
        <v>1047</v>
      </c>
      <c r="P131" s="8" t="s">
        <v>284</v>
      </c>
      <c r="Q131" s="8" t="s">
        <v>95</v>
      </c>
      <c r="R131" s="9" t="s">
        <v>39</v>
      </c>
      <c r="S131" s="9" t="s">
        <v>1038</v>
      </c>
      <c r="T131" s="8"/>
      <c r="U131" s="9" t="s">
        <v>1048</v>
      </c>
      <c r="V131" s="9" t="s">
        <v>1049</v>
      </c>
      <c r="W131" s="9" t="s">
        <v>1050</v>
      </c>
      <c r="X131" s="9" t="s">
        <v>906</v>
      </c>
      <c r="Y131" s="9" t="s">
        <v>599</v>
      </c>
      <c r="Z131" s="9" t="s">
        <v>397</v>
      </c>
      <c r="AA131" s="9" t="s">
        <v>301</v>
      </c>
      <c r="AB131" s="9" t="s">
        <v>997</v>
      </c>
      <c r="AC131" s="9" t="s">
        <v>1051</v>
      </c>
      <c r="AD131" s="36" t="s">
        <v>1041</v>
      </c>
      <c r="AE131" s="36" t="s">
        <v>1042</v>
      </c>
    </row>
  </sheetData>
  <mergeCells count="5">
    <mergeCell ref="U4:AE4"/>
    <mergeCell ref="A2:AE2"/>
    <mergeCell ref="A4:T4"/>
    <mergeCell ref="A1:AE1"/>
    <mergeCell ref="A3:AE3"/>
  </mergeCells>
  <phoneticPr fontId="22" type="noConversion"/>
  <hyperlinks>
    <hyperlink ref="R6" r:id="rId1" xr:uid="{00000000-0004-0000-0100-000000000000}"/>
    <hyperlink ref="S6" r:id="rId2" xr:uid="{00000000-0004-0000-0100-000001000000}"/>
    <hyperlink ref="R7" r:id="rId3" xr:uid="{00000000-0004-0000-0100-000002000000}"/>
    <hyperlink ref="S7" r:id="rId4" xr:uid="{00000000-0004-0000-0100-000003000000}"/>
    <hyperlink ref="R8" r:id="rId5" xr:uid="{00000000-0004-0000-0100-000004000000}"/>
    <hyperlink ref="S8" r:id="rId6" xr:uid="{00000000-0004-0000-0100-000005000000}"/>
    <hyperlink ref="R9" r:id="rId7" xr:uid="{00000000-0004-0000-0100-000006000000}"/>
    <hyperlink ref="S9" r:id="rId8" xr:uid="{00000000-0004-0000-0100-000007000000}"/>
    <hyperlink ref="R10" r:id="rId9" xr:uid="{00000000-0004-0000-0100-000008000000}"/>
    <hyperlink ref="S10" r:id="rId10" xr:uid="{00000000-0004-0000-0100-000009000000}"/>
    <hyperlink ref="R11" r:id="rId11" xr:uid="{00000000-0004-0000-0100-00000A000000}"/>
    <hyperlink ref="S11" r:id="rId12" xr:uid="{00000000-0004-0000-0100-00000B000000}"/>
    <hyperlink ref="R12" r:id="rId13" xr:uid="{00000000-0004-0000-0100-00000C000000}"/>
    <hyperlink ref="S12" r:id="rId14" xr:uid="{00000000-0004-0000-0100-00000D000000}"/>
    <hyperlink ref="R13" r:id="rId15" xr:uid="{00000000-0004-0000-0100-00000E000000}"/>
    <hyperlink ref="S13" r:id="rId16" xr:uid="{00000000-0004-0000-0100-00000F000000}"/>
    <hyperlink ref="R14" r:id="rId17" xr:uid="{00000000-0004-0000-0100-000010000000}"/>
    <hyperlink ref="S14" r:id="rId18" xr:uid="{00000000-0004-0000-0100-000011000000}"/>
    <hyperlink ref="R15" r:id="rId19" xr:uid="{00000000-0004-0000-0100-000012000000}"/>
    <hyperlink ref="S15" r:id="rId20" xr:uid="{00000000-0004-0000-0100-000013000000}"/>
    <hyperlink ref="R16" r:id="rId21" xr:uid="{00000000-0004-0000-0100-000014000000}"/>
    <hyperlink ref="S16" r:id="rId22" xr:uid="{00000000-0004-0000-0100-000015000000}"/>
    <hyperlink ref="R17" r:id="rId23" xr:uid="{00000000-0004-0000-0100-000016000000}"/>
    <hyperlink ref="S17" r:id="rId24" xr:uid="{00000000-0004-0000-0100-000017000000}"/>
    <hyperlink ref="R18" r:id="rId25" xr:uid="{00000000-0004-0000-0100-000018000000}"/>
    <hyperlink ref="S18" r:id="rId26" xr:uid="{00000000-0004-0000-0100-000019000000}"/>
    <hyperlink ref="R19" r:id="rId27" xr:uid="{00000000-0004-0000-0100-00001A000000}"/>
    <hyperlink ref="S19" r:id="rId28" xr:uid="{00000000-0004-0000-0100-00001B000000}"/>
    <hyperlink ref="R20" r:id="rId29" xr:uid="{00000000-0004-0000-0100-00001C000000}"/>
    <hyperlink ref="S20" r:id="rId30" xr:uid="{00000000-0004-0000-0100-00001D000000}"/>
    <hyperlink ref="R21" r:id="rId31" xr:uid="{00000000-0004-0000-0100-00001E000000}"/>
    <hyperlink ref="S21" r:id="rId32" xr:uid="{00000000-0004-0000-0100-00001F000000}"/>
    <hyperlink ref="R22" r:id="rId33" xr:uid="{00000000-0004-0000-0100-000020000000}"/>
    <hyperlink ref="S22" r:id="rId34" xr:uid="{00000000-0004-0000-0100-000021000000}"/>
    <hyperlink ref="R23" r:id="rId35" xr:uid="{00000000-0004-0000-0100-000022000000}"/>
    <hyperlink ref="S23" r:id="rId36" xr:uid="{00000000-0004-0000-0100-000023000000}"/>
    <hyperlink ref="R24" r:id="rId37" xr:uid="{00000000-0004-0000-0100-000024000000}"/>
    <hyperlink ref="S24" r:id="rId38" xr:uid="{00000000-0004-0000-0100-000025000000}"/>
    <hyperlink ref="R25" r:id="rId39" xr:uid="{00000000-0004-0000-0100-000026000000}"/>
    <hyperlink ref="S25" r:id="rId40" xr:uid="{00000000-0004-0000-0100-000027000000}"/>
    <hyperlink ref="R26" r:id="rId41" xr:uid="{00000000-0004-0000-0100-000028000000}"/>
    <hyperlink ref="S26" r:id="rId42" xr:uid="{00000000-0004-0000-0100-000029000000}"/>
    <hyperlink ref="R27" r:id="rId43" xr:uid="{00000000-0004-0000-0100-00002A000000}"/>
    <hyperlink ref="S27" r:id="rId44" xr:uid="{00000000-0004-0000-0100-00002B000000}"/>
    <hyperlink ref="R28" r:id="rId45" xr:uid="{00000000-0004-0000-0100-00002C000000}"/>
    <hyperlink ref="S28" r:id="rId46" xr:uid="{00000000-0004-0000-0100-00002D000000}"/>
    <hyperlink ref="R29" r:id="rId47" xr:uid="{00000000-0004-0000-0100-00002E000000}"/>
    <hyperlink ref="S29" r:id="rId48" xr:uid="{00000000-0004-0000-0100-00002F000000}"/>
    <hyperlink ref="R30" r:id="rId49" xr:uid="{00000000-0004-0000-0100-000030000000}"/>
    <hyperlink ref="S30" r:id="rId50" xr:uid="{00000000-0004-0000-0100-000031000000}"/>
    <hyperlink ref="R31" r:id="rId51" xr:uid="{00000000-0004-0000-0100-000032000000}"/>
    <hyperlink ref="S31" r:id="rId52" xr:uid="{00000000-0004-0000-0100-000033000000}"/>
    <hyperlink ref="R32" r:id="rId53" xr:uid="{00000000-0004-0000-0100-000034000000}"/>
    <hyperlink ref="S32" r:id="rId54" xr:uid="{00000000-0004-0000-0100-000035000000}"/>
    <hyperlink ref="R33" r:id="rId55" xr:uid="{00000000-0004-0000-0100-000036000000}"/>
    <hyperlink ref="S33" r:id="rId56" xr:uid="{00000000-0004-0000-0100-000037000000}"/>
    <hyperlink ref="R34" r:id="rId57" xr:uid="{00000000-0004-0000-0100-000038000000}"/>
    <hyperlink ref="S34" r:id="rId58" xr:uid="{00000000-0004-0000-0100-000039000000}"/>
    <hyperlink ref="R35" r:id="rId59" xr:uid="{00000000-0004-0000-0100-00003A000000}"/>
    <hyperlink ref="S35" r:id="rId60" xr:uid="{00000000-0004-0000-0100-00003B000000}"/>
    <hyperlink ref="R36" r:id="rId61" xr:uid="{00000000-0004-0000-0100-00003C000000}"/>
    <hyperlink ref="S36" r:id="rId62" xr:uid="{00000000-0004-0000-0100-00003D000000}"/>
    <hyperlink ref="R37" r:id="rId63" xr:uid="{00000000-0004-0000-0100-00003E000000}"/>
    <hyperlink ref="S37" r:id="rId64" xr:uid="{00000000-0004-0000-0100-00003F000000}"/>
    <hyperlink ref="R38" r:id="rId65" xr:uid="{00000000-0004-0000-0100-000040000000}"/>
    <hyperlink ref="S38" r:id="rId66" xr:uid="{00000000-0004-0000-0100-000041000000}"/>
    <hyperlink ref="R39" r:id="rId67" xr:uid="{00000000-0004-0000-0100-000042000000}"/>
    <hyperlink ref="S39" r:id="rId68" xr:uid="{00000000-0004-0000-0100-000043000000}"/>
    <hyperlink ref="R40" r:id="rId69" xr:uid="{00000000-0004-0000-0100-000044000000}"/>
    <hyperlink ref="S40" r:id="rId70" xr:uid="{00000000-0004-0000-0100-000045000000}"/>
    <hyperlink ref="R41" r:id="rId71" xr:uid="{00000000-0004-0000-0100-000046000000}"/>
    <hyperlink ref="S41" r:id="rId72" xr:uid="{00000000-0004-0000-0100-000047000000}"/>
    <hyperlink ref="R42" r:id="rId73" xr:uid="{00000000-0004-0000-0100-000048000000}"/>
    <hyperlink ref="S42" r:id="rId74" xr:uid="{00000000-0004-0000-0100-000049000000}"/>
    <hyperlink ref="R43" r:id="rId75" xr:uid="{00000000-0004-0000-0100-00004A000000}"/>
    <hyperlink ref="S43" r:id="rId76" xr:uid="{00000000-0004-0000-0100-00004B000000}"/>
    <hyperlink ref="R44" r:id="rId77" xr:uid="{00000000-0004-0000-0100-00004C000000}"/>
    <hyperlink ref="S44" r:id="rId78" xr:uid="{00000000-0004-0000-0100-00004D000000}"/>
    <hyperlink ref="R45" r:id="rId79" xr:uid="{00000000-0004-0000-0100-00004E000000}"/>
    <hyperlink ref="S45" r:id="rId80" xr:uid="{00000000-0004-0000-0100-00004F000000}"/>
    <hyperlink ref="R46" r:id="rId81" xr:uid="{00000000-0004-0000-0100-000050000000}"/>
    <hyperlink ref="S46" r:id="rId82" xr:uid="{00000000-0004-0000-0100-000051000000}"/>
    <hyperlink ref="R47" r:id="rId83" xr:uid="{00000000-0004-0000-0100-000052000000}"/>
    <hyperlink ref="S47" r:id="rId84" xr:uid="{00000000-0004-0000-0100-000053000000}"/>
    <hyperlink ref="R48" r:id="rId85" xr:uid="{00000000-0004-0000-0100-000054000000}"/>
    <hyperlink ref="S48" r:id="rId86" xr:uid="{00000000-0004-0000-0100-000055000000}"/>
    <hyperlink ref="R49" r:id="rId87" xr:uid="{00000000-0004-0000-0100-000056000000}"/>
    <hyperlink ref="S49" r:id="rId88" xr:uid="{00000000-0004-0000-0100-000057000000}"/>
    <hyperlink ref="R50" r:id="rId89" xr:uid="{00000000-0004-0000-0100-000058000000}"/>
    <hyperlink ref="S50" r:id="rId90" xr:uid="{00000000-0004-0000-0100-000059000000}"/>
    <hyperlink ref="R51" r:id="rId91" xr:uid="{00000000-0004-0000-0100-00005A000000}"/>
    <hyperlink ref="S51" r:id="rId92" xr:uid="{00000000-0004-0000-0100-00005B000000}"/>
    <hyperlink ref="R52" r:id="rId93" xr:uid="{00000000-0004-0000-0100-00005C000000}"/>
    <hyperlink ref="S52" r:id="rId94" xr:uid="{00000000-0004-0000-0100-00005D000000}"/>
    <hyperlink ref="R53" r:id="rId95" xr:uid="{00000000-0004-0000-0100-00005E000000}"/>
    <hyperlink ref="S53" r:id="rId96" xr:uid="{00000000-0004-0000-0100-00005F000000}"/>
    <hyperlink ref="R54" r:id="rId97" xr:uid="{00000000-0004-0000-0100-000060000000}"/>
    <hyperlink ref="S54" r:id="rId98" xr:uid="{00000000-0004-0000-0100-000061000000}"/>
    <hyperlink ref="R55" r:id="rId99" xr:uid="{00000000-0004-0000-0100-000062000000}"/>
    <hyperlink ref="S55" r:id="rId100" xr:uid="{00000000-0004-0000-0100-000063000000}"/>
    <hyperlink ref="R56" r:id="rId101" xr:uid="{00000000-0004-0000-0100-000064000000}"/>
    <hyperlink ref="S56" r:id="rId102" xr:uid="{00000000-0004-0000-0100-000065000000}"/>
    <hyperlink ref="R57" r:id="rId103" xr:uid="{00000000-0004-0000-0100-000066000000}"/>
    <hyperlink ref="S57" r:id="rId104" xr:uid="{00000000-0004-0000-0100-000067000000}"/>
    <hyperlink ref="R58" r:id="rId105" xr:uid="{00000000-0004-0000-0100-000068000000}"/>
    <hyperlink ref="S58" r:id="rId106" xr:uid="{00000000-0004-0000-0100-000069000000}"/>
    <hyperlink ref="R59" r:id="rId107" xr:uid="{00000000-0004-0000-0100-00006A000000}"/>
    <hyperlink ref="S59" r:id="rId108" xr:uid="{00000000-0004-0000-0100-00006B000000}"/>
    <hyperlink ref="R60" r:id="rId109" xr:uid="{00000000-0004-0000-0100-00006C000000}"/>
    <hyperlink ref="S60" r:id="rId110" xr:uid="{00000000-0004-0000-0100-00006D000000}"/>
    <hyperlink ref="R61" r:id="rId111" xr:uid="{00000000-0004-0000-0100-00006E000000}"/>
    <hyperlink ref="S61" r:id="rId112" xr:uid="{00000000-0004-0000-0100-00006F000000}"/>
    <hyperlink ref="R62" r:id="rId113" xr:uid="{00000000-0004-0000-0100-000070000000}"/>
    <hyperlink ref="S62" r:id="rId114" xr:uid="{00000000-0004-0000-0100-000071000000}"/>
    <hyperlink ref="R63" r:id="rId115" xr:uid="{00000000-0004-0000-0100-000072000000}"/>
    <hyperlink ref="S63" r:id="rId116" xr:uid="{00000000-0004-0000-0100-000073000000}"/>
    <hyperlink ref="R64" r:id="rId117" xr:uid="{00000000-0004-0000-0100-000074000000}"/>
    <hyperlink ref="S64" r:id="rId118" xr:uid="{00000000-0004-0000-0100-000075000000}"/>
    <hyperlink ref="R65" r:id="rId119" xr:uid="{00000000-0004-0000-0100-000076000000}"/>
    <hyperlink ref="S65" r:id="rId120" xr:uid="{00000000-0004-0000-0100-000077000000}"/>
    <hyperlink ref="R66" r:id="rId121" xr:uid="{00000000-0004-0000-0100-000078000000}"/>
    <hyperlink ref="S66" r:id="rId122" xr:uid="{00000000-0004-0000-0100-000079000000}"/>
    <hyperlink ref="R67" r:id="rId123" xr:uid="{00000000-0004-0000-0100-00007A000000}"/>
    <hyperlink ref="S67" r:id="rId124" xr:uid="{00000000-0004-0000-0100-00007B000000}"/>
    <hyperlink ref="R68" r:id="rId125" xr:uid="{00000000-0004-0000-0100-00007C000000}"/>
    <hyperlink ref="S68" r:id="rId126" xr:uid="{00000000-0004-0000-0100-00007D000000}"/>
    <hyperlink ref="R69" r:id="rId127" xr:uid="{00000000-0004-0000-0100-00007E000000}"/>
    <hyperlink ref="S69" r:id="rId128" xr:uid="{00000000-0004-0000-0100-00007F000000}"/>
    <hyperlink ref="R70" r:id="rId129" xr:uid="{00000000-0004-0000-0100-000080000000}"/>
    <hyperlink ref="S70" r:id="rId130" xr:uid="{00000000-0004-0000-0100-000081000000}"/>
    <hyperlink ref="R71" r:id="rId131" xr:uid="{00000000-0004-0000-0100-000082000000}"/>
    <hyperlink ref="S71" r:id="rId132" xr:uid="{00000000-0004-0000-0100-000083000000}"/>
    <hyperlink ref="R72" r:id="rId133" xr:uid="{00000000-0004-0000-0100-000084000000}"/>
    <hyperlink ref="S72" r:id="rId134" xr:uid="{00000000-0004-0000-0100-000085000000}"/>
    <hyperlink ref="R73" r:id="rId135" xr:uid="{00000000-0004-0000-0100-000086000000}"/>
    <hyperlink ref="S73" r:id="rId136" xr:uid="{00000000-0004-0000-0100-000087000000}"/>
    <hyperlink ref="R74" r:id="rId137" xr:uid="{00000000-0004-0000-0100-000088000000}"/>
    <hyperlink ref="S74" r:id="rId138" xr:uid="{00000000-0004-0000-0100-000089000000}"/>
    <hyperlink ref="R75" r:id="rId139" xr:uid="{00000000-0004-0000-0100-00008A000000}"/>
    <hyperlink ref="S75" r:id="rId140" xr:uid="{00000000-0004-0000-0100-00008B000000}"/>
    <hyperlink ref="R76" r:id="rId141" xr:uid="{00000000-0004-0000-0100-00008C000000}"/>
    <hyperlink ref="S76" r:id="rId142" xr:uid="{00000000-0004-0000-0100-00008D000000}"/>
    <hyperlink ref="R77" r:id="rId143" xr:uid="{00000000-0004-0000-0100-00008E000000}"/>
    <hyperlink ref="S77" r:id="rId144" xr:uid="{00000000-0004-0000-0100-00008F000000}"/>
    <hyperlink ref="R78" r:id="rId145" xr:uid="{00000000-0004-0000-0100-000090000000}"/>
    <hyperlink ref="S78" r:id="rId146" xr:uid="{00000000-0004-0000-0100-000091000000}"/>
    <hyperlink ref="R79" r:id="rId147" xr:uid="{00000000-0004-0000-0100-000092000000}"/>
    <hyperlink ref="S79" r:id="rId148" xr:uid="{00000000-0004-0000-0100-000093000000}"/>
    <hyperlink ref="R80" r:id="rId149" xr:uid="{00000000-0004-0000-0100-000094000000}"/>
    <hyperlink ref="S80" r:id="rId150" xr:uid="{00000000-0004-0000-0100-000095000000}"/>
    <hyperlink ref="R81" r:id="rId151" xr:uid="{00000000-0004-0000-0100-000096000000}"/>
    <hyperlink ref="S81" r:id="rId152" xr:uid="{00000000-0004-0000-0100-000097000000}"/>
    <hyperlink ref="R82" r:id="rId153" xr:uid="{00000000-0004-0000-0100-000098000000}"/>
    <hyperlink ref="S82" r:id="rId154" xr:uid="{00000000-0004-0000-0100-000099000000}"/>
    <hyperlink ref="R83" r:id="rId155" xr:uid="{00000000-0004-0000-0100-00009A000000}"/>
    <hyperlink ref="S83" r:id="rId156" xr:uid="{00000000-0004-0000-0100-00009B000000}"/>
    <hyperlink ref="R84" r:id="rId157" xr:uid="{00000000-0004-0000-0100-00009C000000}"/>
    <hyperlink ref="S84" r:id="rId158" xr:uid="{00000000-0004-0000-0100-00009D000000}"/>
    <hyperlink ref="R85" r:id="rId159" xr:uid="{00000000-0004-0000-0100-00009E000000}"/>
    <hyperlink ref="S85" r:id="rId160" xr:uid="{00000000-0004-0000-0100-00009F000000}"/>
    <hyperlink ref="R86" r:id="rId161" xr:uid="{00000000-0004-0000-0100-0000A0000000}"/>
    <hyperlink ref="S86" r:id="rId162" xr:uid="{00000000-0004-0000-0100-0000A1000000}"/>
    <hyperlink ref="R87" r:id="rId163" xr:uid="{00000000-0004-0000-0100-0000A2000000}"/>
    <hyperlink ref="S87" r:id="rId164" xr:uid="{00000000-0004-0000-0100-0000A3000000}"/>
    <hyperlink ref="R88" r:id="rId165" xr:uid="{00000000-0004-0000-0100-0000A4000000}"/>
    <hyperlink ref="S88" r:id="rId166" xr:uid="{00000000-0004-0000-0100-0000A5000000}"/>
    <hyperlink ref="R89" r:id="rId167" xr:uid="{00000000-0004-0000-0100-0000A6000000}"/>
    <hyperlink ref="S89" r:id="rId168" xr:uid="{00000000-0004-0000-0100-0000A7000000}"/>
    <hyperlink ref="R90" r:id="rId169" xr:uid="{00000000-0004-0000-0100-0000A8000000}"/>
    <hyperlink ref="S90" r:id="rId170" xr:uid="{00000000-0004-0000-0100-0000A9000000}"/>
    <hyperlink ref="R91" r:id="rId171" xr:uid="{00000000-0004-0000-0100-0000AA000000}"/>
    <hyperlink ref="S91" r:id="rId172" xr:uid="{00000000-0004-0000-0100-0000AB000000}"/>
    <hyperlink ref="R92" r:id="rId173" xr:uid="{00000000-0004-0000-0100-0000AC000000}"/>
    <hyperlink ref="S92" r:id="rId174" xr:uid="{00000000-0004-0000-0100-0000AD000000}"/>
    <hyperlink ref="R93" r:id="rId175" xr:uid="{00000000-0004-0000-0100-0000AE000000}"/>
    <hyperlink ref="S93" r:id="rId176" xr:uid="{00000000-0004-0000-0100-0000AF000000}"/>
    <hyperlink ref="R94" r:id="rId177" xr:uid="{00000000-0004-0000-0100-0000B0000000}"/>
    <hyperlink ref="S94" r:id="rId178" xr:uid="{00000000-0004-0000-0100-0000B1000000}"/>
    <hyperlink ref="R95" r:id="rId179" xr:uid="{00000000-0004-0000-0100-0000B2000000}"/>
    <hyperlink ref="S95" r:id="rId180" xr:uid="{00000000-0004-0000-0100-0000B3000000}"/>
    <hyperlink ref="R96" r:id="rId181" xr:uid="{00000000-0004-0000-0100-0000B4000000}"/>
    <hyperlink ref="S96" r:id="rId182" xr:uid="{00000000-0004-0000-0100-0000B5000000}"/>
    <hyperlink ref="R97" r:id="rId183" xr:uid="{00000000-0004-0000-0100-0000B6000000}"/>
    <hyperlink ref="S97" r:id="rId184" xr:uid="{00000000-0004-0000-0100-0000B7000000}"/>
    <hyperlink ref="R98" r:id="rId185" xr:uid="{00000000-0004-0000-0100-0000B8000000}"/>
    <hyperlink ref="S98" r:id="rId186" xr:uid="{00000000-0004-0000-0100-0000B9000000}"/>
    <hyperlink ref="R99" r:id="rId187" xr:uid="{00000000-0004-0000-0100-0000BA000000}"/>
    <hyperlink ref="S99" r:id="rId188" xr:uid="{00000000-0004-0000-0100-0000BB000000}"/>
    <hyperlink ref="R100" r:id="rId189" xr:uid="{00000000-0004-0000-0100-0000BC000000}"/>
    <hyperlink ref="S100" r:id="rId190" xr:uid="{00000000-0004-0000-0100-0000BD000000}"/>
    <hyperlink ref="R101" r:id="rId191" xr:uid="{00000000-0004-0000-0100-0000BE000000}"/>
    <hyperlink ref="S101" r:id="rId192" xr:uid="{00000000-0004-0000-0100-0000BF000000}"/>
    <hyperlink ref="R102" r:id="rId193" xr:uid="{00000000-0004-0000-0100-0000C0000000}"/>
    <hyperlink ref="S102" r:id="rId194" xr:uid="{00000000-0004-0000-0100-0000C1000000}"/>
    <hyperlink ref="R103" r:id="rId195" xr:uid="{00000000-0004-0000-0100-0000C2000000}"/>
    <hyperlink ref="S103" r:id="rId196" xr:uid="{00000000-0004-0000-0100-0000C3000000}"/>
    <hyperlink ref="R104" r:id="rId197" xr:uid="{00000000-0004-0000-0100-0000C4000000}"/>
    <hyperlink ref="S104" r:id="rId198" xr:uid="{00000000-0004-0000-0100-0000C5000000}"/>
    <hyperlink ref="R105" r:id="rId199" xr:uid="{00000000-0004-0000-0100-0000C6000000}"/>
    <hyperlink ref="S105" r:id="rId200" xr:uid="{00000000-0004-0000-0100-0000C7000000}"/>
    <hyperlink ref="R106" r:id="rId201" xr:uid="{00000000-0004-0000-0100-0000C8000000}"/>
    <hyperlink ref="S106" r:id="rId202" xr:uid="{00000000-0004-0000-0100-0000C9000000}"/>
    <hyperlink ref="R107" r:id="rId203" xr:uid="{00000000-0004-0000-0100-0000CA000000}"/>
    <hyperlink ref="S107" r:id="rId204" xr:uid="{00000000-0004-0000-0100-0000CB000000}"/>
    <hyperlink ref="R108" r:id="rId205" xr:uid="{00000000-0004-0000-0100-0000CC000000}"/>
    <hyperlink ref="S108" r:id="rId206" xr:uid="{00000000-0004-0000-0100-0000CD000000}"/>
    <hyperlink ref="R109" r:id="rId207" xr:uid="{00000000-0004-0000-0100-0000CE000000}"/>
    <hyperlink ref="S109" r:id="rId208" xr:uid="{00000000-0004-0000-0100-0000CF000000}"/>
    <hyperlink ref="R110" r:id="rId209" xr:uid="{00000000-0004-0000-0100-0000D0000000}"/>
    <hyperlink ref="S110" r:id="rId210" xr:uid="{00000000-0004-0000-0100-0000D1000000}"/>
    <hyperlink ref="R111" r:id="rId211" xr:uid="{00000000-0004-0000-0100-0000D2000000}"/>
    <hyperlink ref="S111" r:id="rId212" xr:uid="{00000000-0004-0000-0100-0000D3000000}"/>
    <hyperlink ref="R112" r:id="rId213" xr:uid="{00000000-0004-0000-0100-0000D4000000}"/>
    <hyperlink ref="S112" r:id="rId214" xr:uid="{00000000-0004-0000-0100-0000D5000000}"/>
    <hyperlink ref="R113" r:id="rId215" xr:uid="{00000000-0004-0000-0100-0000D6000000}"/>
    <hyperlink ref="S113" r:id="rId216" xr:uid="{00000000-0004-0000-0100-0000D7000000}"/>
    <hyperlink ref="R114" r:id="rId217" xr:uid="{00000000-0004-0000-0100-0000D8000000}"/>
    <hyperlink ref="S114" r:id="rId218" xr:uid="{00000000-0004-0000-0100-0000D9000000}"/>
    <hyperlink ref="R115" r:id="rId219" xr:uid="{00000000-0004-0000-0100-0000DA000000}"/>
    <hyperlink ref="S115" r:id="rId220" xr:uid="{00000000-0004-0000-0100-0000DB000000}"/>
    <hyperlink ref="R116" r:id="rId221" xr:uid="{00000000-0004-0000-0100-0000DC000000}"/>
    <hyperlink ref="S116" r:id="rId222" xr:uid="{00000000-0004-0000-0100-0000DD000000}"/>
    <hyperlink ref="R117" r:id="rId223" xr:uid="{00000000-0004-0000-0100-0000DE000000}"/>
    <hyperlink ref="S117" r:id="rId224" xr:uid="{00000000-0004-0000-0100-0000DF000000}"/>
    <hyperlink ref="R118" r:id="rId225" xr:uid="{00000000-0004-0000-0100-0000E0000000}"/>
    <hyperlink ref="S118" r:id="rId226" xr:uid="{00000000-0004-0000-0100-0000E1000000}"/>
    <hyperlink ref="R119" r:id="rId227" xr:uid="{00000000-0004-0000-0100-0000E2000000}"/>
    <hyperlink ref="S119" r:id="rId228" xr:uid="{00000000-0004-0000-0100-0000E3000000}"/>
    <hyperlink ref="R120" r:id="rId229" xr:uid="{00000000-0004-0000-0100-0000E4000000}"/>
    <hyperlink ref="S120" r:id="rId230" xr:uid="{00000000-0004-0000-0100-0000E5000000}"/>
    <hyperlink ref="R121" r:id="rId231" xr:uid="{00000000-0004-0000-0100-0000E6000000}"/>
    <hyperlink ref="S121" r:id="rId232" xr:uid="{00000000-0004-0000-0100-0000E7000000}"/>
    <hyperlink ref="R122" r:id="rId233" xr:uid="{00000000-0004-0000-0100-0000E8000000}"/>
    <hyperlink ref="S122" r:id="rId234" xr:uid="{00000000-0004-0000-0100-0000E9000000}"/>
    <hyperlink ref="R123" r:id="rId235" xr:uid="{00000000-0004-0000-0100-0000EA000000}"/>
    <hyperlink ref="S123" r:id="rId236" xr:uid="{00000000-0004-0000-0100-0000EB000000}"/>
    <hyperlink ref="R124" r:id="rId237" xr:uid="{00000000-0004-0000-0100-0000EC000000}"/>
    <hyperlink ref="S124" r:id="rId238" xr:uid="{00000000-0004-0000-0100-0000ED000000}"/>
    <hyperlink ref="R125" r:id="rId239" xr:uid="{00000000-0004-0000-0100-0000EE000000}"/>
    <hyperlink ref="S125" r:id="rId240" xr:uid="{00000000-0004-0000-0100-0000EF000000}"/>
    <hyperlink ref="R126" r:id="rId241" xr:uid="{00000000-0004-0000-0100-0000F0000000}"/>
    <hyperlink ref="S126" r:id="rId242" xr:uid="{00000000-0004-0000-0100-0000F1000000}"/>
    <hyperlink ref="R127" r:id="rId243" xr:uid="{00000000-0004-0000-0100-0000F2000000}"/>
    <hyperlink ref="S127" r:id="rId244" xr:uid="{00000000-0004-0000-0100-0000F3000000}"/>
    <hyperlink ref="R128" r:id="rId245" xr:uid="{00000000-0004-0000-0100-0000F4000000}"/>
    <hyperlink ref="S128" r:id="rId246" xr:uid="{00000000-0004-0000-0100-0000F5000000}"/>
    <hyperlink ref="R129" r:id="rId247" xr:uid="{00000000-0004-0000-0100-0000F6000000}"/>
    <hyperlink ref="S129" r:id="rId248" xr:uid="{00000000-0004-0000-0100-0000F7000000}"/>
    <hyperlink ref="R130" r:id="rId249" xr:uid="{00000000-0004-0000-0100-0000F8000000}"/>
    <hyperlink ref="S130" r:id="rId250" xr:uid="{00000000-0004-0000-0100-0000F9000000}"/>
    <hyperlink ref="R131" r:id="rId251" xr:uid="{00000000-0004-0000-0100-0000FA000000}"/>
    <hyperlink ref="S131" r:id="rId252" xr:uid="{00000000-0004-0000-0100-0000FB000000}"/>
  </hyperlinks>
  <pageMargins left="0.7" right="0.7" top="0.75" bottom="0.75" header="0.3" footer="0.3"/>
  <drawing r:id="rId253"/>
  <legacyDrawing r:id="rId2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78"/>
  </sheetPr>
  <dimension ref="A1:AT24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12" customWidth="1"/>
    <col min="3" max="3" width="10" customWidth="1"/>
    <col min="4" max="4" width="12" customWidth="1"/>
    <col min="5" max="5" width="15" customWidth="1"/>
    <col min="6" max="6" width="20" customWidth="1"/>
    <col min="7" max="7" width="24" customWidth="1"/>
    <col min="8" max="8" width="25" customWidth="1"/>
    <col min="9" max="9" width="30" customWidth="1"/>
    <col min="10" max="10" width="26" customWidth="1"/>
    <col min="11" max="11" width="32" customWidth="1"/>
    <col min="12" max="12" width="25" customWidth="1"/>
    <col min="13" max="13" width="23" customWidth="1"/>
    <col min="14" max="14" width="18" customWidth="1"/>
    <col min="15" max="15" width="36" customWidth="1"/>
    <col min="16" max="16" width="72" customWidth="1"/>
    <col min="17" max="17" width="42" customWidth="1"/>
    <col min="18" max="18" width="34" customWidth="1"/>
    <col min="19" max="19" width="48" customWidth="1"/>
    <col min="20" max="20" width="55" customWidth="1"/>
    <col min="21" max="21" width="44" customWidth="1"/>
    <col min="22" max="22" width="20" customWidth="1"/>
    <col min="23" max="23" width="18" customWidth="1"/>
    <col min="24" max="24" width="42" customWidth="1"/>
    <col min="25" max="25" width="20" customWidth="1"/>
    <col min="26" max="27" width="30" customWidth="1"/>
    <col min="28" max="28" width="34" customWidth="1"/>
    <col min="29" max="29" width="30" customWidth="1"/>
    <col min="30" max="30" width="32" customWidth="1"/>
    <col min="31" max="31" width="36" customWidth="1"/>
    <col min="32" max="32" width="34" customWidth="1"/>
    <col min="33" max="33" width="42" customWidth="1"/>
    <col min="34" max="34" width="22" customWidth="1"/>
    <col min="35" max="35" width="42" customWidth="1"/>
    <col min="36" max="36" width="18" customWidth="1"/>
    <col min="37" max="37" width="26" customWidth="1"/>
    <col min="38" max="38" width="30" customWidth="1"/>
    <col min="39" max="39" width="18" customWidth="1"/>
    <col min="40" max="42" width="22" customWidth="1"/>
    <col min="43" max="43" width="32" customWidth="1"/>
    <col min="44" max="44" width="30" customWidth="1"/>
    <col min="45" max="45" width="44" customWidth="1"/>
    <col min="46" max="46" width="24" customWidth="1"/>
  </cols>
  <sheetData>
    <row r="1" spans="1:46" ht="30" customHeight="1" x14ac:dyDescent="0.3">
      <c r="A1" s="52" t="s">
        <v>1052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</row>
    <row r="2" spans="1:46" ht="21.95" customHeight="1" x14ac:dyDescent="0.3">
      <c r="A2" s="62" t="s">
        <v>1053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</row>
    <row r="3" spans="1:46" ht="42" customHeight="1" x14ac:dyDescent="0.3">
      <c r="A3" s="64" t="s">
        <v>1054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</row>
    <row r="4" spans="1:46" ht="24" customHeight="1" x14ac:dyDescent="0.3">
      <c r="A4" s="63" t="s">
        <v>1055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61" t="s">
        <v>1056</v>
      </c>
      <c r="W4" s="50"/>
      <c r="X4" s="50"/>
      <c r="Y4" s="50"/>
      <c r="Z4" s="50"/>
      <c r="AA4" s="50"/>
      <c r="AB4" s="50"/>
      <c r="AC4" s="50"/>
      <c r="AD4" s="50"/>
      <c r="AE4" s="50"/>
      <c r="AF4" s="65" t="s">
        <v>1057</v>
      </c>
      <c r="AG4" s="50"/>
      <c r="AH4" s="50"/>
      <c r="AI4" s="68" t="s">
        <v>1058</v>
      </c>
      <c r="AJ4" s="50"/>
      <c r="AK4" s="50"/>
      <c r="AL4" s="66" t="s">
        <v>1059</v>
      </c>
      <c r="AM4" s="50"/>
      <c r="AN4" s="50"/>
      <c r="AO4" s="50"/>
      <c r="AP4" s="50"/>
      <c r="AQ4" s="50"/>
      <c r="AR4" s="67" t="s">
        <v>1060</v>
      </c>
      <c r="AS4" s="50"/>
      <c r="AT4" s="50"/>
    </row>
    <row r="5" spans="1:46" ht="42" customHeight="1" x14ac:dyDescent="0.3">
      <c r="A5" s="2" t="s">
        <v>51</v>
      </c>
      <c r="B5" s="2" t="s">
        <v>1061</v>
      </c>
      <c r="C5" s="2" t="s">
        <v>1062</v>
      </c>
      <c r="D5" s="2" t="s">
        <v>1063</v>
      </c>
      <c r="E5" s="2" t="s">
        <v>1064</v>
      </c>
      <c r="F5" s="2" t="s">
        <v>1065</v>
      </c>
      <c r="G5" s="2" t="s">
        <v>1066</v>
      </c>
      <c r="H5" s="2" t="s">
        <v>1067</v>
      </c>
      <c r="I5" s="2" t="s">
        <v>1068</v>
      </c>
      <c r="J5" s="2" t="s">
        <v>1069</v>
      </c>
      <c r="K5" s="2" t="s">
        <v>1070</v>
      </c>
      <c r="L5" s="2" t="s">
        <v>1071</v>
      </c>
      <c r="M5" s="2" t="s">
        <v>1072</v>
      </c>
      <c r="N5" s="2" t="s">
        <v>1073</v>
      </c>
      <c r="O5" s="2" t="s">
        <v>1074</v>
      </c>
      <c r="P5" s="2" t="s">
        <v>1075</v>
      </c>
      <c r="Q5" s="2" t="s">
        <v>1076</v>
      </c>
      <c r="R5" s="2" t="s">
        <v>67</v>
      </c>
      <c r="S5" s="2" t="s">
        <v>68</v>
      </c>
      <c r="T5" s="2" t="s">
        <v>69</v>
      </c>
      <c r="U5" s="2" t="s">
        <v>70</v>
      </c>
      <c r="V5" s="2" t="s">
        <v>1077</v>
      </c>
      <c r="W5" s="2" t="s">
        <v>1078</v>
      </c>
      <c r="X5" s="2" t="s">
        <v>1079</v>
      </c>
      <c r="Y5" s="2" t="s">
        <v>1080</v>
      </c>
      <c r="Z5" s="2" t="s">
        <v>1081</v>
      </c>
      <c r="AA5" s="2" t="s">
        <v>1082</v>
      </c>
      <c r="AB5" s="2" t="s">
        <v>1083</v>
      </c>
      <c r="AC5" s="2" t="s">
        <v>1084</v>
      </c>
      <c r="AD5" s="2" t="s">
        <v>1085</v>
      </c>
      <c r="AE5" s="2" t="s">
        <v>1086</v>
      </c>
      <c r="AF5" s="2" t="s">
        <v>1087</v>
      </c>
      <c r="AG5" s="2" t="s">
        <v>1088</v>
      </c>
      <c r="AH5" s="2" t="s">
        <v>1089</v>
      </c>
      <c r="AI5" s="2" t="s">
        <v>1090</v>
      </c>
      <c r="AJ5" s="2" t="s">
        <v>1091</v>
      </c>
      <c r="AK5" s="2" t="s">
        <v>1092</v>
      </c>
      <c r="AL5" s="2" t="s">
        <v>1093</v>
      </c>
      <c r="AM5" s="2" t="s">
        <v>1094</v>
      </c>
      <c r="AN5" s="2" t="s">
        <v>1095</v>
      </c>
      <c r="AO5" s="2" t="s">
        <v>1096</v>
      </c>
      <c r="AP5" s="2" t="s">
        <v>1097</v>
      </c>
      <c r="AQ5" s="2" t="s">
        <v>1098</v>
      </c>
      <c r="AR5" s="2" t="s">
        <v>1099</v>
      </c>
      <c r="AS5" s="2" t="s">
        <v>1100</v>
      </c>
      <c r="AT5" s="2" t="s">
        <v>1101</v>
      </c>
    </row>
    <row r="6" spans="1:46" ht="104.1" customHeight="1" x14ac:dyDescent="0.3">
      <c r="A6" s="3">
        <v>1</v>
      </c>
      <c r="B6" s="4" t="s">
        <v>1102</v>
      </c>
      <c r="C6" s="4" t="s">
        <v>1103</v>
      </c>
      <c r="D6" s="4" t="s">
        <v>1104</v>
      </c>
      <c r="E6" s="4" t="s">
        <v>1105</v>
      </c>
      <c r="F6" s="4" t="s">
        <v>1106</v>
      </c>
      <c r="G6" s="4" t="s">
        <v>89</v>
      </c>
      <c r="H6" s="4" t="s">
        <v>1107</v>
      </c>
      <c r="I6" s="4" t="s">
        <v>1108</v>
      </c>
      <c r="J6" s="4" t="s">
        <v>1109</v>
      </c>
      <c r="K6" s="4" t="s">
        <v>1110</v>
      </c>
      <c r="L6" s="4" t="s">
        <v>1111</v>
      </c>
      <c r="M6" s="4" t="s">
        <v>1112</v>
      </c>
      <c r="N6" s="4" t="s">
        <v>1113</v>
      </c>
      <c r="O6" s="4" t="s">
        <v>1114</v>
      </c>
      <c r="P6" s="4" t="s">
        <v>1115</v>
      </c>
      <c r="Q6" s="4" t="s">
        <v>1116</v>
      </c>
      <c r="R6" s="4" t="s">
        <v>1117</v>
      </c>
      <c r="S6" s="6" t="s">
        <v>1118</v>
      </c>
      <c r="T6" s="6" t="s">
        <v>1119</v>
      </c>
      <c r="U6" s="4"/>
      <c r="V6" s="6" t="s">
        <v>1120</v>
      </c>
      <c r="W6" s="6" t="s">
        <v>1121</v>
      </c>
      <c r="X6" s="6" t="s">
        <v>1122</v>
      </c>
      <c r="Y6" s="6" t="s">
        <v>1123</v>
      </c>
      <c r="Z6" s="6" t="s">
        <v>1124</v>
      </c>
      <c r="AA6" s="6" t="s">
        <v>1125</v>
      </c>
      <c r="AB6" s="6" t="s">
        <v>1126</v>
      </c>
      <c r="AC6" s="6" t="s">
        <v>1127</v>
      </c>
      <c r="AD6" s="6" t="s">
        <v>1128</v>
      </c>
      <c r="AE6" s="6" t="s">
        <v>1129</v>
      </c>
      <c r="AF6" s="6" t="s">
        <v>1130</v>
      </c>
      <c r="AG6" s="6" t="s">
        <v>1131</v>
      </c>
      <c r="AH6" s="6" t="s">
        <v>1132</v>
      </c>
      <c r="AI6" s="36" t="s">
        <v>182</v>
      </c>
      <c r="AJ6" s="6" t="s">
        <v>742</v>
      </c>
      <c r="AK6" s="6" t="s">
        <v>1133</v>
      </c>
      <c r="AL6" s="6" t="s">
        <v>1134</v>
      </c>
      <c r="AM6" s="6" t="s">
        <v>1135</v>
      </c>
      <c r="AN6" s="6" t="s">
        <v>1136</v>
      </c>
      <c r="AO6" s="6" t="s">
        <v>1137</v>
      </c>
      <c r="AP6" s="6" t="s">
        <v>1138</v>
      </c>
      <c r="AQ6" s="6" t="s">
        <v>1139</v>
      </c>
      <c r="AR6" s="6" t="s">
        <v>1140</v>
      </c>
      <c r="AS6" s="6" t="s">
        <v>1141</v>
      </c>
      <c r="AT6" s="6" t="s">
        <v>1103</v>
      </c>
    </row>
    <row r="7" spans="1:46" ht="104.1" customHeight="1" x14ac:dyDescent="0.3">
      <c r="A7" s="7">
        <v>2</v>
      </c>
      <c r="B7" s="8" t="s">
        <v>1102</v>
      </c>
      <c r="C7" s="8" t="s">
        <v>1103</v>
      </c>
      <c r="D7" s="8" t="s">
        <v>1142</v>
      </c>
      <c r="E7" s="8" t="s">
        <v>1143</v>
      </c>
      <c r="F7" s="8" t="s">
        <v>1144</v>
      </c>
      <c r="G7" s="8" t="s">
        <v>1145</v>
      </c>
      <c r="H7" s="8" t="s">
        <v>1107</v>
      </c>
      <c r="I7" s="8" t="s">
        <v>1108</v>
      </c>
      <c r="J7" s="8" t="s">
        <v>1109</v>
      </c>
      <c r="K7" s="8" t="s">
        <v>1110</v>
      </c>
      <c r="L7" s="8" t="s">
        <v>1111</v>
      </c>
      <c r="M7" s="8" t="s">
        <v>1112</v>
      </c>
      <c r="N7" s="8" t="s">
        <v>1113</v>
      </c>
      <c r="O7" s="8" t="s">
        <v>1146</v>
      </c>
      <c r="P7" s="8" t="s">
        <v>1147</v>
      </c>
      <c r="Q7" s="8" t="s">
        <v>1116</v>
      </c>
      <c r="R7" s="8" t="s">
        <v>1117</v>
      </c>
      <c r="S7" s="9" t="s">
        <v>1118</v>
      </c>
      <c r="T7" s="9" t="s">
        <v>1148</v>
      </c>
      <c r="U7" s="8" t="s">
        <v>1149</v>
      </c>
      <c r="V7" s="9" t="s">
        <v>1120</v>
      </c>
      <c r="W7" s="9" t="s">
        <v>1121</v>
      </c>
      <c r="X7" s="9" t="s">
        <v>1150</v>
      </c>
      <c r="Y7" s="9" t="s">
        <v>1123</v>
      </c>
      <c r="Z7" s="9" t="s">
        <v>1124</v>
      </c>
      <c r="AA7" s="9" t="s">
        <v>1125</v>
      </c>
      <c r="AB7" s="36" t="s">
        <v>1151</v>
      </c>
      <c r="AC7" s="9" t="s">
        <v>1127</v>
      </c>
      <c r="AD7" s="9" t="s">
        <v>1128</v>
      </c>
      <c r="AE7" s="9" t="s">
        <v>1129</v>
      </c>
      <c r="AF7" s="9" t="s">
        <v>1130</v>
      </c>
      <c r="AG7" s="9" t="s">
        <v>1131</v>
      </c>
      <c r="AH7" s="9" t="s">
        <v>1132</v>
      </c>
      <c r="AI7" s="36" t="s">
        <v>182</v>
      </c>
      <c r="AJ7" s="9" t="s">
        <v>742</v>
      </c>
      <c r="AK7" s="9" t="s">
        <v>1133</v>
      </c>
      <c r="AL7" s="9" t="s">
        <v>1152</v>
      </c>
      <c r="AM7" s="9" t="s">
        <v>1153</v>
      </c>
      <c r="AN7" s="9" t="s">
        <v>1136</v>
      </c>
      <c r="AO7" s="9" t="s">
        <v>1137</v>
      </c>
      <c r="AP7" s="9" t="s">
        <v>1138</v>
      </c>
      <c r="AQ7" s="9" t="s">
        <v>1154</v>
      </c>
      <c r="AR7" s="9" t="s">
        <v>1140</v>
      </c>
      <c r="AS7" s="9" t="s">
        <v>1141</v>
      </c>
      <c r="AT7" s="9" t="s">
        <v>1155</v>
      </c>
    </row>
    <row r="8" spans="1:46" ht="104.1" customHeight="1" x14ac:dyDescent="0.3">
      <c r="A8" s="3">
        <v>3</v>
      </c>
      <c r="B8" s="4" t="s">
        <v>1102</v>
      </c>
      <c r="C8" s="4" t="s">
        <v>1103</v>
      </c>
      <c r="D8" s="4" t="s">
        <v>1156</v>
      </c>
      <c r="E8" s="4" t="s">
        <v>1157</v>
      </c>
      <c r="F8" s="4" t="s">
        <v>1158</v>
      </c>
      <c r="G8" s="4" t="s">
        <v>89</v>
      </c>
      <c r="H8" s="4" t="s">
        <v>1107</v>
      </c>
      <c r="I8" s="4" t="s">
        <v>1108</v>
      </c>
      <c r="J8" s="4" t="s">
        <v>1109</v>
      </c>
      <c r="K8" s="4" t="s">
        <v>1110</v>
      </c>
      <c r="L8" s="4" t="s">
        <v>1111</v>
      </c>
      <c r="M8" s="4" t="s">
        <v>1112</v>
      </c>
      <c r="N8" s="4" t="s">
        <v>1159</v>
      </c>
      <c r="O8" s="4" t="s">
        <v>1160</v>
      </c>
      <c r="P8" s="4" t="s">
        <v>1115</v>
      </c>
      <c r="Q8" s="4" t="s">
        <v>1116</v>
      </c>
      <c r="R8" s="4" t="s">
        <v>1117</v>
      </c>
      <c r="S8" s="6" t="s">
        <v>1118</v>
      </c>
      <c r="T8" s="6" t="s">
        <v>1161</v>
      </c>
      <c r="U8" s="4" t="s">
        <v>1162</v>
      </c>
      <c r="V8" s="6" t="s">
        <v>1120</v>
      </c>
      <c r="W8" s="6" t="s">
        <v>1121</v>
      </c>
      <c r="X8" s="6" t="s">
        <v>1163</v>
      </c>
      <c r="Y8" s="6" t="s">
        <v>1123</v>
      </c>
      <c r="Z8" s="6" t="s">
        <v>1124</v>
      </c>
      <c r="AA8" s="6" t="s">
        <v>1125</v>
      </c>
      <c r="AB8" s="6" t="s">
        <v>1126</v>
      </c>
      <c r="AC8" s="6" t="s">
        <v>1127</v>
      </c>
      <c r="AD8" s="6" t="s">
        <v>1128</v>
      </c>
      <c r="AE8" s="6" t="s">
        <v>1129</v>
      </c>
      <c r="AF8" s="6" t="s">
        <v>1130</v>
      </c>
      <c r="AG8" s="6" t="s">
        <v>1131</v>
      </c>
      <c r="AH8" s="6" t="s">
        <v>1164</v>
      </c>
      <c r="AI8" s="36" t="s">
        <v>182</v>
      </c>
      <c r="AJ8" s="6" t="s">
        <v>742</v>
      </c>
      <c r="AK8" s="6" t="s">
        <v>1133</v>
      </c>
      <c r="AL8" s="6" t="s">
        <v>1134</v>
      </c>
      <c r="AM8" s="6" t="s">
        <v>1165</v>
      </c>
      <c r="AN8" s="6" t="s">
        <v>1136</v>
      </c>
      <c r="AO8" s="6" t="s">
        <v>1137</v>
      </c>
      <c r="AP8" s="6" t="s">
        <v>1138</v>
      </c>
      <c r="AQ8" s="6" t="s">
        <v>1139</v>
      </c>
      <c r="AR8" s="6" t="s">
        <v>1140</v>
      </c>
      <c r="AS8" s="6" t="s">
        <v>1141</v>
      </c>
      <c r="AT8" s="6" t="s">
        <v>1166</v>
      </c>
    </row>
    <row r="9" spans="1:46" ht="104.1" customHeight="1" x14ac:dyDescent="0.3">
      <c r="A9" s="7">
        <v>4</v>
      </c>
      <c r="B9" s="8" t="s">
        <v>1102</v>
      </c>
      <c r="C9" s="8" t="s">
        <v>1103</v>
      </c>
      <c r="D9" s="8" t="s">
        <v>1167</v>
      </c>
      <c r="E9" s="8" t="s">
        <v>1168</v>
      </c>
      <c r="F9" s="8" t="s">
        <v>1106</v>
      </c>
      <c r="G9" s="8" t="s">
        <v>89</v>
      </c>
      <c r="H9" s="8" t="s">
        <v>1169</v>
      </c>
      <c r="I9" s="8" t="s">
        <v>1170</v>
      </c>
      <c r="J9" s="8" t="s">
        <v>1171</v>
      </c>
      <c r="K9" s="8" t="s">
        <v>1172</v>
      </c>
      <c r="L9" s="8" t="s">
        <v>1173</v>
      </c>
      <c r="M9" s="8" t="s">
        <v>1174</v>
      </c>
      <c r="N9" s="8" t="s">
        <v>1113</v>
      </c>
      <c r="O9" s="8" t="s">
        <v>1175</v>
      </c>
      <c r="P9" s="8" t="s">
        <v>1115</v>
      </c>
      <c r="Q9" s="8" t="s">
        <v>1116</v>
      </c>
      <c r="R9" s="8" t="s">
        <v>1117</v>
      </c>
      <c r="S9" s="9" t="s">
        <v>1118</v>
      </c>
      <c r="T9" s="9" t="s">
        <v>1176</v>
      </c>
      <c r="U9" s="8"/>
      <c r="V9" s="9" t="s">
        <v>1120</v>
      </c>
      <c r="W9" s="9" t="s">
        <v>1121</v>
      </c>
      <c r="X9" s="9" t="s">
        <v>1177</v>
      </c>
      <c r="Y9" s="9" t="s">
        <v>1178</v>
      </c>
      <c r="Z9" s="9" t="s">
        <v>1179</v>
      </c>
      <c r="AA9" s="9" t="s">
        <v>1180</v>
      </c>
      <c r="AB9" s="9" t="s">
        <v>1181</v>
      </c>
      <c r="AC9" s="9" t="s">
        <v>1127</v>
      </c>
      <c r="AD9" s="9" t="s">
        <v>1182</v>
      </c>
      <c r="AE9" s="9" t="s">
        <v>1129</v>
      </c>
      <c r="AF9" s="9" t="s">
        <v>1183</v>
      </c>
      <c r="AG9" s="9" t="s">
        <v>1184</v>
      </c>
      <c r="AH9" s="9" t="s">
        <v>1185</v>
      </c>
      <c r="AI9" s="36" t="s">
        <v>182</v>
      </c>
      <c r="AJ9" s="9" t="s">
        <v>742</v>
      </c>
      <c r="AK9" s="9" t="s">
        <v>1186</v>
      </c>
      <c r="AL9" s="9" t="s">
        <v>1187</v>
      </c>
      <c r="AM9" s="9" t="s">
        <v>1188</v>
      </c>
      <c r="AN9" s="9" t="s">
        <v>1136</v>
      </c>
      <c r="AO9" s="9" t="s">
        <v>1137</v>
      </c>
      <c r="AP9" s="9" t="s">
        <v>1138</v>
      </c>
      <c r="AQ9" s="9" t="s">
        <v>1189</v>
      </c>
      <c r="AR9" s="9" t="s">
        <v>1140</v>
      </c>
      <c r="AS9" s="9" t="s">
        <v>1190</v>
      </c>
      <c r="AT9" s="9" t="s">
        <v>1103</v>
      </c>
    </row>
    <row r="10" spans="1:46" ht="104.1" customHeight="1" x14ac:dyDescent="0.3">
      <c r="A10" s="3">
        <v>5</v>
      </c>
      <c r="B10" s="4" t="s">
        <v>1102</v>
      </c>
      <c r="C10" s="4" t="s">
        <v>1103</v>
      </c>
      <c r="D10" s="4" t="s">
        <v>1191</v>
      </c>
      <c r="E10" s="4" t="s">
        <v>1192</v>
      </c>
      <c r="F10" s="4" t="s">
        <v>1106</v>
      </c>
      <c r="G10" s="4" t="s">
        <v>89</v>
      </c>
      <c r="H10" s="4" t="s">
        <v>1169</v>
      </c>
      <c r="I10" s="4" t="s">
        <v>1170</v>
      </c>
      <c r="J10" s="4" t="s">
        <v>1171</v>
      </c>
      <c r="K10" s="4" t="s">
        <v>1193</v>
      </c>
      <c r="L10" s="4" t="s">
        <v>1194</v>
      </c>
      <c r="M10" s="4" t="s">
        <v>1174</v>
      </c>
      <c r="N10" s="4" t="s">
        <v>1113</v>
      </c>
      <c r="O10" s="4" t="s">
        <v>1195</v>
      </c>
      <c r="P10" s="4" t="s">
        <v>1115</v>
      </c>
      <c r="Q10" s="4" t="s">
        <v>1116</v>
      </c>
      <c r="R10" s="4" t="s">
        <v>1117</v>
      </c>
      <c r="S10" s="6" t="s">
        <v>1118</v>
      </c>
      <c r="T10" s="6" t="s">
        <v>1196</v>
      </c>
      <c r="U10" s="4"/>
      <c r="V10" s="6" t="s">
        <v>1120</v>
      </c>
      <c r="W10" s="6" t="s">
        <v>1121</v>
      </c>
      <c r="X10" s="6" t="s">
        <v>1197</v>
      </c>
      <c r="Y10" s="6" t="s">
        <v>1198</v>
      </c>
      <c r="Z10" s="6" t="s">
        <v>1179</v>
      </c>
      <c r="AA10" s="6" t="s">
        <v>1199</v>
      </c>
      <c r="AB10" s="6" t="s">
        <v>1200</v>
      </c>
      <c r="AC10" s="6" t="s">
        <v>1127</v>
      </c>
      <c r="AD10" s="6" t="s">
        <v>1201</v>
      </c>
      <c r="AE10" s="6" t="s">
        <v>1202</v>
      </c>
      <c r="AF10" s="6" t="s">
        <v>1203</v>
      </c>
      <c r="AG10" s="6" t="s">
        <v>1204</v>
      </c>
      <c r="AH10" s="6" t="s">
        <v>1205</v>
      </c>
      <c r="AI10" s="36" t="s">
        <v>182</v>
      </c>
      <c r="AJ10" s="6" t="s">
        <v>431</v>
      </c>
      <c r="AK10" s="6" t="s">
        <v>1206</v>
      </c>
      <c r="AL10" s="6" t="s">
        <v>1207</v>
      </c>
      <c r="AM10" s="6" t="s">
        <v>1208</v>
      </c>
      <c r="AN10" s="6" t="s">
        <v>1136</v>
      </c>
      <c r="AO10" s="6" t="s">
        <v>1137</v>
      </c>
      <c r="AP10" s="6" t="s">
        <v>1138</v>
      </c>
      <c r="AQ10" s="6" t="s">
        <v>1209</v>
      </c>
      <c r="AR10" s="6" t="s">
        <v>1140</v>
      </c>
      <c r="AS10" s="6" t="s">
        <v>1210</v>
      </c>
      <c r="AT10" s="6" t="s">
        <v>1103</v>
      </c>
    </row>
    <row r="11" spans="1:46" ht="104.1" customHeight="1" x14ac:dyDescent="0.3">
      <c r="A11" s="7">
        <v>6</v>
      </c>
      <c r="B11" s="8" t="s">
        <v>1102</v>
      </c>
      <c r="C11" s="8" t="s">
        <v>1211</v>
      </c>
      <c r="D11" s="8" t="s">
        <v>1212</v>
      </c>
      <c r="E11" s="8" t="s">
        <v>1213</v>
      </c>
      <c r="F11" s="8" t="s">
        <v>1106</v>
      </c>
      <c r="G11" s="8" t="s">
        <v>89</v>
      </c>
      <c r="H11" s="8" t="s">
        <v>1169</v>
      </c>
      <c r="I11" s="8" t="s">
        <v>1170</v>
      </c>
      <c r="J11" s="8" t="s">
        <v>1171</v>
      </c>
      <c r="K11" s="8" t="s">
        <v>1172</v>
      </c>
      <c r="L11" s="8" t="s">
        <v>1214</v>
      </c>
      <c r="M11" s="8" t="s">
        <v>1215</v>
      </c>
      <c r="N11" s="8" t="s">
        <v>1216</v>
      </c>
      <c r="O11" s="8" t="s">
        <v>1217</v>
      </c>
      <c r="P11" s="8" t="s">
        <v>1115</v>
      </c>
      <c r="Q11" s="8" t="s">
        <v>1218</v>
      </c>
      <c r="R11" s="8" t="s">
        <v>1117</v>
      </c>
      <c r="S11" s="9" t="s">
        <v>1118</v>
      </c>
      <c r="T11" s="9" t="s">
        <v>1219</v>
      </c>
      <c r="U11" s="8"/>
      <c r="V11" s="9" t="s">
        <v>1120</v>
      </c>
      <c r="W11" s="9" t="s">
        <v>1121</v>
      </c>
      <c r="X11" s="9" t="s">
        <v>1220</v>
      </c>
      <c r="Y11" s="9" t="s">
        <v>1198</v>
      </c>
      <c r="Z11" s="9" t="s">
        <v>1179</v>
      </c>
      <c r="AA11" s="9" t="s">
        <v>1180</v>
      </c>
      <c r="AB11" s="9" t="s">
        <v>1221</v>
      </c>
      <c r="AC11" s="9" t="s">
        <v>1127</v>
      </c>
      <c r="AD11" s="9" t="s">
        <v>1182</v>
      </c>
      <c r="AE11" s="9" t="s">
        <v>1129</v>
      </c>
      <c r="AF11" s="9" t="s">
        <v>1222</v>
      </c>
      <c r="AG11" s="9" t="s">
        <v>1223</v>
      </c>
      <c r="AH11" s="9" t="s">
        <v>1224</v>
      </c>
      <c r="AI11" s="9" t="s">
        <v>1225</v>
      </c>
      <c r="AJ11" s="9" t="s">
        <v>742</v>
      </c>
      <c r="AK11" s="9" t="s">
        <v>1226</v>
      </c>
      <c r="AL11" s="9" t="s">
        <v>1227</v>
      </c>
      <c r="AM11" s="9" t="s">
        <v>1228</v>
      </c>
      <c r="AN11" s="9" t="s">
        <v>1229</v>
      </c>
      <c r="AO11" s="9" t="s">
        <v>1137</v>
      </c>
      <c r="AP11" s="9" t="s">
        <v>1138</v>
      </c>
      <c r="AQ11" s="9" t="s">
        <v>1230</v>
      </c>
      <c r="AR11" s="36" t="s">
        <v>182</v>
      </c>
      <c r="AS11" s="9" t="s">
        <v>1231</v>
      </c>
      <c r="AT11" s="9" t="s">
        <v>1232</v>
      </c>
    </row>
    <row r="12" spans="1:46" ht="104.1" customHeight="1" x14ac:dyDescent="0.3">
      <c r="A12" s="3">
        <v>7</v>
      </c>
      <c r="B12" s="4" t="s">
        <v>1102</v>
      </c>
      <c r="C12" s="4" t="s">
        <v>1211</v>
      </c>
      <c r="D12" s="4" t="s">
        <v>1233</v>
      </c>
      <c r="E12" s="4" t="s">
        <v>1234</v>
      </c>
      <c r="F12" s="4" t="s">
        <v>1144</v>
      </c>
      <c r="G12" s="4" t="s">
        <v>1235</v>
      </c>
      <c r="H12" s="4" t="s">
        <v>1169</v>
      </c>
      <c r="I12" s="4" t="s">
        <v>1170</v>
      </c>
      <c r="J12" s="4" t="s">
        <v>1171</v>
      </c>
      <c r="K12" s="4" t="s">
        <v>1172</v>
      </c>
      <c r="L12" s="4" t="s">
        <v>1214</v>
      </c>
      <c r="M12" s="4" t="s">
        <v>1215</v>
      </c>
      <c r="N12" s="4" t="s">
        <v>1216</v>
      </c>
      <c r="O12" s="4" t="s">
        <v>1236</v>
      </c>
      <c r="P12" s="4" t="s">
        <v>1237</v>
      </c>
      <c r="Q12" s="4" t="s">
        <v>1218</v>
      </c>
      <c r="R12" s="4" t="s">
        <v>1117</v>
      </c>
      <c r="S12" s="6" t="s">
        <v>1118</v>
      </c>
      <c r="T12" s="6" t="s">
        <v>1238</v>
      </c>
      <c r="U12" s="4" t="s">
        <v>1149</v>
      </c>
      <c r="V12" s="6" t="s">
        <v>1120</v>
      </c>
      <c r="W12" s="6" t="s">
        <v>1121</v>
      </c>
      <c r="X12" s="6" t="s">
        <v>1239</v>
      </c>
      <c r="Y12" s="6" t="s">
        <v>1198</v>
      </c>
      <c r="Z12" s="6" t="s">
        <v>1179</v>
      </c>
      <c r="AA12" s="6" t="s">
        <v>1180</v>
      </c>
      <c r="AB12" s="36" t="s">
        <v>1240</v>
      </c>
      <c r="AC12" s="6" t="s">
        <v>1127</v>
      </c>
      <c r="AD12" s="6" t="s">
        <v>1182</v>
      </c>
      <c r="AE12" s="6" t="s">
        <v>1129</v>
      </c>
      <c r="AF12" s="6" t="s">
        <v>1222</v>
      </c>
      <c r="AG12" s="6" t="s">
        <v>1223</v>
      </c>
      <c r="AH12" s="6" t="s">
        <v>1224</v>
      </c>
      <c r="AI12" s="6" t="s">
        <v>1225</v>
      </c>
      <c r="AJ12" s="6" t="s">
        <v>742</v>
      </c>
      <c r="AK12" s="6" t="s">
        <v>1226</v>
      </c>
      <c r="AL12" s="6" t="s">
        <v>1227</v>
      </c>
      <c r="AM12" s="6" t="s">
        <v>1165</v>
      </c>
      <c r="AN12" s="6" t="s">
        <v>1229</v>
      </c>
      <c r="AO12" s="6" t="s">
        <v>1137</v>
      </c>
      <c r="AP12" s="6" t="s">
        <v>1138</v>
      </c>
      <c r="AQ12" s="6" t="s">
        <v>1230</v>
      </c>
      <c r="AR12" s="36" t="s">
        <v>182</v>
      </c>
      <c r="AS12" s="6" t="s">
        <v>1231</v>
      </c>
      <c r="AT12" s="6" t="s">
        <v>1241</v>
      </c>
    </row>
    <row r="13" spans="1:46" ht="104.1" customHeight="1" x14ac:dyDescent="0.3">
      <c r="A13" s="7">
        <v>8</v>
      </c>
      <c r="B13" s="8" t="s">
        <v>1102</v>
      </c>
      <c r="C13" s="8" t="s">
        <v>1211</v>
      </c>
      <c r="D13" s="8" t="s">
        <v>1242</v>
      </c>
      <c r="E13" s="8" t="s">
        <v>1243</v>
      </c>
      <c r="F13" s="8" t="s">
        <v>1106</v>
      </c>
      <c r="G13" s="8" t="s">
        <v>89</v>
      </c>
      <c r="H13" s="8" t="s">
        <v>1169</v>
      </c>
      <c r="I13" s="8" t="s">
        <v>1170</v>
      </c>
      <c r="J13" s="8" t="s">
        <v>1171</v>
      </c>
      <c r="K13" s="8" t="s">
        <v>1244</v>
      </c>
      <c r="L13" s="8" t="s">
        <v>1245</v>
      </c>
      <c r="M13" s="8" t="s">
        <v>1246</v>
      </c>
      <c r="N13" s="8" t="s">
        <v>1216</v>
      </c>
      <c r="O13" s="8" t="s">
        <v>1247</v>
      </c>
      <c r="P13" s="8" t="s">
        <v>1115</v>
      </c>
      <c r="Q13" s="8" t="s">
        <v>1218</v>
      </c>
      <c r="R13" s="8" t="s">
        <v>1117</v>
      </c>
      <c r="S13" s="9" t="s">
        <v>1118</v>
      </c>
      <c r="T13" s="9" t="s">
        <v>1248</v>
      </c>
      <c r="U13" s="8"/>
      <c r="V13" s="9" t="s">
        <v>1120</v>
      </c>
      <c r="W13" s="9" t="s">
        <v>1121</v>
      </c>
      <c r="X13" s="9" t="s">
        <v>1197</v>
      </c>
      <c r="Y13" s="9" t="s">
        <v>1198</v>
      </c>
      <c r="Z13" s="9" t="s">
        <v>1179</v>
      </c>
      <c r="AA13" s="9" t="s">
        <v>1199</v>
      </c>
      <c r="AB13" s="9" t="s">
        <v>1249</v>
      </c>
      <c r="AC13" s="9" t="s">
        <v>1127</v>
      </c>
      <c r="AD13" s="9" t="s">
        <v>1201</v>
      </c>
      <c r="AE13" s="9" t="s">
        <v>1202</v>
      </c>
      <c r="AF13" s="9" t="s">
        <v>1250</v>
      </c>
      <c r="AG13" s="9" t="s">
        <v>1251</v>
      </c>
      <c r="AH13" s="9" t="s">
        <v>1252</v>
      </c>
      <c r="AI13" s="36" t="s">
        <v>182</v>
      </c>
      <c r="AJ13" s="9" t="s">
        <v>431</v>
      </c>
      <c r="AK13" s="9" t="s">
        <v>1206</v>
      </c>
      <c r="AL13" s="9" t="s">
        <v>1253</v>
      </c>
      <c r="AM13" s="9" t="s">
        <v>1254</v>
      </c>
      <c r="AN13" s="9" t="s">
        <v>1255</v>
      </c>
      <c r="AO13" s="9" t="s">
        <v>1137</v>
      </c>
      <c r="AP13" s="9" t="s">
        <v>1138</v>
      </c>
      <c r="AQ13" s="36" t="s">
        <v>1256</v>
      </c>
      <c r="AR13" s="9" t="s">
        <v>1140</v>
      </c>
      <c r="AS13" s="9" t="s">
        <v>1257</v>
      </c>
      <c r="AT13" s="9" t="s">
        <v>1232</v>
      </c>
    </row>
    <row r="14" spans="1:46" ht="104.1" customHeight="1" x14ac:dyDescent="0.3">
      <c r="A14" s="43">
        <v>9</v>
      </c>
      <c r="B14" s="44" t="s">
        <v>1102</v>
      </c>
      <c r="C14" s="44" t="s">
        <v>1211</v>
      </c>
      <c r="D14" s="44" t="s">
        <v>1258</v>
      </c>
      <c r="E14" s="44" t="s">
        <v>1259</v>
      </c>
      <c r="F14" s="44" t="s">
        <v>1144</v>
      </c>
      <c r="G14" s="44" t="s">
        <v>1260</v>
      </c>
      <c r="H14" s="44" t="s">
        <v>1169</v>
      </c>
      <c r="I14" s="44" t="s">
        <v>1261</v>
      </c>
      <c r="J14" s="44" t="s">
        <v>1171</v>
      </c>
      <c r="K14" s="44" t="s">
        <v>1244</v>
      </c>
      <c r="L14" s="44" t="s">
        <v>1245</v>
      </c>
      <c r="M14" s="44" t="s">
        <v>1246</v>
      </c>
      <c r="N14" s="44" t="s">
        <v>1216</v>
      </c>
      <c r="O14" s="44" t="s">
        <v>1262</v>
      </c>
      <c r="P14" s="44" t="s">
        <v>1263</v>
      </c>
      <c r="Q14" s="44" t="s">
        <v>1218</v>
      </c>
      <c r="R14" s="44" t="s">
        <v>1117</v>
      </c>
      <c r="S14" s="45" t="s">
        <v>1118</v>
      </c>
      <c r="T14" s="45" t="s">
        <v>1264</v>
      </c>
      <c r="U14" s="42" t="s">
        <v>1265</v>
      </c>
      <c r="V14" s="45" t="s">
        <v>1120</v>
      </c>
      <c r="W14" s="45" t="s">
        <v>1121</v>
      </c>
      <c r="X14" s="45" t="s">
        <v>1266</v>
      </c>
      <c r="Y14" s="45" t="s">
        <v>1198</v>
      </c>
      <c r="Z14" s="45" t="s">
        <v>1179</v>
      </c>
      <c r="AA14" s="45" t="s">
        <v>1199</v>
      </c>
      <c r="AB14" s="36" t="s">
        <v>1267</v>
      </c>
      <c r="AC14" s="45" t="s">
        <v>1127</v>
      </c>
      <c r="AD14" s="45" t="s">
        <v>1201</v>
      </c>
      <c r="AE14" s="45" t="s">
        <v>1202</v>
      </c>
      <c r="AF14" s="45" t="s">
        <v>1250</v>
      </c>
      <c r="AG14" s="45" t="s">
        <v>1251</v>
      </c>
      <c r="AH14" s="45" t="s">
        <v>1252</v>
      </c>
      <c r="AI14" s="36" t="s">
        <v>182</v>
      </c>
      <c r="AJ14" s="45" t="s">
        <v>431</v>
      </c>
      <c r="AK14" s="45" t="s">
        <v>1206</v>
      </c>
      <c r="AL14" s="45" t="s">
        <v>1253</v>
      </c>
      <c r="AM14" s="45" t="s">
        <v>1254</v>
      </c>
      <c r="AN14" s="45" t="s">
        <v>1255</v>
      </c>
      <c r="AO14" s="45" t="s">
        <v>1137</v>
      </c>
      <c r="AP14" s="45" t="s">
        <v>1138</v>
      </c>
      <c r="AQ14" s="36" t="s">
        <v>1256</v>
      </c>
      <c r="AR14" s="45" t="s">
        <v>1140</v>
      </c>
      <c r="AS14" s="45" t="s">
        <v>1257</v>
      </c>
      <c r="AT14" s="45" t="s">
        <v>1241</v>
      </c>
    </row>
    <row r="15" spans="1:46" ht="104.1" customHeight="1" x14ac:dyDescent="0.3">
      <c r="A15" s="14">
        <v>10</v>
      </c>
      <c r="B15" s="15" t="s">
        <v>1268</v>
      </c>
      <c r="C15" s="15" t="s">
        <v>1103</v>
      </c>
      <c r="D15" s="15" t="s">
        <v>1269</v>
      </c>
      <c r="E15" s="15" t="s">
        <v>1270</v>
      </c>
      <c r="F15" s="15" t="s">
        <v>1106</v>
      </c>
      <c r="G15" s="15" t="s">
        <v>89</v>
      </c>
      <c r="H15" s="15" t="s">
        <v>1107</v>
      </c>
      <c r="I15" s="15" t="s">
        <v>1271</v>
      </c>
      <c r="J15" s="15" t="s">
        <v>1109</v>
      </c>
      <c r="K15" s="15" t="s">
        <v>1272</v>
      </c>
      <c r="L15" s="15" t="s">
        <v>1111</v>
      </c>
      <c r="M15" s="15" t="s">
        <v>1112</v>
      </c>
      <c r="N15" s="15" t="s">
        <v>1113</v>
      </c>
      <c r="O15" s="15" t="s">
        <v>1273</v>
      </c>
      <c r="P15" s="15" t="s">
        <v>1115</v>
      </c>
      <c r="Q15" s="15" t="s">
        <v>1116</v>
      </c>
      <c r="R15" s="15" t="s">
        <v>1117</v>
      </c>
      <c r="S15" s="16" t="s">
        <v>1274</v>
      </c>
      <c r="T15" s="16" t="s">
        <v>1275</v>
      </c>
      <c r="U15" s="15"/>
      <c r="V15" s="16" t="s">
        <v>1276</v>
      </c>
      <c r="W15" s="16" t="s">
        <v>1121</v>
      </c>
      <c r="X15" s="16" t="s">
        <v>1277</v>
      </c>
      <c r="Y15" s="40" t="s">
        <v>1278</v>
      </c>
      <c r="Z15" s="16" t="s">
        <v>1124</v>
      </c>
      <c r="AA15" s="16" t="s">
        <v>1125</v>
      </c>
      <c r="AB15" s="16" t="s">
        <v>1279</v>
      </c>
      <c r="AC15" s="16" t="s">
        <v>1280</v>
      </c>
      <c r="AD15" s="16" t="s">
        <v>1281</v>
      </c>
      <c r="AE15" s="16" t="s">
        <v>1129</v>
      </c>
      <c r="AF15" s="16" t="s">
        <v>1130</v>
      </c>
      <c r="AG15" s="16" t="s">
        <v>1282</v>
      </c>
      <c r="AH15" s="16" t="s">
        <v>1283</v>
      </c>
      <c r="AI15" s="40" t="s">
        <v>182</v>
      </c>
      <c r="AJ15" s="16" t="s">
        <v>1284</v>
      </c>
      <c r="AK15" s="16" t="s">
        <v>1285</v>
      </c>
      <c r="AL15" s="16" t="s">
        <v>1286</v>
      </c>
      <c r="AM15" s="16" t="s">
        <v>1287</v>
      </c>
      <c r="AN15" s="16" t="s">
        <v>1136</v>
      </c>
      <c r="AO15" s="16" t="s">
        <v>1137</v>
      </c>
      <c r="AP15" s="16" t="s">
        <v>1288</v>
      </c>
      <c r="AQ15" s="16" t="s">
        <v>1289</v>
      </c>
      <c r="AR15" s="16" t="s">
        <v>1290</v>
      </c>
      <c r="AS15" s="16" t="s">
        <v>1291</v>
      </c>
      <c r="AT15" s="16" t="s">
        <v>1103</v>
      </c>
    </row>
    <row r="16" spans="1:46" ht="104.1" customHeight="1" x14ac:dyDescent="0.3">
      <c r="A16" s="3">
        <v>11</v>
      </c>
      <c r="B16" s="4" t="s">
        <v>1268</v>
      </c>
      <c r="C16" s="4" t="s">
        <v>1103</v>
      </c>
      <c r="D16" s="4" t="s">
        <v>1292</v>
      </c>
      <c r="E16" s="4" t="s">
        <v>1293</v>
      </c>
      <c r="F16" s="4" t="s">
        <v>1106</v>
      </c>
      <c r="G16" s="4" t="s">
        <v>89</v>
      </c>
      <c r="H16" s="4" t="s">
        <v>1169</v>
      </c>
      <c r="I16" s="4" t="s">
        <v>1294</v>
      </c>
      <c r="J16" s="4" t="s">
        <v>1171</v>
      </c>
      <c r="K16" s="4" t="s">
        <v>1272</v>
      </c>
      <c r="L16" s="4" t="s">
        <v>1295</v>
      </c>
      <c r="M16" s="4" t="s">
        <v>1174</v>
      </c>
      <c r="N16" s="4" t="s">
        <v>1113</v>
      </c>
      <c r="O16" s="4" t="s">
        <v>1175</v>
      </c>
      <c r="P16" s="4" t="s">
        <v>1115</v>
      </c>
      <c r="Q16" s="4" t="s">
        <v>1116</v>
      </c>
      <c r="R16" s="4" t="s">
        <v>1117</v>
      </c>
      <c r="S16" s="6" t="s">
        <v>1274</v>
      </c>
      <c r="T16" s="6" t="s">
        <v>1296</v>
      </c>
      <c r="U16" s="4"/>
      <c r="V16" s="6" t="s">
        <v>1276</v>
      </c>
      <c r="W16" s="6" t="s">
        <v>1121</v>
      </c>
      <c r="X16" s="6" t="s">
        <v>1297</v>
      </c>
      <c r="Y16" s="6" t="s">
        <v>1298</v>
      </c>
      <c r="Z16" s="6" t="s">
        <v>1179</v>
      </c>
      <c r="AA16" s="6" t="s">
        <v>1180</v>
      </c>
      <c r="AB16" s="6" t="s">
        <v>1299</v>
      </c>
      <c r="AC16" s="6" t="s">
        <v>1280</v>
      </c>
      <c r="AD16" s="6" t="s">
        <v>1300</v>
      </c>
      <c r="AE16" s="6" t="s">
        <v>1129</v>
      </c>
      <c r="AF16" s="6" t="s">
        <v>1301</v>
      </c>
      <c r="AG16" s="6" t="s">
        <v>1302</v>
      </c>
      <c r="AH16" s="6" t="s">
        <v>1303</v>
      </c>
      <c r="AI16" s="36" t="s">
        <v>182</v>
      </c>
      <c r="AJ16" s="6" t="s">
        <v>1285</v>
      </c>
      <c r="AK16" s="6" t="s">
        <v>1304</v>
      </c>
      <c r="AL16" s="6" t="s">
        <v>1187</v>
      </c>
      <c r="AM16" s="6" t="s">
        <v>1305</v>
      </c>
      <c r="AN16" s="6" t="s">
        <v>1136</v>
      </c>
      <c r="AO16" s="6" t="s">
        <v>1137</v>
      </c>
      <c r="AP16" s="6" t="s">
        <v>1138</v>
      </c>
      <c r="AQ16" s="6" t="s">
        <v>1306</v>
      </c>
      <c r="AR16" s="6" t="s">
        <v>1290</v>
      </c>
      <c r="AS16" s="6" t="s">
        <v>1307</v>
      </c>
      <c r="AT16" s="6" t="s">
        <v>1103</v>
      </c>
    </row>
    <row r="17" spans="1:46" ht="104.1" customHeight="1" x14ac:dyDescent="0.3">
      <c r="A17" s="7">
        <v>12</v>
      </c>
      <c r="B17" s="8" t="s">
        <v>1268</v>
      </c>
      <c r="C17" s="8" t="s">
        <v>1103</v>
      </c>
      <c r="D17" s="8" t="s">
        <v>1308</v>
      </c>
      <c r="E17" s="8" t="s">
        <v>1309</v>
      </c>
      <c r="F17" s="8" t="s">
        <v>1106</v>
      </c>
      <c r="G17" s="8" t="s">
        <v>89</v>
      </c>
      <c r="H17" s="8" t="s">
        <v>1169</v>
      </c>
      <c r="I17" s="8" t="s">
        <v>1294</v>
      </c>
      <c r="J17" s="8" t="s">
        <v>1171</v>
      </c>
      <c r="K17" s="8" t="s">
        <v>1193</v>
      </c>
      <c r="L17" s="8" t="s">
        <v>1310</v>
      </c>
      <c r="M17" s="8" t="s">
        <v>1112</v>
      </c>
      <c r="N17" s="8" t="s">
        <v>1311</v>
      </c>
      <c r="O17" s="8" t="s">
        <v>1312</v>
      </c>
      <c r="P17" s="8" t="s">
        <v>1115</v>
      </c>
      <c r="Q17" s="8" t="s">
        <v>1313</v>
      </c>
      <c r="R17" s="8" t="s">
        <v>1117</v>
      </c>
      <c r="S17" s="9" t="s">
        <v>1274</v>
      </c>
      <c r="T17" s="9" t="s">
        <v>1314</v>
      </c>
      <c r="U17" s="8"/>
      <c r="V17" s="9" t="s">
        <v>1276</v>
      </c>
      <c r="W17" s="9" t="s">
        <v>1121</v>
      </c>
      <c r="X17" s="9" t="s">
        <v>1315</v>
      </c>
      <c r="Y17" s="9" t="s">
        <v>1298</v>
      </c>
      <c r="Z17" s="9" t="s">
        <v>1179</v>
      </c>
      <c r="AA17" s="9" t="s">
        <v>1199</v>
      </c>
      <c r="AB17" s="9" t="s">
        <v>1316</v>
      </c>
      <c r="AC17" s="9" t="s">
        <v>1280</v>
      </c>
      <c r="AD17" s="9" t="s">
        <v>1300</v>
      </c>
      <c r="AE17" s="9" t="s">
        <v>1202</v>
      </c>
      <c r="AF17" s="9" t="s">
        <v>1317</v>
      </c>
      <c r="AG17" s="9" t="s">
        <v>1318</v>
      </c>
      <c r="AH17" s="9" t="s">
        <v>1283</v>
      </c>
      <c r="AI17" s="36" t="s">
        <v>182</v>
      </c>
      <c r="AJ17" s="9" t="s">
        <v>431</v>
      </c>
      <c r="AK17" s="9" t="s">
        <v>1285</v>
      </c>
      <c r="AL17" s="9" t="s">
        <v>1319</v>
      </c>
      <c r="AM17" s="9" t="s">
        <v>1320</v>
      </c>
      <c r="AN17" s="9" t="s">
        <v>1136</v>
      </c>
      <c r="AO17" s="9" t="s">
        <v>1137</v>
      </c>
      <c r="AP17" s="9" t="s">
        <v>1288</v>
      </c>
      <c r="AQ17" s="9" t="s">
        <v>1321</v>
      </c>
      <c r="AR17" s="9" t="s">
        <v>1290</v>
      </c>
      <c r="AS17" s="9" t="s">
        <v>1322</v>
      </c>
      <c r="AT17" s="9" t="s">
        <v>1323</v>
      </c>
    </row>
    <row r="18" spans="1:46" ht="104.1" customHeight="1" x14ac:dyDescent="0.3">
      <c r="A18" s="10">
        <v>13</v>
      </c>
      <c r="B18" s="11" t="s">
        <v>1324</v>
      </c>
      <c r="C18" s="11" t="s">
        <v>1103</v>
      </c>
      <c r="D18" s="11" t="s">
        <v>1325</v>
      </c>
      <c r="E18" s="11" t="s">
        <v>1326</v>
      </c>
      <c r="F18" s="11" t="s">
        <v>1106</v>
      </c>
      <c r="G18" s="11" t="s">
        <v>89</v>
      </c>
      <c r="H18" s="11" t="s">
        <v>1327</v>
      </c>
      <c r="I18" s="11" t="s">
        <v>1328</v>
      </c>
      <c r="J18" s="11" t="s">
        <v>1329</v>
      </c>
      <c r="K18" s="11" t="s">
        <v>1330</v>
      </c>
      <c r="L18" s="11" t="s">
        <v>1173</v>
      </c>
      <c r="M18" s="11" t="s">
        <v>1112</v>
      </c>
      <c r="N18" s="11" t="s">
        <v>1113</v>
      </c>
      <c r="O18" s="11" t="s">
        <v>1331</v>
      </c>
      <c r="P18" s="11" t="s">
        <v>1115</v>
      </c>
      <c r="Q18" s="11" t="s">
        <v>1116</v>
      </c>
      <c r="R18" s="11" t="s">
        <v>1117</v>
      </c>
      <c r="S18" s="13" t="s">
        <v>1332</v>
      </c>
      <c r="T18" s="13" t="s">
        <v>1333</v>
      </c>
      <c r="U18" s="11" t="s">
        <v>1334</v>
      </c>
      <c r="V18" s="13" t="s">
        <v>1335</v>
      </c>
      <c r="W18" s="13" t="s">
        <v>1336</v>
      </c>
      <c r="X18" s="13" t="s">
        <v>1337</v>
      </c>
      <c r="Y18" s="13" t="s">
        <v>1338</v>
      </c>
      <c r="Z18" s="13" t="s">
        <v>1339</v>
      </c>
      <c r="AA18" s="13" t="s">
        <v>1340</v>
      </c>
      <c r="AB18" s="13" t="s">
        <v>1341</v>
      </c>
      <c r="AC18" s="13" t="s">
        <v>1342</v>
      </c>
      <c r="AD18" s="13" t="s">
        <v>1343</v>
      </c>
      <c r="AE18" s="13" t="s">
        <v>1344</v>
      </c>
      <c r="AF18" s="13" t="s">
        <v>1345</v>
      </c>
      <c r="AG18" s="13" t="s">
        <v>1346</v>
      </c>
      <c r="AH18" s="13" t="s">
        <v>1347</v>
      </c>
      <c r="AI18" s="13" t="s">
        <v>1348</v>
      </c>
      <c r="AJ18" s="13" t="s">
        <v>1285</v>
      </c>
      <c r="AK18" s="13" t="s">
        <v>1226</v>
      </c>
      <c r="AL18" s="13" t="s">
        <v>1349</v>
      </c>
      <c r="AM18" s="13" t="s">
        <v>1350</v>
      </c>
      <c r="AN18" s="13" t="s">
        <v>1351</v>
      </c>
      <c r="AO18" s="13" t="s">
        <v>1137</v>
      </c>
      <c r="AP18" s="13" t="s">
        <v>1288</v>
      </c>
      <c r="AQ18" s="13" t="s">
        <v>1352</v>
      </c>
      <c r="AR18" s="13" t="s">
        <v>1290</v>
      </c>
      <c r="AS18" s="13" t="s">
        <v>1353</v>
      </c>
      <c r="AT18" s="13" t="s">
        <v>1103</v>
      </c>
    </row>
    <row r="19" spans="1:46" ht="104.1" customHeight="1" x14ac:dyDescent="0.3">
      <c r="A19" s="43">
        <v>14</v>
      </c>
      <c r="B19" s="44" t="s">
        <v>1324</v>
      </c>
      <c r="C19" s="44" t="s">
        <v>1103</v>
      </c>
      <c r="D19" s="44" t="s">
        <v>1354</v>
      </c>
      <c r="E19" s="44" t="s">
        <v>1355</v>
      </c>
      <c r="F19" s="44" t="s">
        <v>1106</v>
      </c>
      <c r="G19" s="44" t="s">
        <v>89</v>
      </c>
      <c r="H19" s="44" t="s">
        <v>1327</v>
      </c>
      <c r="I19" s="44" t="s">
        <v>1356</v>
      </c>
      <c r="J19" s="44" t="s">
        <v>1329</v>
      </c>
      <c r="K19" s="44" t="s">
        <v>1330</v>
      </c>
      <c r="L19" s="44" t="s">
        <v>1295</v>
      </c>
      <c r="M19" s="44" t="s">
        <v>1112</v>
      </c>
      <c r="N19" s="44" t="s">
        <v>1113</v>
      </c>
      <c r="O19" s="44" t="s">
        <v>1331</v>
      </c>
      <c r="P19" s="44" t="s">
        <v>1115</v>
      </c>
      <c r="Q19" s="44" t="s">
        <v>1116</v>
      </c>
      <c r="R19" s="44" t="s">
        <v>1357</v>
      </c>
      <c r="S19" s="45" t="s">
        <v>1332</v>
      </c>
      <c r="T19" s="45" t="s">
        <v>1358</v>
      </c>
      <c r="U19" s="42" t="s">
        <v>1359</v>
      </c>
      <c r="V19" s="45" t="s">
        <v>1335</v>
      </c>
      <c r="W19" s="45" t="s">
        <v>1336</v>
      </c>
      <c r="X19" s="45" t="s">
        <v>1337</v>
      </c>
      <c r="Y19" s="45" t="s">
        <v>1338</v>
      </c>
      <c r="Z19" s="36" t="s">
        <v>1360</v>
      </c>
      <c r="AA19" s="45" t="s">
        <v>1340</v>
      </c>
      <c r="AB19" s="45" t="s">
        <v>1341</v>
      </c>
      <c r="AC19" s="45" t="s">
        <v>1342</v>
      </c>
      <c r="AD19" s="45" t="s">
        <v>1343</v>
      </c>
      <c r="AE19" s="45" t="s">
        <v>1344</v>
      </c>
      <c r="AF19" s="45" t="s">
        <v>1301</v>
      </c>
      <c r="AG19" s="45" t="s">
        <v>1361</v>
      </c>
      <c r="AH19" s="45" t="s">
        <v>1362</v>
      </c>
      <c r="AI19" s="45" t="s">
        <v>1348</v>
      </c>
      <c r="AJ19" s="45" t="s">
        <v>1285</v>
      </c>
      <c r="AK19" s="45" t="s">
        <v>1226</v>
      </c>
      <c r="AL19" s="45" t="s">
        <v>1349</v>
      </c>
      <c r="AM19" s="45" t="s">
        <v>1350</v>
      </c>
      <c r="AN19" s="45" t="s">
        <v>1351</v>
      </c>
      <c r="AO19" s="45" t="s">
        <v>1137</v>
      </c>
      <c r="AP19" s="45" t="s">
        <v>1288</v>
      </c>
      <c r="AQ19" s="45" t="s">
        <v>1352</v>
      </c>
      <c r="AR19" s="45" t="s">
        <v>1290</v>
      </c>
      <c r="AS19" s="45" t="s">
        <v>1353</v>
      </c>
      <c r="AT19" s="45" t="s">
        <v>1103</v>
      </c>
    </row>
    <row r="20" spans="1:46" ht="104.1" customHeight="1" x14ac:dyDescent="0.3">
      <c r="A20" s="3">
        <v>15</v>
      </c>
      <c r="B20" s="4" t="s">
        <v>1324</v>
      </c>
      <c r="C20" s="4" t="s">
        <v>1103</v>
      </c>
      <c r="D20" s="4" t="s">
        <v>1363</v>
      </c>
      <c r="E20" s="4" t="s">
        <v>1364</v>
      </c>
      <c r="F20" s="4" t="s">
        <v>1106</v>
      </c>
      <c r="G20" s="4" t="s">
        <v>89</v>
      </c>
      <c r="H20" s="4" t="s">
        <v>1365</v>
      </c>
      <c r="I20" s="4" t="s">
        <v>1366</v>
      </c>
      <c r="J20" s="4" t="s">
        <v>1367</v>
      </c>
      <c r="K20" s="4" t="s">
        <v>1368</v>
      </c>
      <c r="L20" s="4" t="s">
        <v>1369</v>
      </c>
      <c r="M20" s="4" t="s">
        <v>1370</v>
      </c>
      <c r="N20" s="4" t="s">
        <v>1113</v>
      </c>
      <c r="O20" s="4" t="s">
        <v>1175</v>
      </c>
      <c r="P20" s="4" t="s">
        <v>1115</v>
      </c>
      <c r="Q20" s="4" t="s">
        <v>1116</v>
      </c>
      <c r="R20" s="4" t="s">
        <v>1117</v>
      </c>
      <c r="S20" s="6" t="s">
        <v>1332</v>
      </c>
      <c r="T20" s="6" t="s">
        <v>1371</v>
      </c>
      <c r="U20" s="4"/>
      <c r="V20" s="6" t="s">
        <v>1335</v>
      </c>
      <c r="W20" s="6" t="s">
        <v>1336</v>
      </c>
      <c r="X20" s="6" t="s">
        <v>1372</v>
      </c>
      <c r="Y20" s="6" t="s">
        <v>1338</v>
      </c>
      <c r="Z20" s="6" t="s">
        <v>1373</v>
      </c>
      <c r="AA20" s="6" t="s">
        <v>1374</v>
      </c>
      <c r="AB20" s="6" t="s">
        <v>1375</v>
      </c>
      <c r="AC20" s="6" t="s">
        <v>1342</v>
      </c>
      <c r="AD20" s="6" t="s">
        <v>1376</v>
      </c>
      <c r="AE20" s="6" t="s">
        <v>1344</v>
      </c>
      <c r="AF20" s="6" t="s">
        <v>1377</v>
      </c>
      <c r="AG20" s="6" t="s">
        <v>1378</v>
      </c>
      <c r="AH20" s="6" t="s">
        <v>1379</v>
      </c>
      <c r="AI20" s="6" t="s">
        <v>1380</v>
      </c>
      <c r="AJ20" s="6" t="s">
        <v>1285</v>
      </c>
      <c r="AK20" s="6" t="s">
        <v>1226</v>
      </c>
      <c r="AL20" s="6" t="s">
        <v>1381</v>
      </c>
      <c r="AM20" s="6" t="s">
        <v>1382</v>
      </c>
      <c r="AN20" s="6" t="s">
        <v>1351</v>
      </c>
      <c r="AO20" s="6" t="s">
        <v>1383</v>
      </c>
      <c r="AP20" s="6" t="s">
        <v>1288</v>
      </c>
      <c r="AQ20" s="6" t="s">
        <v>1384</v>
      </c>
      <c r="AR20" s="6" t="s">
        <v>1290</v>
      </c>
      <c r="AS20" s="6" t="s">
        <v>1385</v>
      </c>
      <c r="AT20" s="6" t="s">
        <v>1103</v>
      </c>
    </row>
    <row r="21" spans="1:46" ht="104.1" customHeight="1" x14ac:dyDescent="0.3">
      <c r="A21" s="7">
        <v>16</v>
      </c>
      <c r="B21" s="8" t="s">
        <v>1324</v>
      </c>
      <c r="C21" s="8" t="s">
        <v>1103</v>
      </c>
      <c r="D21" s="8" t="s">
        <v>1386</v>
      </c>
      <c r="E21" s="8" t="s">
        <v>1387</v>
      </c>
      <c r="F21" s="8" t="s">
        <v>1144</v>
      </c>
      <c r="G21" s="8" t="s">
        <v>1388</v>
      </c>
      <c r="H21" s="8" t="s">
        <v>1365</v>
      </c>
      <c r="I21" s="8" t="s">
        <v>1366</v>
      </c>
      <c r="J21" s="8" t="s">
        <v>1367</v>
      </c>
      <c r="K21" s="8" t="s">
        <v>1368</v>
      </c>
      <c r="L21" s="8" t="s">
        <v>1369</v>
      </c>
      <c r="M21" s="8" t="s">
        <v>1370</v>
      </c>
      <c r="N21" s="8" t="s">
        <v>1113</v>
      </c>
      <c r="O21" s="8" t="s">
        <v>1389</v>
      </c>
      <c r="P21" s="8" t="s">
        <v>1390</v>
      </c>
      <c r="Q21" s="8" t="s">
        <v>1116</v>
      </c>
      <c r="R21" s="8" t="s">
        <v>1117</v>
      </c>
      <c r="S21" s="9" t="s">
        <v>1332</v>
      </c>
      <c r="T21" s="9" t="s">
        <v>1391</v>
      </c>
      <c r="U21" s="8"/>
      <c r="V21" s="9" t="s">
        <v>1335</v>
      </c>
      <c r="W21" s="9" t="s">
        <v>1336</v>
      </c>
      <c r="X21" s="9" t="s">
        <v>1392</v>
      </c>
      <c r="Y21" s="9" t="s">
        <v>1338</v>
      </c>
      <c r="Z21" s="9" t="s">
        <v>1373</v>
      </c>
      <c r="AA21" s="9" t="s">
        <v>1374</v>
      </c>
      <c r="AB21" s="36" t="s">
        <v>1393</v>
      </c>
      <c r="AC21" s="9" t="s">
        <v>1342</v>
      </c>
      <c r="AD21" s="9" t="s">
        <v>1376</v>
      </c>
      <c r="AE21" s="9" t="s">
        <v>1344</v>
      </c>
      <c r="AF21" s="9" t="s">
        <v>1377</v>
      </c>
      <c r="AG21" s="9" t="s">
        <v>1378</v>
      </c>
      <c r="AH21" s="9" t="s">
        <v>1394</v>
      </c>
      <c r="AI21" s="9" t="s">
        <v>1380</v>
      </c>
      <c r="AJ21" s="9" t="s">
        <v>1285</v>
      </c>
      <c r="AK21" s="9" t="s">
        <v>1226</v>
      </c>
      <c r="AL21" s="9" t="s">
        <v>1395</v>
      </c>
      <c r="AM21" s="9" t="s">
        <v>1382</v>
      </c>
      <c r="AN21" s="9" t="s">
        <v>1351</v>
      </c>
      <c r="AO21" s="9" t="s">
        <v>1383</v>
      </c>
      <c r="AP21" s="9" t="s">
        <v>1288</v>
      </c>
      <c r="AQ21" s="9" t="s">
        <v>1384</v>
      </c>
      <c r="AR21" s="9" t="s">
        <v>1140</v>
      </c>
      <c r="AS21" s="9" t="s">
        <v>1385</v>
      </c>
      <c r="AT21" s="9" t="s">
        <v>1155</v>
      </c>
    </row>
    <row r="22" spans="1:46" ht="104.1" customHeight="1" x14ac:dyDescent="0.3">
      <c r="A22" s="3">
        <v>17</v>
      </c>
      <c r="B22" s="4" t="s">
        <v>1324</v>
      </c>
      <c r="C22" s="4" t="s">
        <v>1211</v>
      </c>
      <c r="D22" s="4" t="s">
        <v>1396</v>
      </c>
      <c r="E22" s="4" t="s">
        <v>1397</v>
      </c>
      <c r="F22" s="4" t="s">
        <v>1106</v>
      </c>
      <c r="G22" s="4" t="s">
        <v>89</v>
      </c>
      <c r="H22" s="4" t="s">
        <v>1365</v>
      </c>
      <c r="I22" s="4" t="s">
        <v>1366</v>
      </c>
      <c r="J22" s="4" t="s">
        <v>1367</v>
      </c>
      <c r="K22" s="4" t="s">
        <v>1368</v>
      </c>
      <c r="L22" s="4" t="s">
        <v>1369</v>
      </c>
      <c r="M22" s="4" t="s">
        <v>1370</v>
      </c>
      <c r="N22" s="4" t="s">
        <v>1216</v>
      </c>
      <c r="O22" s="4" t="s">
        <v>1398</v>
      </c>
      <c r="P22" s="4" t="s">
        <v>1115</v>
      </c>
      <c r="Q22" s="4" t="s">
        <v>1218</v>
      </c>
      <c r="R22" s="4" t="s">
        <v>1117</v>
      </c>
      <c r="S22" s="6" t="s">
        <v>1332</v>
      </c>
      <c r="T22" s="6" t="s">
        <v>1399</v>
      </c>
      <c r="U22" s="4"/>
      <c r="V22" s="6" t="s">
        <v>1335</v>
      </c>
      <c r="W22" s="6" t="s">
        <v>1336</v>
      </c>
      <c r="X22" s="6" t="s">
        <v>1400</v>
      </c>
      <c r="Y22" s="36" t="s">
        <v>1401</v>
      </c>
      <c r="Z22" s="6" t="s">
        <v>1373</v>
      </c>
      <c r="AA22" s="6" t="s">
        <v>1374</v>
      </c>
      <c r="AB22" s="6" t="s">
        <v>1375</v>
      </c>
      <c r="AC22" s="6" t="s">
        <v>1342</v>
      </c>
      <c r="AD22" s="6" t="s">
        <v>1376</v>
      </c>
      <c r="AE22" s="6" t="s">
        <v>1344</v>
      </c>
      <c r="AF22" s="6" t="s">
        <v>1377</v>
      </c>
      <c r="AG22" s="6" t="s">
        <v>1402</v>
      </c>
      <c r="AH22" s="6" t="s">
        <v>1403</v>
      </c>
      <c r="AI22" s="6" t="s">
        <v>1380</v>
      </c>
      <c r="AJ22" s="6" t="s">
        <v>1285</v>
      </c>
      <c r="AK22" s="6" t="s">
        <v>1226</v>
      </c>
      <c r="AL22" s="6" t="s">
        <v>1404</v>
      </c>
      <c r="AM22" s="6" t="s">
        <v>1405</v>
      </c>
      <c r="AN22" s="6" t="s">
        <v>1406</v>
      </c>
      <c r="AO22" s="6" t="s">
        <v>1383</v>
      </c>
      <c r="AP22" s="6" t="s">
        <v>1288</v>
      </c>
      <c r="AQ22" s="6" t="s">
        <v>1407</v>
      </c>
      <c r="AR22" s="6" t="s">
        <v>1408</v>
      </c>
      <c r="AS22" s="6" t="s">
        <v>1385</v>
      </c>
      <c r="AT22" s="6" t="s">
        <v>1232</v>
      </c>
    </row>
    <row r="23" spans="1:46" ht="104.1" customHeight="1" x14ac:dyDescent="0.3">
      <c r="A23" s="7">
        <v>18</v>
      </c>
      <c r="B23" s="8" t="s">
        <v>1324</v>
      </c>
      <c r="C23" s="8" t="s">
        <v>1211</v>
      </c>
      <c r="D23" s="8" t="s">
        <v>1409</v>
      </c>
      <c r="E23" s="8" t="s">
        <v>1410</v>
      </c>
      <c r="F23" s="8" t="s">
        <v>1144</v>
      </c>
      <c r="G23" s="8" t="s">
        <v>1411</v>
      </c>
      <c r="H23" s="8" t="s">
        <v>1365</v>
      </c>
      <c r="I23" s="8" t="s">
        <v>1366</v>
      </c>
      <c r="J23" s="8" t="s">
        <v>1367</v>
      </c>
      <c r="K23" s="8" t="s">
        <v>1368</v>
      </c>
      <c r="L23" s="8" t="s">
        <v>1369</v>
      </c>
      <c r="M23" s="8" t="s">
        <v>1370</v>
      </c>
      <c r="N23" s="8" t="s">
        <v>1216</v>
      </c>
      <c r="O23" s="8" t="s">
        <v>1412</v>
      </c>
      <c r="P23" s="8" t="s">
        <v>1413</v>
      </c>
      <c r="Q23" s="8" t="s">
        <v>1218</v>
      </c>
      <c r="R23" s="8" t="s">
        <v>1117</v>
      </c>
      <c r="S23" s="9" t="s">
        <v>1332</v>
      </c>
      <c r="T23" s="9" t="s">
        <v>1414</v>
      </c>
      <c r="U23" s="8"/>
      <c r="V23" s="9" t="s">
        <v>1335</v>
      </c>
      <c r="W23" s="9" t="s">
        <v>1336</v>
      </c>
      <c r="X23" s="9" t="s">
        <v>1415</v>
      </c>
      <c r="Y23" s="9" t="s">
        <v>1338</v>
      </c>
      <c r="Z23" s="9" t="s">
        <v>1373</v>
      </c>
      <c r="AA23" s="9" t="s">
        <v>1374</v>
      </c>
      <c r="AB23" s="36" t="s">
        <v>1393</v>
      </c>
      <c r="AC23" s="9" t="s">
        <v>1342</v>
      </c>
      <c r="AD23" s="9" t="s">
        <v>1376</v>
      </c>
      <c r="AE23" s="9" t="s">
        <v>1344</v>
      </c>
      <c r="AF23" s="9" t="s">
        <v>1377</v>
      </c>
      <c r="AG23" s="9" t="s">
        <v>1402</v>
      </c>
      <c r="AH23" s="9" t="s">
        <v>1394</v>
      </c>
      <c r="AI23" s="9" t="s">
        <v>1380</v>
      </c>
      <c r="AJ23" s="9" t="s">
        <v>1285</v>
      </c>
      <c r="AK23" s="9" t="s">
        <v>1226</v>
      </c>
      <c r="AL23" s="9" t="s">
        <v>1416</v>
      </c>
      <c r="AM23" s="9" t="s">
        <v>1417</v>
      </c>
      <c r="AN23" s="9" t="s">
        <v>1406</v>
      </c>
      <c r="AO23" s="9" t="s">
        <v>1383</v>
      </c>
      <c r="AP23" s="9" t="s">
        <v>1288</v>
      </c>
      <c r="AQ23" s="9" t="s">
        <v>1407</v>
      </c>
      <c r="AR23" s="9" t="s">
        <v>1408</v>
      </c>
      <c r="AS23" s="9" t="s">
        <v>1385</v>
      </c>
      <c r="AT23" s="9" t="s">
        <v>1241</v>
      </c>
    </row>
    <row r="24" spans="1:46" ht="104.1" customHeight="1" x14ac:dyDescent="0.3">
      <c r="A24" s="3">
        <v>19</v>
      </c>
      <c r="B24" s="4" t="s">
        <v>1324</v>
      </c>
      <c r="C24" s="4" t="s">
        <v>1103</v>
      </c>
      <c r="D24" s="4" t="s">
        <v>1418</v>
      </c>
      <c r="E24" s="4" t="s">
        <v>1419</v>
      </c>
      <c r="F24" s="4" t="s">
        <v>1106</v>
      </c>
      <c r="G24" s="4" t="s">
        <v>89</v>
      </c>
      <c r="H24" s="4" t="s">
        <v>1420</v>
      </c>
      <c r="I24" s="4" t="s">
        <v>1421</v>
      </c>
      <c r="J24" s="4" t="s">
        <v>1367</v>
      </c>
      <c r="K24" s="4" t="s">
        <v>1422</v>
      </c>
      <c r="L24" s="4" t="s">
        <v>1423</v>
      </c>
      <c r="M24" s="4" t="s">
        <v>65</v>
      </c>
      <c r="N24" s="4" t="s">
        <v>1113</v>
      </c>
      <c r="O24" s="4" t="s">
        <v>1424</v>
      </c>
      <c r="P24" s="4" t="s">
        <v>1115</v>
      </c>
      <c r="Q24" s="4" t="s">
        <v>1116</v>
      </c>
      <c r="R24" s="4" t="s">
        <v>1117</v>
      </c>
      <c r="S24" s="6" t="s">
        <v>1332</v>
      </c>
      <c r="T24" s="6" t="s">
        <v>1425</v>
      </c>
      <c r="U24" s="4"/>
      <c r="V24" s="6" t="s">
        <v>1335</v>
      </c>
      <c r="W24" s="6" t="s">
        <v>1336</v>
      </c>
      <c r="X24" s="6" t="s">
        <v>1426</v>
      </c>
      <c r="Y24" s="6" t="s">
        <v>1338</v>
      </c>
      <c r="Z24" s="6" t="s">
        <v>1179</v>
      </c>
      <c r="AA24" s="6" t="s">
        <v>1199</v>
      </c>
      <c r="AB24" s="6" t="s">
        <v>1427</v>
      </c>
      <c r="AC24" s="6" t="s">
        <v>1428</v>
      </c>
      <c r="AD24" s="6" t="s">
        <v>1429</v>
      </c>
      <c r="AE24" s="6" t="s">
        <v>1202</v>
      </c>
      <c r="AF24" s="6" t="s">
        <v>1430</v>
      </c>
      <c r="AG24" s="6" t="s">
        <v>1431</v>
      </c>
      <c r="AH24" s="6" t="s">
        <v>1432</v>
      </c>
      <c r="AI24" s="36" t="s">
        <v>182</v>
      </c>
      <c r="AJ24" s="6" t="s">
        <v>1285</v>
      </c>
      <c r="AK24" s="6" t="s">
        <v>1226</v>
      </c>
      <c r="AL24" s="6" t="s">
        <v>1433</v>
      </c>
      <c r="AM24" s="6" t="s">
        <v>1434</v>
      </c>
      <c r="AN24" s="6" t="s">
        <v>1351</v>
      </c>
      <c r="AO24" s="6" t="s">
        <v>1383</v>
      </c>
      <c r="AP24" s="6" t="s">
        <v>1288</v>
      </c>
      <c r="AQ24" s="6" t="s">
        <v>1435</v>
      </c>
      <c r="AR24" s="6" t="s">
        <v>1290</v>
      </c>
      <c r="AS24" s="6" t="s">
        <v>1436</v>
      </c>
      <c r="AT24" s="6" t="s">
        <v>1103</v>
      </c>
    </row>
  </sheetData>
  <mergeCells count="9">
    <mergeCell ref="A1:AT1"/>
    <mergeCell ref="AF4:AH4"/>
    <mergeCell ref="A4:U4"/>
    <mergeCell ref="AL4:AQ4"/>
    <mergeCell ref="A3:AT3"/>
    <mergeCell ref="V4:AE4"/>
    <mergeCell ref="A2:AT2"/>
    <mergeCell ref="AR4:AT4"/>
    <mergeCell ref="AI4:AK4"/>
  </mergeCells>
  <phoneticPr fontId="22" type="noConversion"/>
  <hyperlinks>
    <hyperlink ref="S6" r:id="rId1" xr:uid="{00000000-0004-0000-0200-000000000000}"/>
    <hyperlink ref="T6" r:id="rId2" xr:uid="{00000000-0004-0000-0200-000001000000}"/>
    <hyperlink ref="S7" r:id="rId3" xr:uid="{00000000-0004-0000-0200-000002000000}"/>
    <hyperlink ref="T7" r:id="rId4" xr:uid="{00000000-0004-0000-0200-000003000000}"/>
    <hyperlink ref="S8" r:id="rId5" xr:uid="{00000000-0004-0000-0200-000004000000}"/>
    <hyperlink ref="T8" r:id="rId6" xr:uid="{00000000-0004-0000-0200-000005000000}"/>
    <hyperlink ref="S9" r:id="rId7" xr:uid="{00000000-0004-0000-0200-000006000000}"/>
    <hyperlink ref="T9" r:id="rId8" xr:uid="{00000000-0004-0000-0200-000007000000}"/>
    <hyperlink ref="S10" r:id="rId9" xr:uid="{00000000-0004-0000-0200-000008000000}"/>
    <hyperlink ref="T10" r:id="rId10" xr:uid="{00000000-0004-0000-0200-000009000000}"/>
    <hyperlink ref="S11" r:id="rId11" xr:uid="{00000000-0004-0000-0200-00000A000000}"/>
    <hyperlink ref="T11" r:id="rId12" xr:uid="{00000000-0004-0000-0200-00000B000000}"/>
    <hyperlink ref="S12" r:id="rId13" xr:uid="{00000000-0004-0000-0200-00000C000000}"/>
    <hyperlink ref="T12" r:id="rId14" xr:uid="{00000000-0004-0000-0200-00000D000000}"/>
    <hyperlink ref="S13" r:id="rId15" xr:uid="{00000000-0004-0000-0200-00000E000000}"/>
    <hyperlink ref="T13" r:id="rId16" xr:uid="{00000000-0004-0000-0200-00000F000000}"/>
    <hyperlink ref="S14" r:id="rId17" xr:uid="{00000000-0004-0000-0200-000010000000}"/>
    <hyperlink ref="T14" r:id="rId18" xr:uid="{00000000-0004-0000-0200-000011000000}"/>
    <hyperlink ref="S15" r:id="rId19" xr:uid="{00000000-0004-0000-0200-000012000000}"/>
    <hyperlink ref="T15" r:id="rId20" xr:uid="{00000000-0004-0000-0200-000013000000}"/>
    <hyperlink ref="S16" r:id="rId21" xr:uid="{00000000-0004-0000-0200-000014000000}"/>
    <hyperlink ref="T16" r:id="rId22" xr:uid="{00000000-0004-0000-0200-000015000000}"/>
    <hyperlink ref="S17" r:id="rId23" xr:uid="{00000000-0004-0000-0200-000016000000}"/>
    <hyperlink ref="T17" r:id="rId24" xr:uid="{00000000-0004-0000-0200-000017000000}"/>
    <hyperlink ref="S18" r:id="rId25" xr:uid="{00000000-0004-0000-0200-000018000000}"/>
    <hyperlink ref="T18" r:id="rId26" xr:uid="{00000000-0004-0000-0200-000019000000}"/>
    <hyperlink ref="S19" r:id="rId27" xr:uid="{00000000-0004-0000-0200-00001A000000}"/>
    <hyperlink ref="T19" r:id="rId28" xr:uid="{00000000-0004-0000-0200-00001B000000}"/>
    <hyperlink ref="S20" r:id="rId29" xr:uid="{00000000-0004-0000-0200-00001C000000}"/>
    <hyperlink ref="T20" r:id="rId30" xr:uid="{00000000-0004-0000-0200-00001D000000}"/>
    <hyperlink ref="S21" r:id="rId31" xr:uid="{00000000-0004-0000-0200-00001E000000}"/>
    <hyperlink ref="T21" r:id="rId32" xr:uid="{00000000-0004-0000-0200-00001F000000}"/>
    <hyperlink ref="S22" r:id="rId33" xr:uid="{00000000-0004-0000-0200-000020000000}"/>
    <hyperlink ref="T22" r:id="rId34" xr:uid="{00000000-0004-0000-0200-000021000000}"/>
    <hyperlink ref="S23" r:id="rId35" xr:uid="{00000000-0004-0000-0200-000022000000}"/>
    <hyperlink ref="T23" r:id="rId36" xr:uid="{00000000-0004-0000-0200-000023000000}"/>
    <hyperlink ref="S24" r:id="rId37" xr:uid="{00000000-0004-0000-0200-000024000000}"/>
    <hyperlink ref="T24" r:id="rId38" xr:uid="{00000000-0004-0000-0200-000025000000}"/>
  </hyperlinks>
  <pageMargins left="0.7" right="0.7" top="0.75" bottom="0.75" header="0.3" footer="0.3"/>
  <drawing r:id="rId39"/>
  <legacy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B78"/>
  </sheetPr>
  <dimension ref="A1:I13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28" customWidth="1"/>
    <col min="3" max="3" width="18" customWidth="1"/>
    <col min="4" max="4" width="40" customWidth="1"/>
    <col min="5" max="5" width="34" customWidth="1"/>
    <col min="6" max="6" width="18" customWidth="1"/>
    <col min="7" max="7" width="16" customWidth="1"/>
    <col min="8" max="8" width="42" customWidth="1"/>
    <col min="9" max="9" width="58" customWidth="1"/>
  </cols>
  <sheetData>
    <row r="1" spans="1:9" ht="30" customHeight="1" x14ac:dyDescent="0.3">
      <c r="A1" s="52" t="s">
        <v>1437</v>
      </c>
      <c r="B1" s="50"/>
      <c r="C1" s="50"/>
      <c r="D1" s="50"/>
      <c r="E1" s="50"/>
      <c r="F1" s="50"/>
      <c r="G1" s="50"/>
      <c r="H1" s="50"/>
      <c r="I1" s="50"/>
    </row>
    <row r="2" spans="1:9" ht="21.95" customHeight="1" x14ac:dyDescent="0.3">
      <c r="A2" s="62" t="s">
        <v>1438</v>
      </c>
      <c r="B2" s="50"/>
      <c r="C2" s="50"/>
      <c r="D2" s="50"/>
      <c r="E2" s="50"/>
      <c r="F2" s="50"/>
      <c r="G2" s="50"/>
      <c r="H2" s="50"/>
      <c r="I2" s="50"/>
    </row>
    <row r="3" spans="1:9" ht="35.1" customHeight="1" x14ac:dyDescent="0.3">
      <c r="A3" s="64" t="s">
        <v>1439</v>
      </c>
      <c r="B3" s="50"/>
      <c r="C3" s="50"/>
      <c r="D3" s="50"/>
      <c r="E3" s="50"/>
      <c r="F3" s="50"/>
      <c r="G3" s="50"/>
      <c r="H3" s="50"/>
      <c r="I3" s="50"/>
    </row>
    <row r="5" spans="1:9" ht="42" customHeight="1" x14ac:dyDescent="0.3">
      <c r="A5" s="2" t="s">
        <v>51</v>
      </c>
      <c r="B5" s="2" t="s">
        <v>1440</v>
      </c>
      <c r="C5" s="2" t="s">
        <v>1441</v>
      </c>
      <c r="D5" s="2" t="s">
        <v>1442</v>
      </c>
      <c r="E5" s="2" t="s">
        <v>1443</v>
      </c>
      <c r="F5" s="2" t="s">
        <v>1444</v>
      </c>
      <c r="G5" s="2" t="s">
        <v>1445</v>
      </c>
      <c r="H5" s="2" t="s">
        <v>70</v>
      </c>
      <c r="I5" s="2" t="s">
        <v>1446</v>
      </c>
    </row>
    <row r="6" spans="1:9" ht="51.95" customHeight="1" x14ac:dyDescent="0.3">
      <c r="A6" s="3">
        <v>1</v>
      </c>
      <c r="B6" s="4" t="s">
        <v>1447</v>
      </c>
      <c r="C6" s="4" t="s">
        <v>1448</v>
      </c>
      <c r="D6" s="4" t="s">
        <v>1449</v>
      </c>
      <c r="E6" s="4" t="s">
        <v>1450</v>
      </c>
      <c r="F6" s="4" t="s">
        <v>1451</v>
      </c>
      <c r="G6" s="4" t="s">
        <v>1452</v>
      </c>
      <c r="H6" s="4" t="s">
        <v>1453</v>
      </c>
      <c r="I6" s="6" t="s">
        <v>43</v>
      </c>
    </row>
    <row r="7" spans="1:9" ht="51.95" customHeight="1" x14ac:dyDescent="0.3">
      <c r="A7" s="14">
        <v>2</v>
      </c>
      <c r="B7" s="15" t="s">
        <v>1454</v>
      </c>
      <c r="C7" s="15" t="s">
        <v>1455</v>
      </c>
      <c r="D7" s="15" t="s">
        <v>1456</v>
      </c>
      <c r="E7" s="15" t="s">
        <v>1450</v>
      </c>
      <c r="F7" s="15" t="s">
        <v>1451</v>
      </c>
      <c r="G7" s="15" t="s">
        <v>1452</v>
      </c>
      <c r="H7" s="15" t="s">
        <v>1457</v>
      </c>
      <c r="I7" s="16" t="s">
        <v>43</v>
      </c>
    </row>
    <row r="8" spans="1:9" ht="51.95" customHeight="1" x14ac:dyDescent="0.3">
      <c r="A8" s="10">
        <v>3</v>
      </c>
      <c r="B8" s="11" t="s">
        <v>1458</v>
      </c>
      <c r="C8" s="11" t="s">
        <v>1448</v>
      </c>
      <c r="D8" s="11" t="s">
        <v>1459</v>
      </c>
      <c r="E8" s="11" t="s">
        <v>1450</v>
      </c>
      <c r="F8" s="11" t="s">
        <v>1460</v>
      </c>
      <c r="G8" s="11" t="s">
        <v>1452</v>
      </c>
      <c r="H8" s="11" t="s">
        <v>1461</v>
      </c>
      <c r="I8" s="13" t="s">
        <v>43</v>
      </c>
    </row>
    <row r="9" spans="1:9" ht="51.95" customHeight="1" x14ac:dyDescent="0.3">
      <c r="A9" s="14">
        <v>4</v>
      </c>
      <c r="B9" s="15" t="s">
        <v>1462</v>
      </c>
      <c r="C9" s="15" t="s">
        <v>1455</v>
      </c>
      <c r="D9" s="15" t="s">
        <v>1463</v>
      </c>
      <c r="E9" s="15" t="s">
        <v>1450</v>
      </c>
      <c r="F9" s="15" t="s">
        <v>1451</v>
      </c>
      <c r="G9" s="15" t="s">
        <v>1452</v>
      </c>
      <c r="H9" s="15" t="s">
        <v>1457</v>
      </c>
      <c r="I9" s="16" t="s">
        <v>43</v>
      </c>
    </row>
    <row r="10" spans="1:9" ht="51.95" customHeight="1" x14ac:dyDescent="0.3">
      <c r="A10" s="10">
        <v>5</v>
      </c>
      <c r="B10" s="11" t="s">
        <v>1464</v>
      </c>
      <c r="C10" s="11" t="s">
        <v>1448</v>
      </c>
      <c r="D10" s="11" t="s">
        <v>1465</v>
      </c>
      <c r="E10" s="11" t="s">
        <v>1450</v>
      </c>
      <c r="F10" s="11" t="s">
        <v>1451</v>
      </c>
      <c r="G10" s="11" t="s">
        <v>1452</v>
      </c>
      <c r="H10" s="11" t="s">
        <v>1466</v>
      </c>
      <c r="I10" s="13" t="s">
        <v>43</v>
      </c>
    </row>
    <row r="11" spans="1:9" ht="51.95" customHeight="1" x14ac:dyDescent="0.3">
      <c r="A11" s="14">
        <v>6</v>
      </c>
      <c r="B11" s="15" t="s">
        <v>1467</v>
      </c>
      <c r="C11" s="15" t="s">
        <v>1468</v>
      </c>
      <c r="D11" s="15" t="s">
        <v>1469</v>
      </c>
      <c r="E11" s="15" t="s">
        <v>1450</v>
      </c>
      <c r="F11" s="15" t="s">
        <v>1451</v>
      </c>
      <c r="G11" s="15" t="s">
        <v>1452</v>
      </c>
      <c r="H11" s="15" t="s">
        <v>1470</v>
      </c>
      <c r="I11" s="16" t="s">
        <v>43</v>
      </c>
    </row>
    <row r="12" spans="1:9" ht="51.95" customHeight="1" x14ac:dyDescent="0.3">
      <c r="A12" s="10">
        <v>7</v>
      </c>
      <c r="B12" s="11" t="s">
        <v>1471</v>
      </c>
      <c r="C12" s="11" t="s">
        <v>1448</v>
      </c>
      <c r="D12" s="11" t="s">
        <v>1472</v>
      </c>
      <c r="E12" s="11" t="s">
        <v>1450</v>
      </c>
      <c r="F12" s="11" t="s">
        <v>1451</v>
      </c>
      <c r="G12" s="11" t="s">
        <v>1452</v>
      </c>
      <c r="H12" s="11" t="s">
        <v>1473</v>
      </c>
      <c r="I12" s="13" t="s">
        <v>43</v>
      </c>
    </row>
    <row r="13" spans="1:9" ht="51.95" customHeight="1" x14ac:dyDescent="0.3">
      <c r="A13" s="14">
        <v>8</v>
      </c>
      <c r="B13" s="15" t="s">
        <v>1474</v>
      </c>
      <c r="C13" s="15" t="s">
        <v>1216</v>
      </c>
      <c r="D13" s="15" t="s">
        <v>1475</v>
      </c>
      <c r="E13" s="15" t="s">
        <v>1476</v>
      </c>
      <c r="F13" s="15" t="s">
        <v>1477</v>
      </c>
      <c r="G13" s="15" t="s">
        <v>1451</v>
      </c>
      <c r="H13" s="15" t="s">
        <v>1478</v>
      </c>
      <c r="I13" s="16" t="s">
        <v>43</v>
      </c>
    </row>
  </sheetData>
  <mergeCells count="3">
    <mergeCell ref="A1:I1"/>
    <mergeCell ref="A3:I3"/>
    <mergeCell ref="A2:I2"/>
  </mergeCells>
  <phoneticPr fontId="22" type="noConversion"/>
  <hyperlinks>
    <hyperlink ref="I6" r:id="rId1" xr:uid="{00000000-0004-0000-0300-000000000000}"/>
    <hyperlink ref="I7" r:id="rId2" xr:uid="{00000000-0004-0000-0300-000001000000}"/>
    <hyperlink ref="I8" r:id="rId3" xr:uid="{00000000-0004-0000-0300-000002000000}"/>
    <hyperlink ref="I9" r:id="rId4" xr:uid="{00000000-0004-0000-0300-000003000000}"/>
    <hyperlink ref="I10" r:id="rId5" xr:uid="{00000000-0004-0000-0300-000004000000}"/>
    <hyperlink ref="I11" r:id="rId6" xr:uid="{00000000-0004-0000-0300-000005000000}"/>
    <hyperlink ref="I12" r:id="rId7" xr:uid="{00000000-0004-0000-0300-000006000000}"/>
    <hyperlink ref="I13" r:id="rId8" xr:uid="{00000000-0004-0000-0300-00000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78"/>
  </sheetPr>
  <dimension ref="A1:N44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10" customWidth="1"/>
    <col min="3" max="3" width="34" customWidth="1"/>
    <col min="4" max="4" width="40" customWidth="1"/>
    <col min="5" max="5" width="16" customWidth="1"/>
    <col min="6" max="6" width="15" customWidth="1"/>
    <col min="7" max="7" width="23" customWidth="1"/>
    <col min="8" max="9" width="22" customWidth="1"/>
    <col min="10" max="10" width="20" customWidth="1"/>
    <col min="11" max="11" width="27" customWidth="1"/>
    <col min="12" max="12" width="34" customWidth="1"/>
    <col min="13" max="13" width="38" customWidth="1"/>
    <col min="14" max="14" width="58" customWidth="1"/>
  </cols>
  <sheetData>
    <row r="1" spans="1:14" ht="30" customHeight="1" x14ac:dyDescent="0.3">
      <c r="A1" s="52" t="s">
        <v>1479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1.95" customHeight="1" x14ac:dyDescent="0.3">
      <c r="A2" s="62" t="s">
        <v>1480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35.1" customHeight="1" x14ac:dyDescent="0.3">
      <c r="A3" s="64" t="s">
        <v>1481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5" spans="1:14" ht="42" customHeight="1" x14ac:dyDescent="0.3">
      <c r="A5" s="2" t="s">
        <v>51</v>
      </c>
      <c r="B5" s="2" t="s">
        <v>1062</v>
      </c>
      <c r="C5" s="2" t="s">
        <v>1440</v>
      </c>
      <c r="D5" s="2" t="s">
        <v>1482</v>
      </c>
      <c r="E5" s="2" t="s">
        <v>1483</v>
      </c>
      <c r="F5" s="2" t="s">
        <v>1484</v>
      </c>
      <c r="G5" s="2" t="s">
        <v>1485</v>
      </c>
      <c r="H5" s="2" t="s">
        <v>1486</v>
      </c>
      <c r="I5" s="2" t="s">
        <v>1487</v>
      </c>
      <c r="J5" s="2" t="s">
        <v>1488</v>
      </c>
      <c r="K5" s="2" t="s">
        <v>1489</v>
      </c>
      <c r="L5" s="2" t="s">
        <v>1490</v>
      </c>
      <c r="M5" s="2" t="s">
        <v>1491</v>
      </c>
      <c r="N5" s="2" t="s">
        <v>1446</v>
      </c>
    </row>
    <row r="6" spans="1:14" ht="57.95" customHeight="1" x14ac:dyDescent="0.3">
      <c r="A6" s="3">
        <v>1</v>
      </c>
      <c r="B6" s="4" t="s">
        <v>1103</v>
      </c>
      <c r="C6" s="4" t="s">
        <v>1492</v>
      </c>
      <c r="D6" s="4"/>
      <c r="E6" s="4" t="s">
        <v>1493</v>
      </c>
      <c r="F6" s="4" t="s">
        <v>1494</v>
      </c>
      <c r="G6" s="4" t="s">
        <v>1495</v>
      </c>
      <c r="H6" s="4" t="s">
        <v>1496</v>
      </c>
      <c r="I6" s="4" t="s">
        <v>1497</v>
      </c>
      <c r="J6" s="4" t="s">
        <v>1498</v>
      </c>
      <c r="K6" s="4" t="s">
        <v>1499</v>
      </c>
      <c r="L6" s="4" t="s">
        <v>1500</v>
      </c>
      <c r="M6" s="4" t="s">
        <v>1501</v>
      </c>
      <c r="N6" s="6" t="s">
        <v>45</v>
      </c>
    </row>
    <row r="7" spans="1:14" ht="57.95" customHeight="1" x14ac:dyDescent="0.3">
      <c r="A7" s="7">
        <v>2</v>
      </c>
      <c r="B7" s="8" t="s">
        <v>1103</v>
      </c>
      <c r="C7" s="8" t="s">
        <v>1502</v>
      </c>
      <c r="D7" s="8"/>
      <c r="E7" s="8" t="s">
        <v>1503</v>
      </c>
      <c r="F7" s="8" t="s">
        <v>1494</v>
      </c>
      <c r="G7" s="8" t="s">
        <v>1504</v>
      </c>
      <c r="H7" s="8" t="s">
        <v>1505</v>
      </c>
      <c r="I7" s="8" t="s">
        <v>1505</v>
      </c>
      <c r="J7" s="8" t="s">
        <v>1498</v>
      </c>
      <c r="K7" s="8" t="s">
        <v>1499</v>
      </c>
      <c r="L7" s="8" t="s">
        <v>1506</v>
      </c>
      <c r="M7" s="8" t="s">
        <v>1501</v>
      </c>
      <c r="N7" s="9" t="s">
        <v>45</v>
      </c>
    </row>
    <row r="8" spans="1:14" ht="57.95" customHeight="1" x14ac:dyDescent="0.3">
      <c r="A8" s="3">
        <v>3</v>
      </c>
      <c r="B8" s="4" t="s">
        <v>1103</v>
      </c>
      <c r="C8" s="4" t="s">
        <v>1507</v>
      </c>
      <c r="D8" s="4"/>
      <c r="E8" s="4" t="s">
        <v>1503</v>
      </c>
      <c r="F8" s="4" t="s">
        <v>1494</v>
      </c>
      <c r="G8" s="4" t="s">
        <v>1508</v>
      </c>
      <c r="H8" s="4" t="s">
        <v>1509</v>
      </c>
      <c r="I8" s="4" t="s">
        <v>1509</v>
      </c>
      <c r="J8" s="4" t="s">
        <v>1498</v>
      </c>
      <c r="K8" s="4" t="s">
        <v>1499</v>
      </c>
      <c r="L8" s="4" t="s">
        <v>1510</v>
      </c>
      <c r="M8" s="4" t="s">
        <v>1501</v>
      </c>
      <c r="N8" s="6" t="s">
        <v>45</v>
      </c>
    </row>
    <row r="9" spans="1:14" ht="57.95" customHeight="1" x14ac:dyDescent="0.3">
      <c r="A9" s="7">
        <v>4</v>
      </c>
      <c r="B9" s="8" t="s">
        <v>1103</v>
      </c>
      <c r="C9" s="8" t="s">
        <v>1511</v>
      </c>
      <c r="D9" s="8"/>
      <c r="E9" s="8" t="s">
        <v>1503</v>
      </c>
      <c r="F9" s="8" t="s">
        <v>1494</v>
      </c>
      <c r="G9" s="8" t="s">
        <v>1508</v>
      </c>
      <c r="H9" s="8" t="s">
        <v>1512</v>
      </c>
      <c r="I9" s="8" t="s">
        <v>1513</v>
      </c>
      <c r="J9" s="8" t="s">
        <v>1498</v>
      </c>
      <c r="K9" s="8" t="s">
        <v>1499</v>
      </c>
      <c r="L9" s="8" t="s">
        <v>1514</v>
      </c>
      <c r="M9" s="8" t="s">
        <v>1501</v>
      </c>
      <c r="N9" s="9" t="s">
        <v>45</v>
      </c>
    </row>
    <row r="10" spans="1:14" ht="57.95" customHeight="1" x14ac:dyDescent="0.3">
      <c r="A10" s="3">
        <v>5</v>
      </c>
      <c r="B10" s="4" t="s">
        <v>1103</v>
      </c>
      <c r="C10" s="4" t="s">
        <v>1515</v>
      </c>
      <c r="D10" s="4"/>
      <c r="E10" s="4" t="s">
        <v>1503</v>
      </c>
      <c r="F10" s="4" t="s">
        <v>1494</v>
      </c>
      <c r="G10" s="4" t="s">
        <v>1516</v>
      </c>
      <c r="H10" s="4" t="s">
        <v>1517</v>
      </c>
      <c r="I10" s="4" t="s">
        <v>1518</v>
      </c>
      <c r="J10" s="4" t="s">
        <v>1498</v>
      </c>
      <c r="K10" s="4" t="s">
        <v>1499</v>
      </c>
      <c r="L10" s="4" t="s">
        <v>1519</v>
      </c>
      <c r="M10" s="4" t="s">
        <v>1501</v>
      </c>
      <c r="N10" s="6" t="s">
        <v>45</v>
      </c>
    </row>
    <row r="11" spans="1:14" ht="57.95" customHeight="1" x14ac:dyDescent="0.3">
      <c r="A11" s="7">
        <v>6</v>
      </c>
      <c r="B11" s="8" t="s">
        <v>1103</v>
      </c>
      <c r="C11" s="8" t="s">
        <v>1520</v>
      </c>
      <c r="D11" s="8"/>
      <c r="E11" s="8" t="s">
        <v>1503</v>
      </c>
      <c r="F11" s="8" t="s">
        <v>1494</v>
      </c>
      <c r="G11" s="8" t="s">
        <v>1521</v>
      </c>
      <c r="H11" s="8" t="s">
        <v>1522</v>
      </c>
      <c r="I11" s="8" t="s">
        <v>1522</v>
      </c>
      <c r="J11" s="8" t="s">
        <v>1498</v>
      </c>
      <c r="K11" s="8" t="s">
        <v>1499</v>
      </c>
      <c r="L11" s="8" t="s">
        <v>1523</v>
      </c>
      <c r="M11" s="8" t="s">
        <v>1501</v>
      </c>
      <c r="N11" s="9" t="s">
        <v>45</v>
      </c>
    </row>
    <row r="12" spans="1:14" ht="57.95" customHeight="1" x14ac:dyDescent="0.3">
      <c r="A12" s="3">
        <v>7</v>
      </c>
      <c r="B12" s="4" t="s">
        <v>1103</v>
      </c>
      <c r="C12" s="4" t="s">
        <v>1524</v>
      </c>
      <c r="D12" s="4"/>
      <c r="E12" s="4" t="s">
        <v>1503</v>
      </c>
      <c r="F12" s="4" t="s">
        <v>1494</v>
      </c>
      <c r="G12" s="4" t="s">
        <v>1525</v>
      </c>
      <c r="H12" s="4" t="s">
        <v>1526</v>
      </c>
      <c r="I12" s="4" t="s">
        <v>1527</v>
      </c>
      <c r="J12" s="4" t="s">
        <v>1498</v>
      </c>
      <c r="K12" s="4" t="s">
        <v>1499</v>
      </c>
      <c r="L12" s="4" t="s">
        <v>1528</v>
      </c>
      <c r="M12" s="4" t="s">
        <v>1501</v>
      </c>
      <c r="N12" s="6" t="s">
        <v>45</v>
      </c>
    </row>
    <row r="13" spans="1:14" ht="57.95" customHeight="1" x14ac:dyDescent="0.3">
      <c r="A13" s="7">
        <v>8</v>
      </c>
      <c r="B13" s="8" t="s">
        <v>1103</v>
      </c>
      <c r="C13" s="8" t="s">
        <v>1529</v>
      </c>
      <c r="D13" s="8"/>
      <c r="E13" s="8" t="s">
        <v>1503</v>
      </c>
      <c r="F13" s="8" t="s">
        <v>1494</v>
      </c>
      <c r="G13" s="8" t="s">
        <v>1530</v>
      </c>
      <c r="H13" s="8" t="s">
        <v>1531</v>
      </c>
      <c r="I13" s="8" t="s">
        <v>1531</v>
      </c>
      <c r="J13" s="8" t="s">
        <v>1498</v>
      </c>
      <c r="K13" s="8" t="s">
        <v>1142</v>
      </c>
      <c r="L13" s="8" t="s">
        <v>1532</v>
      </c>
      <c r="M13" s="8" t="s">
        <v>1501</v>
      </c>
      <c r="N13" s="9" t="s">
        <v>45</v>
      </c>
    </row>
    <row r="14" spans="1:14" ht="57.95" customHeight="1" x14ac:dyDescent="0.3">
      <c r="A14" s="3">
        <v>9</v>
      </c>
      <c r="B14" s="4" t="s">
        <v>1103</v>
      </c>
      <c r="C14" s="4" t="s">
        <v>1533</v>
      </c>
      <c r="D14" s="4"/>
      <c r="E14" s="4" t="s">
        <v>1493</v>
      </c>
      <c r="F14" s="4" t="s">
        <v>1367</v>
      </c>
      <c r="G14" s="4" t="s">
        <v>1534</v>
      </c>
      <c r="H14" s="4" t="s">
        <v>1496</v>
      </c>
      <c r="I14" s="4" t="s">
        <v>1535</v>
      </c>
      <c r="J14" s="4" t="s">
        <v>1536</v>
      </c>
      <c r="K14" s="4" t="s">
        <v>1386</v>
      </c>
      <c r="L14" s="4" t="s">
        <v>1500</v>
      </c>
      <c r="M14" s="4" t="s">
        <v>1501</v>
      </c>
      <c r="N14" s="6" t="s">
        <v>45</v>
      </c>
    </row>
    <row r="15" spans="1:14" ht="57.95" customHeight="1" x14ac:dyDescent="0.3">
      <c r="A15" s="7">
        <v>10</v>
      </c>
      <c r="B15" s="8" t="s">
        <v>1103</v>
      </c>
      <c r="C15" s="8" t="s">
        <v>1537</v>
      </c>
      <c r="D15" s="8"/>
      <c r="E15" s="8" t="s">
        <v>1503</v>
      </c>
      <c r="F15" s="8" t="s">
        <v>1367</v>
      </c>
      <c r="G15" s="8" t="s">
        <v>1538</v>
      </c>
      <c r="H15" s="8" t="s">
        <v>1539</v>
      </c>
      <c r="I15" s="8" t="s">
        <v>1540</v>
      </c>
      <c r="J15" s="8" t="s">
        <v>1536</v>
      </c>
      <c r="K15" s="8" t="s">
        <v>1386</v>
      </c>
      <c r="L15" s="8" t="s">
        <v>1541</v>
      </c>
      <c r="M15" s="8" t="s">
        <v>1501</v>
      </c>
      <c r="N15" s="9" t="s">
        <v>45</v>
      </c>
    </row>
    <row r="16" spans="1:14" ht="57.95" customHeight="1" x14ac:dyDescent="0.3">
      <c r="A16" s="3">
        <v>11</v>
      </c>
      <c r="B16" s="4" t="s">
        <v>1103</v>
      </c>
      <c r="C16" s="4" t="s">
        <v>1542</v>
      </c>
      <c r="D16" s="4"/>
      <c r="E16" s="4" t="s">
        <v>1503</v>
      </c>
      <c r="F16" s="4" t="s">
        <v>1367</v>
      </c>
      <c r="G16" s="4" t="s">
        <v>1538</v>
      </c>
      <c r="H16" s="4" t="s">
        <v>1543</v>
      </c>
      <c r="I16" s="4" t="s">
        <v>1544</v>
      </c>
      <c r="J16" s="4" t="s">
        <v>1536</v>
      </c>
      <c r="K16" s="4" t="s">
        <v>1386</v>
      </c>
      <c r="L16" s="4" t="s">
        <v>1545</v>
      </c>
      <c r="M16" s="4" t="s">
        <v>1501</v>
      </c>
      <c r="N16" s="6" t="s">
        <v>45</v>
      </c>
    </row>
    <row r="17" spans="1:14" ht="57.95" customHeight="1" x14ac:dyDescent="0.3">
      <c r="A17" s="7">
        <v>12</v>
      </c>
      <c r="B17" s="8" t="s">
        <v>1103</v>
      </c>
      <c r="C17" s="8" t="s">
        <v>1546</v>
      </c>
      <c r="D17" s="8"/>
      <c r="E17" s="8" t="s">
        <v>1503</v>
      </c>
      <c r="F17" s="8" t="s">
        <v>1367</v>
      </c>
      <c r="G17" s="8" t="s">
        <v>1538</v>
      </c>
      <c r="H17" s="8" t="s">
        <v>1547</v>
      </c>
      <c r="I17" s="8" t="s">
        <v>1548</v>
      </c>
      <c r="J17" s="8" t="s">
        <v>1536</v>
      </c>
      <c r="K17" s="8" t="s">
        <v>1386</v>
      </c>
      <c r="L17" s="8" t="s">
        <v>1549</v>
      </c>
      <c r="M17" s="8" t="s">
        <v>1501</v>
      </c>
      <c r="N17" s="9" t="s">
        <v>45</v>
      </c>
    </row>
    <row r="18" spans="1:14" ht="57.95" customHeight="1" x14ac:dyDescent="0.3">
      <c r="A18" s="3">
        <v>13</v>
      </c>
      <c r="B18" s="4" t="s">
        <v>1103</v>
      </c>
      <c r="C18" s="4" t="s">
        <v>1550</v>
      </c>
      <c r="D18" s="4"/>
      <c r="E18" s="4" t="s">
        <v>1503</v>
      </c>
      <c r="F18" s="4" t="s">
        <v>1367</v>
      </c>
      <c r="G18" s="4" t="s">
        <v>1538</v>
      </c>
      <c r="H18" s="4" t="s">
        <v>1551</v>
      </c>
      <c r="I18" s="4" t="s">
        <v>1551</v>
      </c>
      <c r="J18" s="4" t="s">
        <v>1536</v>
      </c>
      <c r="K18" s="4" t="s">
        <v>1386</v>
      </c>
      <c r="L18" s="4" t="s">
        <v>1552</v>
      </c>
      <c r="M18" s="4" t="s">
        <v>1501</v>
      </c>
      <c r="N18" s="6" t="s">
        <v>45</v>
      </c>
    </row>
    <row r="19" spans="1:14" ht="57.95" customHeight="1" x14ac:dyDescent="0.3">
      <c r="A19" s="7">
        <v>14</v>
      </c>
      <c r="B19" s="8" t="s">
        <v>1103</v>
      </c>
      <c r="C19" s="8" t="s">
        <v>1553</v>
      </c>
      <c r="D19" s="8"/>
      <c r="E19" s="8" t="s">
        <v>1503</v>
      </c>
      <c r="F19" s="8" t="s">
        <v>1367</v>
      </c>
      <c r="G19" s="8" t="s">
        <v>1554</v>
      </c>
      <c r="H19" s="8" t="s">
        <v>1555</v>
      </c>
      <c r="I19" s="8" t="s">
        <v>1556</v>
      </c>
      <c r="J19" s="8" t="s">
        <v>1536</v>
      </c>
      <c r="K19" s="8" t="s">
        <v>1386</v>
      </c>
      <c r="L19" s="8" t="s">
        <v>1519</v>
      </c>
      <c r="M19" s="8" t="s">
        <v>1501</v>
      </c>
      <c r="N19" s="9" t="s">
        <v>45</v>
      </c>
    </row>
    <row r="20" spans="1:14" ht="57.95" customHeight="1" x14ac:dyDescent="0.3">
      <c r="A20" s="3">
        <v>15</v>
      </c>
      <c r="B20" s="4" t="s">
        <v>1103</v>
      </c>
      <c r="C20" s="4" t="s">
        <v>1557</v>
      </c>
      <c r="D20" s="4"/>
      <c r="E20" s="4" t="s">
        <v>1503</v>
      </c>
      <c r="F20" s="4" t="s">
        <v>1367</v>
      </c>
      <c r="G20" s="4" t="s">
        <v>1558</v>
      </c>
      <c r="H20" s="4" t="s">
        <v>1559</v>
      </c>
      <c r="I20" s="4" t="s">
        <v>1559</v>
      </c>
      <c r="J20" s="4" t="s">
        <v>1536</v>
      </c>
      <c r="K20" s="4" t="s">
        <v>1386</v>
      </c>
      <c r="L20" s="4" t="s">
        <v>1560</v>
      </c>
      <c r="M20" s="4" t="s">
        <v>1501</v>
      </c>
      <c r="N20" s="6" t="s">
        <v>45</v>
      </c>
    </row>
    <row r="21" spans="1:14" ht="57.95" customHeight="1" x14ac:dyDescent="0.3">
      <c r="A21" s="7">
        <v>16</v>
      </c>
      <c r="B21" s="8" t="s">
        <v>1103</v>
      </c>
      <c r="C21" s="8" t="s">
        <v>1561</v>
      </c>
      <c r="D21" s="8"/>
      <c r="E21" s="8" t="s">
        <v>1493</v>
      </c>
      <c r="F21" s="8" t="s">
        <v>1367</v>
      </c>
      <c r="G21" s="8" t="s">
        <v>1562</v>
      </c>
      <c r="H21" s="8" t="s">
        <v>1563</v>
      </c>
      <c r="I21" s="8" t="s">
        <v>1564</v>
      </c>
      <c r="J21" s="8" t="s">
        <v>1498</v>
      </c>
      <c r="K21" s="8" t="s">
        <v>1386</v>
      </c>
      <c r="L21" s="8" t="s">
        <v>1500</v>
      </c>
      <c r="M21" s="8" t="s">
        <v>1501</v>
      </c>
      <c r="N21" s="9" t="s">
        <v>45</v>
      </c>
    </row>
    <row r="22" spans="1:14" ht="57.95" customHeight="1" x14ac:dyDescent="0.3">
      <c r="A22" s="3">
        <v>17</v>
      </c>
      <c r="B22" s="4" t="s">
        <v>1103</v>
      </c>
      <c r="C22" s="4" t="s">
        <v>1565</v>
      </c>
      <c r="D22" s="4"/>
      <c r="E22" s="4" t="s">
        <v>1503</v>
      </c>
      <c r="F22" s="4" t="s">
        <v>1367</v>
      </c>
      <c r="G22" s="4" t="s">
        <v>1554</v>
      </c>
      <c r="H22" s="4" t="s">
        <v>1566</v>
      </c>
      <c r="I22" s="4" t="s">
        <v>1567</v>
      </c>
      <c r="J22" s="4" t="s">
        <v>1498</v>
      </c>
      <c r="K22" s="4" t="s">
        <v>1386</v>
      </c>
      <c r="L22" s="4" t="s">
        <v>1519</v>
      </c>
      <c r="M22" s="4" t="s">
        <v>1501</v>
      </c>
      <c r="N22" s="6" t="s">
        <v>45</v>
      </c>
    </row>
    <row r="23" spans="1:14" ht="57.95" customHeight="1" x14ac:dyDescent="0.3">
      <c r="A23" s="7">
        <v>18</v>
      </c>
      <c r="B23" s="8" t="s">
        <v>1103</v>
      </c>
      <c r="C23" s="8" t="s">
        <v>1568</v>
      </c>
      <c r="D23" s="8"/>
      <c r="E23" s="8" t="s">
        <v>1503</v>
      </c>
      <c r="F23" s="8" t="s">
        <v>1367</v>
      </c>
      <c r="G23" s="8" t="s">
        <v>1569</v>
      </c>
      <c r="H23" s="8" t="s">
        <v>1570</v>
      </c>
      <c r="I23" s="8" t="s">
        <v>1571</v>
      </c>
      <c r="J23" s="8" t="s">
        <v>1498</v>
      </c>
      <c r="K23" s="8" t="s">
        <v>1386</v>
      </c>
      <c r="L23" s="8" t="s">
        <v>1572</v>
      </c>
      <c r="M23" s="8" t="s">
        <v>1501</v>
      </c>
      <c r="N23" s="9" t="s">
        <v>45</v>
      </c>
    </row>
    <row r="24" spans="1:14" ht="57.95" customHeight="1" x14ac:dyDescent="0.3">
      <c r="A24" s="3">
        <v>19</v>
      </c>
      <c r="B24" s="4" t="s">
        <v>1103</v>
      </c>
      <c r="C24" s="4" t="s">
        <v>1573</v>
      </c>
      <c r="D24" s="4"/>
      <c r="E24" s="4" t="s">
        <v>1503</v>
      </c>
      <c r="F24" s="4" t="s">
        <v>1367</v>
      </c>
      <c r="G24" s="4" t="s">
        <v>1574</v>
      </c>
      <c r="H24" s="4" t="s">
        <v>1575</v>
      </c>
      <c r="I24" s="4" t="s">
        <v>1575</v>
      </c>
      <c r="J24" s="4" t="s">
        <v>1498</v>
      </c>
      <c r="K24" s="4" t="s">
        <v>1386</v>
      </c>
      <c r="L24" s="4" t="s">
        <v>1576</v>
      </c>
      <c r="M24" s="4" t="s">
        <v>1501</v>
      </c>
      <c r="N24" s="6" t="s">
        <v>45</v>
      </c>
    </row>
    <row r="25" spans="1:14" ht="57.95" customHeight="1" x14ac:dyDescent="0.3">
      <c r="A25" s="7">
        <v>20</v>
      </c>
      <c r="B25" s="8" t="s">
        <v>1103</v>
      </c>
      <c r="C25" s="8" t="s">
        <v>1577</v>
      </c>
      <c r="D25" s="8"/>
      <c r="E25" s="8" t="s">
        <v>1503</v>
      </c>
      <c r="F25" s="8" t="s">
        <v>1367</v>
      </c>
      <c r="G25" s="8" t="s">
        <v>1578</v>
      </c>
      <c r="H25" s="8" t="s">
        <v>1575</v>
      </c>
      <c r="I25" s="8" t="s">
        <v>1579</v>
      </c>
      <c r="J25" s="8" t="s">
        <v>1498</v>
      </c>
      <c r="K25" s="8" t="s">
        <v>1386</v>
      </c>
      <c r="L25" s="8" t="s">
        <v>1580</v>
      </c>
      <c r="M25" s="8" t="s">
        <v>1501</v>
      </c>
      <c r="N25" s="9" t="s">
        <v>45</v>
      </c>
    </row>
    <row r="26" spans="1:14" ht="57.95" customHeight="1" x14ac:dyDescent="0.3">
      <c r="A26" s="3">
        <v>21</v>
      </c>
      <c r="B26" s="4" t="s">
        <v>1103</v>
      </c>
      <c r="C26" s="4" t="s">
        <v>1581</v>
      </c>
      <c r="D26" s="4"/>
      <c r="E26" s="4" t="s">
        <v>1503</v>
      </c>
      <c r="F26" s="4" t="s">
        <v>1367</v>
      </c>
      <c r="G26" s="4" t="s">
        <v>1582</v>
      </c>
      <c r="H26" s="4" t="s">
        <v>1583</v>
      </c>
      <c r="I26" s="4" t="s">
        <v>1584</v>
      </c>
      <c r="J26" s="4" t="s">
        <v>1498</v>
      </c>
      <c r="K26" s="4" t="s">
        <v>1386</v>
      </c>
      <c r="L26" s="4" t="s">
        <v>1560</v>
      </c>
      <c r="M26" s="4" t="s">
        <v>1501</v>
      </c>
      <c r="N26" s="6" t="s">
        <v>45</v>
      </c>
    </row>
    <row r="27" spans="1:14" ht="57.95" customHeight="1" x14ac:dyDescent="0.3">
      <c r="A27" s="14">
        <v>22</v>
      </c>
      <c r="B27" s="15" t="s">
        <v>1211</v>
      </c>
      <c r="C27" s="15" t="s">
        <v>1585</v>
      </c>
      <c r="D27" s="15"/>
      <c r="E27" s="15" t="s">
        <v>1493</v>
      </c>
      <c r="F27" s="15" t="s">
        <v>1494</v>
      </c>
      <c r="G27" s="15" t="s">
        <v>1495</v>
      </c>
      <c r="H27" s="15" t="s">
        <v>1496</v>
      </c>
      <c r="I27" s="15" t="s">
        <v>1497</v>
      </c>
      <c r="J27" s="15" t="s">
        <v>1586</v>
      </c>
      <c r="K27" s="15" t="s">
        <v>1587</v>
      </c>
      <c r="L27" s="15" t="s">
        <v>1588</v>
      </c>
      <c r="M27" s="15" t="s">
        <v>1501</v>
      </c>
      <c r="N27" s="16" t="s">
        <v>45</v>
      </c>
    </row>
    <row r="28" spans="1:14" ht="57.95" customHeight="1" x14ac:dyDescent="0.3">
      <c r="A28" s="3">
        <v>23</v>
      </c>
      <c r="B28" s="4" t="s">
        <v>1211</v>
      </c>
      <c r="C28" s="4" t="s">
        <v>1589</v>
      </c>
      <c r="D28" s="4"/>
      <c r="E28" s="4" t="s">
        <v>1503</v>
      </c>
      <c r="F28" s="4" t="s">
        <v>1494</v>
      </c>
      <c r="G28" s="4" t="s">
        <v>1504</v>
      </c>
      <c r="H28" s="4" t="s">
        <v>1505</v>
      </c>
      <c r="I28" s="4" t="s">
        <v>1505</v>
      </c>
      <c r="J28" s="4" t="s">
        <v>1586</v>
      </c>
      <c r="K28" s="4" t="s">
        <v>1587</v>
      </c>
      <c r="L28" s="4" t="s">
        <v>1590</v>
      </c>
      <c r="M28" s="4" t="s">
        <v>1501</v>
      </c>
      <c r="N28" s="6" t="s">
        <v>45</v>
      </c>
    </row>
    <row r="29" spans="1:14" ht="57.95" customHeight="1" x14ac:dyDescent="0.3">
      <c r="A29" s="7">
        <v>24</v>
      </c>
      <c r="B29" s="8" t="s">
        <v>1211</v>
      </c>
      <c r="C29" s="8" t="s">
        <v>1591</v>
      </c>
      <c r="D29" s="8"/>
      <c r="E29" s="8" t="s">
        <v>1503</v>
      </c>
      <c r="F29" s="8" t="s">
        <v>1494</v>
      </c>
      <c r="G29" s="8" t="s">
        <v>1508</v>
      </c>
      <c r="H29" s="8" t="s">
        <v>1509</v>
      </c>
      <c r="I29" s="8" t="s">
        <v>1509</v>
      </c>
      <c r="J29" s="8" t="s">
        <v>1586</v>
      </c>
      <c r="K29" s="8" t="s">
        <v>1587</v>
      </c>
      <c r="L29" s="8" t="s">
        <v>1576</v>
      </c>
      <c r="M29" s="8" t="s">
        <v>1501</v>
      </c>
      <c r="N29" s="9" t="s">
        <v>45</v>
      </c>
    </row>
    <row r="30" spans="1:14" ht="57.95" customHeight="1" x14ac:dyDescent="0.3">
      <c r="A30" s="3">
        <v>25</v>
      </c>
      <c r="B30" s="4" t="s">
        <v>1211</v>
      </c>
      <c r="C30" s="4" t="s">
        <v>1592</v>
      </c>
      <c r="D30" s="4"/>
      <c r="E30" s="4" t="s">
        <v>1503</v>
      </c>
      <c r="F30" s="4" t="s">
        <v>1494</v>
      </c>
      <c r="G30" s="4" t="s">
        <v>1508</v>
      </c>
      <c r="H30" s="4" t="s">
        <v>1512</v>
      </c>
      <c r="I30" s="4" t="s">
        <v>1513</v>
      </c>
      <c r="J30" s="4" t="s">
        <v>1586</v>
      </c>
      <c r="K30" s="4" t="s">
        <v>1587</v>
      </c>
      <c r="L30" s="4" t="s">
        <v>1593</v>
      </c>
      <c r="M30" s="4" t="s">
        <v>1501</v>
      </c>
      <c r="N30" s="6" t="s">
        <v>45</v>
      </c>
    </row>
    <row r="31" spans="1:14" ht="57.95" customHeight="1" x14ac:dyDescent="0.3">
      <c r="A31" s="7">
        <v>26</v>
      </c>
      <c r="B31" s="8" t="s">
        <v>1211</v>
      </c>
      <c r="C31" s="8" t="s">
        <v>1594</v>
      </c>
      <c r="D31" s="8"/>
      <c r="E31" s="8" t="s">
        <v>1503</v>
      </c>
      <c r="F31" s="8" t="s">
        <v>1494</v>
      </c>
      <c r="G31" s="8" t="s">
        <v>1516</v>
      </c>
      <c r="H31" s="8" t="s">
        <v>1517</v>
      </c>
      <c r="I31" s="8" t="s">
        <v>1518</v>
      </c>
      <c r="J31" s="8" t="s">
        <v>1586</v>
      </c>
      <c r="K31" s="8" t="s">
        <v>1587</v>
      </c>
      <c r="L31" s="8" t="s">
        <v>1595</v>
      </c>
      <c r="M31" s="8" t="s">
        <v>1501</v>
      </c>
      <c r="N31" s="9" t="s">
        <v>45</v>
      </c>
    </row>
    <row r="32" spans="1:14" ht="57.95" customHeight="1" x14ac:dyDescent="0.3">
      <c r="A32" s="3">
        <v>27</v>
      </c>
      <c r="B32" s="4" t="s">
        <v>1211</v>
      </c>
      <c r="C32" s="4" t="s">
        <v>1596</v>
      </c>
      <c r="D32" s="4"/>
      <c r="E32" s="4" t="s">
        <v>1503</v>
      </c>
      <c r="F32" s="4" t="s">
        <v>1494</v>
      </c>
      <c r="G32" s="4" t="s">
        <v>1521</v>
      </c>
      <c r="H32" s="4" t="s">
        <v>1522</v>
      </c>
      <c r="I32" s="4" t="s">
        <v>1522</v>
      </c>
      <c r="J32" s="4" t="s">
        <v>1586</v>
      </c>
      <c r="K32" s="4" t="s">
        <v>1587</v>
      </c>
      <c r="L32" s="4" t="s">
        <v>1597</v>
      </c>
      <c r="M32" s="4" t="s">
        <v>1501</v>
      </c>
      <c r="N32" s="6" t="s">
        <v>45</v>
      </c>
    </row>
    <row r="33" spans="1:14" ht="57.95" customHeight="1" x14ac:dyDescent="0.3">
      <c r="A33" s="7">
        <v>28</v>
      </c>
      <c r="B33" s="8" t="s">
        <v>1211</v>
      </c>
      <c r="C33" s="8" t="s">
        <v>1598</v>
      </c>
      <c r="D33" s="8"/>
      <c r="E33" s="8" t="s">
        <v>1503</v>
      </c>
      <c r="F33" s="8" t="s">
        <v>1494</v>
      </c>
      <c r="G33" s="8" t="s">
        <v>1599</v>
      </c>
      <c r="H33" s="8" t="s">
        <v>1526</v>
      </c>
      <c r="I33" s="8" t="s">
        <v>1527</v>
      </c>
      <c r="J33" s="8" t="s">
        <v>1586</v>
      </c>
      <c r="K33" s="8" t="s">
        <v>1587</v>
      </c>
      <c r="L33" s="8" t="s">
        <v>1600</v>
      </c>
      <c r="M33" s="8" t="s">
        <v>1501</v>
      </c>
      <c r="N33" s="9" t="s">
        <v>45</v>
      </c>
    </row>
    <row r="34" spans="1:14" ht="57.95" customHeight="1" x14ac:dyDescent="0.3">
      <c r="A34" s="3">
        <v>29</v>
      </c>
      <c r="B34" s="4" t="s">
        <v>1211</v>
      </c>
      <c r="C34" s="4" t="s">
        <v>1601</v>
      </c>
      <c r="D34" s="4"/>
      <c r="E34" s="4" t="s">
        <v>1503</v>
      </c>
      <c r="F34" s="4" t="s">
        <v>1494</v>
      </c>
      <c r="G34" s="4" t="s">
        <v>1530</v>
      </c>
      <c r="H34" s="4" t="s">
        <v>1531</v>
      </c>
      <c r="I34" s="4" t="s">
        <v>1531</v>
      </c>
      <c r="J34" s="4" t="s">
        <v>1586</v>
      </c>
      <c r="K34" s="4" t="s">
        <v>1587</v>
      </c>
      <c r="L34" s="4" t="s">
        <v>1532</v>
      </c>
      <c r="M34" s="4" t="s">
        <v>1501</v>
      </c>
      <c r="N34" s="6" t="s">
        <v>45</v>
      </c>
    </row>
    <row r="35" spans="1:14" ht="57.95" customHeight="1" x14ac:dyDescent="0.3">
      <c r="A35" s="7">
        <v>30</v>
      </c>
      <c r="B35" s="8" t="s">
        <v>1211</v>
      </c>
      <c r="C35" s="8" t="s">
        <v>1602</v>
      </c>
      <c r="D35" s="8"/>
      <c r="E35" s="8" t="s">
        <v>1503</v>
      </c>
      <c r="F35" s="8" t="s">
        <v>1494</v>
      </c>
      <c r="G35" s="8" t="s">
        <v>1508</v>
      </c>
      <c r="H35" s="8" t="s">
        <v>1603</v>
      </c>
      <c r="I35" s="8" t="s">
        <v>1604</v>
      </c>
      <c r="J35" s="8" t="s">
        <v>1605</v>
      </c>
      <c r="K35" s="8" t="s">
        <v>1587</v>
      </c>
      <c r="L35" s="8" t="s">
        <v>1606</v>
      </c>
      <c r="M35" s="8" t="s">
        <v>1501</v>
      </c>
      <c r="N35" s="9" t="s">
        <v>45</v>
      </c>
    </row>
    <row r="36" spans="1:14" ht="57.95" customHeight="1" x14ac:dyDescent="0.3">
      <c r="A36" s="3">
        <v>31</v>
      </c>
      <c r="B36" s="4" t="s">
        <v>1211</v>
      </c>
      <c r="C36" s="4" t="s">
        <v>1607</v>
      </c>
      <c r="D36" s="4"/>
      <c r="E36" s="4" t="s">
        <v>1503</v>
      </c>
      <c r="F36" s="4" t="s">
        <v>1367</v>
      </c>
      <c r="G36" s="4" t="s">
        <v>1569</v>
      </c>
      <c r="H36" s="4" t="s">
        <v>1608</v>
      </c>
      <c r="I36" s="4" t="s">
        <v>1608</v>
      </c>
      <c r="J36" s="4" t="s">
        <v>1605</v>
      </c>
      <c r="K36" s="4" t="s">
        <v>1409</v>
      </c>
      <c r="L36" s="4" t="s">
        <v>1609</v>
      </c>
      <c r="M36" s="4" t="s">
        <v>1501</v>
      </c>
      <c r="N36" s="6" t="s">
        <v>45</v>
      </c>
    </row>
    <row r="37" spans="1:14" ht="57.95" customHeight="1" x14ac:dyDescent="0.3">
      <c r="A37" s="7">
        <v>32</v>
      </c>
      <c r="B37" s="8" t="s">
        <v>1211</v>
      </c>
      <c r="C37" s="8" t="s">
        <v>1610</v>
      </c>
      <c r="D37" s="8"/>
      <c r="E37" s="8" t="s">
        <v>1503</v>
      </c>
      <c r="F37" s="8" t="s">
        <v>1367</v>
      </c>
      <c r="G37" s="8" t="s">
        <v>1538</v>
      </c>
      <c r="H37" s="8" t="s">
        <v>1551</v>
      </c>
      <c r="I37" s="8" t="s">
        <v>1551</v>
      </c>
      <c r="J37" s="8" t="s">
        <v>1611</v>
      </c>
      <c r="K37" s="8" t="s">
        <v>1409</v>
      </c>
      <c r="L37" s="8" t="s">
        <v>1612</v>
      </c>
      <c r="M37" s="8" t="s">
        <v>1501</v>
      </c>
      <c r="N37" s="9" t="s">
        <v>45</v>
      </c>
    </row>
    <row r="38" spans="1:14" ht="57.95" customHeight="1" x14ac:dyDescent="0.3">
      <c r="A38" s="3">
        <v>33</v>
      </c>
      <c r="B38" s="4" t="s">
        <v>1211</v>
      </c>
      <c r="C38" s="4" t="s">
        <v>1613</v>
      </c>
      <c r="D38" s="4" t="s">
        <v>1614</v>
      </c>
      <c r="E38" s="4" t="s">
        <v>1493</v>
      </c>
      <c r="F38" s="4" t="s">
        <v>1367</v>
      </c>
      <c r="G38" s="4" t="s">
        <v>1562</v>
      </c>
      <c r="H38" s="4" t="s">
        <v>1563</v>
      </c>
      <c r="I38" s="4" t="s">
        <v>1564</v>
      </c>
      <c r="J38" s="4" t="s">
        <v>1611</v>
      </c>
      <c r="K38" s="4" t="s">
        <v>1409</v>
      </c>
      <c r="L38" s="4" t="s">
        <v>1588</v>
      </c>
      <c r="M38" s="4" t="s">
        <v>1501</v>
      </c>
      <c r="N38" s="6" t="s">
        <v>45</v>
      </c>
    </row>
    <row r="39" spans="1:14" ht="57.95" customHeight="1" x14ac:dyDescent="0.3">
      <c r="A39" s="7">
        <v>34</v>
      </c>
      <c r="B39" s="8" t="s">
        <v>1211</v>
      </c>
      <c r="C39" s="8" t="s">
        <v>1615</v>
      </c>
      <c r="D39" s="8" t="s">
        <v>1616</v>
      </c>
      <c r="E39" s="8" t="s">
        <v>1503</v>
      </c>
      <c r="F39" s="8" t="s">
        <v>1367</v>
      </c>
      <c r="G39" s="8" t="s">
        <v>1617</v>
      </c>
      <c r="H39" s="8" t="s">
        <v>1618</v>
      </c>
      <c r="I39" s="8" t="s">
        <v>1618</v>
      </c>
      <c r="J39" s="8" t="s">
        <v>1611</v>
      </c>
      <c r="K39" s="8" t="s">
        <v>1409</v>
      </c>
      <c r="L39" s="8" t="s">
        <v>1619</v>
      </c>
      <c r="M39" s="8" t="s">
        <v>1501</v>
      </c>
      <c r="N39" s="9" t="s">
        <v>45</v>
      </c>
    </row>
    <row r="40" spans="1:14" ht="57.95" customHeight="1" x14ac:dyDescent="0.3">
      <c r="A40" s="3">
        <v>35</v>
      </c>
      <c r="B40" s="4" t="s">
        <v>1211</v>
      </c>
      <c r="C40" s="4" t="s">
        <v>1620</v>
      </c>
      <c r="D40" s="4" t="s">
        <v>1621</v>
      </c>
      <c r="E40" s="4" t="s">
        <v>1503</v>
      </c>
      <c r="F40" s="4" t="s">
        <v>1367</v>
      </c>
      <c r="G40" s="4" t="s">
        <v>1569</v>
      </c>
      <c r="H40" s="4" t="s">
        <v>1570</v>
      </c>
      <c r="I40" s="4" t="s">
        <v>1571</v>
      </c>
      <c r="J40" s="4" t="s">
        <v>1611</v>
      </c>
      <c r="K40" s="4" t="s">
        <v>1409</v>
      </c>
      <c r="L40" s="4" t="s">
        <v>1622</v>
      </c>
      <c r="M40" s="4" t="s">
        <v>1501</v>
      </c>
      <c r="N40" s="6" t="s">
        <v>45</v>
      </c>
    </row>
    <row r="41" spans="1:14" ht="57.95" customHeight="1" x14ac:dyDescent="0.3">
      <c r="A41" s="7">
        <v>36</v>
      </c>
      <c r="B41" s="8" t="s">
        <v>1211</v>
      </c>
      <c r="C41" s="8" t="s">
        <v>1623</v>
      </c>
      <c r="D41" s="8" t="s">
        <v>1624</v>
      </c>
      <c r="E41" s="8" t="s">
        <v>1503</v>
      </c>
      <c r="F41" s="8" t="s">
        <v>1367</v>
      </c>
      <c r="G41" s="8" t="s">
        <v>1625</v>
      </c>
      <c r="H41" s="8" t="s">
        <v>1548</v>
      </c>
      <c r="I41" s="8" t="s">
        <v>1626</v>
      </c>
      <c r="J41" s="8" t="s">
        <v>1611</v>
      </c>
      <c r="K41" s="8" t="s">
        <v>1409</v>
      </c>
      <c r="L41" s="8" t="s">
        <v>1627</v>
      </c>
      <c r="M41" s="8" t="s">
        <v>1501</v>
      </c>
      <c r="N41" s="9" t="s">
        <v>45</v>
      </c>
    </row>
    <row r="42" spans="1:14" ht="57.95" customHeight="1" x14ac:dyDescent="0.3">
      <c r="A42" s="3">
        <v>37</v>
      </c>
      <c r="B42" s="4" t="s">
        <v>1211</v>
      </c>
      <c r="C42" s="4" t="s">
        <v>1628</v>
      </c>
      <c r="D42" s="4" t="s">
        <v>1629</v>
      </c>
      <c r="E42" s="4" t="s">
        <v>1503</v>
      </c>
      <c r="F42" s="4" t="s">
        <v>1367</v>
      </c>
      <c r="G42" s="4" t="s">
        <v>1574</v>
      </c>
      <c r="H42" s="4" t="s">
        <v>1630</v>
      </c>
      <c r="I42" s="4" t="s">
        <v>1575</v>
      </c>
      <c r="J42" s="4" t="s">
        <v>1611</v>
      </c>
      <c r="K42" s="4" t="s">
        <v>1409</v>
      </c>
      <c r="L42" s="4" t="s">
        <v>1593</v>
      </c>
      <c r="M42" s="4" t="s">
        <v>1501</v>
      </c>
      <c r="N42" s="6" t="s">
        <v>45</v>
      </c>
    </row>
    <row r="43" spans="1:14" ht="57.95" customHeight="1" x14ac:dyDescent="0.3">
      <c r="A43" s="7">
        <v>38</v>
      </c>
      <c r="B43" s="8" t="s">
        <v>1211</v>
      </c>
      <c r="C43" s="8" t="s">
        <v>1631</v>
      </c>
      <c r="D43" s="8" t="s">
        <v>1632</v>
      </c>
      <c r="E43" s="8" t="s">
        <v>1503</v>
      </c>
      <c r="F43" s="8" t="s">
        <v>1367</v>
      </c>
      <c r="G43" s="8" t="s">
        <v>1582</v>
      </c>
      <c r="H43" s="8" t="s">
        <v>1583</v>
      </c>
      <c r="I43" s="8" t="s">
        <v>1584</v>
      </c>
      <c r="J43" s="8" t="s">
        <v>1611</v>
      </c>
      <c r="K43" s="8" t="s">
        <v>1409</v>
      </c>
      <c r="L43" s="8" t="s">
        <v>1560</v>
      </c>
      <c r="M43" s="8" t="s">
        <v>1501</v>
      </c>
      <c r="N43" s="9" t="s">
        <v>45</v>
      </c>
    </row>
    <row r="44" spans="1:14" ht="57.95" customHeight="1" x14ac:dyDescent="0.3">
      <c r="A44" s="3">
        <v>39</v>
      </c>
      <c r="B44" s="4" t="s">
        <v>1211</v>
      </c>
      <c r="C44" s="4" t="s">
        <v>1633</v>
      </c>
      <c r="D44" s="4" t="s">
        <v>1634</v>
      </c>
      <c r="E44" s="4" t="s">
        <v>1503</v>
      </c>
      <c r="F44" s="4" t="s">
        <v>1367</v>
      </c>
      <c r="G44" s="4" t="s">
        <v>1554</v>
      </c>
      <c r="H44" s="4" t="s">
        <v>1566</v>
      </c>
      <c r="I44" s="4" t="s">
        <v>1567</v>
      </c>
      <c r="J44" s="4" t="s">
        <v>1611</v>
      </c>
      <c r="K44" s="4" t="s">
        <v>1409</v>
      </c>
      <c r="L44" s="4" t="s">
        <v>1595</v>
      </c>
      <c r="M44" s="4" t="s">
        <v>1501</v>
      </c>
      <c r="N44" s="6" t="s">
        <v>45</v>
      </c>
    </row>
  </sheetData>
  <mergeCells count="3">
    <mergeCell ref="A3:N3"/>
    <mergeCell ref="A2:N2"/>
    <mergeCell ref="A1:N1"/>
  </mergeCells>
  <phoneticPr fontId="22" type="noConversion"/>
  <hyperlinks>
    <hyperlink ref="N6" r:id="rId1" xr:uid="{00000000-0004-0000-0400-000000000000}"/>
    <hyperlink ref="N7" r:id="rId2" xr:uid="{00000000-0004-0000-0400-000001000000}"/>
    <hyperlink ref="N8" r:id="rId3" xr:uid="{00000000-0004-0000-0400-000002000000}"/>
    <hyperlink ref="N9" r:id="rId4" xr:uid="{00000000-0004-0000-0400-000003000000}"/>
    <hyperlink ref="N10" r:id="rId5" xr:uid="{00000000-0004-0000-0400-000004000000}"/>
    <hyperlink ref="N11" r:id="rId6" xr:uid="{00000000-0004-0000-0400-000005000000}"/>
    <hyperlink ref="N12" r:id="rId7" xr:uid="{00000000-0004-0000-0400-000006000000}"/>
    <hyperlink ref="N13" r:id="rId8" xr:uid="{00000000-0004-0000-0400-000007000000}"/>
    <hyperlink ref="N14" r:id="rId9" xr:uid="{00000000-0004-0000-0400-000008000000}"/>
    <hyperlink ref="N15" r:id="rId10" xr:uid="{00000000-0004-0000-0400-000009000000}"/>
    <hyperlink ref="N16" r:id="rId11" xr:uid="{00000000-0004-0000-0400-00000A000000}"/>
    <hyperlink ref="N17" r:id="rId12" xr:uid="{00000000-0004-0000-0400-00000B000000}"/>
    <hyperlink ref="N18" r:id="rId13" xr:uid="{00000000-0004-0000-0400-00000C000000}"/>
    <hyperlink ref="N19" r:id="rId14" xr:uid="{00000000-0004-0000-0400-00000D000000}"/>
    <hyperlink ref="N20" r:id="rId15" xr:uid="{00000000-0004-0000-0400-00000E000000}"/>
    <hyperlink ref="N21" r:id="rId16" xr:uid="{00000000-0004-0000-0400-00000F000000}"/>
    <hyperlink ref="N22" r:id="rId17" xr:uid="{00000000-0004-0000-0400-000010000000}"/>
    <hyperlink ref="N23" r:id="rId18" xr:uid="{00000000-0004-0000-0400-000011000000}"/>
    <hyperlink ref="N24" r:id="rId19" xr:uid="{00000000-0004-0000-0400-000012000000}"/>
    <hyperlink ref="N25" r:id="rId20" xr:uid="{00000000-0004-0000-0400-000013000000}"/>
    <hyperlink ref="N26" r:id="rId21" xr:uid="{00000000-0004-0000-0400-000014000000}"/>
    <hyperlink ref="N27" r:id="rId22" xr:uid="{00000000-0004-0000-0400-000015000000}"/>
    <hyperlink ref="N28" r:id="rId23" xr:uid="{00000000-0004-0000-0400-000016000000}"/>
    <hyperlink ref="N29" r:id="rId24" xr:uid="{00000000-0004-0000-0400-000017000000}"/>
    <hyperlink ref="N30" r:id="rId25" xr:uid="{00000000-0004-0000-0400-000018000000}"/>
    <hyperlink ref="N31" r:id="rId26" xr:uid="{00000000-0004-0000-0400-000019000000}"/>
    <hyperlink ref="N32" r:id="rId27" xr:uid="{00000000-0004-0000-0400-00001A000000}"/>
    <hyperlink ref="N33" r:id="rId28" xr:uid="{00000000-0004-0000-0400-00001B000000}"/>
    <hyperlink ref="N34" r:id="rId29" xr:uid="{00000000-0004-0000-0400-00001C000000}"/>
    <hyperlink ref="N35" r:id="rId30" xr:uid="{00000000-0004-0000-0400-00001D000000}"/>
    <hyperlink ref="N36" r:id="rId31" xr:uid="{00000000-0004-0000-0400-00001E000000}"/>
    <hyperlink ref="N37" r:id="rId32" xr:uid="{00000000-0004-0000-0400-00001F000000}"/>
    <hyperlink ref="N38" r:id="rId33" xr:uid="{00000000-0004-0000-0400-000020000000}"/>
    <hyperlink ref="N39" r:id="rId34" xr:uid="{00000000-0004-0000-0400-000021000000}"/>
    <hyperlink ref="N40" r:id="rId35" xr:uid="{00000000-0004-0000-0400-000022000000}"/>
    <hyperlink ref="N41" r:id="rId36" xr:uid="{00000000-0004-0000-0400-000023000000}"/>
    <hyperlink ref="N42" r:id="rId37" xr:uid="{00000000-0004-0000-0400-000024000000}"/>
    <hyperlink ref="N43" r:id="rId38" xr:uid="{00000000-0004-0000-0400-000025000000}"/>
    <hyperlink ref="N44" r:id="rId39" xr:uid="{00000000-0004-0000-0400-000026000000}"/>
  </hyperlinks>
  <pageMargins left="0.7" right="0.7" top="0.75" bottom="0.75" header="0.3" footer="0.3"/>
  <drawing r:id="rId40"/>
  <legacy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B78"/>
  </sheetPr>
  <dimension ref="A1:J75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18" customWidth="1"/>
    <col min="3" max="3" width="22" customWidth="1"/>
    <col min="4" max="4" width="38" customWidth="1"/>
    <col min="5" max="5" width="20" customWidth="1"/>
    <col min="6" max="6" width="70" customWidth="1"/>
    <col min="7" max="7" width="58" customWidth="1"/>
    <col min="8" max="8" width="30" customWidth="1"/>
    <col min="9" max="9" width="14" customWidth="1"/>
    <col min="10" max="10" width="46" customWidth="1"/>
  </cols>
  <sheetData>
    <row r="1" spans="1:10" ht="30" customHeight="1" x14ac:dyDescent="0.3">
      <c r="A1" s="52" t="s">
        <v>1635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1.95" customHeight="1" x14ac:dyDescent="0.3">
      <c r="A2" s="62" t="s">
        <v>1636</v>
      </c>
      <c r="B2" s="50"/>
      <c r="C2" s="50"/>
      <c r="D2" s="50"/>
      <c r="E2" s="50"/>
      <c r="F2" s="50"/>
      <c r="G2" s="50"/>
      <c r="H2" s="50"/>
      <c r="I2" s="50"/>
      <c r="J2" s="50"/>
    </row>
    <row r="3" spans="1:10" ht="35.1" customHeight="1" x14ac:dyDescent="0.3">
      <c r="A3" s="64" t="s">
        <v>1637</v>
      </c>
      <c r="B3" s="50"/>
      <c r="C3" s="50"/>
      <c r="D3" s="50"/>
      <c r="E3" s="50"/>
      <c r="F3" s="50"/>
      <c r="G3" s="50"/>
      <c r="H3" s="50"/>
      <c r="I3" s="50"/>
      <c r="J3" s="50"/>
    </row>
    <row r="5" spans="1:10" ht="42" customHeight="1" x14ac:dyDescent="0.3">
      <c r="A5" s="2" t="s">
        <v>51</v>
      </c>
      <c r="B5" s="2" t="s">
        <v>1638</v>
      </c>
      <c r="C5" s="2" t="s">
        <v>53</v>
      </c>
      <c r="D5" s="2" t="s">
        <v>1639</v>
      </c>
      <c r="E5" s="2" t="s">
        <v>1640</v>
      </c>
      <c r="F5" s="2" t="s">
        <v>1641</v>
      </c>
      <c r="G5" s="2" t="s">
        <v>1642</v>
      </c>
      <c r="H5" s="2" t="s">
        <v>67</v>
      </c>
      <c r="I5" s="2" t="s">
        <v>1643</v>
      </c>
      <c r="J5" s="2" t="s">
        <v>70</v>
      </c>
    </row>
    <row r="6" spans="1:10" ht="62.1" customHeight="1" x14ac:dyDescent="0.3">
      <c r="A6" s="3">
        <v>1</v>
      </c>
      <c r="B6" s="4" t="s">
        <v>3</v>
      </c>
      <c r="C6" s="4" t="s">
        <v>83</v>
      </c>
      <c r="D6" s="4" t="s">
        <v>1644</v>
      </c>
      <c r="E6" s="4" t="s">
        <v>1645</v>
      </c>
      <c r="F6" s="6" t="s">
        <v>96</v>
      </c>
      <c r="G6" s="4" t="s">
        <v>1646</v>
      </c>
      <c r="H6" s="4" t="s">
        <v>69</v>
      </c>
      <c r="I6" s="4" t="s">
        <v>1647</v>
      </c>
      <c r="J6" s="4" t="s">
        <v>1648</v>
      </c>
    </row>
    <row r="7" spans="1:10" ht="62.1" customHeight="1" x14ac:dyDescent="0.3">
      <c r="A7" s="7">
        <v>2</v>
      </c>
      <c r="B7" s="8" t="s">
        <v>3</v>
      </c>
      <c r="C7" s="8" t="s">
        <v>137</v>
      </c>
      <c r="D7" s="8" t="s">
        <v>1649</v>
      </c>
      <c r="E7" s="8" t="s">
        <v>1645</v>
      </c>
      <c r="F7" s="9" t="s">
        <v>144</v>
      </c>
      <c r="G7" s="8" t="s">
        <v>1650</v>
      </c>
      <c r="H7" s="8" t="s">
        <v>69</v>
      </c>
      <c r="I7" s="8" t="s">
        <v>1647</v>
      </c>
      <c r="J7" s="8" t="s">
        <v>1648</v>
      </c>
    </row>
    <row r="8" spans="1:10" ht="62.1" customHeight="1" x14ac:dyDescent="0.3">
      <c r="A8" s="3">
        <v>3</v>
      </c>
      <c r="B8" s="4" t="s">
        <v>3</v>
      </c>
      <c r="C8" s="4" t="s">
        <v>169</v>
      </c>
      <c r="D8" s="4" t="s">
        <v>1651</v>
      </c>
      <c r="E8" s="4" t="s">
        <v>1645</v>
      </c>
      <c r="F8" s="6" t="s">
        <v>179</v>
      </c>
      <c r="G8" s="4" t="s">
        <v>1652</v>
      </c>
      <c r="H8" s="4" t="s">
        <v>69</v>
      </c>
      <c r="I8" s="4" t="s">
        <v>1647</v>
      </c>
      <c r="J8" s="4" t="s">
        <v>1648</v>
      </c>
    </row>
    <row r="9" spans="1:10" ht="62.1" customHeight="1" x14ac:dyDescent="0.3">
      <c r="A9" s="7">
        <v>4</v>
      </c>
      <c r="B9" s="8" t="s">
        <v>3</v>
      </c>
      <c r="C9" s="8" t="s">
        <v>201</v>
      </c>
      <c r="D9" s="8" t="s">
        <v>1653</v>
      </c>
      <c r="E9" s="8" t="s">
        <v>1645</v>
      </c>
      <c r="F9" s="9" t="s">
        <v>210</v>
      </c>
      <c r="G9" s="8" t="s">
        <v>1654</v>
      </c>
      <c r="H9" s="8" t="s">
        <v>69</v>
      </c>
      <c r="I9" s="8" t="s">
        <v>1647</v>
      </c>
      <c r="J9" s="8" t="s">
        <v>1648</v>
      </c>
    </row>
    <row r="10" spans="1:10" ht="62.1" customHeight="1" x14ac:dyDescent="0.3">
      <c r="A10" s="3">
        <v>5</v>
      </c>
      <c r="B10" s="4" t="s">
        <v>3</v>
      </c>
      <c r="C10" s="4" t="s">
        <v>227</v>
      </c>
      <c r="D10" s="4" t="s">
        <v>1655</v>
      </c>
      <c r="E10" s="4" t="s">
        <v>1645</v>
      </c>
      <c r="F10" s="6" t="s">
        <v>236</v>
      </c>
      <c r="G10" s="4" t="s">
        <v>1656</v>
      </c>
      <c r="H10" s="4" t="s">
        <v>69</v>
      </c>
      <c r="I10" s="4" t="s">
        <v>1647</v>
      </c>
      <c r="J10" s="4" t="s">
        <v>1648</v>
      </c>
    </row>
    <row r="11" spans="1:10" ht="62.1" customHeight="1" x14ac:dyDescent="0.3">
      <c r="A11" s="7">
        <v>6</v>
      </c>
      <c r="B11" s="8" t="s">
        <v>3</v>
      </c>
      <c r="C11" s="8" t="s">
        <v>251</v>
      </c>
      <c r="D11" s="8" t="s">
        <v>1657</v>
      </c>
      <c r="E11" s="8" t="s">
        <v>1645</v>
      </c>
      <c r="F11" s="9" t="s">
        <v>260</v>
      </c>
      <c r="G11" s="8" t="s">
        <v>1658</v>
      </c>
      <c r="H11" s="8" t="s">
        <v>69</v>
      </c>
      <c r="I11" s="8" t="s">
        <v>1647</v>
      </c>
      <c r="J11" s="8" t="s">
        <v>1648</v>
      </c>
    </row>
    <row r="12" spans="1:10" ht="62.1" customHeight="1" x14ac:dyDescent="0.3">
      <c r="A12" s="3">
        <v>7</v>
      </c>
      <c r="B12" s="4" t="s">
        <v>3</v>
      </c>
      <c r="C12" s="4" t="s">
        <v>277</v>
      </c>
      <c r="D12" s="4" t="s">
        <v>1659</v>
      </c>
      <c r="E12" s="4" t="s">
        <v>1645</v>
      </c>
      <c r="F12" s="6" t="s">
        <v>285</v>
      </c>
      <c r="G12" s="4" t="s">
        <v>277</v>
      </c>
      <c r="H12" s="4" t="s">
        <v>69</v>
      </c>
      <c r="I12" s="4" t="s">
        <v>1647</v>
      </c>
      <c r="J12" s="4" t="s">
        <v>1648</v>
      </c>
    </row>
    <row r="13" spans="1:10" ht="62.1" customHeight="1" x14ac:dyDescent="0.3">
      <c r="A13" s="7">
        <v>8</v>
      </c>
      <c r="B13" s="8" t="s">
        <v>3</v>
      </c>
      <c r="C13" s="8" t="s">
        <v>292</v>
      </c>
      <c r="D13" s="8" t="s">
        <v>1660</v>
      </c>
      <c r="E13" s="8" t="s">
        <v>1645</v>
      </c>
      <c r="F13" s="9" t="s">
        <v>297</v>
      </c>
      <c r="G13" s="8" t="s">
        <v>292</v>
      </c>
      <c r="H13" s="8" t="s">
        <v>69</v>
      </c>
      <c r="I13" s="8" t="s">
        <v>1647</v>
      </c>
      <c r="J13" s="8" t="s">
        <v>1648</v>
      </c>
    </row>
    <row r="14" spans="1:10" ht="62.1" customHeight="1" x14ac:dyDescent="0.3">
      <c r="A14" s="3">
        <v>9</v>
      </c>
      <c r="B14" s="4" t="s">
        <v>3</v>
      </c>
      <c r="C14" s="4" t="s">
        <v>304</v>
      </c>
      <c r="D14" s="4" t="s">
        <v>1661</v>
      </c>
      <c r="E14" s="4" t="s">
        <v>1645</v>
      </c>
      <c r="F14" s="6" t="s">
        <v>307</v>
      </c>
      <c r="G14" s="4" t="s">
        <v>304</v>
      </c>
      <c r="H14" s="4" t="s">
        <v>69</v>
      </c>
      <c r="I14" s="4" t="s">
        <v>1647</v>
      </c>
      <c r="J14" s="4" t="s">
        <v>1648</v>
      </c>
    </row>
    <row r="15" spans="1:10" ht="62.1" customHeight="1" x14ac:dyDescent="0.3">
      <c r="A15" s="7">
        <v>10</v>
      </c>
      <c r="B15" s="8" t="s">
        <v>3</v>
      </c>
      <c r="C15" s="8" t="s">
        <v>312</v>
      </c>
      <c r="D15" s="8" t="s">
        <v>1662</v>
      </c>
      <c r="E15" s="8" t="s">
        <v>1645</v>
      </c>
      <c r="F15" s="9" t="s">
        <v>319</v>
      </c>
      <c r="G15" s="8" t="s">
        <v>1663</v>
      </c>
      <c r="H15" s="8" t="s">
        <v>69</v>
      </c>
      <c r="I15" s="8" t="s">
        <v>1647</v>
      </c>
      <c r="J15" s="8" t="s">
        <v>1648</v>
      </c>
    </row>
    <row r="16" spans="1:10" ht="62.1" customHeight="1" x14ac:dyDescent="0.3">
      <c r="A16" s="3">
        <v>11</v>
      </c>
      <c r="B16" s="4" t="s">
        <v>3</v>
      </c>
      <c r="C16" s="4" t="s">
        <v>1664</v>
      </c>
      <c r="D16" s="4" t="s">
        <v>1665</v>
      </c>
      <c r="E16" s="4" t="s">
        <v>1645</v>
      </c>
      <c r="F16" s="6" t="s">
        <v>337</v>
      </c>
      <c r="G16" s="4" t="s">
        <v>1666</v>
      </c>
      <c r="H16" s="4" t="s">
        <v>69</v>
      </c>
      <c r="I16" s="4" t="s">
        <v>1647</v>
      </c>
      <c r="J16" s="4" t="s">
        <v>1648</v>
      </c>
    </row>
    <row r="17" spans="1:10" ht="62.1" customHeight="1" x14ac:dyDescent="0.3">
      <c r="A17" s="7">
        <v>12</v>
      </c>
      <c r="B17" s="8" t="s">
        <v>3</v>
      </c>
      <c r="C17" s="8" t="s">
        <v>342</v>
      </c>
      <c r="D17" s="8" t="s">
        <v>1667</v>
      </c>
      <c r="E17" s="8" t="s">
        <v>1645</v>
      </c>
      <c r="F17" s="9" t="s">
        <v>346</v>
      </c>
      <c r="G17" s="8" t="s">
        <v>342</v>
      </c>
      <c r="H17" s="8" t="s">
        <v>69</v>
      </c>
      <c r="I17" s="8" t="s">
        <v>1647</v>
      </c>
      <c r="J17" s="8" t="s">
        <v>1648</v>
      </c>
    </row>
    <row r="18" spans="1:10" ht="62.1" customHeight="1" x14ac:dyDescent="0.3">
      <c r="A18" s="3">
        <v>13</v>
      </c>
      <c r="B18" s="4" t="s">
        <v>3</v>
      </c>
      <c r="C18" s="4" t="s">
        <v>329</v>
      </c>
      <c r="D18" s="4" t="s">
        <v>1668</v>
      </c>
      <c r="E18" s="4" t="s">
        <v>1645</v>
      </c>
      <c r="F18" s="6" t="s">
        <v>367</v>
      </c>
      <c r="G18" s="4" t="s">
        <v>1669</v>
      </c>
      <c r="H18" s="4" t="s">
        <v>69</v>
      </c>
      <c r="I18" s="4" t="s">
        <v>1647</v>
      </c>
      <c r="J18" s="4" t="s">
        <v>1648</v>
      </c>
    </row>
    <row r="19" spans="1:10" ht="62.1" customHeight="1" x14ac:dyDescent="0.3">
      <c r="A19" s="7">
        <v>14</v>
      </c>
      <c r="B19" s="8" t="s">
        <v>3</v>
      </c>
      <c r="C19" s="8" t="s">
        <v>1670</v>
      </c>
      <c r="D19" s="8" t="s">
        <v>1671</v>
      </c>
      <c r="E19" s="8" t="s">
        <v>1645</v>
      </c>
      <c r="F19" s="9" t="s">
        <v>382</v>
      </c>
      <c r="G19" s="8" t="s">
        <v>377</v>
      </c>
      <c r="H19" s="8" t="s">
        <v>69</v>
      </c>
      <c r="I19" s="8" t="s">
        <v>1647</v>
      </c>
      <c r="J19" s="8" t="s">
        <v>1648</v>
      </c>
    </row>
    <row r="20" spans="1:10" ht="62.1" customHeight="1" x14ac:dyDescent="0.3">
      <c r="A20" s="3">
        <v>15</v>
      </c>
      <c r="B20" s="4" t="s">
        <v>3</v>
      </c>
      <c r="C20" s="4" t="s">
        <v>1672</v>
      </c>
      <c r="D20" s="4" t="s">
        <v>1673</v>
      </c>
      <c r="E20" s="4" t="s">
        <v>1645</v>
      </c>
      <c r="F20" s="6" t="s">
        <v>441</v>
      </c>
      <c r="G20" s="4" t="s">
        <v>433</v>
      </c>
      <c r="H20" s="4" t="s">
        <v>69</v>
      </c>
      <c r="I20" s="4" t="s">
        <v>1647</v>
      </c>
      <c r="J20" s="4" t="s">
        <v>1648</v>
      </c>
    </row>
    <row r="21" spans="1:10" ht="62.1" customHeight="1" x14ac:dyDescent="0.3">
      <c r="A21" s="7">
        <v>16</v>
      </c>
      <c r="B21" s="8" t="s">
        <v>3</v>
      </c>
      <c r="C21" s="8" t="s">
        <v>1674</v>
      </c>
      <c r="D21" s="8" t="s">
        <v>1675</v>
      </c>
      <c r="E21" s="8" t="s">
        <v>1645</v>
      </c>
      <c r="F21" s="9" t="s">
        <v>453</v>
      </c>
      <c r="G21" s="8" t="s">
        <v>447</v>
      </c>
      <c r="H21" s="8" t="s">
        <v>69</v>
      </c>
      <c r="I21" s="8" t="s">
        <v>1647</v>
      </c>
      <c r="J21" s="8" t="s">
        <v>1648</v>
      </c>
    </row>
    <row r="22" spans="1:10" ht="62.1" customHeight="1" x14ac:dyDescent="0.3">
      <c r="A22" s="3">
        <v>17</v>
      </c>
      <c r="B22" s="4" t="s">
        <v>3</v>
      </c>
      <c r="C22" s="4" t="s">
        <v>1676</v>
      </c>
      <c r="D22" s="4" t="s">
        <v>1677</v>
      </c>
      <c r="E22" s="4" t="s">
        <v>1645</v>
      </c>
      <c r="F22" s="6" t="s">
        <v>461</v>
      </c>
      <c r="G22" s="4" t="s">
        <v>457</v>
      </c>
      <c r="H22" s="4" t="s">
        <v>69</v>
      </c>
      <c r="I22" s="4" t="s">
        <v>1647</v>
      </c>
      <c r="J22" s="4" t="s">
        <v>1648</v>
      </c>
    </row>
    <row r="23" spans="1:10" ht="62.1" customHeight="1" x14ac:dyDescent="0.3">
      <c r="A23" s="7">
        <v>18</v>
      </c>
      <c r="B23" s="8" t="s">
        <v>3</v>
      </c>
      <c r="C23" s="8" t="s">
        <v>1678</v>
      </c>
      <c r="D23" s="8" t="s">
        <v>1679</v>
      </c>
      <c r="E23" s="8" t="s">
        <v>1645</v>
      </c>
      <c r="F23" s="9" t="s">
        <v>468</v>
      </c>
      <c r="G23" s="8" t="s">
        <v>465</v>
      </c>
      <c r="H23" s="8" t="s">
        <v>69</v>
      </c>
      <c r="I23" s="8" t="s">
        <v>1647</v>
      </c>
      <c r="J23" s="8" t="s">
        <v>1648</v>
      </c>
    </row>
    <row r="24" spans="1:10" ht="62.1" customHeight="1" x14ac:dyDescent="0.3">
      <c r="A24" s="3">
        <v>19</v>
      </c>
      <c r="B24" s="4" t="s">
        <v>3</v>
      </c>
      <c r="C24" s="4" t="s">
        <v>1680</v>
      </c>
      <c r="D24" s="4" t="s">
        <v>1681</v>
      </c>
      <c r="E24" s="4" t="s">
        <v>1645</v>
      </c>
      <c r="F24" s="6" t="s">
        <v>476</v>
      </c>
      <c r="G24" s="4" t="s">
        <v>471</v>
      </c>
      <c r="H24" s="4" t="s">
        <v>69</v>
      </c>
      <c r="I24" s="4" t="s">
        <v>1647</v>
      </c>
      <c r="J24" s="4" t="s">
        <v>1648</v>
      </c>
    </row>
    <row r="25" spans="1:10" ht="62.1" customHeight="1" x14ac:dyDescent="0.3">
      <c r="A25" s="7">
        <v>20</v>
      </c>
      <c r="B25" s="8" t="s">
        <v>3</v>
      </c>
      <c r="C25" s="8" t="s">
        <v>1682</v>
      </c>
      <c r="D25" s="8" t="s">
        <v>1683</v>
      </c>
      <c r="E25" s="8" t="s">
        <v>1645</v>
      </c>
      <c r="F25" s="9" t="s">
        <v>484</v>
      </c>
      <c r="G25" s="8" t="s">
        <v>1684</v>
      </c>
      <c r="H25" s="8" t="s">
        <v>69</v>
      </c>
      <c r="I25" s="8" t="s">
        <v>1647</v>
      </c>
      <c r="J25" s="8" t="s">
        <v>1648</v>
      </c>
    </row>
    <row r="26" spans="1:10" ht="62.1" customHeight="1" x14ac:dyDescent="0.3">
      <c r="A26" s="3">
        <v>21</v>
      </c>
      <c r="B26" s="4" t="s">
        <v>3</v>
      </c>
      <c r="C26" s="4" t="s">
        <v>1685</v>
      </c>
      <c r="D26" s="4" t="s">
        <v>1686</v>
      </c>
      <c r="E26" s="4" t="s">
        <v>1645</v>
      </c>
      <c r="F26" s="6" t="s">
        <v>496</v>
      </c>
      <c r="G26" s="4" t="s">
        <v>493</v>
      </c>
      <c r="H26" s="4" t="s">
        <v>69</v>
      </c>
      <c r="I26" s="4" t="s">
        <v>1647</v>
      </c>
      <c r="J26" s="4" t="s">
        <v>1648</v>
      </c>
    </row>
    <row r="27" spans="1:10" ht="62.1" customHeight="1" x14ac:dyDescent="0.3">
      <c r="A27" s="7">
        <v>22</v>
      </c>
      <c r="B27" s="8" t="s">
        <v>3</v>
      </c>
      <c r="C27" s="8" t="s">
        <v>501</v>
      </c>
      <c r="D27" s="8" t="s">
        <v>1687</v>
      </c>
      <c r="E27" s="8" t="s">
        <v>1645</v>
      </c>
      <c r="F27" s="9" t="s">
        <v>509</v>
      </c>
      <c r="G27" s="8" t="s">
        <v>1688</v>
      </c>
      <c r="H27" s="8" t="s">
        <v>69</v>
      </c>
      <c r="I27" s="8" t="s">
        <v>1647</v>
      </c>
      <c r="J27" s="8" t="s">
        <v>1648</v>
      </c>
    </row>
    <row r="28" spans="1:10" ht="62.1" customHeight="1" x14ac:dyDescent="0.3">
      <c r="A28" s="3">
        <v>23</v>
      </c>
      <c r="B28" s="4" t="s">
        <v>3</v>
      </c>
      <c r="C28" s="4" t="s">
        <v>1689</v>
      </c>
      <c r="D28" s="4" t="s">
        <v>1690</v>
      </c>
      <c r="E28" s="4" t="s">
        <v>1691</v>
      </c>
      <c r="F28" s="6" t="s">
        <v>1692</v>
      </c>
      <c r="G28" s="4" t="s">
        <v>1693</v>
      </c>
      <c r="H28" s="4" t="s">
        <v>1694</v>
      </c>
      <c r="I28" s="4" t="s">
        <v>1647</v>
      </c>
      <c r="J28" s="4" t="s">
        <v>1695</v>
      </c>
    </row>
    <row r="29" spans="1:10" ht="62.1" customHeight="1" x14ac:dyDescent="0.3">
      <c r="A29" s="7">
        <v>24</v>
      </c>
      <c r="B29" s="8" t="s">
        <v>3</v>
      </c>
      <c r="C29" s="8" t="s">
        <v>529</v>
      </c>
      <c r="D29" s="8" t="s">
        <v>1696</v>
      </c>
      <c r="E29" s="8" t="s">
        <v>1645</v>
      </c>
      <c r="F29" s="9" t="s">
        <v>535</v>
      </c>
      <c r="G29" s="8" t="s">
        <v>1697</v>
      </c>
      <c r="H29" s="8" t="s">
        <v>69</v>
      </c>
      <c r="I29" s="8" t="s">
        <v>1647</v>
      </c>
      <c r="J29" s="8" t="s">
        <v>1648</v>
      </c>
    </row>
    <row r="30" spans="1:10" ht="62.1" customHeight="1" x14ac:dyDescent="0.3">
      <c r="A30" s="3">
        <v>25</v>
      </c>
      <c r="B30" s="4" t="s">
        <v>3</v>
      </c>
      <c r="C30" s="4" t="s">
        <v>546</v>
      </c>
      <c r="D30" s="4" t="s">
        <v>1698</v>
      </c>
      <c r="E30" s="4" t="s">
        <v>1645</v>
      </c>
      <c r="F30" s="6" t="s">
        <v>551</v>
      </c>
      <c r="G30" s="4" t="s">
        <v>1699</v>
      </c>
      <c r="H30" s="4" t="s">
        <v>69</v>
      </c>
      <c r="I30" s="4" t="s">
        <v>1647</v>
      </c>
      <c r="J30" s="4" t="s">
        <v>1648</v>
      </c>
    </row>
    <row r="31" spans="1:10" ht="62.1" customHeight="1" x14ac:dyDescent="0.3">
      <c r="A31" s="7">
        <v>26</v>
      </c>
      <c r="B31" s="8" t="s">
        <v>3</v>
      </c>
      <c r="C31" s="8" t="s">
        <v>567</v>
      </c>
      <c r="D31" s="8" t="s">
        <v>1700</v>
      </c>
      <c r="E31" s="8" t="s">
        <v>1645</v>
      </c>
      <c r="F31" s="9" t="s">
        <v>572</v>
      </c>
      <c r="G31" s="8" t="s">
        <v>1701</v>
      </c>
      <c r="H31" s="8" t="s">
        <v>69</v>
      </c>
      <c r="I31" s="8" t="s">
        <v>1647</v>
      </c>
      <c r="J31" s="8" t="s">
        <v>1648</v>
      </c>
    </row>
    <row r="32" spans="1:10" ht="62.1" customHeight="1" x14ac:dyDescent="0.3">
      <c r="A32" s="3">
        <v>27</v>
      </c>
      <c r="B32" s="4" t="s">
        <v>3</v>
      </c>
      <c r="C32" s="4" t="s">
        <v>1702</v>
      </c>
      <c r="D32" s="4" t="s">
        <v>1703</v>
      </c>
      <c r="E32" s="4" t="s">
        <v>1645</v>
      </c>
      <c r="F32" s="6" t="s">
        <v>585</v>
      </c>
      <c r="G32" s="4" t="s">
        <v>1704</v>
      </c>
      <c r="H32" s="4" t="s">
        <v>69</v>
      </c>
      <c r="I32" s="4" t="s">
        <v>1647</v>
      </c>
      <c r="J32" s="4" t="s">
        <v>1648</v>
      </c>
    </row>
    <row r="33" spans="1:10" ht="62.1" customHeight="1" x14ac:dyDescent="0.3">
      <c r="A33" s="7">
        <v>28</v>
      </c>
      <c r="B33" s="8" t="s">
        <v>3</v>
      </c>
      <c r="C33" s="8" t="s">
        <v>590</v>
      </c>
      <c r="D33" s="8" t="s">
        <v>1705</v>
      </c>
      <c r="E33" s="8" t="s">
        <v>1645</v>
      </c>
      <c r="F33" s="9" t="s">
        <v>595</v>
      </c>
      <c r="G33" s="8" t="s">
        <v>591</v>
      </c>
      <c r="H33" s="8" t="s">
        <v>69</v>
      </c>
      <c r="I33" s="8" t="s">
        <v>1647</v>
      </c>
      <c r="J33" s="8" t="s">
        <v>1648</v>
      </c>
    </row>
    <row r="34" spans="1:10" ht="62.1" customHeight="1" x14ac:dyDescent="0.3">
      <c r="A34" s="3">
        <v>29</v>
      </c>
      <c r="B34" s="4" t="s">
        <v>3</v>
      </c>
      <c r="C34" s="4" t="s">
        <v>620</v>
      </c>
      <c r="D34" s="4" t="s">
        <v>1706</v>
      </c>
      <c r="E34" s="4" t="s">
        <v>1645</v>
      </c>
      <c r="F34" s="6" t="s">
        <v>625</v>
      </c>
      <c r="G34" s="4" t="s">
        <v>1707</v>
      </c>
      <c r="H34" s="4" t="s">
        <v>69</v>
      </c>
      <c r="I34" s="4" t="s">
        <v>1647</v>
      </c>
      <c r="J34" s="4" t="s">
        <v>1648</v>
      </c>
    </row>
    <row r="35" spans="1:10" ht="62.1" customHeight="1" x14ac:dyDescent="0.3">
      <c r="A35" s="7">
        <v>30</v>
      </c>
      <c r="B35" s="8" t="s">
        <v>3</v>
      </c>
      <c r="C35" s="8" t="s">
        <v>656</v>
      </c>
      <c r="D35" s="8" t="s">
        <v>1708</v>
      </c>
      <c r="E35" s="8" t="s">
        <v>1645</v>
      </c>
      <c r="F35" s="9" t="s">
        <v>663</v>
      </c>
      <c r="G35" s="8" t="s">
        <v>1709</v>
      </c>
      <c r="H35" s="8" t="s">
        <v>69</v>
      </c>
      <c r="I35" s="8" t="s">
        <v>1647</v>
      </c>
      <c r="J35" s="8" t="s">
        <v>1648</v>
      </c>
    </row>
    <row r="36" spans="1:10" ht="62.1" customHeight="1" x14ac:dyDescent="0.3">
      <c r="A36" s="3">
        <v>31</v>
      </c>
      <c r="B36" s="4" t="s">
        <v>3</v>
      </c>
      <c r="C36" s="4" t="s">
        <v>1710</v>
      </c>
      <c r="D36" s="4" t="s">
        <v>1711</v>
      </c>
      <c r="E36" s="4" t="s">
        <v>1645</v>
      </c>
      <c r="F36" s="6" t="s">
        <v>694</v>
      </c>
      <c r="G36" s="4" t="s">
        <v>692</v>
      </c>
      <c r="H36" s="4" t="s">
        <v>69</v>
      </c>
      <c r="I36" s="4" t="s">
        <v>1647</v>
      </c>
      <c r="J36" s="4" t="s">
        <v>1648</v>
      </c>
    </row>
    <row r="37" spans="1:10" ht="62.1" customHeight="1" x14ac:dyDescent="0.3">
      <c r="A37" s="7">
        <v>32</v>
      </c>
      <c r="B37" s="8" t="s">
        <v>3</v>
      </c>
      <c r="C37" s="8" t="s">
        <v>1712</v>
      </c>
      <c r="D37" s="8" t="s">
        <v>1713</v>
      </c>
      <c r="E37" s="8" t="s">
        <v>1645</v>
      </c>
      <c r="F37" s="9" t="s">
        <v>703</v>
      </c>
      <c r="G37" s="8" t="s">
        <v>698</v>
      </c>
      <c r="H37" s="8" t="s">
        <v>69</v>
      </c>
      <c r="I37" s="8" t="s">
        <v>1647</v>
      </c>
      <c r="J37" s="8" t="s">
        <v>1648</v>
      </c>
    </row>
    <row r="38" spans="1:10" ht="62.1" customHeight="1" x14ac:dyDescent="0.3">
      <c r="A38" s="3">
        <v>33</v>
      </c>
      <c r="B38" s="4" t="s">
        <v>3</v>
      </c>
      <c r="C38" s="4" t="s">
        <v>707</v>
      </c>
      <c r="D38" s="4" t="s">
        <v>1714</v>
      </c>
      <c r="E38" s="4" t="s">
        <v>1645</v>
      </c>
      <c r="F38" s="6" t="s">
        <v>713</v>
      </c>
      <c r="G38" s="4" t="s">
        <v>1715</v>
      </c>
      <c r="H38" s="4" t="s">
        <v>69</v>
      </c>
      <c r="I38" s="4" t="s">
        <v>1647</v>
      </c>
      <c r="J38" s="4" t="s">
        <v>1648</v>
      </c>
    </row>
    <row r="39" spans="1:10" ht="62.1" customHeight="1" x14ac:dyDescent="0.3">
      <c r="A39" s="7">
        <v>34</v>
      </c>
      <c r="B39" s="8" t="s">
        <v>3</v>
      </c>
      <c r="C39" s="8" t="s">
        <v>1716</v>
      </c>
      <c r="D39" s="8" t="s">
        <v>1717</v>
      </c>
      <c r="E39" s="8" t="s">
        <v>1645</v>
      </c>
      <c r="F39" s="9" t="s">
        <v>737</v>
      </c>
      <c r="G39" s="8" t="s">
        <v>1718</v>
      </c>
      <c r="H39" s="42" t="s">
        <v>1719</v>
      </c>
      <c r="I39" s="8" t="s">
        <v>1647</v>
      </c>
      <c r="J39" s="8" t="s">
        <v>1648</v>
      </c>
    </row>
    <row r="40" spans="1:10" ht="62.1" customHeight="1" x14ac:dyDescent="0.3">
      <c r="A40" s="3">
        <v>35</v>
      </c>
      <c r="B40" s="4" t="s">
        <v>3</v>
      </c>
      <c r="C40" s="4" t="s">
        <v>756</v>
      </c>
      <c r="D40" s="4" t="s">
        <v>1720</v>
      </c>
      <c r="E40" s="4" t="s">
        <v>1645</v>
      </c>
      <c r="F40" s="6" t="s">
        <v>763</v>
      </c>
      <c r="G40" s="4" t="s">
        <v>1721</v>
      </c>
      <c r="H40" s="4" t="s">
        <v>69</v>
      </c>
      <c r="I40" s="4" t="s">
        <v>1647</v>
      </c>
      <c r="J40" s="4" t="s">
        <v>1648</v>
      </c>
    </row>
    <row r="41" spans="1:10" ht="62.1" customHeight="1" x14ac:dyDescent="0.3">
      <c r="A41" s="7">
        <v>36</v>
      </c>
      <c r="B41" s="8" t="s">
        <v>3</v>
      </c>
      <c r="C41" s="8" t="s">
        <v>774</v>
      </c>
      <c r="D41" s="8" t="s">
        <v>1722</v>
      </c>
      <c r="E41" s="8" t="s">
        <v>1645</v>
      </c>
      <c r="F41" s="9" t="s">
        <v>785</v>
      </c>
      <c r="G41" s="8" t="s">
        <v>1723</v>
      </c>
      <c r="H41" s="8" t="s">
        <v>69</v>
      </c>
      <c r="I41" s="8" t="s">
        <v>1647</v>
      </c>
      <c r="J41" s="8" t="s">
        <v>1648</v>
      </c>
    </row>
    <row r="42" spans="1:10" ht="62.1" customHeight="1" x14ac:dyDescent="0.3">
      <c r="A42" s="3">
        <v>37</v>
      </c>
      <c r="B42" s="4" t="s">
        <v>3</v>
      </c>
      <c r="C42" s="4" t="s">
        <v>848</v>
      </c>
      <c r="D42" s="4" t="s">
        <v>1724</v>
      </c>
      <c r="E42" s="4" t="s">
        <v>1645</v>
      </c>
      <c r="F42" s="6" t="s">
        <v>855</v>
      </c>
      <c r="G42" s="4" t="s">
        <v>1725</v>
      </c>
      <c r="H42" s="4" t="s">
        <v>69</v>
      </c>
      <c r="I42" s="4" t="s">
        <v>1647</v>
      </c>
      <c r="J42" s="4" t="s">
        <v>1648</v>
      </c>
    </row>
    <row r="43" spans="1:10" ht="62.1" customHeight="1" x14ac:dyDescent="0.3">
      <c r="A43" s="7">
        <v>38</v>
      </c>
      <c r="B43" s="8" t="s">
        <v>3</v>
      </c>
      <c r="C43" s="8" t="s">
        <v>875</v>
      </c>
      <c r="D43" s="8" t="s">
        <v>1726</v>
      </c>
      <c r="E43" s="8" t="s">
        <v>1645</v>
      </c>
      <c r="F43" s="9" t="s">
        <v>882</v>
      </c>
      <c r="G43" s="8" t="s">
        <v>1727</v>
      </c>
      <c r="H43" s="8" t="s">
        <v>69</v>
      </c>
      <c r="I43" s="8" t="s">
        <v>1647</v>
      </c>
      <c r="J43" s="8" t="s">
        <v>1648</v>
      </c>
    </row>
    <row r="44" spans="1:10" ht="62.1" customHeight="1" x14ac:dyDescent="0.3">
      <c r="A44" s="3">
        <v>39</v>
      </c>
      <c r="B44" s="4" t="s">
        <v>3</v>
      </c>
      <c r="C44" s="4" t="s">
        <v>897</v>
      </c>
      <c r="D44" s="4" t="s">
        <v>1728</v>
      </c>
      <c r="E44" s="4" t="s">
        <v>1645</v>
      </c>
      <c r="F44" s="6" t="s">
        <v>902</v>
      </c>
      <c r="G44" s="4" t="s">
        <v>1729</v>
      </c>
      <c r="H44" s="4" t="s">
        <v>69</v>
      </c>
      <c r="I44" s="4" t="s">
        <v>1647</v>
      </c>
      <c r="J44" s="4" t="s">
        <v>1648</v>
      </c>
    </row>
    <row r="45" spans="1:10" ht="62.1" customHeight="1" x14ac:dyDescent="0.3">
      <c r="A45" s="7">
        <v>40</v>
      </c>
      <c r="B45" s="8" t="s">
        <v>3</v>
      </c>
      <c r="C45" s="8" t="s">
        <v>920</v>
      </c>
      <c r="D45" s="8" t="s">
        <v>1730</v>
      </c>
      <c r="E45" s="8" t="s">
        <v>1645</v>
      </c>
      <c r="F45" s="9" t="s">
        <v>927</v>
      </c>
      <c r="G45" s="8" t="s">
        <v>1731</v>
      </c>
      <c r="H45" s="8" t="s">
        <v>69</v>
      </c>
      <c r="I45" s="8" t="s">
        <v>1647</v>
      </c>
      <c r="J45" s="8" t="s">
        <v>1648</v>
      </c>
    </row>
    <row r="46" spans="1:10" ht="62.1" customHeight="1" x14ac:dyDescent="0.3">
      <c r="A46" s="3">
        <v>41</v>
      </c>
      <c r="B46" s="4" t="s">
        <v>3</v>
      </c>
      <c r="C46" s="4" t="s">
        <v>969</v>
      </c>
      <c r="D46" s="4" t="s">
        <v>1732</v>
      </c>
      <c r="E46" s="4" t="s">
        <v>1645</v>
      </c>
      <c r="F46" s="6" t="s">
        <v>974</v>
      </c>
      <c r="G46" s="4" t="s">
        <v>1733</v>
      </c>
      <c r="H46" s="4" t="s">
        <v>69</v>
      </c>
      <c r="I46" s="4" t="s">
        <v>1647</v>
      </c>
      <c r="J46" s="4" t="s">
        <v>1648</v>
      </c>
    </row>
    <row r="47" spans="1:10" ht="62.1" customHeight="1" x14ac:dyDescent="0.3">
      <c r="A47" s="7">
        <v>42</v>
      </c>
      <c r="B47" s="8" t="s">
        <v>3</v>
      </c>
      <c r="C47" s="8" t="s">
        <v>986</v>
      </c>
      <c r="D47" s="8" t="s">
        <v>1734</v>
      </c>
      <c r="E47" s="8" t="s">
        <v>1645</v>
      </c>
      <c r="F47" s="9" t="s">
        <v>993</v>
      </c>
      <c r="G47" s="8" t="s">
        <v>1735</v>
      </c>
      <c r="H47" s="8" t="s">
        <v>69</v>
      </c>
      <c r="I47" s="8" t="s">
        <v>1647</v>
      </c>
      <c r="J47" s="8" t="s">
        <v>1648</v>
      </c>
    </row>
    <row r="48" spans="1:10" ht="62.1" customHeight="1" x14ac:dyDescent="0.3">
      <c r="A48" s="3">
        <v>43</v>
      </c>
      <c r="B48" s="4" t="s">
        <v>3</v>
      </c>
      <c r="C48" s="4" t="s">
        <v>1031</v>
      </c>
      <c r="D48" s="4" t="s">
        <v>1736</v>
      </c>
      <c r="E48" s="4" t="s">
        <v>1645</v>
      </c>
      <c r="F48" s="6" t="s">
        <v>1038</v>
      </c>
      <c r="G48" s="4" t="s">
        <v>1737</v>
      </c>
      <c r="H48" s="4" t="s">
        <v>69</v>
      </c>
      <c r="I48" s="4" t="s">
        <v>1647</v>
      </c>
      <c r="J48" s="4" t="s">
        <v>1648</v>
      </c>
    </row>
    <row r="49" spans="1:10" ht="62.1" customHeight="1" x14ac:dyDescent="0.3">
      <c r="A49" s="14">
        <v>44</v>
      </c>
      <c r="B49" s="15" t="s">
        <v>1738</v>
      </c>
      <c r="C49" s="15" t="s">
        <v>1104</v>
      </c>
      <c r="D49" s="15" t="s">
        <v>1739</v>
      </c>
      <c r="E49" s="15" t="s">
        <v>1645</v>
      </c>
      <c r="F49" s="16" t="s">
        <v>1119</v>
      </c>
      <c r="G49" s="15" t="s">
        <v>1104</v>
      </c>
      <c r="H49" s="15" t="s">
        <v>69</v>
      </c>
      <c r="I49" s="15" t="s">
        <v>1647</v>
      </c>
      <c r="J49" s="15"/>
    </row>
    <row r="50" spans="1:10" ht="62.1" customHeight="1" x14ac:dyDescent="0.3">
      <c r="A50" s="3">
        <v>45</v>
      </c>
      <c r="B50" s="4" t="s">
        <v>1738</v>
      </c>
      <c r="C50" s="4" t="s">
        <v>1156</v>
      </c>
      <c r="D50" s="4" t="s">
        <v>1740</v>
      </c>
      <c r="E50" s="4" t="s">
        <v>1645</v>
      </c>
      <c r="F50" s="6" t="s">
        <v>1161</v>
      </c>
      <c r="G50" s="4" t="s">
        <v>1156</v>
      </c>
      <c r="H50" s="4" t="s">
        <v>69</v>
      </c>
      <c r="I50" s="4" t="s">
        <v>1647</v>
      </c>
      <c r="J50" s="4"/>
    </row>
    <row r="51" spans="1:10" ht="62.1" customHeight="1" x14ac:dyDescent="0.3">
      <c r="A51" s="7">
        <v>46</v>
      </c>
      <c r="B51" s="8" t="s">
        <v>1738</v>
      </c>
      <c r="C51" s="8" t="s">
        <v>1142</v>
      </c>
      <c r="D51" s="8" t="s">
        <v>1741</v>
      </c>
      <c r="E51" s="8" t="s">
        <v>1645</v>
      </c>
      <c r="F51" s="9" t="s">
        <v>1148</v>
      </c>
      <c r="G51" s="8" t="s">
        <v>1142</v>
      </c>
      <c r="H51" s="8" t="s">
        <v>69</v>
      </c>
      <c r="I51" s="8" t="s">
        <v>1647</v>
      </c>
      <c r="J51" s="8"/>
    </row>
    <row r="52" spans="1:10" ht="62.1" customHeight="1" x14ac:dyDescent="0.3">
      <c r="A52" s="3">
        <v>47</v>
      </c>
      <c r="B52" s="4" t="s">
        <v>1738</v>
      </c>
      <c r="C52" s="4" t="s">
        <v>1167</v>
      </c>
      <c r="D52" s="4" t="s">
        <v>1742</v>
      </c>
      <c r="E52" s="4" t="s">
        <v>1645</v>
      </c>
      <c r="F52" s="6" t="s">
        <v>1176</v>
      </c>
      <c r="G52" s="4" t="s">
        <v>1167</v>
      </c>
      <c r="H52" s="4" t="s">
        <v>69</v>
      </c>
      <c r="I52" s="4" t="s">
        <v>1647</v>
      </c>
      <c r="J52" s="4"/>
    </row>
    <row r="53" spans="1:10" ht="62.1" customHeight="1" x14ac:dyDescent="0.3">
      <c r="A53" s="7">
        <v>48</v>
      </c>
      <c r="B53" s="8" t="s">
        <v>1738</v>
      </c>
      <c r="C53" s="8" t="s">
        <v>1191</v>
      </c>
      <c r="D53" s="8" t="s">
        <v>1743</v>
      </c>
      <c r="E53" s="8" t="s">
        <v>1645</v>
      </c>
      <c r="F53" s="9" t="s">
        <v>1196</v>
      </c>
      <c r="G53" s="8" t="s">
        <v>1191</v>
      </c>
      <c r="H53" s="8" t="s">
        <v>69</v>
      </c>
      <c r="I53" s="8" t="s">
        <v>1647</v>
      </c>
      <c r="J53" s="8"/>
    </row>
    <row r="54" spans="1:10" ht="62.1" customHeight="1" x14ac:dyDescent="0.3">
      <c r="A54" s="3">
        <v>49</v>
      </c>
      <c r="B54" s="4" t="s">
        <v>1738</v>
      </c>
      <c r="C54" s="4" t="s">
        <v>1212</v>
      </c>
      <c r="D54" s="4" t="s">
        <v>1744</v>
      </c>
      <c r="E54" s="4" t="s">
        <v>1645</v>
      </c>
      <c r="F54" s="6" t="s">
        <v>1219</v>
      </c>
      <c r="G54" s="4" t="s">
        <v>1212</v>
      </c>
      <c r="H54" s="4" t="s">
        <v>69</v>
      </c>
      <c r="I54" s="4" t="s">
        <v>1647</v>
      </c>
      <c r="J54" s="4"/>
    </row>
    <row r="55" spans="1:10" ht="62.1" customHeight="1" x14ac:dyDescent="0.3">
      <c r="A55" s="7">
        <v>50</v>
      </c>
      <c r="B55" s="8" t="s">
        <v>1738</v>
      </c>
      <c r="C55" s="8" t="s">
        <v>1233</v>
      </c>
      <c r="D55" s="8" t="s">
        <v>1745</v>
      </c>
      <c r="E55" s="8" t="s">
        <v>1645</v>
      </c>
      <c r="F55" s="9" t="s">
        <v>1238</v>
      </c>
      <c r="G55" s="8" t="s">
        <v>1233</v>
      </c>
      <c r="H55" s="8" t="s">
        <v>69</v>
      </c>
      <c r="I55" s="8" t="s">
        <v>1647</v>
      </c>
      <c r="J55" s="8"/>
    </row>
    <row r="56" spans="1:10" ht="62.1" customHeight="1" x14ac:dyDescent="0.3">
      <c r="A56" s="3">
        <v>51</v>
      </c>
      <c r="B56" s="4" t="s">
        <v>1738</v>
      </c>
      <c r="C56" s="4" t="s">
        <v>1242</v>
      </c>
      <c r="D56" s="4" t="s">
        <v>1746</v>
      </c>
      <c r="E56" s="4" t="s">
        <v>1645</v>
      </c>
      <c r="F56" s="6" t="s">
        <v>1248</v>
      </c>
      <c r="G56" s="4" t="s">
        <v>1242</v>
      </c>
      <c r="H56" s="4" t="s">
        <v>69</v>
      </c>
      <c r="I56" s="4" t="s">
        <v>1647</v>
      </c>
      <c r="J56" s="4"/>
    </row>
    <row r="57" spans="1:10" ht="62.1" customHeight="1" x14ac:dyDescent="0.3">
      <c r="A57" s="7">
        <v>52</v>
      </c>
      <c r="B57" s="8" t="s">
        <v>1738</v>
      </c>
      <c r="C57" s="8" t="s">
        <v>1258</v>
      </c>
      <c r="D57" s="8" t="s">
        <v>1747</v>
      </c>
      <c r="E57" s="8" t="s">
        <v>1645</v>
      </c>
      <c r="F57" s="9" t="s">
        <v>1264</v>
      </c>
      <c r="G57" s="8" t="s">
        <v>1258</v>
      </c>
      <c r="H57" s="8" t="s">
        <v>69</v>
      </c>
      <c r="I57" s="8" t="s">
        <v>1647</v>
      </c>
      <c r="J57" s="8" t="s">
        <v>1748</v>
      </c>
    </row>
    <row r="58" spans="1:10" ht="62.1" customHeight="1" x14ac:dyDescent="0.3">
      <c r="A58" s="3">
        <v>53</v>
      </c>
      <c r="B58" s="4" t="s">
        <v>1738</v>
      </c>
      <c r="C58" s="4" t="s">
        <v>1269</v>
      </c>
      <c r="D58" s="4" t="s">
        <v>1749</v>
      </c>
      <c r="E58" s="4" t="s">
        <v>1645</v>
      </c>
      <c r="F58" s="6" t="s">
        <v>1275</v>
      </c>
      <c r="G58" s="4" t="s">
        <v>1269</v>
      </c>
      <c r="H58" s="4" t="s">
        <v>69</v>
      </c>
      <c r="I58" s="4" t="s">
        <v>1647</v>
      </c>
      <c r="J58" s="4"/>
    </row>
    <row r="59" spans="1:10" ht="62.1" customHeight="1" x14ac:dyDescent="0.3">
      <c r="A59" s="7">
        <v>54</v>
      </c>
      <c r="B59" s="8" t="s">
        <v>1738</v>
      </c>
      <c r="C59" s="8" t="s">
        <v>1292</v>
      </c>
      <c r="D59" s="8" t="s">
        <v>1750</v>
      </c>
      <c r="E59" s="8" t="s">
        <v>1645</v>
      </c>
      <c r="F59" s="9" t="s">
        <v>1296</v>
      </c>
      <c r="G59" s="8" t="s">
        <v>1292</v>
      </c>
      <c r="H59" s="8" t="s">
        <v>69</v>
      </c>
      <c r="I59" s="8" t="s">
        <v>1647</v>
      </c>
      <c r="J59" s="8"/>
    </row>
    <row r="60" spans="1:10" ht="62.1" customHeight="1" x14ac:dyDescent="0.3">
      <c r="A60" s="3">
        <v>55</v>
      </c>
      <c r="B60" s="4" t="s">
        <v>1738</v>
      </c>
      <c r="C60" s="4" t="s">
        <v>1308</v>
      </c>
      <c r="D60" s="4" t="s">
        <v>1751</v>
      </c>
      <c r="E60" s="4" t="s">
        <v>1645</v>
      </c>
      <c r="F60" s="6" t="s">
        <v>1314</v>
      </c>
      <c r="G60" s="4" t="s">
        <v>1308</v>
      </c>
      <c r="H60" s="4" t="s">
        <v>69</v>
      </c>
      <c r="I60" s="4" t="s">
        <v>1647</v>
      </c>
      <c r="J60" s="4"/>
    </row>
    <row r="61" spans="1:10" ht="62.1" customHeight="1" x14ac:dyDescent="0.3">
      <c r="A61" s="7">
        <v>56</v>
      </c>
      <c r="B61" s="8" t="s">
        <v>1738</v>
      </c>
      <c r="C61" s="8" t="s">
        <v>1325</v>
      </c>
      <c r="D61" s="8" t="s">
        <v>1752</v>
      </c>
      <c r="E61" s="8" t="s">
        <v>1645</v>
      </c>
      <c r="F61" s="9" t="s">
        <v>1333</v>
      </c>
      <c r="G61" s="8" t="s">
        <v>1325</v>
      </c>
      <c r="H61" s="8" t="s">
        <v>69</v>
      </c>
      <c r="I61" s="8" t="s">
        <v>1647</v>
      </c>
      <c r="J61" s="8"/>
    </row>
    <row r="62" spans="1:10" ht="62.1" customHeight="1" x14ac:dyDescent="0.3">
      <c r="A62" s="3">
        <v>57</v>
      </c>
      <c r="B62" s="4" t="s">
        <v>1738</v>
      </c>
      <c r="C62" s="4" t="s">
        <v>1354</v>
      </c>
      <c r="D62" s="4" t="s">
        <v>1753</v>
      </c>
      <c r="E62" s="4" t="s">
        <v>1645</v>
      </c>
      <c r="F62" s="6" t="s">
        <v>1358</v>
      </c>
      <c r="G62" s="4" t="s">
        <v>1354</v>
      </c>
      <c r="H62" s="4" t="s">
        <v>69</v>
      </c>
      <c r="I62" s="4" t="s">
        <v>1647</v>
      </c>
      <c r="J62" s="4" t="s">
        <v>1754</v>
      </c>
    </row>
    <row r="63" spans="1:10" ht="62.1" customHeight="1" x14ac:dyDescent="0.3">
      <c r="A63" s="7">
        <v>58</v>
      </c>
      <c r="B63" s="8" t="s">
        <v>1738</v>
      </c>
      <c r="C63" s="8" t="s">
        <v>1363</v>
      </c>
      <c r="D63" s="8" t="s">
        <v>1755</v>
      </c>
      <c r="E63" s="8" t="s">
        <v>1645</v>
      </c>
      <c r="F63" s="9" t="s">
        <v>1371</v>
      </c>
      <c r="G63" s="8" t="s">
        <v>1363</v>
      </c>
      <c r="H63" s="8" t="s">
        <v>69</v>
      </c>
      <c r="I63" s="8" t="s">
        <v>1647</v>
      </c>
      <c r="J63" s="8"/>
    </row>
    <row r="64" spans="1:10" ht="62.1" customHeight="1" x14ac:dyDescent="0.3">
      <c r="A64" s="3">
        <v>59</v>
      </c>
      <c r="B64" s="4" t="s">
        <v>1738</v>
      </c>
      <c r="C64" s="4" t="s">
        <v>1386</v>
      </c>
      <c r="D64" s="4" t="s">
        <v>1756</v>
      </c>
      <c r="E64" s="4" t="s">
        <v>1645</v>
      </c>
      <c r="F64" s="6" t="s">
        <v>1391</v>
      </c>
      <c r="G64" s="4" t="s">
        <v>1386</v>
      </c>
      <c r="H64" s="4" t="s">
        <v>69</v>
      </c>
      <c r="I64" s="4" t="s">
        <v>1647</v>
      </c>
      <c r="J64" s="4"/>
    </row>
    <row r="65" spans="1:10" ht="62.1" customHeight="1" x14ac:dyDescent="0.3">
      <c r="A65" s="7">
        <v>60</v>
      </c>
      <c r="B65" s="8" t="s">
        <v>1738</v>
      </c>
      <c r="C65" s="8" t="s">
        <v>1396</v>
      </c>
      <c r="D65" s="8" t="s">
        <v>1757</v>
      </c>
      <c r="E65" s="8" t="s">
        <v>1645</v>
      </c>
      <c r="F65" s="9" t="s">
        <v>1399</v>
      </c>
      <c r="G65" s="8" t="s">
        <v>1396</v>
      </c>
      <c r="H65" s="8" t="s">
        <v>69</v>
      </c>
      <c r="I65" s="8" t="s">
        <v>1647</v>
      </c>
      <c r="J65" s="8"/>
    </row>
    <row r="66" spans="1:10" ht="62.1" customHeight="1" x14ac:dyDescent="0.3">
      <c r="A66" s="3">
        <v>61</v>
      </c>
      <c r="B66" s="4" t="s">
        <v>1738</v>
      </c>
      <c r="C66" s="4" t="s">
        <v>1409</v>
      </c>
      <c r="D66" s="4" t="s">
        <v>1758</v>
      </c>
      <c r="E66" s="4" t="s">
        <v>1645</v>
      </c>
      <c r="F66" s="6" t="s">
        <v>1414</v>
      </c>
      <c r="G66" s="4" t="s">
        <v>1409</v>
      </c>
      <c r="H66" s="4" t="s">
        <v>69</v>
      </c>
      <c r="I66" s="4" t="s">
        <v>1647</v>
      </c>
      <c r="J66" s="4"/>
    </row>
    <row r="67" spans="1:10" ht="62.1" customHeight="1" x14ac:dyDescent="0.3">
      <c r="A67" s="7">
        <v>62</v>
      </c>
      <c r="B67" s="8" t="s">
        <v>1738</v>
      </c>
      <c r="C67" s="8" t="s">
        <v>1418</v>
      </c>
      <c r="D67" s="8" t="s">
        <v>1759</v>
      </c>
      <c r="E67" s="8" t="s">
        <v>1645</v>
      </c>
      <c r="F67" s="9" t="s">
        <v>1425</v>
      </c>
      <c r="G67" s="8" t="s">
        <v>1418</v>
      </c>
      <c r="H67" s="8" t="s">
        <v>69</v>
      </c>
      <c r="I67" s="8" t="s">
        <v>1647</v>
      </c>
      <c r="J67" s="8"/>
    </row>
    <row r="68" spans="1:10" ht="62.1" customHeight="1" x14ac:dyDescent="0.3">
      <c r="A68" s="10">
        <v>63</v>
      </c>
      <c r="B68" s="11" t="s">
        <v>1760</v>
      </c>
      <c r="C68" s="11" t="s">
        <v>1761</v>
      </c>
      <c r="D68" s="11" t="s">
        <v>1762</v>
      </c>
      <c r="E68" s="11" t="s">
        <v>1763</v>
      </c>
      <c r="F68" s="13" t="s">
        <v>39</v>
      </c>
      <c r="G68" s="11" t="s">
        <v>1764</v>
      </c>
      <c r="H68" s="11" t="s">
        <v>1765</v>
      </c>
      <c r="I68" s="11" t="s">
        <v>1647</v>
      </c>
      <c r="J68" s="11" t="s">
        <v>1766</v>
      </c>
    </row>
    <row r="69" spans="1:10" ht="62.1" customHeight="1" x14ac:dyDescent="0.3">
      <c r="A69" s="14">
        <v>64</v>
      </c>
      <c r="B69" s="15" t="s">
        <v>1767</v>
      </c>
      <c r="C69" s="15" t="s">
        <v>1102</v>
      </c>
      <c r="D69" s="15" t="s">
        <v>1768</v>
      </c>
      <c r="E69" s="15" t="s">
        <v>1763</v>
      </c>
      <c r="F69" s="16" t="s">
        <v>1118</v>
      </c>
      <c r="G69" s="15" t="s">
        <v>1769</v>
      </c>
      <c r="H69" s="15" t="s">
        <v>1765</v>
      </c>
      <c r="I69" s="15" t="s">
        <v>1647</v>
      </c>
      <c r="J69" s="15"/>
    </row>
    <row r="70" spans="1:10" ht="62.1" customHeight="1" x14ac:dyDescent="0.3">
      <c r="A70" s="3">
        <v>65</v>
      </c>
      <c r="B70" s="4" t="s">
        <v>1767</v>
      </c>
      <c r="C70" s="4" t="s">
        <v>1268</v>
      </c>
      <c r="D70" s="4" t="s">
        <v>1770</v>
      </c>
      <c r="E70" s="4" t="s">
        <v>1763</v>
      </c>
      <c r="F70" s="6" t="s">
        <v>1274</v>
      </c>
      <c r="G70" s="4" t="s">
        <v>1771</v>
      </c>
      <c r="H70" s="4" t="s">
        <v>1765</v>
      </c>
      <c r="I70" s="4" t="s">
        <v>1647</v>
      </c>
      <c r="J70" s="4"/>
    </row>
    <row r="71" spans="1:10" ht="62.1" customHeight="1" x14ac:dyDescent="0.3">
      <c r="A71" s="7">
        <v>66</v>
      </c>
      <c r="B71" s="8" t="s">
        <v>1767</v>
      </c>
      <c r="C71" s="8" t="s">
        <v>1324</v>
      </c>
      <c r="D71" s="8" t="s">
        <v>1772</v>
      </c>
      <c r="E71" s="8" t="s">
        <v>1763</v>
      </c>
      <c r="F71" s="9" t="s">
        <v>1332</v>
      </c>
      <c r="G71" s="8" t="s">
        <v>1773</v>
      </c>
      <c r="H71" s="8" t="s">
        <v>1765</v>
      </c>
      <c r="I71" s="8" t="s">
        <v>1647</v>
      </c>
      <c r="J71" s="8"/>
    </row>
    <row r="72" spans="1:10" ht="62.1" customHeight="1" x14ac:dyDescent="0.3">
      <c r="A72" s="10">
        <v>67</v>
      </c>
      <c r="B72" s="11" t="s">
        <v>1774</v>
      </c>
      <c r="C72" s="11" t="s">
        <v>1775</v>
      </c>
      <c r="D72" s="11" t="s">
        <v>1776</v>
      </c>
      <c r="E72" s="11" t="s">
        <v>1763</v>
      </c>
      <c r="F72" s="13" t="s">
        <v>1777</v>
      </c>
      <c r="G72" s="11" t="s">
        <v>1778</v>
      </c>
      <c r="H72" s="11" t="s">
        <v>1765</v>
      </c>
      <c r="I72" s="11" t="s">
        <v>1647</v>
      </c>
      <c r="J72" s="11" t="s">
        <v>1779</v>
      </c>
    </row>
    <row r="73" spans="1:10" ht="62.1" customHeight="1" x14ac:dyDescent="0.3">
      <c r="A73" s="14">
        <v>68</v>
      </c>
      <c r="B73" s="15" t="s">
        <v>1780</v>
      </c>
      <c r="C73" s="15" t="s">
        <v>1781</v>
      </c>
      <c r="D73" s="15" t="s">
        <v>1782</v>
      </c>
      <c r="E73" s="15" t="s">
        <v>1783</v>
      </c>
      <c r="F73" s="16" t="s">
        <v>41</v>
      </c>
      <c r="G73" s="15" t="s">
        <v>1784</v>
      </c>
      <c r="H73" s="15" t="s">
        <v>1785</v>
      </c>
      <c r="I73" s="15" t="s">
        <v>1647</v>
      </c>
      <c r="J73" s="15" t="s">
        <v>1786</v>
      </c>
    </row>
    <row r="74" spans="1:10" ht="62.1" customHeight="1" x14ac:dyDescent="0.3">
      <c r="A74" s="10">
        <v>69</v>
      </c>
      <c r="B74" s="11" t="s">
        <v>1787</v>
      </c>
      <c r="C74" s="11" t="s">
        <v>1788</v>
      </c>
      <c r="D74" s="11" t="s">
        <v>1789</v>
      </c>
      <c r="E74" s="11" t="s">
        <v>1790</v>
      </c>
      <c r="F74" s="13" t="s">
        <v>43</v>
      </c>
      <c r="G74" s="11" t="s">
        <v>1791</v>
      </c>
      <c r="H74" s="11" t="s">
        <v>1792</v>
      </c>
      <c r="I74" s="11" t="s">
        <v>1647</v>
      </c>
      <c r="J74" s="11" t="s">
        <v>1793</v>
      </c>
    </row>
    <row r="75" spans="1:10" ht="62.1" customHeight="1" x14ac:dyDescent="0.3">
      <c r="A75" s="7">
        <v>70</v>
      </c>
      <c r="B75" s="8" t="s">
        <v>1787</v>
      </c>
      <c r="C75" s="8" t="s">
        <v>1794</v>
      </c>
      <c r="D75" s="8" t="s">
        <v>44</v>
      </c>
      <c r="E75" s="8" t="s">
        <v>1790</v>
      </c>
      <c r="F75" s="9" t="s">
        <v>45</v>
      </c>
      <c r="G75" s="8" t="s">
        <v>1795</v>
      </c>
      <c r="H75" s="8" t="s">
        <v>1796</v>
      </c>
      <c r="I75" s="8" t="s">
        <v>1647</v>
      </c>
      <c r="J75" s="8" t="s">
        <v>1797</v>
      </c>
    </row>
  </sheetData>
  <mergeCells count="3">
    <mergeCell ref="A1:J1"/>
    <mergeCell ref="A3:J3"/>
    <mergeCell ref="A2:J2"/>
  </mergeCells>
  <phoneticPr fontId="22" type="noConversion"/>
  <hyperlinks>
    <hyperlink ref="F6" r:id="rId1" xr:uid="{00000000-0004-0000-0500-000000000000}"/>
    <hyperlink ref="F7" r:id="rId2" xr:uid="{00000000-0004-0000-0500-000001000000}"/>
    <hyperlink ref="F8" r:id="rId3" xr:uid="{00000000-0004-0000-0500-000002000000}"/>
    <hyperlink ref="F9" r:id="rId4" xr:uid="{00000000-0004-0000-0500-000003000000}"/>
    <hyperlink ref="F10" r:id="rId5" xr:uid="{00000000-0004-0000-0500-000004000000}"/>
    <hyperlink ref="F11" r:id="rId6" xr:uid="{00000000-0004-0000-0500-000005000000}"/>
    <hyperlink ref="F12" r:id="rId7" xr:uid="{00000000-0004-0000-0500-000006000000}"/>
    <hyperlink ref="F13" r:id="rId8" xr:uid="{00000000-0004-0000-0500-000007000000}"/>
    <hyperlink ref="F14" r:id="rId9" xr:uid="{00000000-0004-0000-0500-000008000000}"/>
    <hyperlink ref="F15" r:id="rId10" xr:uid="{00000000-0004-0000-0500-000009000000}"/>
    <hyperlink ref="F16" r:id="rId11" xr:uid="{00000000-0004-0000-0500-00000A000000}"/>
    <hyperlink ref="F17" r:id="rId12" xr:uid="{00000000-0004-0000-0500-00000B000000}"/>
    <hyperlink ref="F18" r:id="rId13" xr:uid="{00000000-0004-0000-0500-00000C000000}"/>
    <hyperlink ref="F19" r:id="rId14" xr:uid="{00000000-0004-0000-0500-00000D000000}"/>
    <hyperlink ref="F20" r:id="rId15" xr:uid="{00000000-0004-0000-0500-00000E000000}"/>
    <hyperlink ref="F21" r:id="rId16" xr:uid="{00000000-0004-0000-0500-00000F000000}"/>
    <hyperlink ref="F22" r:id="rId17" xr:uid="{00000000-0004-0000-0500-000010000000}"/>
    <hyperlink ref="F23" r:id="rId18" xr:uid="{00000000-0004-0000-0500-000011000000}"/>
    <hyperlink ref="F24" r:id="rId19" xr:uid="{00000000-0004-0000-0500-000012000000}"/>
    <hyperlink ref="F25" r:id="rId20" xr:uid="{00000000-0004-0000-0500-000013000000}"/>
    <hyperlink ref="F26" r:id="rId21" xr:uid="{00000000-0004-0000-0500-000014000000}"/>
    <hyperlink ref="F27" r:id="rId22" xr:uid="{00000000-0004-0000-0500-000015000000}"/>
    <hyperlink ref="F28" r:id="rId23" xr:uid="{00000000-0004-0000-0500-000016000000}"/>
    <hyperlink ref="F29" r:id="rId24" xr:uid="{00000000-0004-0000-0500-000017000000}"/>
    <hyperlink ref="F30" r:id="rId25" xr:uid="{00000000-0004-0000-0500-000018000000}"/>
    <hyperlink ref="F31" r:id="rId26" xr:uid="{00000000-0004-0000-0500-000019000000}"/>
    <hyperlink ref="F32" r:id="rId27" xr:uid="{00000000-0004-0000-0500-00001A000000}"/>
    <hyperlink ref="F33" r:id="rId28" xr:uid="{00000000-0004-0000-0500-00001B000000}"/>
    <hyperlink ref="F34" r:id="rId29" xr:uid="{00000000-0004-0000-0500-00001C000000}"/>
    <hyperlink ref="F35" r:id="rId30" xr:uid="{00000000-0004-0000-0500-00001D000000}"/>
    <hyperlink ref="F36" r:id="rId31" xr:uid="{00000000-0004-0000-0500-00001E000000}"/>
    <hyperlink ref="F37" r:id="rId32" xr:uid="{00000000-0004-0000-0500-00001F000000}"/>
    <hyperlink ref="F38" r:id="rId33" xr:uid="{00000000-0004-0000-0500-000020000000}"/>
    <hyperlink ref="F39" r:id="rId34" xr:uid="{00000000-0004-0000-0500-000021000000}"/>
    <hyperlink ref="F40" r:id="rId35" xr:uid="{00000000-0004-0000-0500-000022000000}"/>
    <hyperlink ref="F41" r:id="rId36" xr:uid="{00000000-0004-0000-0500-000023000000}"/>
    <hyperlink ref="F42" r:id="rId37" xr:uid="{00000000-0004-0000-0500-000024000000}"/>
    <hyperlink ref="F43" r:id="rId38" xr:uid="{00000000-0004-0000-0500-000025000000}"/>
    <hyperlink ref="F44" r:id="rId39" xr:uid="{00000000-0004-0000-0500-000026000000}"/>
    <hyperlink ref="F45" r:id="rId40" xr:uid="{00000000-0004-0000-0500-000027000000}"/>
    <hyperlink ref="F46" r:id="rId41" xr:uid="{00000000-0004-0000-0500-000028000000}"/>
    <hyperlink ref="F47" r:id="rId42" xr:uid="{00000000-0004-0000-0500-000029000000}"/>
    <hyperlink ref="F48" r:id="rId43" xr:uid="{00000000-0004-0000-0500-00002A000000}"/>
    <hyperlink ref="F49" r:id="rId44" xr:uid="{00000000-0004-0000-0500-00002B000000}"/>
    <hyperlink ref="F50" r:id="rId45" xr:uid="{00000000-0004-0000-0500-00002C000000}"/>
    <hyperlink ref="F51" r:id="rId46" xr:uid="{00000000-0004-0000-0500-00002D000000}"/>
    <hyperlink ref="F52" r:id="rId47" xr:uid="{00000000-0004-0000-0500-00002E000000}"/>
    <hyperlink ref="F53" r:id="rId48" xr:uid="{00000000-0004-0000-0500-00002F000000}"/>
    <hyperlink ref="F54" r:id="rId49" xr:uid="{00000000-0004-0000-0500-000030000000}"/>
    <hyperlink ref="F55" r:id="rId50" xr:uid="{00000000-0004-0000-0500-000031000000}"/>
    <hyperlink ref="F56" r:id="rId51" xr:uid="{00000000-0004-0000-0500-000032000000}"/>
    <hyperlink ref="F57" r:id="rId52" xr:uid="{00000000-0004-0000-0500-000033000000}"/>
    <hyperlink ref="F58" r:id="rId53" xr:uid="{00000000-0004-0000-0500-000034000000}"/>
    <hyperlink ref="F59" r:id="rId54" xr:uid="{00000000-0004-0000-0500-000035000000}"/>
    <hyperlink ref="F60" r:id="rId55" xr:uid="{00000000-0004-0000-0500-000036000000}"/>
    <hyperlink ref="F61" r:id="rId56" xr:uid="{00000000-0004-0000-0500-000037000000}"/>
    <hyperlink ref="F62" r:id="rId57" xr:uid="{00000000-0004-0000-0500-000038000000}"/>
    <hyperlink ref="F63" r:id="rId58" xr:uid="{00000000-0004-0000-0500-000039000000}"/>
    <hyperlink ref="F64" r:id="rId59" xr:uid="{00000000-0004-0000-0500-00003A000000}"/>
    <hyperlink ref="F65" r:id="rId60" xr:uid="{00000000-0004-0000-0500-00003B000000}"/>
    <hyperlink ref="F66" r:id="rId61" xr:uid="{00000000-0004-0000-0500-00003C000000}"/>
    <hyperlink ref="F67" r:id="rId62" xr:uid="{00000000-0004-0000-0500-00003D000000}"/>
    <hyperlink ref="F68" r:id="rId63" xr:uid="{00000000-0004-0000-0500-00003E000000}"/>
    <hyperlink ref="F69" r:id="rId64" xr:uid="{00000000-0004-0000-0500-00003F000000}"/>
    <hyperlink ref="F70" r:id="rId65" xr:uid="{00000000-0004-0000-0500-000040000000}"/>
    <hyperlink ref="F71" r:id="rId66" xr:uid="{00000000-0004-0000-0500-000041000000}"/>
    <hyperlink ref="F72" r:id="rId67" xr:uid="{00000000-0004-0000-0500-000042000000}"/>
    <hyperlink ref="F73" r:id="rId68" xr:uid="{00000000-0004-0000-0500-000043000000}"/>
    <hyperlink ref="F74" r:id="rId69" xr:uid="{00000000-0004-0000-0500-000044000000}"/>
    <hyperlink ref="F75" r:id="rId70" xr:uid="{00000000-0004-0000-0500-000045000000}"/>
  </hyperlinks>
  <pageMargins left="0.7" right="0.7" top="0.75" bottom="0.75" header="0.3" footer="0.3"/>
  <drawing r:id="rId71"/>
  <legacyDrawing r:id="rId7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B78"/>
  </sheetPr>
  <dimension ref="A1:F21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18" customWidth="1"/>
    <col min="3" max="3" width="30" customWidth="1"/>
    <col min="4" max="4" width="70" customWidth="1"/>
    <col min="5" max="5" width="55" customWidth="1"/>
    <col min="6" max="6" width="65" customWidth="1"/>
  </cols>
  <sheetData>
    <row r="1" spans="1:6" ht="30" customHeight="1" x14ac:dyDescent="0.3">
      <c r="A1" s="52" t="s">
        <v>1798</v>
      </c>
      <c r="B1" s="50"/>
      <c r="C1" s="50"/>
      <c r="D1" s="50"/>
      <c r="E1" s="50"/>
      <c r="F1" s="50"/>
    </row>
    <row r="2" spans="1:6" ht="21.95" customHeight="1" x14ac:dyDescent="0.3">
      <c r="A2" s="62" t="s">
        <v>1799</v>
      </c>
      <c r="B2" s="50"/>
      <c r="C2" s="50"/>
      <c r="D2" s="50"/>
      <c r="E2" s="50"/>
      <c r="F2" s="50"/>
    </row>
    <row r="3" spans="1:6" ht="35.1" customHeight="1" x14ac:dyDescent="0.3">
      <c r="A3" s="64" t="s">
        <v>1800</v>
      </c>
      <c r="B3" s="50"/>
      <c r="C3" s="50"/>
      <c r="D3" s="50"/>
      <c r="E3" s="50"/>
      <c r="F3" s="50"/>
    </row>
    <row r="5" spans="1:6" ht="42" customHeight="1" x14ac:dyDescent="0.3">
      <c r="A5" s="2" t="s">
        <v>51</v>
      </c>
      <c r="B5" s="2" t="s">
        <v>1638</v>
      </c>
      <c r="C5" s="2" t="s">
        <v>1801</v>
      </c>
      <c r="D5" s="2" t="s">
        <v>1802</v>
      </c>
      <c r="E5" s="2" t="s">
        <v>1803</v>
      </c>
      <c r="F5" s="2" t="s">
        <v>1804</v>
      </c>
    </row>
    <row r="6" spans="1:6" ht="57.95" customHeight="1" x14ac:dyDescent="0.3">
      <c r="A6" s="3">
        <v>1</v>
      </c>
      <c r="B6" s="4" t="s">
        <v>23</v>
      </c>
      <c r="C6" s="4" t="s">
        <v>1805</v>
      </c>
      <c r="D6" s="4" t="s">
        <v>1647</v>
      </c>
      <c r="E6" s="4" t="s">
        <v>1806</v>
      </c>
      <c r="F6" s="6" t="s">
        <v>39</v>
      </c>
    </row>
    <row r="7" spans="1:6" ht="57.95" customHeight="1" x14ac:dyDescent="0.3">
      <c r="A7" s="7">
        <v>2</v>
      </c>
      <c r="B7" s="8" t="s">
        <v>23</v>
      </c>
      <c r="C7" s="8" t="s">
        <v>1807</v>
      </c>
      <c r="D7" s="8" t="s">
        <v>1808</v>
      </c>
      <c r="E7" s="8" t="s">
        <v>1809</v>
      </c>
      <c r="F7" s="9" t="s">
        <v>39</v>
      </c>
    </row>
    <row r="8" spans="1:6" ht="57.95" customHeight="1" x14ac:dyDescent="0.3">
      <c r="A8" s="3">
        <v>3</v>
      </c>
      <c r="B8" s="4" t="s">
        <v>23</v>
      </c>
      <c r="C8" s="4" t="s">
        <v>1810</v>
      </c>
      <c r="D8" s="4" t="s">
        <v>1811</v>
      </c>
      <c r="E8" s="4" t="s">
        <v>1812</v>
      </c>
      <c r="F8" s="6" t="s">
        <v>41</v>
      </c>
    </row>
    <row r="9" spans="1:6" ht="57.95" customHeight="1" x14ac:dyDescent="0.3">
      <c r="A9" s="14">
        <v>4</v>
      </c>
      <c r="B9" s="15" t="s">
        <v>1813</v>
      </c>
      <c r="C9" s="15" t="s">
        <v>82</v>
      </c>
      <c r="D9" s="15" t="s">
        <v>1814</v>
      </c>
      <c r="E9" s="15" t="s">
        <v>1815</v>
      </c>
      <c r="F9" s="16" t="s">
        <v>39</v>
      </c>
    </row>
    <row r="10" spans="1:6" ht="57.95" customHeight="1" x14ac:dyDescent="0.3">
      <c r="A10" s="3">
        <v>5</v>
      </c>
      <c r="B10" s="4" t="s">
        <v>1813</v>
      </c>
      <c r="C10" s="4" t="s">
        <v>773</v>
      </c>
      <c r="D10" s="4" t="s">
        <v>1816</v>
      </c>
      <c r="E10" s="4" t="s">
        <v>1817</v>
      </c>
      <c r="F10" s="6" t="s">
        <v>39</v>
      </c>
    </row>
    <row r="11" spans="1:6" ht="57.95" customHeight="1" x14ac:dyDescent="0.3">
      <c r="A11" s="14">
        <v>6</v>
      </c>
      <c r="B11" s="15" t="s">
        <v>1818</v>
      </c>
      <c r="C11" s="15" t="s">
        <v>88</v>
      </c>
      <c r="D11" s="15" t="s">
        <v>1819</v>
      </c>
      <c r="E11" s="15" t="s">
        <v>1820</v>
      </c>
      <c r="F11" s="16" t="s">
        <v>39</v>
      </c>
    </row>
    <row r="12" spans="1:6" ht="57.95" customHeight="1" x14ac:dyDescent="0.3">
      <c r="A12" s="3">
        <v>7</v>
      </c>
      <c r="B12" s="4" t="s">
        <v>1818</v>
      </c>
      <c r="C12" s="4" t="s">
        <v>141</v>
      </c>
      <c r="D12" s="4" t="s">
        <v>1821</v>
      </c>
      <c r="E12" s="4" t="s">
        <v>1820</v>
      </c>
      <c r="F12" s="6" t="s">
        <v>39</v>
      </c>
    </row>
    <row r="13" spans="1:6" ht="57.95" customHeight="1" x14ac:dyDescent="0.3">
      <c r="A13" s="7">
        <v>8</v>
      </c>
      <c r="B13" s="8" t="s">
        <v>1818</v>
      </c>
      <c r="C13" s="8" t="s">
        <v>205</v>
      </c>
      <c r="D13" s="8" t="s">
        <v>1822</v>
      </c>
      <c r="E13" s="8" t="s">
        <v>1820</v>
      </c>
      <c r="F13" s="9" t="s">
        <v>39</v>
      </c>
    </row>
    <row r="14" spans="1:6" ht="57.95" customHeight="1" x14ac:dyDescent="0.3">
      <c r="A14" s="3">
        <v>9</v>
      </c>
      <c r="B14" s="4" t="s">
        <v>1818</v>
      </c>
      <c r="C14" s="4" t="s">
        <v>437</v>
      </c>
      <c r="D14" s="4" t="s">
        <v>1823</v>
      </c>
      <c r="E14" s="4" t="s">
        <v>1824</v>
      </c>
      <c r="F14" s="6" t="s">
        <v>441</v>
      </c>
    </row>
    <row r="15" spans="1:6" ht="57.95" customHeight="1" x14ac:dyDescent="0.3">
      <c r="A15" s="7">
        <v>10</v>
      </c>
      <c r="B15" s="8" t="s">
        <v>1818</v>
      </c>
      <c r="C15" s="8" t="s">
        <v>89</v>
      </c>
      <c r="D15" s="8" t="s">
        <v>1825</v>
      </c>
      <c r="E15" s="8" t="s">
        <v>1826</v>
      </c>
      <c r="F15" s="9" t="s">
        <v>39</v>
      </c>
    </row>
    <row r="16" spans="1:6" ht="57.95" customHeight="1" x14ac:dyDescent="0.3">
      <c r="A16" s="10">
        <v>11</v>
      </c>
      <c r="B16" s="11" t="s">
        <v>67</v>
      </c>
      <c r="C16" s="11" t="s">
        <v>95</v>
      </c>
      <c r="D16" s="11" t="s">
        <v>1827</v>
      </c>
      <c r="E16" s="11" t="s">
        <v>1828</v>
      </c>
      <c r="F16" s="13" t="s">
        <v>39</v>
      </c>
    </row>
    <row r="17" spans="1:6" ht="57.95" customHeight="1" x14ac:dyDescent="0.3">
      <c r="A17" s="43">
        <v>12</v>
      </c>
      <c r="B17" s="44" t="s">
        <v>67</v>
      </c>
      <c r="C17" s="44" t="s">
        <v>1829</v>
      </c>
      <c r="D17" s="42" t="s">
        <v>1830</v>
      </c>
      <c r="E17" s="44" t="s">
        <v>1831</v>
      </c>
      <c r="F17" s="45" t="s">
        <v>39</v>
      </c>
    </row>
    <row r="18" spans="1:6" ht="57.95" customHeight="1" x14ac:dyDescent="0.3">
      <c r="A18" s="10">
        <v>13</v>
      </c>
      <c r="B18" s="11" t="s">
        <v>29</v>
      </c>
      <c r="C18" s="11" t="s">
        <v>1832</v>
      </c>
      <c r="D18" s="11" t="s">
        <v>1833</v>
      </c>
      <c r="E18" s="11" t="s">
        <v>1834</v>
      </c>
      <c r="F18" s="13" t="s">
        <v>45</v>
      </c>
    </row>
    <row r="19" spans="1:6" ht="57.95" customHeight="1" x14ac:dyDescent="0.3">
      <c r="A19" s="46">
        <v>14</v>
      </c>
      <c r="B19" s="47" t="s">
        <v>1835</v>
      </c>
      <c r="C19" s="47" t="s">
        <v>1258</v>
      </c>
      <c r="D19" s="41" t="s">
        <v>1836</v>
      </c>
      <c r="E19" s="47" t="s">
        <v>1837</v>
      </c>
      <c r="F19" s="48" t="s">
        <v>1264</v>
      </c>
    </row>
    <row r="20" spans="1:6" ht="57.95" customHeight="1" x14ac:dyDescent="0.3">
      <c r="A20" s="46">
        <v>15</v>
      </c>
      <c r="B20" s="47" t="s">
        <v>1838</v>
      </c>
      <c r="C20" s="47" t="s">
        <v>1354</v>
      </c>
      <c r="D20" s="41" t="s">
        <v>1839</v>
      </c>
      <c r="E20" s="47" t="s">
        <v>1840</v>
      </c>
      <c r="F20" s="48" t="s">
        <v>1358</v>
      </c>
    </row>
    <row r="21" spans="1:6" ht="57.95" customHeight="1" x14ac:dyDescent="0.3">
      <c r="A21" s="14">
        <v>16</v>
      </c>
      <c r="B21" s="15" t="s">
        <v>1841</v>
      </c>
      <c r="C21" s="15" t="s">
        <v>1842</v>
      </c>
      <c r="D21" s="15" t="s">
        <v>1843</v>
      </c>
      <c r="E21" s="15" t="s">
        <v>1844</v>
      </c>
      <c r="F21" s="16" t="s">
        <v>39</v>
      </c>
    </row>
  </sheetData>
  <mergeCells count="3">
    <mergeCell ref="A3:F3"/>
    <mergeCell ref="A2:F2"/>
    <mergeCell ref="A1:F1"/>
  </mergeCells>
  <phoneticPr fontId="22" type="noConversion"/>
  <hyperlinks>
    <hyperlink ref="F6" r:id="rId1" xr:uid="{00000000-0004-0000-0600-000000000000}"/>
    <hyperlink ref="F7" r:id="rId2" xr:uid="{00000000-0004-0000-0600-000001000000}"/>
    <hyperlink ref="F8" r:id="rId3" xr:uid="{00000000-0004-0000-0600-000002000000}"/>
    <hyperlink ref="F9" r:id="rId4" xr:uid="{00000000-0004-0000-0600-000003000000}"/>
    <hyperlink ref="F10" r:id="rId5" xr:uid="{00000000-0004-0000-0600-000004000000}"/>
    <hyperlink ref="F11" r:id="rId6" xr:uid="{00000000-0004-0000-0600-000005000000}"/>
    <hyperlink ref="F12" r:id="rId7" xr:uid="{00000000-0004-0000-0600-000006000000}"/>
    <hyperlink ref="F13" r:id="rId8" xr:uid="{00000000-0004-0000-0600-000007000000}"/>
    <hyperlink ref="F14" r:id="rId9" xr:uid="{00000000-0004-0000-0600-000008000000}"/>
    <hyperlink ref="F15" r:id="rId10" xr:uid="{00000000-0004-0000-0600-000009000000}"/>
    <hyperlink ref="F16" r:id="rId11" xr:uid="{00000000-0004-0000-0600-00000A000000}"/>
    <hyperlink ref="F17" r:id="rId12" xr:uid="{00000000-0004-0000-0600-00000B000000}"/>
    <hyperlink ref="F18" r:id="rId13" xr:uid="{00000000-0004-0000-0600-00000C000000}"/>
    <hyperlink ref="F19" r:id="rId14" xr:uid="{00000000-0004-0000-0600-00000D000000}"/>
    <hyperlink ref="F20" r:id="rId15" xr:uid="{00000000-0004-0000-0600-00000E000000}"/>
    <hyperlink ref="F21" r:id="rId16" xr:uid="{00000000-0004-0000-0600-00000F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5"/>
  <sheetViews>
    <sheetView showGridLines="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6" customWidth="1"/>
    <col min="2" max="2" width="24" customWidth="1"/>
    <col min="3" max="3" width="25" customWidth="1"/>
    <col min="4" max="4" width="21" customWidth="1"/>
    <col min="5" max="5" width="31" customWidth="1"/>
    <col min="6" max="6" width="28" customWidth="1"/>
    <col min="7" max="9" width="34" customWidth="1"/>
    <col min="10" max="10" width="35" customWidth="1"/>
    <col min="11" max="11" width="29" customWidth="1"/>
    <col min="12" max="12" width="39" customWidth="1"/>
    <col min="13" max="13" width="32" customWidth="1"/>
    <col min="14" max="14" width="60" customWidth="1"/>
    <col min="15" max="15" width="15" customWidth="1"/>
    <col min="16" max="16" width="17" customWidth="1"/>
    <col min="17" max="19" width="53" customWidth="1"/>
  </cols>
  <sheetData>
    <row r="1" spans="1:19" ht="30" customHeight="1" x14ac:dyDescent="0.3">
      <c r="A1" s="73" t="s">
        <v>1845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23"/>
      <c r="N1" s="23"/>
      <c r="O1" s="23"/>
      <c r="P1" s="23"/>
      <c r="Q1" s="23"/>
      <c r="R1" s="23"/>
      <c r="S1" s="23"/>
    </row>
    <row r="2" spans="1:19" ht="24" customHeight="1" x14ac:dyDescent="0.3">
      <c r="A2" s="74" t="s">
        <v>1846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23"/>
      <c r="N2" s="23"/>
      <c r="O2" s="23"/>
      <c r="P2" s="23"/>
      <c r="Q2" s="23"/>
      <c r="R2" s="23"/>
      <c r="S2" s="23"/>
    </row>
    <row r="3" spans="1:19" ht="32.1" customHeight="1" x14ac:dyDescent="0.3">
      <c r="A3" s="74" t="s">
        <v>1847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23"/>
      <c r="N3" s="23"/>
      <c r="O3" s="23"/>
      <c r="P3" s="23"/>
      <c r="Q3" s="23"/>
      <c r="R3" s="23"/>
      <c r="S3" s="23"/>
    </row>
    <row r="4" spans="1:19" ht="32.1" customHeight="1" x14ac:dyDescent="0.3">
      <c r="A4" s="74" t="s">
        <v>1848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23"/>
      <c r="N4" s="23"/>
      <c r="O4" s="23"/>
      <c r="P4" s="23"/>
      <c r="Q4" s="23"/>
      <c r="R4" s="23"/>
      <c r="S4" s="23"/>
    </row>
    <row r="5" spans="1:19" ht="33.950000000000003" customHeight="1" x14ac:dyDescent="0.3">
      <c r="A5" s="24" t="s">
        <v>51</v>
      </c>
      <c r="B5" s="24" t="s">
        <v>1849</v>
      </c>
      <c r="C5" s="24" t="s">
        <v>1850</v>
      </c>
      <c r="D5" s="24" t="s">
        <v>1851</v>
      </c>
      <c r="E5" s="24" t="s">
        <v>1852</v>
      </c>
      <c r="F5" s="24" t="s">
        <v>1853</v>
      </c>
      <c r="G5" s="24" t="s">
        <v>1854</v>
      </c>
      <c r="H5" s="24" t="s">
        <v>1855</v>
      </c>
      <c r="I5" s="24" t="s">
        <v>1856</v>
      </c>
      <c r="J5" s="24" t="s">
        <v>1857</v>
      </c>
      <c r="K5" s="24" t="s">
        <v>1858</v>
      </c>
      <c r="L5" s="24" t="s">
        <v>1859</v>
      </c>
      <c r="M5" s="24" t="s">
        <v>1860</v>
      </c>
      <c r="N5" s="24" t="s">
        <v>1861</v>
      </c>
      <c r="O5" s="24" t="s">
        <v>1862</v>
      </c>
      <c r="P5" s="24" t="s">
        <v>1863</v>
      </c>
      <c r="Q5" s="24" t="s">
        <v>1864</v>
      </c>
      <c r="R5" s="24" t="s">
        <v>1865</v>
      </c>
      <c r="S5" s="24" t="s">
        <v>1866</v>
      </c>
    </row>
    <row r="6" spans="1:19" ht="92.1" customHeight="1" x14ac:dyDescent="0.3">
      <c r="A6" s="28">
        <v>1</v>
      </c>
      <c r="B6" s="29" t="s">
        <v>1867</v>
      </c>
      <c r="C6" s="25" t="s">
        <v>1868</v>
      </c>
      <c r="D6" s="25" t="s">
        <v>1869</v>
      </c>
      <c r="E6" s="25" t="s">
        <v>1870</v>
      </c>
      <c r="F6" s="25" t="s">
        <v>1871</v>
      </c>
      <c r="G6" s="25" t="s">
        <v>1872</v>
      </c>
      <c r="H6" s="25" t="s">
        <v>1873</v>
      </c>
      <c r="I6" s="25" t="s">
        <v>1874</v>
      </c>
      <c r="J6" s="25" t="s">
        <v>1875</v>
      </c>
      <c r="K6" s="25" t="s">
        <v>1876</v>
      </c>
      <c r="L6" s="25" t="s">
        <v>1877</v>
      </c>
      <c r="M6" s="25" t="s">
        <v>1878</v>
      </c>
      <c r="N6" s="25" t="s">
        <v>1879</v>
      </c>
      <c r="O6" s="26">
        <v>300</v>
      </c>
      <c r="P6" s="26">
        <v>850</v>
      </c>
      <c r="Q6" s="25" t="s">
        <v>1880</v>
      </c>
      <c r="R6" s="25" t="s">
        <v>1881</v>
      </c>
      <c r="S6" s="25" t="s">
        <v>1882</v>
      </c>
    </row>
    <row r="7" spans="1:19" ht="92.1" customHeight="1" x14ac:dyDescent="0.3">
      <c r="A7" s="28">
        <v>2</v>
      </c>
      <c r="B7" s="29" t="s">
        <v>1867</v>
      </c>
      <c r="C7" s="25" t="s">
        <v>1883</v>
      </c>
      <c r="D7" s="25" t="s">
        <v>1884</v>
      </c>
      <c r="E7" s="25" t="s">
        <v>1870</v>
      </c>
      <c r="F7" s="25" t="s">
        <v>1885</v>
      </c>
      <c r="G7" s="25" t="s">
        <v>1886</v>
      </c>
      <c r="H7" s="25" t="s">
        <v>1887</v>
      </c>
      <c r="I7" s="25" t="s">
        <v>1888</v>
      </c>
      <c r="J7" s="25" t="s">
        <v>1875</v>
      </c>
      <c r="K7" s="25" t="s">
        <v>1876</v>
      </c>
      <c r="L7" s="25" t="s">
        <v>1889</v>
      </c>
      <c r="M7" s="25" t="s">
        <v>1878</v>
      </c>
      <c r="N7" s="25" t="s">
        <v>1890</v>
      </c>
      <c r="O7" s="26">
        <v>300</v>
      </c>
      <c r="P7" s="26">
        <v>850</v>
      </c>
      <c r="Q7" s="25" t="s">
        <v>1880</v>
      </c>
      <c r="R7" s="25" t="s">
        <v>1881</v>
      </c>
      <c r="S7" s="25" t="s">
        <v>1882</v>
      </c>
    </row>
    <row r="8" spans="1:19" ht="92.1" customHeight="1" x14ac:dyDescent="0.3">
      <c r="A8" s="28">
        <v>3</v>
      </c>
      <c r="B8" s="30" t="s">
        <v>1891</v>
      </c>
      <c r="C8" s="25" t="s">
        <v>1892</v>
      </c>
      <c r="D8" s="25" t="s">
        <v>1893</v>
      </c>
      <c r="E8" s="25" t="s">
        <v>1870</v>
      </c>
      <c r="F8" s="25" t="s">
        <v>1894</v>
      </c>
      <c r="G8" s="25" t="s">
        <v>1872</v>
      </c>
      <c r="H8" s="25" t="s">
        <v>1873</v>
      </c>
      <c r="I8" s="25" t="s">
        <v>1895</v>
      </c>
      <c r="J8" s="25" t="s">
        <v>1896</v>
      </c>
      <c r="K8" s="25" t="s">
        <v>1876</v>
      </c>
      <c r="L8" s="25" t="s">
        <v>1897</v>
      </c>
      <c r="M8" s="25" t="s">
        <v>1898</v>
      </c>
      <c r="N8" s="25" t="s">
        <v>1899</v>
      </c>
      <c r="O8" s="26">
        <v>300</v>
      </c>
      <c r="P8" s="26">
        <v>850</v>
      </c>
      <c r="Q8" s="25" t="s">
        <v>1880</v>
      </c>
      <c r="R8" s="25" t="s">
        <v>1881</v>
      </c>
      <c r="S8" s="25" t="s">
        <v>1882</v>
      </c>
    </row>
    <row r="9" spans="1:19" ht="92.1" customHeight="1" x14ac:dyDescent="0.3">
      <c r="A9" s="28">
        <v>4</v>
      </c>
      <c r="B9" s="30" t="s">
        <v>1891</v>
      </c>
      <c r="C9" s="25" t="s">
        <v>1900</v>
      </c>
      <c r="D9" s="25" t="s">
        <v>1901</v>
      </c>
      <c r="E9" s="25" t="s">
        <v>1902</v>
      </c>
      <c r="F9" s="25" t="s">
        <v>1894</v>
      </c>
      <c r="G9" s="25" t="s">
        <v>1872</v>
      </c>
      <c r="H9" s="25" t="s">
        <v>1903</v>
      </c>
      <c r="I9" s="25" t="s">
        <v>1895</v>
      </c>
      <c r="J9" s="25" t="s">
        <v>1896</v>
      </c>
      <c r="K9" s="25" t="s">
        <v>1876</v>
      </c>
      <c r="L9" s="25" t="s">
        <v>1897</v>
      </c>
      <c r="M9" s="25" t="s">
        <v>1898</v>
      </c>
      <c r="N9" s="25" t="s">
        <v>1904</v>
      </c>
      <c r="O9" s="26">
        <v>650</v>
      </c>
      <c r="P9" s="26">
        <v>1500</v>
      </c>
      <c r="Q9" s="25" t="s">
        <v>1880</v>
      </c>
      <c r="R9" s="25" t="s">
        <v>1881</v>
      </c>
      <c r="S9" s="25" t="s">
        <v>1882</v>
      </c>
    </row>
    <row r="10" spans="1:19" ht="92.1" customHeight="1" x14ac:dyDescent="0.3">
      <c r="A10" s="28">
        <v>5</v>
      </c>
      <c r="B10" s="30" t="s">
        <v>1905</v>
      </c>
      <c r="C10" s="25" t="s">
        <v>1906</v>
      </c>
      <c r="D10" s="25" t="s">
        <v>1893</v>
      </c>
      <c r="E10" s="25" t="s">
        <v>1870</v>
      </c>
      <c r="F10" s="25" t="s">
        <v>1907</v>
      </c>
      <c r="G10" s="25" t="s">
        <v>1872</v>
      </c>
      <c r="H10" s="25" t="s">
        <v>1873</v>
      </c>
      <c r="I10" s="25" t="s">
        <v>1908</v>
      </c>
      <c r="J10" s="25" t="s">
        <v>1875</v>
      </c>
      <c r="K10" s="25" t="s">
        <v>1876</v>
      </c>
      <c r="L10" s="25" t="s">
        <v>1909</v>
      </c>
      <c r="M10" s="25" t="s">
        <v>1910</v>
      </c>
      <c r="N10" s="25" t="s">
        <v>1911</v>
      </c>
      <c r="O10" s="26">
        <v>300</v>
      </c>
      <c r="P10" s="26">
        <v>850</v>
      </c>
      <c r="Q10" s="25" t="s">
        <v>1880</v>
      </c>
      <c r="R10" s="25" t="s">
        <v>1881</v>
      </c>
      <c r="S10" s="25" t="s">
        <v>1882</v>
      </c>
    </row>
    <row r="11" spans="1:19" ht="92.1" customHeight="1" x14ac:dyDescent="0.3">
      <c r="A11" s="28">
        <v>6</v>
      </c>
      <c r="B11" s="25" t="s">
        <v>1912</v>
      </c>
      <c r="C11" s="25" t="s">
        <v>1913</v>
      </c>
      <c r="D11" s="25" t="s">
        <v>1884</v>
      </c>
      <c r="E11" s="25" t="s">
        <v>1870</v>
      </c>
      <c r="F11" s="25" t="s">
        <v>1914</v>
      </c>
      <c r="G11" s="25" t="s">
        <v>1886</v>
      </c>
      <c r="H11" s="25" t="s">
        <v>1887</v>
      </c>
      <c r="I11" s="25" t="s">
        <v>1915</v>
      </c>
      <c r="J11" s="25" t="s">
        <v>1875</v>
      </c>
      <c r="K11" s="25" t="s">
        <v>1876</v>
      </c>
      <c r="L11" s="25" t="s">
        <v>1916</v>
      </c>
      <c r="M11" s="25" t="s">
        <v>1910</v>
      </c>
      <c r="N11" s="25" t="s">
        <v>1917</v>
      </c>
      <c r="O11" s="26">
        <v>300</v>
      </c>
      <c r="P11" s="26">
        <v>850</v>
      </c>
      <c r="Q11" s="25" t="s">
        <v>1880</v>
      </c>
      <c r="R11" s="25" t="s">
        <v>1881</v>
      </c>
      <c r="S11" s="25" t="s">
        <v>1882</v>
      </c>
    </row>
    <row r="12" spans="1:19" ht="92.1" customHeight="1" x14ac:dyDescent="0.3">
      <c r="A12" s="28">
        <v>7</v>
      </c>
      <c r="B12" s="30" t="s">
        <v>1918</v>
      </c>
      <c r="C12" s="25" t="s">
        <v>1919</v>
      </c>
      <c r="D12" s="25" t="s">
        <v>1920</v>
      </c>
      <c r="E12" s="25" t="s">
        <v>1921</v>
      </c>
      <c r="F12" s="25" t="s">
        <v>1922</v>
      </c>
      <c r="G12" s="25" t="s">
        <v>1923</v>
      </c>
      <c r="H12" s="25" t="s">
        <v>1903</v>
      </c>
      <c r="I12" s="25" t="s">
        <v>1924</v>
      </c>
      <c r="J12" s="25" t="s">
        <v>1875</v>
      </c>
      <c r="K12" s="25" t="s">
        <v>1876</v>
      </c>
      <c r="L12" s="25" t="s">
        <v>1925</v>
      </c>
      <c r="M12" s="25" t="s">
        <v>1926</v>
      </c>
      <c r="N12" s="25" t="s">
        <v>1927</v>
      </c>
      <c r="O12" s="26">
        <v>950</v>
      </c>
      <c r="P12" s="26">
        <v>1550</v>
      </c>
      <c r="Q12" s="25" t="s">
        <v>1880</v>
      </c>
      <c r="R12" s="25" t="s">
        <v>1928</v>
      </c>
      <c r="S12" s="25" t="s">
        <v>1882</v>
      </c>
    </row>
    <row r="13" spans="1:19" ht="92.1" customHeight="1" x14ac:dyDescent="0.3">
      <c r="A13" s="28">
        <v>8</v>
      </c>
      <c r="B13" s="30" t="s">
        <v>1929</v>
      </c>
      <c r="C13" s="25" t="s">
        <v>1930</v>
      </c>
      <c r="D13" s="25" t="s">
        <v>1931</v>
      </c>
      <c r="E13" s="25" t="s">
        <v>1932</v>
      </c>
      <c r="F13" s="25" t="s">
        <v>1933</v>
      </c>
      <c r="G13" s="25" t="s">
        <v>1934</v>
      </c>
      <c r="H13" s="25" t="s">
        <v>1935</v>
      </c>
      <c r="I13" s="25" t="s">
        <v>1936</v>
      </c>
      <c r="J13" s="25" t="s">
        <v>1875</v>
      </c>
      <c r="K13" s="25" t="s">
        <v>1876</v>
      </c>
      <c r="L13" s="25" t="s">
        <v>1925</v>
      </c>
      <c r="M13" s="25" t="s">
        <v>1926</v>
      </c>
      <c r="N13" s="25" t="s">
        <v>1937</v>
      </c>
      <c r="O13" s="26">
        <v>2200</v>
      </c>
      <c r="P13" s="26">
        <v>5500</v>
      </c>
      <c r="Q13" s="25" t="s">
        <v>1880</v>
      </c>
      <c r="R13" s="25" t="s">
        <v>1928</v>
      </c>
      <c r="S13" s="25" t="s">
        <v>1882</v>
      </c>
    </row>
    <row r="14" spans="1:19" ht="92.1" customHeight="1" x14ac:dyDescent="0.3">
      <c r="A14" s="28">
        <v>9</v>
      </c>
      <c r="B14" s="30" t="s">
        <v>1938</v>
      </c>
      <c r="C14" s="25" t="s">
        <v>1939</v>
      </c>
      <c r="D14" s="25" t="s">
        <v>1940</v>
      </c>
      <c r="E14" s="25" t="s">
        <v>1941</v>
      </c>
      <c r="F14" s="25" t="s">
        <v>1942</v>
      </c>
      <c r="G14" s="25" t="s">
        <v>1934</v>
      </c>
      <c r="H14" s="25" t="s">
        <v>1943</v>
      </c>
      <c r="I14" s="25" t="s">
        <v>1944</v>
      </c>
      <c r="J14" s="25" t="s">
        <v>1875</v>
      </c>
      <c r="K14" s="25" t="s">
        <v>1876</v>
      </c>
      <c r="L14" s="25" t="s">
        <v>1945</v>
      </c>
      <c r="M14" s="25" t="s">
        <v>1926</v>
      </c>
      <c r="N14" s="25" t="s">
        <v>1946</v>
      </c>
      <c r="O14" s="26">
        <v>3200</v>
      </c>
      <c r="P14" s="26">
        <v>8500</v>
      </c>
      <c r="Q14" s="25" t="s">
        <v>1880</v>
      </c>
      <c r="R14" s="25" t="s">
        <v>1928</v>
      </c>
      <c r="S14" s="25" t="s">
        <v>1882</v>
      </c>
    </row>
    <row r="15" spans="1:19" ht="92.1" customHeight="1" x14ac:dyDescent="0.3">
      <c r="A15" s="28">
        <v>10</v>
      </c>
      <c r="B15" s="25" t="s">
        <v>1947</v>
      </c>
      <c r="C15" s="25" t="s">
        <v>1948</v>
      </c>
      <c r="D15" s="25" t="s">
        <v>1949</v>
      </c>
      <c r="E15" s="25" t="s">
        <v>1950</v>
      </c>
      <c r="F15" s="25" t="s">
        <v>1951</v>
      </c>
      <c r="G15" s="25" t="s">
        <v>1872</v>
      </c>
      <c r="H15" s="25" t="s">
        <v>1873</v>
      </c>
      <c r="I15" s="25" t="s">
        <v>1952</v>
      </c>
      <c r="J15" s="25" t="s">
        <v>1875</v>
      </c>
      <c r="K15" s="25" t="s">
        <v>1876</v>
      </c>
      <c r="L15" s="25" t="s">
        <v>1953</v>
      </c>
      <c r="M15" s="25" t="s">
        <v>1954</v>
      </c>
      <c r="N15" s="25" t="s">
        <v>1955</v>
      </c>
      <c r="O15" s="26"/>
      <c r="P15" s="26">
        <v>1000</v>
      </c>
      <c r="Q15" s="25" t="s">
        <v>1880</v>
      </c>
      <c r="R15" s="25" t="s">
        <v>1881</v>
      </c>
      <c r="S15" s="25" t="s">
        <v>1882</v>
      </c>
    </row>
    <row r="16" spans="1:19" ht="92.1" customHeight="1" x14ac:dyDescent="0.3">
      <c r="A16" s="28">
        <v>11</v>
      </c>
      <c r="B16" s="25" t="s">
        <v>1947</v>
      </c>
      <c r="C16" s="25" t="s">
        <v>1956</v>
      </c>
      <c r="D16" s="25" t="s">
        <v>1957</v>
      </c>
      <c r="E16" s="25" t="s">
        <v>1950</v>
      </c>
      <c r="F16" s="25" t="s">
        <v>1958</v>
      </c>
      <c r="G16" s="25" t="s">
        <v>1886</v>
      </c>
      <c r="H16" s="25" t="s">
        <v>1887</v>
      </c>
      <c r="I16" s="25" t="s">
        <v>1959</v>
      </c>
      <c r="J16" s="25" t="s">
        <v>1875</v>
      </c>
      <c r="K16" s="25" t="s">
        <v>1876</v>
      </c>
      <c r="L16" s="25" t="s">
        <v>1960</v>
      </c>
      <c r="M16" s="25" t="s">
        <v>1954</v>
      </c>
      <c r="N16" s="25" t="s">
        <v>1961</v>
      </c>
      <c r="O16" s="26"/>
      <c r="P16" s="26">
        <v>1000</v>
      </c>
      <c r="Q16" s="25" t="s">
        <v>1880</v>
      </c>
      <c r="R16" s="25" t="s">
        <v>1881</v>
      </c>
      <c r="S16" s="25" t="s">
        <v>1882</v>
      </c>
    </row>
    <row r="17" spans="1:19" ht="92.1" customHeight="1" x14ac:dyDescent="0.3">
      <c r="A17" s="28">
        <v>12</v>
      </c>
      <c r="B17" s="25" t="s">
        <v>1947</v>
      </c>
      <c r="C17" s="25" t="s">
        <v>1962</v>
      </c>
      <c r="D17" s="25" t="s">
        <v>1963</v>
      </c>
      <c r="E17" s="25" t="s">
        <v>1964</v>
      </c>
      <c r="F17" s="25" t="s">
        <v>1965</v>
      </c>
      <c r="G17" s="25" t="s">
        <v>1934</v>
      </c>
      <c r="H17" s="25" t="s">
        <v>1935</v>
      </c>
      <c r="I17" s="25" t="s">
        <v>1966</v>
      </c>
      <c r="J17" s="25" t="s">
        <v>1875</v>
      </c>
      <c r="K17" s="25" t="s">
        <v>1876</v>
      </c>
      <c r="L17" s="25" t="s">
        <v>1967</v>
      </c>
      <c r="M17" s="25" t="s">
        <v>1968</v>
      </c>
      <c r="N17" s="25" t="s">
        <v>1969</v>
      </c>
      <c r="O17" s="26">
        <v>2300</v>
      </c>
      <c r="P17" s="26">
        <v>5200</v>
      </c>
      <c r="Q17" s="25" t="s">
        <v>1880</v>
      </c>
      <c r="R17" s="25" t="s">
        <v>1928</v>
      </c>
      <c r="S17" s="25" t="s">
        <v>1882</v>
      </c>
    </row>
    <row r="18" spans="1:19" ht="92.1" customHeight="1" x14ac:dyDescent="0.3">
      <c r="A18" s="28">
        <v>13</v>
      </c>
      <c r="B18" s="25" t="s">
        <v>1947</v>
      </c>
      <c r="C18" s="25" t="s">
        <v>1970</v>
      </c>
      <c r="D18" s="25" t="s">
        <v>1971</v>
      </c>
      <c r="E18" s="25" t="s">
        <v>1972</v>
      </c>
      <c r="F18" s="25" t="s">
        <v>1965</v>
      </c>
      <c r="G18" s="25" t="s">
        <v>1973</v>
      </c>
      <c r="H18" s="25" t="s">
        <v>1974</v>
      </c>
      <c r="I18" s="25" t="s">
        <v>1975</v>
      </c>
      <c r="J18" s="25" t="s">
        <v>1875</v>
      </c>
      <c r="K18" s="25" t="s">
        <v>1876</v>
      </c>
      <c r="L18" s="25" t="s">
        <v>1976</v>
      </c>
      <c r="M18" s="25" t="s">
        <v>1968</v>
      </c>
      <c r="N18" s="25" t="s">
        <v>1977</v>
      </c>
      <c r="O18" s="26">
        <v>4200</v>
      </c>
      <c r="P18" s="26">
        <v>10000</v>
      </c>
      <c r="Q18" s="25" t="s">
        <v>1880</v>
      </c>
      <c r="R18" s="25" t="s">
        <v>1978</v>
      </c>
      <c r="S18" s="25" t="s">
        <v>1882</v>
      </c>
    </row>
    <row r="19" spans="1:19" ht="92.1" customHeight="1" x14ac:dyDescent="0.3">
      <c r="A19" s="28">
        <v>14</v>
      </c>
      <c r="B19" s="29" t="s">
        <v>1979</v>
      </c>
      <c r="C19" s="25" t="s">
        <v>1980</v>
      </c>
      <c r="D19" s="25" t="s">
        <v>1981</v>
      </c>
      <c r="E19" s="25" t="s">
        <v>1982</v>
      </c>
      <c r="F19" s="25" t="s">
        <v>1983</v>
      </c>
      <c r="G19" s="25" t="s">
        <v>1984</v>
      </c>
      <c r="H19" s="25" t="s">
        <v>1984</v>
      </c>
      <c r="I19" s="25" t="s">
        <v>1985</v>
      </c>
      <c r="J19" s="25" t="s">
        <v>1986</v>
      </c>
      <c r="K19" s="25" t="s">
        <v>1876</v>
      </c>
      <c r="L19" s="25" t="s">
        <v>1987</v>
      </c>
      <c r="M19" s="25" t="s">
        <v>1988</v>
      </c>
      <c r="N19" s="25" t="s">
        <v>1989</v>
      </c>
      <c r="O19" s="26"/>
      <c r="P19" s="26"/>
      <c r="Q19" s="25" t="s">
        <v>1990</v>
      </c>
      <c r="R19" s="25"/>
      <c r="S19" s="25"/>
    </row>
    <row r="20" spans="1:19" ht="92.1" customHeight="1" x14ac:dyDescent="0.3">
      <c r="A20" s="28">
        <v>15</v>
      </c>
      <c r="B20" s="30" t="s">
        <v>1891</v>
      </c>
      <c r="C20" s="25" t="s">
        <v>1991</v>
      </c>
      <c r="D20" s="25" t="s">
        <v>1992</v>
      </c>
      <c r="E20" s="25" t="s">
        <v>1993</v>
      </c>
      <c r="F20" s="25" t="s">
        <v>1965</v>
      </c>
      <c r="G20" s="25" t="s">
        <v>1934</v>
      </c>
      <c r="H20" s="25" t="s">
        <v>1935</v>
      </c>
      <c r="I20" s="25" t="s">
        <v>1895</v>
      </c>
      <c r="J20" s="25" t="s">
        <v>1994</v>
      </c>
      <c r="K20" s="25" t="s">
        <v>1995</v>
      </c>
      <c r="L20" s="25" t="s">
        <v>1996</v>
      </c>
      <c r="M20" s="25" t="s">
        <v>1926</v>
      </c>
      <c r="N20" s="25" t="s">
        <v>1997</v>
      </c>
      <c r="O20" s="26">
        <v>2200</v>
      </c>
      <c r="P20" s="26">
        <v>6500</v>
      </c>
      <c r="Q20" s="25" t="s">
        <v>1880</v>
      </c>
      <c r="R20" s="25" t="s">
        <v>1928</v>
      </c>
      <c r="S20" s="25" t="s">
        <v>1882</v>
      </c>
    </row>
    <row r="21" spans="1:19" ht="92.1" customHeight="1" x14ac:dyDescent="0.3">
      <c r="A21" s="28">
        <v>16</v>
      </c>
      <c r="B21" s="30" t="s">
        <v>1891</v>
      </c>
      <c r="C21" s="25" t="s">
        <v>1998</v>
      </c>
      <c r="D21" s="25" t="s">
        <v>1999</v>
      </c>
      <c r="E21" s="25" t="s">
        <v>2000</v>
      </c>
      <c r="F21" s="25" t="s">
        <v>1965</v>
      </c>
      <c r="G21" s="25" t="s">
        <v>2001</v>
      </c>
      <c r="H21" s="25" t="s">
        <v>2002</v>
      </c>
      <c r="I21" s="25" t="s">
        <v>1895</v>
      </c>
      <c r="J21" s="25" t="s">
        <v>2003</v>
      </c>
      <c r="K21" s="25" t="s">
        <v>1995</v>
      </c>
      <c r="L21" s="25" t="s">
        <v>2004</v>
      </c>
      <c r="M21" s="25" t="s">
        <v>1926</v>
      </c>
      <c r="N21" s="25" t="s">
        <v>2005</v>
      </c>
      <c r="O21" s="26">
        <v>6200</v>
      </c>
      <c r="P21" s="26">
        <v>15500</v>
      </c>
      <c r="Q21" s="25" t="s">
        <v>1880</v>
      </c>
      <c r="R21" s="25" t="s">
        <v>1978</v>
      </c>
      <c r="S21" s="25" t="s">
        <v>1882</v>
      </c>
    </row>
    <row r="22" spans="1:19" ht="92.1" customHeight="1" x14ac:dyDescent="0.3">
      <c r="A22" s="28">
        <v>17</v>
      </c>
      <c r="B22" s="30" t="s">
        <v>2006</v>
      </c>
      <c r="C22" s="25" t="s">
        <v>2007</v>
      </c>
      <c r="D22" s="25" t="s">
        <v>2008</v>
      </c>
      <c r="E22" s="25" t="s">
        <v>2009</v>
      </c>
      <c r="F22" s="25" t="s">
        <v>1965</v>
      </c>
      <c r="G22" s="25" t="s">
        <v>1973</v>
      </c>
      <c r="H22" s="25" t="s">
        <v>1974</v>
      </c>
      <c r="I22" s="25" t="s">
        <v>2010</v>
      </c>
      <c r="J22" s="25" t="s">
        <v>2011</v>
      </c>
      <c r="K22" s="25" t="s">
        <v>2012</v>
      </c>
      <c r="L22" s="25" t="s">
        <v>2013</v>
      </c>
      <c r="M22" s="25" t="s">
        <v>2014</v>
      </c>
      <c r="N22" s="25" t="s">
        <v>2015</v>
      </c>
      <c r="O22" s="26">
        <v>3600</v>
      </c>
      <c r="P22" s="26">
        <v>11000</v>
      </c>
      <c r="Q22" s="25" t="s">
        <v>1880</v>
      </c>
      <c r="R22" s="25" t="s">
        <v>1978</v>
      </c>
      <c r="S22" s="25" t="s">
        <v>1882</v>
      </c>
    </row>
    <row r="23" spans="1:19" ht="92.1" customHeight="1" x14ac:dyDescent="0.3">
      <c r="A23" s="28">
        <v>18</v>
      </c>
      <c r="B23" s="30" t="s">
        <v>2016</v>
      </c>
      <c r="C23" s="25" t="s">
        <v>2017</v>
      </c>
      <c r="D23" s="25" t="s">
        <v>1999</v>
      </c>
      <c r="E23" s="25" t="s">
        <v>2018</v>
      </c>
      <c r="F23" s="25" t="s">
        <v>1965</v>
      </c>
      <c r="G23" s="25" t="s">
        <v>2001</v>
      </c>
      <c r="H23" s="25" t="s">
        <v>2002</v>
      </c>
      <c r="I23" s="25" t="s">
        <v>2019</v>
      </c>
      <c r="J23" s="25" t="s">
        <v>2011</v>
      </c>
      <c r="K23" s="25" t="s">
        <v>2012</v>
      </c>
      <c r="L23" s="25" t="s">
        <v>2020</v>
      </c>
      <c r="M23" s="25" t="s">
        <v>2021</v>
      </c>
      <c r="N23" s="25" t="s">
        <v>2022</v>
      </c>
      <c r="O23" s="26">
        <v>6500</v>
      </c>
      <c r="P23" s="26">
        <v>16000</v>
      </c>
      <c r="Q23" s="25" t="s">
        <v>1880</v>
      </c>
      <c r="R23" s="25" t="s">
        <v>1978</v>
      </c>
      <c r="S23" s="25" t="s">
        <v>1882</v>
      </c>
    </row>
    <row r="24" spans="1:19" ht="92.1" customHeight="1" x14ac:dyDescent="0.3">
      <c r="A24" s="28">
        <v>19</v>
      </c>
      <c r="B24" s="25" t="s">
        <v>1947</v>
      </c>
      <c r="C24" s="25" t="s">
        <v>2023</v>
      </c>
      <c r="D24" s="25" t="s">
        <v>2024</v>
      </c>
      <c r="E24" s="25" t="s">
        <v>2025</v>
      </c>
      <c r="F24" s="25" t="s">
        <v>1965</v>
      </c>
      <c r="G24" s="25" t="s">
        <v>2026</v>
      </c>
      <c r="H24" s="25" t="s">
        <v>2002</v>
      </c>
      <c r="I24" s="25" t="s">
        <v>2027</v>
      </c>
      <c r="J24" s="25" t="s">
        <v>2028</v>
      </c>
      <c r="K24" s="25" t="s">
        <v>2029</v>
      </c>
      <c r="L24" s="25" t="s">
        <v>2030</v>
      </c>
      <c r="M24" s="25" t="s">
        <v>2031</v>
      </c>
      <c r="N24" s="25" t="s">
        <v>2032</v>
      </c>
      <c r="O24" s="26">
        <v>12000</v>
      </c>
      <c r="P24" s="26">
        <v>30000</v>
      </c>
      <c r="Q24" s="25" t="s">
        <v>2033</v>
      </c>
      <c r="R24" s="25" t="s">
        <v>2034</v>
      </c>
      <c r="S24" s="25" t="s">
        <v>1882</v>
      </c>
    </row>
    <row r="25" spans="1:19" ht="92.1" customHeight="1" x14ac:dyDescent="0.3">
      <c r="A25" s="28">
        <v>20</v>
      </c>
      <c r="B25" s="25" t="s">
        <v>1947</v>
      </c>
      <c r="C25" s="25" t="s">
        <v>2035</v>
      </c>
      <c r="D25" s="25" t="s">
        <v>2036</v>
      </c>
      <c r="E25" s="25" t="s">
        <v>2037</v>
      </c>
      <c r="F25" s="25" t="s">
        <v>1965</v>
      </c>
      <c r="G25" s="25" t="s">
        <v>2038</v>
      </c>
      <c r="H25" s="25" t="s">
        <v>2039</v>
      </c>
      <c r="I25" s="25" t="s">
        <v>2040</v>
      </c>
      <c r="J25" s="25" t="s">
        <v>2028</v>
      </c>
      <c r="K25" s="25" t="s">
        <v>2029</v>
      </c>
      <c r="L25" s="25" t="s">
        <v>2041</v>
      </c>
      <c r="M25" s="25" t="s">
        <v>2042</v>
      </c>
      <c r="N25" s="25" t="s">
        <v>2043</v>
      </c>
      <c r="O25" s="26">
        <v>40000</v>
      </c>
      <c r="P25" s="26">
        <v>100000</v>
      </c>
      <c r="Q25" s="25" t="s">
        <v>2033</v>
      </c>
      <c r="R25" s="25" t="s">
        <v>2044</v>
      </c>
      <c r="S25" s="25" t="s">
        <v>1882</v>
      </c>
    </row>
    <row r="26" spans="1:19" ht="92.1" customHeight="1" x14ac:dyDescent="0.3">
      <c r="A26" s="28">
        <v>21</v>
      </c>
      <c r="B26" s="25" t="s">
        <v>2045</v>
      </c>
      <c r="C26" s="25" t="s">
        <v>2046</v>
      </c>
      <c r="D26" s="25" t="s">
        <v>2047</v>
      </c>
      <c r="E26" s="25" t="s">
        <v>2048</v>
      </c>
      <c r="F26" s="25" t="s">
        <v>2049</v>
      </c>
      <c r="G26" s="25" t="s">
        <v>2050</v>
      </c>
      <c r="H26" s="25" t="s">
        <v>2051</v>
      </c>
      <c r="I26" s="25" t="s">
        <v>2052</v>
      </c>
      <c r="J26" s="25" t="s">
        <v>2053</v>
      </c>
      <c r="K26" s="25" t="s">
        <v>2054</v>
      </c>
      <c r="L26" s="25" t="s">
        <v>2055</v>
      </c>
      <c r="M26" s="25" t="s">
        <v>2056</v>
      </c>
      <c r="N26" s="25" t="s">
        <v>2057</v>
      </c>
      <c r="O26" s="26"/>
      <c r="P26" s="26"/>
      <c r="Q26" s="25" t="s">
        <v>2058</v>
      </c>
      <c r="R26" s="25" t="s">
        <v>2059</v>
      </c>
      <c r="S26" s="25" t="s">
        <v>1882</v>
      </c>
    </row>
    <row r="27" spans="1:19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38.1" customHeight="1" x14ac:dyDescent="0.3">
      <c r="A30" s="72" t="s">
        <v>2060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23"/>
      <c r="N30" s="23"/>
      <c r="O30" s="23"/>
      <c r="P30" s="23"/>
      <c r="Q30" s="23"/>
      <c r="R30" s="23"/>
      <c r="S30" s="23"/>
    </row>
    <row r="31" spans="1:19" ht="33.950000000000003" customHeight="1" x14ac:dyDescent="0.3">
      <c r="A31" s="24" t="s">
        <v>51</v>
      </c>
      <c r="B31" s="24" t="s">
        <v>2061</v>
      </c>
      <c r="C31" s="24" t="s">
        <v>2062</v>
      </c>
      <c r="D31" s="24" t="s">
        <v>2063</v>
      </c>
      <c r="E31" s="24" t="s">
        <v>2064</v>
      </c>
      <c r="F31" s="24" t="s">
        <v>2065</v>
      </c>
      <c r="G31" s="24" t="s">
        <v>2066</v>
      </c>
      <c r="H31" s="24" t="s">
        <v>2067</v>
      </c>
      <c r="I31" s="24" t="s">
        <v>1641</v>
      </c>
      <c r="J31" s="24"/>
      <c r="K31" s="24"/>
      <c r="L31" s="24"/>
      <c r="M31" s="23"/>
      <c r="N31" s="23"/>
      <c r="O31" s="23"/>
      <c r="P31" s="23"/>
      <c r="Q31" s="23"/>
      <c r="R31" s="23"/>
      <c r="S31" s="23"/>
    </row>
    <row r="32" spans="1:19" ht="63.95" customHeight="1" x14ac:dyDescent="0.3">
      <c r="A32" s="28">
        <v>1</v>
      </c>
      <c r="B32" s="25" t="s">
        <v>35</v>
      </c>
      <c r="C32" s="25" t="s">
        <v>2068</v>
      </c>
      <c r="D32" s="25" t="s">
        <v>2069</v>
      </c>
      <c r="E32" s="25" t="s">
        <v>2070</v>
      </c>
      <c r="F32" s="25" t="s">
        <v>2071</v>
      </c>
      <c r="G32" s="25" t="s">
        <v>2072</v>
      </c>
      <c r="H32" s="25" t="s">
        <v>2073</v>
      </c>
      <c r="I32" s="25" t="s">
        <v>1880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63.95" customHeight="1" x14ac:dyDescent="0.3">
      <c r="A33" s="28">
        <v>2</v>
      </c>
      <c r="B33" s="25" t="s">
        <v>35</v>
      </c>
      <c r="C33" s="25" t="s">
        <v>2074</v>
      </c>
      <c r="D33" s="25" t="s">
        <v>2075</v>
      </c>
      <c r="E33" s="25" t="s">
        <v>2076</v>
      </c>
      <c r="F33" s="25" t="s">
        <v>1876</v>
      </c>
      <c r="G33" s="25" t="s">
        <v>2077</v>
      </c>
      <c r="H33" s="25" t="s">
        <v>2073</v>
      </c>
      <c r="I33" s="25" t="s">
        <v>1880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19" ht="63.95" customHeight="1" x14ac:dyDescent="0.3">
      <c r="A34" s="28">
        <v>3</v>
      </c>
      <c r="B34" s="25" t="s">
        <v>35</v>
      </c>
      <c r="C34" s="25" t="s">
        <v>2078</v>
      </c>
      <c r="D34" s="25" t="s">
        <v>2079</v>
      </c>
      <c r="E34" s="25" t="s">
        <v>2070</v>
      </c>
      <c r="F34" s="25" t="s">
        <v>2071</v>
      </c>
      <c r="G34" s="25" t="s">
        <v>2080</v>
      </c>
      <c r="H34" s="25" t="s">
        <v>2081</v>
      </c>
      <c r="I34" s="25" t="s">
        <v>1880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spans="1:19" ht="63.95" customHeight="1" x14ac:dyDescent="0.3">
      <c r="A35" s="28">
        <v>4</v>
      </c>
      <c r="B35" s="25" t="s">
        <v>35</v>
      </c>
      <c r="C35" s="25" t="s">
        <v>2082</v>
      </c>
      <c r="D35" s="25" t="s">
        <v>2083</v>
      </c>
      <c r="E35" s="25" t="s">
        <v>2070</v>
      </c>
      <c r="F35" s="25" t="s">
        <v>2071</v>
      </c>
      <c r="G35" s="25" t="s">
        <v>2084</v>
      </c>
      <c r="H35" s="25" t="s">
        <v>2081</v>
      </c>
      <c r="I35" s="25" t="s">
        <v>1880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63.95" customHeight="1" x14ac:dyDescent="0.3">
      <c r="A36" s="28">
        <v>5</v>
      </c>
      <c r="B36" s="25" t="s">
        <v>35</v>
      </c>
      <c r="C36" s="25" t="s">
        <v>2085</v>
      </c>
      <c r="D36" s="25" t="s">
        <v>2086</v>
      </c>
      <c r="E36" s="25" t="s">
        <v>2087</v>
      </c>
      <c r="F36" s="25" t="s">
        <v>2088</v>
      </c>
      <c r="G36" s="25" t="s">
        <v>2089</v>
      </c>
      <c r="H36" s="25" t="s">
        <v>2081</v>
      </c>
      <c r="I36" s="25" t="s">
        <v>1880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63.95" customHeight="1" x14ac:dyDescent="0.3">
      <c r="A37" s="28">
        <v>6</v>
      </c>
      <c r="B37" s="25" t="s">
        <v>35</v>
      </c>
      <c r="C37" s="25" t="s">
        <v>2090</v>
      </c>
      <c r="D37" s="25" t="s">
        <v>2091</v>
      </c>
      <c r="E37" s="25" t="s">
        <v>2092</v>
      </c>
      <c r="F37" s="25" t="s">
        <v>2071</v>
      </c>
      <c r="G37" s="25" t="s">
        <v>2093</v>
      </c>
      <c r="H37" s="25" t="s">
        <v>2094</v>
      </c>
      <c r="I37" s="25" t="s">
        <v>2095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63.95" customHeight="1" x14ac:dyDescent="0.3">
      <c r="A38" s="28">
        <v>7</v>
      </c>
      <c r="B38" s="25" t="s">
        <v>35</v>
      </c>
      <c r="C38" s="25" t="s">
        <v>2096</v>
      </c>
      <c r="D38" s="25" t="s">
        <v>2023</v>
      </c>
      <c r="E38" s="25" t="s">
        <v>2097</v>
      </c>
      <c r="F38" s="25" t="s">
        <v>2098</v>
      </c>
      <c r="G38" s="25" t="s">
        <v>2099</v>
      </c>
      <c r="H38" s="25" t="s">
        <v>2100</v>
      </c>
      <c r="I38" s="25" t="s">
        <v>2033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63.95" customHeight="1" x14ac:dyDescent="0.3">
      <c r="A39" s="28">
        <v>8</v>
      </c>
      <c r="B39" s="25" t="s">
        <v>2101</v>
      </c>
      <c r="C39" s="25" t="s">
        <v>2102</v>
      </c>
      <c r="D39" s="25" t="s">
        <v>2103</v>
      </c>
      <c r="E39" s="25" t="s">
        <v>2104</v>
      </c>
      <c r="F39" s="25" t="s">
        <v>2105</v>
      </c>
      <c r="G39" s="25" t="s">
        <v>2106</v>
      </c>
      <c r="H39" s="25" t="s">
        <v>2107</v>
      </c>
      <c r="I39" s="25" t="s">
        <v>2108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63.95" customHeight="1" x14ac:dyDescent="0.3">
      <c r="A40" s="28">
        <v>9</v>
      </c>
      <c r="B40" s="25" t="s">
        <v>2101</v>
      </c>
      <c r="C40" s="25" t="s">
        <v>2102</v>
      </c>
      <c r="D40" s="25" t="s">
        <v>2109</v>
      </c>
      <c r="E40" s="25" t="s">
        <v>2104</v>
      </c>
      <c r="F40" s="25" t="s">
        <v>2110</v>
      </c>
      <c r="G40" s="25" t="s">
        <v>2111</v>
      </c>
      <c r="H40" s="25" t="s">
        <v>2107</v>
      </c>
      <c r="I40" s="25" t="s">
        <v>2108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63.95" customHeight="1" x14ac:dyDescent="0.3">
      <c r="A41" s="28">
        <v>10</v>
      </c>
      <c r="B41" s="25" t="s">
        <v>2101</v>
      </c>
      <c r="C41" s="25" t="s">
        <v>2112</v>
      </c>
      <c r="D41" s="25" t="s">
        <v>2113</v>
      </c>
      <c r="E41" s="25" t="s">
        <v>2104</v>
      </c>
      <c r="F41" s="25" t="s">
        <v>2114</v>
      </c>
      <c r="G41" s="25" t="s">
        <v>2115</v>
      </c>
      <c r="H41" s="25" t="s">
        <v>2107</v>
      </c>
      <c r="I41" s="25" t="s">
        <v>2108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63.95" customHeight="1" x14ac:dyDescent="0.3">
      <c r="A42" s="28">
        <v>11</v>
      </c>
      <c r="B42" s="25" t="s">
        <v>2101</v>
      </c>
      <c r="C42" s="25" t="s">
        <v>2102</v>
      </c>
      <c r="D42" s="25" t="s">
        <v>2116</v>
      </c>
      <c r="E42" s="25" t="s">
        <v>2104</v>
      </c>
      <c r="F42" s="25" t="s">
        <v>2117</v>
      </c>
      <c r="G42" s="25" t="s">
        <v>2118</v>
      </c>
      <c r="H42" s="25" t="s">
        <v>2119</v>
      </c>
      <c r="I42" s="25" t="s">
        <v>2108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1:19" ht="63.95" customHeight="1" x14ac:dyDescent="0.3">
      <c r="A43" s="28">
        <v>12</v>
      </c>
      <c r="B43" s="25" t="s">
        <v>2101</v>
      </c>
      <c r="C43" s="25" t="s">
        <v>2102</v>
      </c>
      <c r="D43" s="25" t="s">
        <v>2120</v>
      </c>
      <c r="E43" s="25" t="s">
        <v>2104</v>
      </c>
      <c r="F43" s="25" t="s">
        <v>2121</v>
      </c>
      <c r="G43" s="25" t="s">
        <v>2122</v>
      </c>
      <c r="H43" s="25" t="s">
        <v>2119</v>
      </c>
      <c r="I43" s="25" t="s">
        <v>2108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63.95" customHeight="1" x14ac:dyDescent="0.3">
      <c r="A44" s="28">
        <v>13</v>
      </c>
      <c r="B44" s="25" t="s">
        <v>2101</v>
      </c>
      <c r="C44" s="25" t="s">
        <v>2102</v>
      </c>
      <c r="D44" s="25" t="s">
        <v>2123</v>
      </c>
      <c r="E44" s="25" t="s">
        <v>2124</v>
      </c>
      <c r="F44" s="25" t="s">
        <v>2125</v>
      </c>
      <c r="G44" s="25" t="s">
        <v>2126</v>
      </c>
      <c r="H44" s="25" t="s">
        <v>2119</v>
      </c>
      <c r="I44" s="25" t="s">
        <v>2108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1:19" ht="63.95" customHeight="1" x14ac:dyDescent="0.3">
      <c r="A45" s="28">
        <v>14</v>
      </c>
      <c r="B45" s="25" t="s">
        <v>2101</v>
      </c>
      <c r="C45" s="25" t="s">
        <v>2102</v>
      </c>
      <c r="D45" s="25" t="s">
        <v>2127</v>
      </c>
      <c r="E45" s="25" t="s">
        <v>2128</v>
      </c>
      <c r="F45" s="25" t="s">
        <v>2129</v>
      </c>
      <c r="G45" s="25" t="s">
        <v>2130</v>
      </c>
      <c r="H45" s="25" t="s">
        <v>2131</v>
      </c>
      <c r="I45" s="25" t="s">
        <v>2108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spans="1:19" ht="63.95" customHeight="1" x14ac:dyDescent="0.3">
      <c r="A46" s="28">
        <v>15</v>
      </c>
      <c r="B46" s="25" t="s">
        <v>2101</v>
      </c>
      <c r="C46" s="25" t="s">
        <v>2132</v>
      </c>
      <c r="D46" s="25" t="s">
        <v>2133</v>
      </c>
      <c r="E46" s="25" t="s">
        <v>2134</v>
      </c>
      <c r="F46" s="25" t="s">
        <v>2135</v>
      </c>
      <c r="G46" s="25" t="s">
        <v>2136</v>
      </c>
      <c r="H46" s="25" t="s">
        <v>2131</v>
      </c>
      <c r="I46" s="25" t="s">
        <v>2108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spans="1:19" ht="63.95" customHeight="1" x14ac:dyDescent="0.3">
      <c r="A47" s="28">
        <v>16</v>
      </c>
      <c r="B47" s="25" t="s">
        <v>2101</v>
      </c>
      <c r="C47" s="25" t="s">
        <v>2137</v>
      </c>
      <c r="D47" s="25" t="s">
        <v>2138</v>
      </c>
      <c r="E47" s="25" t="s">
        <v>2139</v>
      </c>
      <c r="F47" s="25" t="s">
        <v>2140</v>
      </c>
      <c r="G47" s="25" t="s">
        <v>2141</v>
      </c>
      <c r="H47" s="25" t="s">
        <v>2142</v>
      </c>
      <c r="I47" s="25" t="s">
        <v>2108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spans="1:19" ht="63.95" customHeight="1" x14ac:dyDescent="0.3">
      <c r="A48" s="28">
        <v>17</v>
      </c>
      <c r="B48" s="25" t="s">
        <v>2101</v>
      </c>
      <c r="C48" s="25" t="s">
        <v>2143</v>
      </c>
      <c r="D48" s="25" t="s">
        <v>2144</v>
      </c>
      <c r="E48" s="25" t="s">
        <v>2139</v>
      </c>
      <c r="F48" s="25" t="s">
        <v>2145</v>
      </c>
      <c r="G48" s="25" t="s">
        <v>2146</v>
      </c>
      <c r="H48" s="25" t="s">
        <v>2147</v>
      </c>
      <c r="I48" s="25" t="s">
        <v>2108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pans="1:19" ht="63.95" customHeight="1" x14ac:dyDescent="0.3">
      <c r="A49" s="28">
        <v>18</v>
      </c>
      <c r="B49" s="25" t="s">
        <v>2148</v>
      </c>
      <c r="C49" s="25" t="s">
        <v>2149</v>
      </c>
      <c r="D49" s="25" t="s">
        <v>2150</v>
      </c>
      <c r="E49" s="25" t="s">
        <v>2151</v>
      </c>
      <c r="F49" s="25" t="s">
        <v>2152</v>
      </c>
      <c r="G49" s="25" t="s">
        <v>2153</v>
      </c>
      <c r="H49" s="25" t="s">
        <v>2154</v>
      </c>
      <c r="I49" s="25" t="s">
        <v>2155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spans="1:19" ht="63.95" customHeight="1" x14ac:dyDescent="0.3">
      <c r="A50" s="28">
        <v>19</v>
      </c>
      <c r="B50" s="25" t="s">
        <v>2148</v>
      </c>
      <c r="C50" s="25" t="s">
        <v>2156</v>
      </c>
      <c r="D50" s="25" t="s">
        <v>2157</v>
      </c>
      <c r="E50" s="25" t="s">
        <v>2104</v>
      </c>
      <c r="F50" s="25" t="s">
        <v>2158</v>
      </c>
      <c r="G50" s="25" t="s">
        <v>2159</v>
      </c>
      <c r="H50" s="25" t="s">
        <v>2160</v>
      </c>
      <c r="I50" s="25" t="s">
        <v>2155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spans="1:19" ht="63.95" customHeight="1" x14ac:dyDescent="0.3">
      <c r="A51" s="28">
        <v>20</v>
      </c>
      <c r="B51" s="25" t="s">
        <v>2148</v>
      </c>
      <c r="C51" s="25" t="s">
        <v>2161</v>
      </c>
      <c r="D51" s="25" t="s">
        <v>2162</v>
      </c>
      <c r="E51" s="25" t="s">
        <v>2163</v>
      </c>
      <c r="F51" s="25" t="s">
        <v>2164</v>
      </c>
      <c r="G51" s="25" t="s">
        <v>2165</v>
      </c>
      <c r="H51" s="25" t="s">
        <v>2166</v>
      </c>
      <c r="I51" s="25" t="s">
        <v>2155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19" ht="63.95" customHeight="1" x14ac:dyDescent="0.3">
      <c r="A52" s="28">
        <v>21</v>
      </c>
      <c r="B52" s="25" t="s">
        <v>2148</v>
      </c>
      <c r="C52" s="25" t="s">
        <v>2167</v>
      </c>
      <c r="D52" s="25" t="s">
        <v>2162</v>
      </c>
      <c r="E52" s="25" t="s">
        <v>2168</v>
      </c>
      <c r="F52" s="25" t="s">
        <v>2169</v>
      </c>
      <c r="G52" s="25" t="s">
        <v>2170</v>
      </c>
      <c r="H52" s="25" t="s">
        <v>2171</v>
      </c>
      <c r="I52" s="25" t="s">
        <v>2155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spans="1:19" ht="63.95" customHeight="1" x14ac:dyDescent="0.3">
      <c r="A53" s="28">
        <v>22</v>
      </c>
      <c r="B53" s="25" t="s">
        <v>2148</v>
      </c>
      <c r="C53" s="25" t="s">
        <v>2172</v>
      </c>
      <c r="D53" s="25" t="s">
        <v>2173</v>
      </c>
      <c r="E53" s="25" t="s">
        <v>2174</v>
      </c>
      <c r="F53" s="25" t="s">
        <v>2175</v>
      </c>
      <c r="G53" s="25" t="s">
        <v>2176</v>
      </c>
      <c r="H53" s="25" t="s">
        <v>2177</v>
      </c>
      <c r="I53" s="25" t="s">
        <v>2155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spans="1:19" ht="63.95" customHeight="1" x14ac:dyDescent="0.3">
      <c r="A54" s="28">
        <v>23</v>
      </c>
      <c r="B54" s="25" t="s">
        <v>2148</v>
      </c>
      <c r="C54" s="25" t="s">
        <v>2178</v>
      </c>
      <c r="D54" s="25" t="s">
        <v>2173</v>
      </c>
      <c r="E54" s="25" t="s">
        <v>2104</v>
      </c>
      <c r="F54" s="25" t="s">
        <v>2179</v>
      </c>
      <c r="G54" s="25" t="s">
        <v>2180</v>
      </c>
      <c r="H54" s="25" t="s">
        <v>2177</v>
      </c>
      <c r="I54" s="25" t="s">
        <v>2155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spans="1:19" ht="63.95" customHeight="1" x14ac:dyDescent="0.3">
      <c r="A55" s="28">
        <v>24</v>
      </c>
      <c r="B55" s="25" t="s">
        <v>2148</v>
      </c>
      <c r="C55" s="25" t="s">
        <v>2181</v>
      </c>
      <c r="D55" s="25" t="s">
        <v>2182</v>
      </c>
      <c r="E55" s="25" t="s">
        <v>2174</v>
      </c>
      <c r="F55" s="25" t="s">
        <v>2183</v>
      </c>
      <c r="G55" s="25" t="s">
        <v>2184</v>
      </c>
      <c r="H55" s="25" t="s">
        <v>2185</v>
      </c>
      <c r="I55" s="25" t="s">
        <v>2155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63.95" customHeight="1" x14ac:dyDescent="0.3">
      <c r="A56" s="28">
        <v>25</v>
      </c>
      <c r="B56" s="25" t="s">
        <v>2148</v>
      </c>
      <c r="C56" s="25" t="s">
        <v>2186</v>
      </c>
      <c r="D56" s="25" t="s">
        <v>2182</v>
      </c>
      <c r="E56" s="25" t="s">
        <v>2187</v>
      </c>
      <c r="F56" s="25" t="s">
        <v>2188</v>
      </c>
      <c r="G56" s="25" t="s">
        <v>2189</v>
      </c>
      <c r="H56" s="25" t="s">
        <v>2190</v>
      </c>
      <c r="I56" s="25" t="s">
        <v>2155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spans="1:19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1:19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spans="1:19" ht="18" x14ac:dyDescent="0.3">
      <c r="A59" s="72" t="s">
        <v>2191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23"/>
      <c r="N59" s="23"/>
      <c r="O59" s="23"/>
      <c r="P59" s="23"/>
      <c r="Q59" s="23"/>
      <c r="R59" s="23"/>
      <c r="S59" s="23"/>
    </row>
    <row r="60" spans="1:19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1:19" ht="33.950000000000003" customHeight="1" x14ac:dyDescent="0.3">
      <c r="A61" s="70" t="s">
        <v>2192</v>
      </c>
      <c r="B61" s="70"/>
      <c r="C61" s="70"/>
      <c r="D61" s="71" t="s">
        <v>2193</v>
      </c>
      <c r="E61" s="71"/>
      <c r="F61" s="71"/>
      <c r="G61" s="71"/>
      <c r="H61" s="71"/>
      <c r="I61" s="71"/>
      <c r="J61" s="71"/>
      <c r="K61" s="71"/>
      <c r="L61" s="71"/>
      <c r="M61" s="23"/>
      <c r="N61" s="23"/>
      <c r="O61" s="23"/>
      <c r="P61" s="23"/>
      <c r="Q61" s="23"/>
      <c r="R61" s="23"/>
      <c r="S61" s="23"/>
    </row>
    <row r="62" spans="1:19" ht="33.950000000000003" customHeight="1" x14ac:dyDescent="0.3">
      <c r="A62" s="70" t="s">
        <v>2194</v>
      </c>
      <c r="B62" s="70"/>
      <c r="C62" s="70"/>
      <c r="D62" s="71" t="s">
        <v>2195</v>
      </c>
      <c r="E62" s="71"/>
      <c r="F62" s="71"/>
      <c r="G62" s="71"/>
      <c r="H62" s="71"/>
      <c r="I62" s="71"/>
      <c r="J62" s="71"/>
      <c r="K62" s="71"/>
      <c r="L62" s="71"/>
      <c r="M62" s="23"/>
      <c r="N62" s="23"/>
      <c r="O62" s="23"/>
      <c r="P62" s="23"/>
      <c r="Q62" s="23"/>
      <c r="R62" s="23"/>
      <c r="S62" s="23"/>
    </row>
    <row r="63" spans="1:19" ht="33.950000000000003" customHeight="1" x14ac:dyDescent="0.3">
      <c r="A63" s="70" t="s">
        <v>2196</v>
      </c>
      <c r="B63" s="70"/>
      <c r="C63" s="70"/>
      <c r="D63" s="71" t="s">
        <v>2197</v>
      </c>
      <c r="E63" s="71"/>
      <c r="F63" s="71"/>
      <c r="G63" s="71"/>
      <c r="H63" s="71"/>
      <c r="I63" s="71"/>
      <c r="J63" s="71"/>
      <c r="K63" s="71"/>
      <c r="L63" s="71"/>
      <c r="M63" s="23"/>
      <c r="N63" s="23"/>
      <c r="O63" s="23"/>
      <c r="P63" s="23"/>
      <c r="Q63" s="23"/>
      <c r="R63" s="23"/>
      <c r="S63" s="23"/>
    </row>
    <row r="64" spans="1:19" ht="33.950000000000003" customHeight="1" x14ac:dyDescent="0.3">
      <c r="A64" s="70" t="s">
        <v>2198</v>
      </c>
      <c r="B64" s="70"/>
      <c r="C64" s="70"/>
      <c r="D64" s="71" t="s">
        <v>2199</v>
      </c>
      <c r="E64" s="71"/>
      <c r="F64" s="71"/>
      <c r="G64" s="71"/>
      <c r="H64" s="71"/>
      <c r="I64" s="71"/>
      <c r="J64" s="71"/>
      <c r="K64" s="71"/>
      <c r="L64" s="71"/>
      <c r="M64" s="23"/>
      <c r="N64" s="23"/>
      <c r="O64" s="23"/>
      <c r="P64" s="23"/>
      <c r="Q64" s="23"/>
      <c r="R64" s="23"/>
      <c r="S64" s="23"/>
    </row>
    <row r="65" spans="1:19" ht="33.950000000000003" customHeight="1" x14ac:dyDescent="0.3">
      <c r="A65" s="70" t="s">
        <v>2200</v>
      </c>
      <c r="B65" s="70"/>
      <c r="C65" s="70"/>
      <c r="D65" s="71" t="s">
        <v>2201</v>
      </c>
      <c r="E65" s="71"/>
      <c r="F65" s="71"/>
      <c r="G65" s="71"/>
      <c r="H65" s="71"/>
      <c r="I65" s="71"/>
      <c r="J65" s="71"/>
      <c r="K65" s="71"/>
      <c r="L65" s="71"/>
      <c r="M65" s="23"/>
      <c r="N65" s="23"/>
      <c r="O65" s="23"/>
      <c r="P65" s="23"/>
      <c r="Q65" s="23"/>
      <c r="R65" s="23"/>
      <c r="S65" s="23"/>
    </row>
    <row r="66" spans="1:19" ht="33.950000000000003" customHeight="1" x14ac:dyDescent="0.3">
      <c r="A66" s="70" t="s">
        <v>2202</v>
      </c>
      <c r="B66" s="70"/>
      <c r="C66" s="70"/>
      <c r="D66" s="71" t="s">
        <v>2203</v>
      </c>
      <c r="E66" s="71"/>
      <c r="F66" s="71"/>
      <c r="G66" s="71"/>
      <c r="H66" s="71"/>
      <c r="I66" s="71"/>
      <c r="J66" s="71"/>
      <c r="K66" s="71"/>
      <c r="L66" s="71"/>
      <c r="M66" s="23"/>
      <c r="N66" s="23"/>
      <c r="O66" s="23"/>
      <c r="P66" s="23"/>
      <c r="Q66" s="23"/>
      <c r="R66" s="23"/>
      <c r="S66" s="23"/>
    </row>
    <row r="67" spans="1:19" ht="33.950000000000003" customHeight="1" x14ac:dyDescent="0.3">
      <c r="A67" s="70" t="s">
        <v>2204</v>
      </c>
      <c r="B67" s="70"/>
      <c r="C67" s="70"/>
      <c r="D67" s="71" t="s">
        <v>2205</v>
      </c>
      <c r="E67" s="71"/>
      <c r="F67" s="71"/>
      <c r="G67" s="71"/>
      <c r="H67" s="71"/>
      <c r="I67" s="71"/>
      <c r="J67" s="71"/>
      <c r="K67" s="71"/>
      <c r="L67" s="71"/>
      <c r="M67" s="23"/>
      <c r="N67" s="23"/>
      <c r="O67" s="23"/>
      <c r="P67" s="23"/>
      <c r="Q67" s="23"/>
      <c r="R67" s="23"/>
      <c r="S67" s="23"/>
    </row>
    <row r="68" spans="1:19" ht="33.950000000000003" customHeight="1" x14ac:dyDescent="0.3">
      <c r="A68" s="70" t="s">
        <v>2206</v>
      </c>
      <c r="B68" s="70"/>
      <c r="C68" s="70"/>
      <c r="D68" s="71" t="s">
        <v>2207</v>
      </c>
      <c r="E68" s="71"/>
      <c r="F68" s="71"/>
      <c r="G68" s="71"/>
      <c r="H68" s="71"/>
      <c r="I68" s="71"/>
      <c r="J68" s="71"/>
      <c r="K68" s="71"/>
      <c r="L68" s="71"/>
      <c r="M68" s="23"/>
      <c r="N68" s="23"/>
      <c r="O68" s="23"/>
      <c r="P68" s="23"/>
      <c r="Q68" s="23"/>
      <c r="R68" s="23"/>
      <c r="S68" s="23"/>
    </row>
    <row r="69" spans="1:19" ht="33.950000000000003" customHeight="1" x14ac:dyDescent="0.3">
      <c r="A69" s="70" t="s">
        <v>2208</v>
      </c>
      <c r="B69" s="70"/>
      <c r="C69" s="70"/>
      <c r="D69" s="71" t="s">
        <v>2209</v>
      </c>
      <c r="E69" s="71"/>
      <c r="F69" s="71"/>
      <c r="G69" s="71"/>
      <c r="H69" s="71"/>
      <c r="I69" s="71"/>
      <c r="J69" s="71"/>
      <c r="K69" s="71"/>
      <c r="L69" s="71"/>
      <c r="M69" s="23"/>
      <c r="N69" s="23"/>
      <c r="O69" s="23"/>
      <c r="P69" s="23"/>
      <c r="Q69" s="23"/>
      <c r="R69" s="23"/>
      <c r="S69" s="23"/>
    </row>
    <row r="70" spans="1:19" ht="33.950000000000003" customHeight="1" x14ac:dyDescent="0.3">
      <c r="A70" s="70" t="s">
        <v>2210</v>
      </c>
      <c r="B70" s="70"/>
      <c r="C70" s="70"/>
      <c r="D70" s="71" t="s">
        <v>2211</v>
      </c>
      <c r="E70" s="71"/>
      <c r="F70" s="71"/>
      <c r="G70" s="71"/>
      <c r="H70" s="71"/>
      <c r="I70" s="71"/>
      <c r="J70" s="71"/>
      <c r="K70" s="71"/>
      <c r="L70" s="71"/>
      <c r="M70" s="23"/>
      <c r="N70" s="23"/>
      <c r="O70" s="23"/>
      <c r="P70" s="23"/>
      <c r="Q70" s="23"/>
      <c r="R70" s="23"/>
      <c r="S70" s="23"/>
    </row>
    <row r="71" spans="1:19" ht="33.950000000000003" customHeight="1" x14ac:dyDescent="0.3">
      <c r="A71" s="70" t="s">
        <v>2212</v>
      </c>
      <c r="B71" s="70"/>
      <c r="C71" s="70"/>
      <c r="D71" s="71" t="s">
        <v>2213</v>
      </c>
      <c r="E71" s="71"/>
      <c r="F71" s="71"/>
      <c r="G71" s="71"/>
      <c r="H71" s="71"/>
      <c r="I71" s="71"/>
      <c r="J71" s="71"/>
      <c r="K71" s="71"/>
      <c r="L71" s="71"/>
      <c r="M71" s="23"/>
      <c r="N71" s="23"/>
      <c r="O71" s="23"/>
      <c r="P71" s="23"/>
      <c r="Q71" s="23"/>
      <c r="R71" s="23"/>
      <c r="S71" s="23"/>
    </row>
    <row r="72" spans="1:19" ht="33.950000000000003" customHeight="1" x14ac:dyDescent="0.3">
      <c r="A72" s="70" t="s">
        <v>2214</v>
      </c>
      <c r="B72" s="70"/>
      <c r="C72" s="70"/>
      <c r="D72" s="71" t="s">
        <v>2215</v>
      </c>
      <c r="E72" s="71"/>
      <c r="F72" s="71"/>
      <c r="G72" s="71"/>
      <c r="H72" s="71"/>
      <c r="I72" s="71"/>
      <c r="J72" s="71"/>
      <c r="K72" s="71"/>
      <c r="L72" s="71"/>
      <c r="M72" s="23"/>
      <c r="N72" s="23"/>
      <c r="O72" s="23"/>
      <c r="P72" s="23"/>
      <c r="Q72" s="23"/>
      <c r="R72" s="23"/>
      <c r="S72" s="23"/>
    </row>
    <row r="73" spans="1:19" ht="33.950000000000003" customHeight="1" x14ac:dyDescent="0.3">
      <c r="A73" s="70" t="s">
        <v>2216</v>
      </c>
      <c r="B73" s="70"/>
      <c r="C73" s="70"/>
      <c r="D73" s="71" t="s">
        <v>2217</v>
      </c>
      <c r="E73" s="71"/>
      <c r="F73" s="71"/>
      <c r="G73" s="71"/>
      <c r="H73" s="71"/>
      <c r="I73" s="71"/>
      <c r="J73" s="71"/>
      <c r="K73" s="71"/>
      <c r="L73" s="71"/>
      <c r="M73" s="23"/>
      <c r="N73" s="23"/>
      <c r="O73" s="23"/>
      <c r="P73" s="23"/>
      <c r="Q73" s="23"/>
      <c r="R73" s="23"/>
      <c r="S73" s="23"/>
    </row>
    <row r="74" spans="1:19" ht="33.950000000000003" customHeight="1" x14ac:dyDescent="0.3">
      <c r="A74" s="70" t="s">
        <v>2218</v>
      </c>
      <c r="B74" s="70"/>
      <c r="C74" s="70"/>
      <c r="D74" s="71" t="s">
        <v>2219</v>
      </c>
      <c r="E74" s="71"/>
      <c r="F74" s="71"/>
      <c r="G74" s="71"/>
      <c r="H74" s="71"/>
      <c r="I74" s="71"/>
      <c r="J74" s="71"/>
      <c r="K74" s="71"/>
      <c r="L74" s="71"/>
      <c r="M74" s="23"/>
      <c r="N74" s="23"/>
      <c r="O74" s="23"/>
      <c r="P74" s="23"/>
      <c r="Q74" s="23"/>
      <c r="R74" s="23"/>
      <c r="S74" s="23"/>
    </row>
    <row r="75" spans="1:19" ht="33.950000000000003" customHeight="1" x14ac:dyDescent="0.3">
      <c r="A75" s="70" t="s">
        <v>2220</v>
      </c>
      <c r="B75" s="70"/>
      <c r="C75" s="70"/>
      <c r="D75" s="71" t="s">
        <v>2221</v>
      </c>
      <c r="E75" s="71"/>
      <c r="F75" s="71"/>
      <c r="G75" s="71"/>
      <c r="H75" s="71"/>
      <c r="I75" s="71"/>
      <c r="J75" s="71"/>
      <c r="K75" s="71"/>
      <c r="L75" s="71"/>
      <c r="M75" s="23"/>
      <c r="N75" s="23"/>
      <c r="O75" s="23"/>
      <c r="P75" s="23"/>
      <c r="Q75" s="23"/>
      <c r="R75" s="23"/>
      <c r="S75" s="23"/>
    </row>
    <row r="76" spans="1:19" ht="33.950000000000003" customHeight="1" x14ac:dyDescent="0.3">
      <c r="A76" s="70" t="s">
        <v>2222</v>
      </c>
      <c r="B76" s="70"/>
      <c r="C76" s="70"/>
      <c r="D76" s="71" t="s">
        <v>2223</v>
      </c>
      <c r="E76" s="71"/>
      <c r="F76" s="71"/>
      <c r="G76" s="71"/>
      <c r="H76" s="71"/>
      <c r="I76" s="71"/>
      <c r="J76" s="71"/>
      <c r="K76" s="71"/>
      <c r="L76" s="71"/>
      <c r="M76" s="23"/>
      <c r="N76" s="23"/>
      <c r="O76" s="23"/>
      <c r="P76" s="23"/>
      <c r="Q76" s="23"/>
      <c r="R76" s="23"/>
      <c r="S76" s="23"/>
    </row>
    <row r="77" spans="1:19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1:19" ht="18" x14ac:dyDescent="0.3">
      <c r="A79" s="72" t="s">
        <v>2224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23"/>
      <c r="N79" s="23"/>
      <c r="O79" s="23"/>
      <c r="P79" s="23"/>
      <c r="Q79" s="23"/>
      <c r="R79" s="23"/>
      <c r="S79" s="23"/>
    </row>
    <row r="80" spans="1:19" ht="33.950000000000003" customHeight="1" x14ac:dyDescent="0.3">
      <c r="A80" s="24" t="s">
        <v>2225</v>
      </c>
      <c r="B80" s="24" t="s">
        <v>2061</v>
      </c>
      <c r="C80" s="24" t="s">
        <v>2226</v>
      </c>
      <c r="D80" s="24" t="s">
        <v>2227</v>
      </c>
      <c r="E80" s="24" t="s">
        <v>2228</v>
      </c>
      <c r="F80" s="24" t="s">
        <v>2229</v>
      </c>
      <c r="G80" s="24"/>
      <c r="H80" s="24"/>
      <c r="I80" s="24"/>
      <c r="J80" s="24" t="s">
        <v>1641</v>
      </c>
      <c r="K80" s="24"/>
      <c r="L80" s="24" t="s">
        <v>2230</v>
      </c>
      <c r="M80" s="23"/>
      <c r="N80" s="23"/>
      <c r="O80" s="23"/>
      <c r="P80" s="23"/>
      <c r="Q80" s="23"/>
      <c r="R80" s="23"/>
      <c r="S80" s="23"/>
    </row>
    <row r="81" spans="1:19" ht="51.95" customHeight="1" x14ac:dyDescent="0.3">
      <c r="A81" s="25" t="s">
        <v>2231</v>
      </c>
      <c r="B81" s="25" t="s">
        <v>2232</v>
      </c>
      <c r="C81" s="25" t="s">
        <v>2233</v>
      </c>
      <c r="D81" s="25" t="s">
        <v>2234</v>
      </c>
      <c r="E81" s="25" t="s">
        <v>2235</v>
      </c>
      <c r="F81" s="69" t="s">
        <v>2236</v>
      </c>
      <c r="G81" s="69"/>
      <c r="H81" s="69"/>
      <c r="I81" s="69"/>
      <c r="J81" s="69" t="s">
        <v>1880</v>
      </c>
      <c r="K81" s="69"/>
      <c r="L81" s="27">
        <v>46296</v>
      </c>
      <c r="M81" s="23"/>
      <c r="N81" s="23"/>
      <c r="O81" s="23"/>
      <c r="P81" s="23"/>
      <c r="Q81" s="23"/>
      <c r="R81" s="23"/>
      <c r="S81" s="23"/>
    </row>
    <row r="82" spans="1:19" ht="51.95" customHeight="1" x14ac:dyDescent="0.3">
      <c r="A82" s="25" t="s">
        <v>2237</v>
      </c>
      <c r="B82" s="25" t="s">
        <v>2232</v>
      </c>
      <c r="C82" s="25" t="s">
        <v>2238</v>
      </c>
      <c r="D82" s="25" t="s">
        <v>2239</v>
      </c>
      <c r="E82" s="25" t="s">
        <v>2240</v>
      </c>
      <c r="F82" s="69" t="s">
        <v>2241</v>
      </c>
      <c r="G82" s="69"/>
      <c r="H82" s="69"/>
      <c r="I82" s="69"/>
      <c r="J82" s="69" t="s">
        <v>2058</v>
      </c>
      <c r="K82" s="69"/>
      <c r="L82" s="27">
        <v>46296</v>
      </c>
      <c r="M82" s="23"/>
      <c r="N82" s="23"/>
      <c r="O82" s="23"/>
      <c r="P82" s="23"/>
      <c r="Q82" s="23"/>
      <c r="R82" s="23"/>
      <c r="S82" s="23"/>
    </row>
    <row r="83" spans="1:19" ht="51.95" customHeight="1" x14ac:dyDescent="0.3">
      <c r="A83" s="25" t="s">
        <v>2242</v>
      </c>
      <c r="B83" s="25" t="s">
        <v>2232</v>
      </c>
      <c r="C83" s="25" t="s">
        <v>2243</v>
      </c>
      <c r="D83" s="25" t="s">
        <v>2244</v>
      </c>
      <c r="E83" s="25" t="s">
        <v>2245</v>
      </c>
      <c r="F83" s="69" t="s">
        <v>2246</v>
      </c>
      <c r="G83" s="69"/>
      <c r="H83" s="69"/>
      <c r="I83" s="69"/>
      <c r="J83" s="69" t="s">
        <v>2033</v>
      </c>
      <c r="K83" s="69"/>
      <c r="L83" s="27">
        <v>46296</v>
      </c>
      <c r="M83" s="23"/>
      <c r="N83" s="23"/>
      <c r="O83" s="23"/>
      <c r="P83" s="23"/>
      <c r="Q83" s="23"/>
      <c r="R83" s="23"/>
      <c r="S83" s="23"/>
    </row>
    <row r="84" spans="1:19" ht="51.95" customHeight="1" x14ac:dyDescent="0.3">
      <c r="A84" s="25" t="s">
        <v>2247</v>
      </c>
      <c r="B84" s="25" t="s">
        <v>2232</v>
      </c>
      <c r="C84" s="25" t="s">
        <v>2248</v>
      </c>
      <c r="D84" s="25" t="s">
        <v>2249</v>
      </c>
      <c r="E84" s="25" t="s">
        <v>2250</v>
      </c>
      <c r="F84" s="69" t="s">
        <v>2251</v>
      </c>
      <c r="G84" s="69"/>
      <c r="H84" s="69"/>
      <c r="I84" s="69"/>
      <c r="J84" s="69" t="s">
        <v>2252</v>
      </c>
      <c r="K84" s="69"/>
      <c r="L84" s="27">
        <v>46296</v>
      </c>
      <c r="M84" s="23"/>
      <c r="N84" s="23"/>
      <c r="O84" s="23"/>
      <c r="P84" s="23"/>
      <c r="Q84" s="23"/>
      <c r="R84" s="23"/>
      <c r="S84" s="23"/>
    </row>
    <row r="85" spans="1:19" ht="51.95" customHeight="1" x14ac:dyDescent="0.3">
      <c r="A85" s="25" t="s">
        <v>2253</v>
      </c>
      <c r="B85" s="25" t="s">
        <v>2232</v>
      </c>
      <c r="C85" s="25" t="s">
        <v>2254</v>
      </c>
      <c r="D85" s="25" t="s">
        <v>2249</v>
      </c>
      <c r="E85" s="25" t="s">
        <v>2255</v>
      </c>
      <c r="F85" s="69" t="s">
        <v>2256</v>
      </c>
      <c r="G85" s="69"/>
      <c r="H85" s="69"/>
      <c r="I85" s="69"/>
      <c r="J85" s="69" t="s">
        <v>2095</v>
      </c>
      <c r="K85" s="69"/>
      <c r="L85" s="27">
        <v>46296</v>
      </c>
      <c r="M85" s="23"/>
      <c r="N85" s="23"/>
      <c r="O85" s="23"/>
      <c r="P85" s="23"/>
      <c r="Q85" s="23"/>
      <c r="R85" s="23"/>
      <c r="S85" s="23"/>
    </row>
    <row r="86" spans="1:19" ht="51.95" customHeight="1" x14ac:dyDescent="0.3">
      <c r="A86" s="25" t="s">
        <v>2257</v>
      </c>
      <c r="B86" s="25" t="s">
        <v>2232</v>
      </c>
      <c r="C86" s="25" t="s">
        <v>2258</v>
      </c>
      <c r="D86" s="25" t="s">
        <v>2249</v>
      </c>
      <c r="E86" s="25" t="s">
        <v>2259</v>
      </c>
      <c r="F86" s="69" t="s">
        <v>2260</v>
      </c>
      <c r="G86" s="69"/>
      <c r="H86" s="69"/>
      <c r="I86" s="69"/>
      <c r="J86" s="69" t="s">
        <v>1990</v>
      </c>
      <c r="K86" s="69"/>
      <c r="L86" s="27">
        <v>46296</v>
      </c>
      <c r="M86" s="23"/>
      <c r="N86" s="23"/>
      <c r="O86" s="23"/>
      <c r="P86" s="23"/>
      <c r="Q86" s="23"/>
      <c r="R86" s="23"/>
      <c r="S86" s="23"/>
    </row>
    <row r="87" spans="1:19" ht="51.95" customHeight="1" x14ac:dyDescent="0.3">
      <c r="A87" s="25" t="s">
        <v>2261</v>
      </c>
      <c r="B87" s="25" t="s">
        <v>2232</v>
      </c>
      <c r="C87" s="25" t="s">
        <v>2262</v>
      </c>
      <c r="D87" s="25" t="s">
        <v>2263</v>
      </c>
      <c r="E87" s="25" t="s">
        <v>2264</v>
      </c>
      <c r="F87" s="69" t="s">
        <v>2265</v>
      </c>
      <c r="G87" s="69"/>
      <c r="H87" s="69"/>
      <c r="I87" s="69"/>
      <c r="J87" s="69" t="s">
        <v>2266</v>
      </c>
      <c r="K87" s="69"/>
      <c r="L87" s="27">
        <v>46296</v>
      </c>
      <c r="M87" s="23"/>
      <c r="N87" s="23"/>
      <c r="O87" s="23"/>
      <c r="P87" s="23"/>
      <c r="Q87" s="23"/>
      <c r="R87" s="23"/>
      <c r="S87" s="23"/>
    </row>
    <row r="88" spans="1:19" ht="51.95" customHeight="1" x14ac:dyDescent="0.3">
      <c r="A88" s="25" t="s">
        <v>2267</v>
      </c>
      <c r="B88" s="25" t="s">
        <v>2232</v>
      </c>
      <c r="C88" s="25" t="s">
        <v>2268</v>
      </c>
      <c r="D88" s="25" t="s">
        <v>2269</v>
      </c>
      <c r="E88" s="25" t="s">
        <v>2270</v>
      </c>
      <c r="F88" s="69" t="s">
        <v>2271</v>
      </c>
      <c r="G88" s="69"/>
      <c r="H88" s="69"/>
      <c r="I88" s="69"/>
      <c r="J88" s="69" t="s">
        <v>2272</v>
      </c>
      <c r="K88" s="69"/>
      <c r="L88" s="27">
        <v>46296</v>
      </c>
      <c r="M88" s="23"/>
      <c r="N88" s="23"/>
      <c r="O88" s="23"/>
      <c r="P88" s="23"/>
      <c r="Q88" s="23"/>
      <c r="R88" s="23"/>
      <c r="S88" s="23"/>
    </row>
    <row r="89" spans="1:19" ht="51.95" customHeight="1" x14ac:dyDescent="0.3">
      <c r="A89" s="25" t="s">
        <v>2273</v>
      </c>
      <c r="B89" s="25" t="s">
        <v>2232</v>
      </c>
      <c r="C89" s="25" t="s">
        <v>2274</v>
      </c>
      <c r="D89" s="25" t="s">
        <v>2269</v>
      </c>
      <c r="E89" s="25" t="s">
        <v>2270</v>
      </c>
      <c r="F89" s="69" t="s">
        <v>2275</v>
      </c>
      <c r="G89" s="69"/>
      <c r="H89" s="69"/>
      <c r="I89" s="69"/>
      <c r="J89" s="69" t="s">
        <v>2276</v>
      </c>
      <c r="K89" s="69"/>
      <c r="L89" s="27">
        <v>46296</v>
      </c>
      <c r="M89" s="23"/>
      <c r="N89" s="23"/>
      <c r="O89" s="23"/>
      <c r="P89" s="23"/>
      <c r="Q89" s="23"/>
      <c r="R89" s="23"/>
      <c r="S89" s="23"/>
    </row>
    <row r="90" spans="1:19" ht="51.95" customHeight="1" x14ac:dyDescent="0.3">
      <c r="A90" s="25" t="s">
        <v>2277</v>
      </c>
      <c r="B90" s="25" t="s">
        <v>2101</v>
      </c>
      <c r="C90" s="25" t="s">
        <v>2278</v>
      </c>
      <c r="D90" s="25" t="s">
        <v>2279</v>
      </c>
      <c r="E90" s="25" t="s">
        <v>2280</v>
      </c>
      <c r="F90" s="69" t="s">
        <v>2281</v>
      </c>
      <c r="G90" s="69"/>
      <c r="H90" s="69"/>
      <c r="I90" s="69"/>
      <c r="J90" s="69" t="s">
        <v>1881</v>
      </c>
      <c r="K90" s="69"/>
      <c r="L90" s="27">
        <v>46296</v>
      </c>
      <c r="M90" s="23"/>
      <c r="N90" s="23"/>
      <c r="O90" s="23"/>
      <c r="P90" s="23"/>
      <c r="Q90" s="23"/>
      <c r="R90" s="23"/>
      <c r="S90" s="23"/>
    </row>
    <row r="91" spans="1:19" ht="51.95" customHeight="1" x14ac:dyDescent="0.3">
      <c r="A91" s="25" t="s">
        <v>2282</v>
      </c>
      <c r="B91" s="25" t="s">
        <v>2101</v>
      </c>
      <c r="C91" s="25" t="s">
        <v>2283</v>
      </c>
      <c r="D91" s="25" t="s">
        <v>2284</v>
      </c>
      <c r="E91" s="25" t="s">
        <v>2285</v>
      </c>
      <c r="F91" s="69" t="s">
        <v>2286</v>
      </c>
      <c r="G91" s="69"/>
      <c r="H91" s="69"/>
      <c r="I91" s="69"/>
      <c r="J91" s="69" t="s">
        <v>1928</v>
      </c>
      <c r="K91" s="69"/>
      <c r="L91" s="27">
        <v>46296</v>
      </c>
      <c r="M91" s="23"/>
      <c r="N91" s="23"/>
      <c r="O91" s="23"/>
      <c r="P91" s="23"/>
      <c r="Q91" s="23"/>
      <c r="R91" s="23"/>
      <c r="S91" s="23"/>
    </row>
    <row r="92" spans="1:19" ht="51.95" customHeight="1" x14ac:dyDescent="0.3">
      <c r="A92" s="25" t="s">
        <v>2287</v>
      </c>
      <c r="B92" s="25" t="s">
        <v>2101</v>
      </c>
      <c r="C92" s="25" t="s">
        <v>2288</v>
      </c>
      <c r="D92" s="25" t="s">
        <v>2289</v>
      </c>
      <c r="E92" s="25" t="s">
        <v>2290</v>
      </c>
      <c r="F92" s="69" t="s">
        <v>2291</v>
      </c>
      <c r="G92" s="69"/>
      <c r="H92" s="69"/>
      <c r="I92" s="69"/>
      <c r="J92" s="69" t="s">
        <v>1978</v>
      </c>
      <c r="K92" s="69"/>
      <c r="L92" s="27">
        <v>46296</v>
      </c>
      <c r="M92" s="23"/>
      <c r="N92" s="23"/>
      <c r="O92" s="23"/>
      <c r="P92" s="23"/>
      <c r="Q92" s="23"/>
      <c r="R92" s="23"/>
      <c r="S92" s="23"/>
    </row>
    <row r="93" spans="1:19" ht="51.95" customHeight="1" x14ac:dyDescent="0.3">
      <c r="A93" s="25" t="s">
        <v>2292</v>
      </c>
      <c r="B93" s="25" t="s">
        <v>2101</v>
      </c>
      <c r="C93" s="25" t="s">
        <v>2293</v>
      </c>
      <c r="D93" s="25" t="s">
        <v>2294</v>
      </c>
      <c r="E93" s="25" t="s">
        <v>2295</v>
      </c>
      <c r="F93" s="69" t="s">
        <v>2296</v>
      </c>
      <c r="G93" s="69"/>
      <c r="H93" s="69"/>
      <c r="I93" s="69"/>
      <c r="J93" s="69" t="s">
        <v>2034</v>
      </c>
      <c r="K93" s="69"/>
      <c r="L93" s="27">
        <v>46296</v>
      </c>
      <c r="M93" s="23"/>
      <c r="N93" s="23"/>
      <c r="O93" s="23"/>
      <c r="P93" s="23"/>
      <c r="Q93" s="23"/>
      <c r="R93" s="23"/>
      <c r="S93" s="23"/>
    </row>
    <row r="94" spans="1:19" ht="51.95" customHeight="1" x14ac:dyDescent="0.3">
      <c r="A94" s="25" t="s">
        <v>2297</v>
      </c>
      <c r="B94" s="25" t="s">
        <v>2101</v>
      </c>
      <c r="C94" s="25" t="s">
        <v>2298</v>
      </c>
      <c r="D94" s="25" t="s">
        <v>2289</v>
      </c>
      <c r="E94" s="25" t="s">
        <v>2299</v>
      </c>
      <c r="F94" s="69" t="s">
        <v>2300</v>
      </c>
      <c r="G94" s="69"/>
      <c r="H94" s="69"/>
      <c r="I94" s="69"/>
      <c r="J94" s="69" t="s">
        <v>2044</v>
      </c>
      <c r="K94" s="69"/>
      <c r="L94" s="27">
        <v>46296</v>
      </c>
      <c r="M94" s="23"/>
      <c r="N94" s="23"/>
      <c r="O94" s="23"/>
      <c r="P94" s="23"/>
      <c r="Q94" s="23"/>
      <c r="R94" s="23"/>
      <c r="S94" s="23"/>
    </row>
    <row r="95" spans="1:19" ht="51.95" customHeight="1" x14ac:dyDescent="0.3">
      <c r="A95" s="25" t="s">
        <v>2301</v>
      </c>
      <c r="B95" s="25" t="s">
        <v>2101</v>
      </c>
      <c r="C95" s="25" t="s">
        <v>2302</v>
      </c>
      <c r="D95" s="25" t="s">
        <v>2303</v>
      </c>
      <c r="E95" s="25" t="s">
        <v>2304</v>
      </c>
      <c r="F95" s="69" t="s">
        <v>2305</v>
      </c>
      <c r="G95" s="69"/>
      <c r="H95" s="69"/>
      <c r="I95" s="69"/>
      <c r="J95" s="69" t="s">
        <v>2108</v>
      </c>
      <c r="K95" s="69"/>
      <c r="L95" s="27">
        <v>46296</v>
      </c>
      <c r="M95" s="23"/>
      <c r="N95" s="23"/>
      <c r="O95" s="23"/>
      <c r="P95" s="23"/>
      <c r="Q95" s="23"/>
      <c r="R95" s="23"/>
      <c r="S95" s="23"/>
    </row>
    <row r="96" spans="1:19" ht="51.95" customHeight="1" x14ac:dyDescent="0.3">
      <c r="A96" s="25" t="s">
        <v>2306</v>
      </c>
      <c r="B96" s="25" t="s">
        <v>2101</v>
      </c>
      <c r="C96" s="25" t="s">
        <v>2307</v>
      </c>
      <c r="D96" s="25" t="s">
        <v>2308</v>
      </c>
      <c r="E96" s="25" t="s">
        <v>2309</v>
      </c>
      <c r="F96" s="69" t="s">
        <v>2310</v>
      </c>
      <c r="G96" s="69"/>
      <c r="H96" s="69"/>
      <c r="I96" s="69"/>
      <c r="J96" s="69" t="s">
        <v>2311</v>
      </c>
      <c r="K96" s="69"/>
      <c r="L96" s="27">
        <v>46296</v>
      </c>
      <c r="M96" s="23"/>
      <c r="N96" s="23"/>
      <c r="O96" s="23"/>
      <c r="P96" s="23"/>
      <c r="Q96" s="23"/>
      <c r="R96" s="23"/>
      <c r="S96" s="23"/>
    </row>
    <row r="97" spans="1:19" ht="51.95" customHeight="1" x14ac:dyDescent="0.3">
      <c r="A97" s="25" t="s">
        <v>2312</v>
      </c>
      <c r="B97" s="25" t="s">
        <v>2101</v>
      </c>
      <c r="C97" s="25" t="s">
        <v>2313</v>
      </c>
      <c r="D97" s="25" t="s">
        <v>2303</v>
      </c>
      <c r="E97" s="25" t="s">
        <v>2314</v>
      </c>
      <c r="F97" s="69" t="s">
        <v>2315</v>
      </c>
      <c r="G97" s="69"/>
      <c r="H97" s="69"/>
      <c r="I97" s="69"/>
      <c r="J97" s="69" t="s">
        <v>2059</v>
      </c>
      <c r="K97" s="69"/>
      <c r="L97" s="27">
        <v>46296</v>
      </c>
      <c r="M97" s="23"/>
      <c r="N97" s="23"/>
      <c r="O97" s="23"/>
      <c r="P97" s="23"/>
      <c r="Q97" s="23"/>
      <c r="R97" s="23"/>
      <c r="S97" s="23"/>
    </row>
    <row r="98" spans="1:19" ht="51.95" customHeight="1" x14ac:dyDescent="0.3">
      <c r="A98" s="25" t="s">
        <v>2316</v>
      </c>
      <c r="B98" s="25" t="s">
        <v>2148</v>
      </c>
      <c r="C98" s="25" t="s">
        <v>2317</v>
      </c>
      <c r="D98" s="25" t="s">
        <v>2318</v>
      </c>
      <c r="E98" s="25" t="s">
        <v>2319</v>
      </c>
      <c r="F98" s="69" t="s">
        <v>2320</v>
      </c>
      <c r="G98" s="69"/>
      <c r="H98" s="69"/>
      <c r="I98" s="69"/>
      <c r="J98" s="69" t="s">
        <v>1882</v>
      </c>
      <c r="K98" s="69"/>
      <c r="L98" s="27">
        <v>46296</v>
      </c>
      <c r="M98" s="23"/>
      <c r="N98" s="23"/>
      <c r="O98" s="23"/>
      <c r="P98" s="23"/>
      <c r="Q98" s="23"/>
      <c r="R98" s="23"/>
      <c r="S98" s="23"/>
    </row>
    <row r="99" spans="1:19" ht="51.95" customHeight="1" x14ac:dyDescent="0.3">
      <c r="A99" s="25" t="s">
        <v>2321</v>
      </c>
      <c r="B99" s="25" t="s">
        <v>2148</v>
      </c>
      <c r="C99" s="25" t="s">
        <v>2322</v>
      </c>
      <c r="D99" s="25" t="s">
        <v>2323</v>
      </c>
      <c r="E99" s="25" t="s">
        <v>2324</v>
      </c>
      <c r="F99" s="69" t="s">
        <v>2325</v>
      </c>
      <c r="G99" s="69"/>
      <c r="H99" s="69"/>
      <c r="I99" s="69"/>
      <c r="J99" s="69" t="s">
        <v>2326</v>
      </c>
      <c r="K99" s="69"/>
      <c r="L99" s="27">
        <v>46296</v>
      </c>
      <c r="M99" s="23"/>
      <c r="N99" s="23"/>
      <c r="O99" s="23"/>
      <c r="P99" s="23"/>
      <c r="Q99" s="23"/>
      <c r="R99" s="23"/>
      <c r="S99" s="23"/>
    </row>
    <row r="100" spans="1:19" ht="51.95" customHeight="1" x14ac:dyDescent="0.3">
      <c r="A100" s="25" t="s">
        <v>2327</v>
      </c>
      <c r="B100" s="25" t="s">
        <v>2148</v>
      </c>
      <c r="C100" s="25" t="s">
        <v>2328</v>
      </c>
      <c r="D100" s="25" t="s">
        <v>2329</v>
      </c>
      <c r="E100" s="25" t="s">
        <v>2330</v>
      </c>
      <c r="F100" s="69" t="s">
        <v>2331</v>
      </c>
      <c r="G100" s="69"/>
      <c r="H100" s="69"/>
      <c r="I100" s="69"/>
      <c r="J100" s="69" t="s">
        <v>2155</v>
      </c>
      <c r="K100" s="69"/>
      <c r="L100" s="27">
        <v>46296</v>
      </c>
      <c r="M100" s="23"/>
      <c r="N100" s="23"/>
      <c r="O100" s="23"/>
      <c r="P100" s="23"/>
      <c r="Q100" s="23"/>
      <c r="R100" s="23"/>
      <c r="S100" s="23"/>
    </row>
    <row r="101" spans="1:19" ht="51.95" customHeight="1" x14ac:dyDescent="0.3">
      <c r="A101" s="25" t="s">
        <v>2332</v>
      </c>
      <c r="B101" s="25" t="s">
        <v>2148</v>
      </c>
      <c r="C101" s="25" t="s">
        <v>2333</v>
      </c>
      <c r="D101" s="25" t="s">
        <v>2334</v>
      </c>
      <c r="E101" s="25" t="s">
        <v>2335</v>
      </c>
      <c r="F101" s="69" t="s">
        <v>2336</v>
      </c>
      <c r="G101" s="69"/>
      <c r="H101" s="69"/>
      <c r="I101" s="69"/>
      <c r="J101" s="69" t="s">
        <v>2337</v>
      </c>
      <c r="K101" s="69"/>
      <c r="L101" s="27">
        <v>46296</v>
      </c>
      <c r="M101" s="23"/>
      <c r="N101" s="23"/>
      <c r="O101" s="23"/>
      <c r="P101" s="23"/>
      <c r="Q101" s="23"/>
      <c r="R101" s="23"/>
      <c r="S101" s="23"/>
    </row>
    <row r="102" spans="1:19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spans="1:19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spans="1:19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spans="1:19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</sheetData>
  <mergeCells count="81">
    <mergeCell ref="A1:L1"/>
    <mergeCell ref="A2:L2"/>
    <mergeCell ref="A3:L3"/>
    <mergeCell ref="A4:L4"/>
    <mergeCell ref="A30:L30"/>
    <mergeCell ref="A59:L59"/>
    <mergeCell ref="A61:C61"/>
    <mergeCell ref="D61:L61"/>
    <mergeCell ref="A62:C62"/>
    <mergeCell ref="D62:L62"/>
    <mergeCell ref="A63:C63"/>
    <mergeCell ref="D63:L63"/>
    <mergeCell ref="A64:C64"/>
    <mergeCell ref="D64:L64"/>
    <mergeCell ref="A65:C65"/>
    <mergeCell ref="D65:L65"/>
    <mergeCell ref="A66:C66"/>
    <mergeCell ref="D66:L66"/>
    <mergeCell ref="A67:C67"/>
    <mergeCell ref="D67:L67"/>
    <mergeCell ref="A68:C68"/>
    <mergeCell ref="D68:L68"/>
    <mergeCell ref="A69:C69"/>
    <mergeCell ref="D69:L69"/>
    <mergeCell ref="A70:C70"/>
    <mergeCell ref="D70:L70"/>
    <mergeCell ref="A71:C71"/>
    <mergeCell ref="D71:L71"/>
    <mergeCell ref="A72:C72"/>
    <mergeCell ref="D72:L72"/>
    <mergeCell ref="A73:C73"/>
    <mergeCell ref="D73:L73"/>
    <mergeCell ref="A74:C74"/>
    <mergeCell ref="D74:L74"/>
    <mergeCell ref="A75:C75"/>
    <mergeCell ref="D75:L75"/>
    <mergeCell ref="A76:C76"/>
    <mergeCell ref="D76:L76"/>
    <mergeCell ref="A79:L79"/>
    <mergeCell ref="F81:I81"/>
    <mergeCell ref="J81:K81"/>
    <mergeCell ref="F82:I82"/>
    <mergeCell ref="J82:K82"/>
    <mergeCell ref="F83:I83"/>
    <mergeCell ref="J83:K83"/>
    <mergeCell ref="F84:I84"/>
    <mergeCell ref="J84:K84"/>
    <mergeCell ref="F85:I85"/>
    <mergeCell ref="J85:K85"/>
    <mergeCell ref="F86:I86"/>
    <mergeCell ref="J86:K86"/>
    <mergeCell ref="F87:I87"/>
    <mergeCell ref="J87:K87"/>
    <mergeCell ref="F88:I88"/>
    <mergeCell ref="J88:K88"/>
    <mergeCell ref="F89:I89"/>
    <mergeCell ref="J89:K89"/>
    <mergeCell ref="F90:I90"/>
    <mergeCell ref="J90:K90"/>
    <mergeCell ref="F91:I91"/>
    <mergeCell ref="J91:K91"/>
    <mergeCell ref="F92:I92"/>
    <mergeCell ref="J92:K92"/>
    <mergeCell ref="F93:I93"/>
    <mergeCell ref="J93:K93"/>
    <mergeCell ref="F94:I94"/>
    <mergeCell ref="J94:K94"/>
    <mergeCell ref="F95:I95"/>
    <mergeCell ref="J95:K95"/>
    <mergeCell ref="F96:I96"/>
    <mergeCell ref="J96:K96"/>
    <mergeCell ref="F97:I97"/>
    <mergeCell ref="J97:K97"/>
    <mergeCell ref="F98:I98"/>
    <mergeCell ref="J98:K98"/>
    <mergeCell ref="F99:I99"/>
    <mergeCell ref="J99:K99"/>
    <mergeCell ref="F100:I100"/>
    <mergeCell ref="J100:K100"/>
    <mergeCell ref="F101:I101"/>
    <mergeCell ref="J101:K101"/>
  </mergeCells>
  <phoneticPr fontId="2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7AED122CE22E04BA3861E020AB2E532" ma:contentTypeVersion="16" ma:contentTypeDescription="새 문서를 만듭니다." ma:contentTypeScope="" ma:versionID="1176ac521e3857186d949ea7ea15083f">
  <xsd:schema xmlns:xsd="http://www.w3.org/2001/XMLSchema" xmlns:xs="http://www.w3.org/2001/XMLSchema" xmlns:p="http://schemas.microsoft.com/office/2006/metadata/properties" xmlns:ns2="de4e0723-81b3-40ec-914f-d31c52b8cdf4" xmlns:ns3="d4634f38-3f96-4eca-ab17-03d948d2e042" targetNamespace="http://schemas.microsoft.com/office/2006/metadata/properties" ma:root="true" ma:fieldsID="3da84eea55e5c4452990b67951012a7a" ns2:_="" ns3:_="">
    <xsd:import namespace="de4e0723-81b3-40ec-914f-d31c52b8cdf4"/>
    <xsd:import namespace="d4634f38-3f96-4eca-ab17-03d948d2e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e0723-81b3-40ec-914f-d31c52b8c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fdd2957-39f0-43dc-a8b9-32e21451cc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4f38-3f96-4eca-ab17-03d948d2e04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561e2a3-483c-4275-b4f3-1f30e709b8d6}" ma:internalName="TaxCatchAll" ma:showField="CatchAllData" ma:web="d4634f38-3f96-4eca-ab17-03d948d2e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634f38-3f96-4eca-ab17-03d948d2e042" xsi:nil="true"/>
    <lcf76f155ced4ddcb4097134ff3c332f xmlns="de4e0723-81b3-40ec-914f-d31c52b8cd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AB9E89-B36B-41B7-8F99-8238419E4934}"/>
</file>

<file path=customXml/itemProps2.xml><?xml version="1.0" encoding="utf-8"?>
<ds:datastoreItem xmlns:ds="http://schemas.openxmlformats.org/officeDocument/2006/customXml" ds:itemID="{CD3F386E-88AF-448E-918D-0E82B4EDEB66}"/>
</file>

<file path=customXml/itemProps3.xml><?xml version="1.0" encoding="utf-8"?>
<ds:datastoreItem xmlns:ds="http://schemas.openxmlformats.org/officeDocument/2006/customXml" ds:itemID="{6513ED33-7F57-4F93-AD24-58D0602F5561}"/>
</file>

<file path=docMetadata/LabelInfo.xml><?xml version="1.0" encoding="utf-8"?>
<clbl:labelList xmlns:clbl="http://schemas.microsoft.com/office/2020/mipLabelMetadata">
  <clbl:label id="{911cd2af-d2ff-46fa-9192-2f34edefbd02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요약</vt:lpstr>
      <vt:lpstr>유선 스위치</vt:lpstr>
      <vt:lpstr>무선 AP</vt:lpstr>
      <vt:lpstr>마운트킷</vt:lpstr>
      <vt:lpstr>외장 안테나</vt:lpstr>
      <vt:lpstr>데이터시트 목록</vt:lpstr>
      <vt:lpstr>분류 기준</vt:lpstr>
      <vt:lpstr>VeloCloud SD-WAN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백정수(시스템엔지니어) - B2B영업팀</cp:lastModifiedBy>
  <cp:revision/>
  <dcterms:created xsi:type="dcterms:W3CDTF">2026-10-08T00:34:32Z</dcterms:created>
  <dcterms:modified xsi:type="dcterms:W3CDTF">2026-10-08T00:36:57Z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06bfe-29cf-4c0e-bbb8-fa4efadabca8_SiteId">
    <vt:lpwstr>d4ffc887-d88d-41cc-bf6a-6bb47ec0f3ca</vt:lpwstr>
  </property>
  <property fmtid="{D5CDD505-2E9C-101B-9397-08002B2CF9AE}" pid="3" name="MSIP_Label_13306bfe-29cf-4c0e-bbb8-fa4efadabca8_SetDate">
    <vt:lpwstr>2026-10-08T00:36:23Z</vt:lpwstr>
  </property>
  <property fmtid="{D5CDD505-2E9C-101B-9397-08002B2CF9AE}" pid="4" name="MSIP_Label_13306bfe-29cf-4c0e-bbb8-fa4efadabca8_Name">
    <vt:lpwstr>신세계아이엔씨</vt:lpwstr>
  </property>
  <property fmtid="{D5CDD505-2E9C-101B-9397-08002B2CF9AE}" pid="5" name="MSIP_Label_13306bfe-29cf-4c0e-bbb8-fa4efadabca8_Method">
    <vt:lpwstr>Privileged</vt:lpwstr>
  </property>
  <property fmtid="{D5CDD505-2E9C-101B-9397-08002B2CF9AE}" pid="6" name="MSIP_Label_13306bfe-29cf-4c0e-bbb8-fa4efadabca8_Enabled">
    <vt:lpwstr>true</vt:lpwstr>
  </property>
  <property fmtid="{D5CDD505-2E9C-101B-9397-08002B2CF9AE}" pid="7" name="MSIP_Label_13306bfe-29cf-4c0e-bbb8-fa4efadabca8_ContentBits">
    <vt:lpwstr>8</vt:lpwstr>
  </property>
  <property fmtid="{D5CDD505-2E9C-101B-9397-08002B2CF9AE}" pid="8" name="ContentTypeId">
    <vt:lpwstr>0x01010017AED122CE22E04BA3861E020AB2E532</vt:lpwstr>
  </property>
</Properties>
</file>