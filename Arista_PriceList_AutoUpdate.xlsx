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SG\Desktop\"/>
    </mc:Choice>
  </mc:AlternateContent>
  <bookViews>
    <workbookView xWindow="-120" yWindow="-16320" windowWidth="29040" windowHeight="15720" tabRatio="815" xr2:uid="{00000000-000D-0000-FFFF-FFFF00000000}"/>
  </bookViews>
  <sheets>
    <sheet name="견적_Config" sheetId="39" r:id="rId1"/>
    <sheet name="Lookup" sheetId="16" r:id="rId2"/>
    <sheet name="Names Ranges_New" sheetId="43" r:id="rId3"/>
    <sheet name="Oct_2026_New Products" sheetId="45" r:id="rId4"/>
  </sheets>
  <definedNames>
    <definedName name="_xlnm._FilterDatabase" localSheetId="1" hidden="1">Lookup!$A$5:$K$5182</definedName>
    <definedName name="_xlnm._FilterDatabase" localSheetId="3" hidden="1">'Oct_2026_New Products'!$A$1:$B$510</definedName>
    <definedName name="_xlnm._FilterDatabase" localSheetId="0" hidden="1">견적_Config!#REF!</definedName>
    <definedName name="Cables">Lookup!$B$856:$B$1237</definedName>
    <definedName name="CREDIT_100G_PORT">#REF!</definedName>
    <definedName name="CREDIT_10G_PORT">#REF!</definedName>
    <definedName name="CREDIT_1G_POE_PORT">#REF!</definedName>
    <definedName name="CREDIT_1G_PORT">#REF!</definedName>
    <definedName name="CREDIT_2.5G_PORT">#REF!</definedName>
    <definedName name="CREDIT_25G_PORT">#REF!</definedName>
    <definedName name="CREDIT_40G_PORT">#REF!</definedName>
    <definedName name="CREDIT_5G_POE_PORT">#REF!</definedName>
    <definedName name="CREDIT_5G_PORT">#REF!</definedName>
    <definedName name="_xlnm.Criteria" localSheetId="1">Lookup!$A:$A</definedName>
    <definedName name="CURRENCY_TYPE">#REF!</definedName>
    <definedName name="_xlnm.Extract" localSheetId="1">Lookup!#REF!</definedName>
    <definedName name="Lookup_Master">Lookup!$B$7:$C$2418</definedName>
    <definedName name="M">Lookup!$B$7:$C$4180</definedName>
    <definedName name="MASETER">Lookup!$B$7:$C$2640</definedName>
    <definedName name="Master">Lookup!$B$7:$C$2640</definedName>
    <definedName name="Payment">Lookup!#REF!</definedName>
    <definedName name="_xlnm.Print_Area" localSheetId="0">견적_Config!$A$1:$J$47</definedName>
    <definedName name="Service">Lookup!$B$1311:$B$2408</definedName>
    <definedName name="Shipping">Lookup!$B$2409:$B$2418</definedName>
    <definedName name="ShippingOnQuote">#REF!</definedName>
    <definedName name="Software">Lookup!$B$1257:$B$1311</definedName>
    <definedName name="Switches">Lookup!$B$7:$B$855</definedName>
    <definedName name="VP_DISCOUNT">#REF!</definedName>
  </definedNames>
  <calcPr calcId="191029" concurrentManualCount="8"/>
  <pivotCaches>
    <pivotCache cacheId="0" r:id="rId5"/>
  </pivotCaches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6" i="39" l="1"/>
  <c r="N15" i="39"/>
  <c r="N14" i="39"/>
  <c r="N13" i="39"/>
  <c r="N12" i="39"/>
  <c r="M15" i="39"/>
  <c r="M14" i="39"/>
  <c r="M13" i="39"/>
  <c r="M12" i="39"/>
  <c r="L16" i="39"/>
  <c r="M16" i="39" s="1"/>
  <c r="L15" i="39"/>
  <c r="L14" i="39"/>
  <c r="L13" i="39"/>
  <c r="L12" i="39"/>
  <c r="I16" i="39"/>
  <c r="J16" i="39" s="1"/>
  <c r="G16" i="39"/>
  <c r="H16" i="39" s="1"/>
  <c r="C16" i="39"/>
  <c r="I15" i="39"/>
  <c r="J15" i="39" s="1"/>
  <c r="G15" i="39"/>
  <c r="H15" i="39" s="1"/>
  <c r="C15" i="39"/>
  <c r="I41" i="39" l="1"/>
  <c r="J41" i="39" s="1"/>
  <c r="G41" i="39"/>
  <c r="H41" i="39" s="1"/>
  <c r="I40" i="39"/>
  <c r="J40" i="39" s="1"/>
  <c r="G40" i="39"/>
  <c r="H40" i="39" s="1"/>
  <c r="I39" i="39"/>
  <c r="J39" i="39" s="1"/>
  <c r="G39" i="39"/>
  <c r="H39" i="39" s="1"/>
  <c r="I38" i="39"/>
  <c r="J38" i="39" s="1"/>
  <c r="G38" i="39"/>
  <c r="H38" i="39" s="1"/>
  <c r="I37" i="39"/>
  <c r="J37" i="39" s="1"/>
  <c r="G37" i="39"/>
  <c r="H37" i="39" s="1"/>
  <c r="C41" i="39"/>
  <c r="C40" i="39"/>
  <c r="C39" i="39"/>
  <c r="C38" i="39"/>
  <c r="C37" i="39"/>
  <c r="I30" i="39" l="1"/>
  <c r="J30" i="39" s="1"/>
  <c r="I31" i="39"/>
  <c r="J31" i="39" s="1"/>
  <c r="G31" i="39"/>
  <c r="H31" i="39" s="1"/>
  <c r="C31" i="39"/>
  <c r="G30" i="39"/>
  <c r="H30" i="39" s="1"/>
  <c r="C30" i="39"/>
  <c r="I25" i="39"/>
  <c r="G25" i="39"/>
  <c r="H25" i="39" s="1"/>
  <c r="C25" i="39"/>
  <c r="I24" i="39"/>
  <c r="G24" i="39"/>
  <c r="H24" i="39" s="1"/>
  <c r="C24" i="39"/>
  <c r="I23" i="39"/>
  <c r="G23" i="39"/>
  <c r="H23" i="39" s="1"/>
  <c r="C23" i="39"/>
  <c r="I22" i="39"/>
  <c r="G22" i="39"/>
  <c r="H22" i="39" s="1"/>
  <c r="C22" i="39"/>
  <c r="G21" i="39"/>
  <c r="H21" i="39" s="1"/>
  <c r="I21" i="39"/>
  <c r="C21" i="39"/>
  <c r="I14" i="39"/>
  <c r="G14" i="39"/>
  <c r="H14" i="39" s="1"/>
  <c r="I13" i="39"/>
  <c r="G13" i="39"/>
  <c r="H13" i="39" s="1"/>
  <c r="I12" i="39"/>
  <c r="G12" i="39"/>
  <c r="C14" i="39"/>
  <c r="C12" i="39"/>
  <c r="C13" i="39"/>
  <c r="F6" i="16" a="1"/>
  <c r="F6" i="16" s="1"/>
  <c r="H12" i="39" l="1"/>
  <c r="J24" i="39"/>
  <c r="J12" i="39"/>
  <c r="J13" i="39"/>
  <c r="J14" i="39" l="1"/>
  <c r="J21" i="39"/>
  <c r="J22" i="39"/>
  <c r="J25" i="39"/>
  <c r="J23" i="39"/>
  <c r="J44" i="39" l="1"/>
  <c r="J45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<sst xmlns="http://schemas.openxmlformats.org/spreadsheetml/2006/main" count="21001" uniqueCount="10194">
  <si>
    <t>10GBASE-CR twinax copper cable with SFP+ connectors on both ends (2m)</t>
  </si>
  <si>
    <t>Description</t>
  </si>
  <si>
    <t>SFP-1G-SX</t>
  </si>
  <si>
    <t>10GBASE-CR twinax copper cable with SFP+ connectors on both ends (3m)</t>
  </si>
  <si>
    <t>CAB-SFP-SFP-0.5M</t>
  </si>
  <si>
    <t>SFP-10G-SR</t>
  </si>
  <si>
    <t>10GBASE-CR twinax copper cable with SFP+ connectors on both ends (1m)</t>
  </si>
  <si>
    <t>CAB-C13-EU</t>
  </si>
  <si>
    <t>CAB-SFP-SFP-3M</t>
  </si>
  <si>
    <t>CAB-SFP-SFP-1M</t>
  </si>
  <si>
    <t>CAB-C13-UK</t>
  </si>
  <si>
    <t>CAB-C13-AUS</t>
  </si>
  <si>
    <t>CAB-C13-IT</t>
  </si>
  <si>
    <t>CAB-C13-AR</t>
  </si>
  <si>
    <t>10GBASE-CR twinax copper cable with SFP+ connectors on both ends (0.5m)</t>
  </si>
  <si>
    <t>10GBASE-CR twinax copper cable with SFP+ connectors on both ends (5m)</t>
  </si>
  <si>
    <t>CAB-SFP-SFP-5M</t>
  </si>
  <si>
    <t>SFP-10G-LR</t>
  </si>
  <si>
    <t>SFP-1G-T</t>
  </si>
  <si>
    <t>1000BASE-T SFP (RJ-45 Copper)</t>
  </si>
  <si>
    <t>SFP-10G-SRL</t>
  </si>
  <si>
    <t>SFP-1G-LX</t>
  </si>
  <si>
    <t>Category</t>
  </si>
  <si>
    <t>A Care Demo/Eval Conversion Fee</t>
  </si>
  <si>
    <t>SFP-10G-ER</t>
  </si>
  <si>
    <t>10GBASE-SR SFP+ (Short Reach)</t>
  </si>
  <si>
    <t>1000BASE-SX SFP (Short Haul)</t>
  </si>
  <si>
    <t>Blank cover for 7500 linecard slot</t>
  </si>
  <si>
    <t>10GBASE-SRL SFP+ (Short Reach Lite)</t>
  </si>
  <si>
    <t>Blank cover for 7500 supervisor slot</t>
  </si>
  <si>
    <t>1000BASE-LX SFP (Long Haul)</t>
  </si>
  <si>
    <t>CAB-C13-US</t>
  </si>
  <si>
    <t>CAB-SFP-SFP-2M</t>
  </si>
  <si>
    <t>SVC-REINS-FIX</t>
  </si>
  <si>
    <t>Product Number</t>
  </si>
  <si>
    <t>SVC-DEMO-CONV</t>
  </si>
  <si>
    <t>4 x 10GbE QSFP+ to 4 x SFP+ twinax copper cable, 1M</t>
  </si>
  <si>
    <t>40GbE QSFP+ to QSFP+ twinax copper cable, 3M</t>
  </si>
  <si>
    <t>40GbE QSFP+ to QSFP+ twinax copper cable, 5M</t>
  </si>
  <si>
    <t>40GbE QSFP+ to QSFP+ twinax copper cable, 2M</t>
  </si>
  <si>
    <t>4 x 10GbE QSFP+ to 4 x SFP+ twinax copper cable, 0.5M</t>
  </si>
  <si>
    <t>CAB-SFP-SFP-1.5M</t>
  </si>
  <si>
    <t>10GBASE-CR twinax copper cable with SFP+ connectors on both ends (1.5m)</t>
  </si>
  <si>
    <t>CAB-SFP-SFP-2.5M</t>
  </si>
  <si>
    <t>10GBASE-CR twinax copper cable with SFP+ connectors on both ends (2.5m)</t>
  </si>
  <si>
    <t>SFP-10G-ZR</t>
  </si>
  <si>
    <t>SFP-10G-LRL</t>
  </si>
  <si>
    <t>40GBASE-LR4 QSFP+ transceiver, up to 10KM over single-mode fiber</t>
  </si>
  <si>
    <t>CAB-Q-S-5M</t>
  </si>
  <si>
    <t>4 x 10GbE QSFP+ to 4 x SFP+ twinax copper cable, 5M</t>
  </si>
  <si>
    <t>LIC-FIX-1-E</t>
  </si>
  <si>
    <t>LIC-FIX-2-E</t>
  </si>
  <si>
    <t>LIC-FIX-1-Z</t>
  </si>
  <si>
    <t>LIC-FIX-2-Z</t>
  </si>
  <si>
    <t>LIC-FIX-1-V</t>
  </si>
  <si>
    <t>LIC-FIX-2-V</t>
  </si>
  <si>
    <t>Virtualization license for Arista Modular switches - 4 slots (VMTracer and VXLAN)</t>
  </si>
  <si>
    <t>AOC-Q-Q-40G-3M</t>
  </si>
  <si>
    <t>QSFP+ to QSFP+ 40GbE Active Optical Cable 3 meter</t>
  </si>
  <si>
    <t>AOC-Q-Q-40G-5M</t>
  </si>
  <si>
    <t>QSFP+ to QSFP+ 40GbE Active Optical Cable 5 meter</t>
  </si>
  <si>
    <t>AOC-Q-Q-40G-7M</t>
  </si>
  <si>
    <t>QSFP+ to QSFP+ 40GbE Active Optical Cable 7 meter</t>
  </si>
  <si>
    <t>AOC-Q-Q-40G-10M</t>
  </si>
  <si>
    <t>QSFP+ to QSFP+ 40GbE Active Optical Cable 10 meter</t>
  </si>
  <si>
    <t>AOC-Q-Q-40G-15M</t>
  </si>
  <si>
    <t>QSFP+ to QSFP+ 40GbE Active Optical Cable 15 meter</t>
  </si>
  <si>
    <t>AOC-Q-Q-40G-20M</t>
  </si>
  <si>
    <t>QSFP+ to QSFP+ 40GbE Active Optical Cable 20 meter</t>
  </si>
  <si>
    <t>AOC-Q-Q-40G-25M</t>
  </si>
  <si>
    <t>QSFP+ to QSFP+ 40GbE Active Optical Cable 25 meter</t>
  </si>
  <si>
    <t>AOC-Q-Q-40G-30M</t>
  </si>
  <si>
    <t>QSFP+ to QSFP+ 40GbE Active Optical Cable 30 meter</t>
  </si>
  <si>
    <t>QSFP-40G-PLRL4</t>
  </si>
  <si>
    <t>40G QSFP+ transceiver, up to 1km over parallel single-mode (4x10G LR up to 1km) MTP-12</t>
  </si>
  <si>
    <t>QSFP-40G-XSR4</t>
  </si>
  <si>
    <t>QSFP-40G-LR4</t>
  </si>
  <si>
    <t>Optics and Cables</t>
  </si>
  <si>
    <t>DCS-7304-CH</t>
  </si>
  <si>
    <t>Arista 7304 empty chassis, 2 supervisor slots, 4 linecard slots, 4 fabric module slots</t>
  </si>
  <si>
    <t>DCS-7308-CH</t>
  </si>
  <si>
    <t>Arista 7308 empty chassis, 2 supervisor slots, 8 linecard slots, 4 fabric module slots</t>
  </si>
  <si>
    <t>LIC-FIX-3-E</t>
  </si>
  <si>
    <t>LIC-FIX-3-Z</t>
  </si>
  <si>
    <t>LIC-FIX-3-V</t>
  </si>
  <si>
    <t>LIC-MOD-1-E</t>
  </si>
  <si>
    <t>Enhanced Software License for Arista Modular Switches - 4 slots (OSPF, BGP, PIM)</t>
  </si>
  <si>
    <t>LIC-MOD-2-E</t>
  </si>
  <si>
    <t>LIC-MOD-1-Z</t>
  </si>
  <si>
    <t>LIC-MOD-2-Z</t>
  </si>
  <si>
    <t>LIC-MOD-1-V</t>
  </si>
  <si>
    <t>LIC-MOD-2-V</t>
  </si>
  <si>
    <t>DCS-7300-LCVR</t>
  </si>
  <si>
    <t>Blank cover for 7300 linecard slot</t>
  </si>
  <si>
    <t>DCS-7300-SCVR</t>
  </si>
  <si>
    <t>Blank cover for 7300 supervisor slot</t>
  </si>
  <si>
    <t>DCS-7300-PCVR</t>
  </si>
  <si>
    <t>Blank cover for 7300 power supply slot</t>
  </si>
  <si>
    <t>KIT-7304</t>
  </si>
  <si>
    <t>KIT-7308</t>
  </si>
  <si>
    <t>KIT-7304-MMR</t>
  </si>
  <si>
    <t>Spare Mid Mount Rack Brackets for 7304 switches</t>
  </si>
  <si>
    <t>KIT-7308-MMR</t>
  </si>
  <si>
    <t>Spare Mid Mount Rack Brackets for 7308 switches</t>
  </si>
  <si>
    <t>Spare 4 Post Rack Mount Brackets for 7304 and 7308 switches</t>
  </si>
  <si>
    <t>FAN-7002-F</t>
  </si>
  <si>
    <t>FAN-7002-R</t>
  </si>
  <si>
    <t>FAN-7002-F#</t>
  </si>
  <si>
    <t>FAN-7002-R#</t>
  </si>
  <si>
    <t>40GBASE-LRL4 QSFP+ transceiver, up to 1KM over single-mode fiber</t>
  </si>
  <si>
    <t>SVC-7308X-1M-NB</t>
  </si>
  <si>
    <t>1 Month A-Care Software &amp; NBD Hardware Replacement/Same Day Ship for 7308X</t>
  </si>
  <si>
    <t>SVC-7308X-1M-4H</t>
  </si>
  <si>
    <t>1-Month A-Care Software &amp; 24x7x4 Hour Hardware Replacement for 7308X</t>
  </si>
  <si>
    <t>SVC-7308X-1M-2H</t>
  </si>
  <si>
    <t>1-Month A-Care Software &amp; 24x7x2 Hour Hardware Replacement for 7308X</t>
  </si>
  <si>
    <t>SVC-7304X-1M-NB</t>
  </si>
  <si>
    <t>1 Month A-Care Software &amp; NBD Hardware Replacement/Same Day Ship for 7304X</t>
  </si>
  <si>
    <t>SVC-7304X-1M-4H</t>
  </si>
  <si>
    <t>1-Month A-Care Software &amp; 24x7x4 Hour Hardware Replacement for 7304X</t>
  </si>
  <si>
    <t>SVC-7304X-1M-2H</t>
  </si>
  <si>
    <t>1-Month A-Care Software &amp; 24x7x2 Hour Hardware Replacement for 7304X</t>
  </si>
  <si>
    <t>SVC-7308X-1M-SHR</t>
  </si>
  <si>
    <t>SVC-7308X-1M-SH4</t>
  </si>
  <si>
    <t>SVC-7304X-1M-SHR</t>
  </si>
  <si>
    <t>SVC-7304X-1M-SH4</t>
  </si>
  <si>
    <t>AOC-Q-Q-40G-50M</t>
  </si>
  <si>
    <t>QSFP+ to QSFP+ 40GbE Active Optical Cable 50 meter</t>
  </si>
  <si>
    <t>AOC-Q-Q-40G-75M</t>
  </si>
  <si>
    <t>QSFP+ to QSFP+ 40GbE Active Optical Cable 75 meter</t>
  </si>
  <si>
    <t>AOC-Q-Q-40G-100M</t>
  </si>
  <si>
    <t>QSFP+ to QSFP+ 40GbE Active Optical Cable 100 meter</t>
  </si>
  <si>
    <t>Spare fan module for Arista 7250 / 7050 2RU and 7300 switches (front to rear airflow)</t>
  </si>
  <si>
    <t>Spare fan module for Arista 7250 / 7050 2RU and 7300 switches (rear to front airflow)</t>
  </si>
  <si>
    <t>Configurable fan module for Arista 7250 / 7050 2RU and 7300 switches (front to rear airflow)</t>
  </si>
  <si>
    <t>Configurable fan module for Arista 7250 / 7050 2RU and 7300 switches (rear to front airflow)</t>
  </si>
  <si>
    <t>QSFP-40G-PLR4</t>
  </si>
  <si>
    <t>40G QSFP+ transceiver, up to 10km over parallel single-mode (4x10G LR up to 10km) MTP-12</t>
  </si>
  <si>
    <t>PWR-500AC-F</t>
  </si>
  <si>
    <t>PWR-500AC-R</t>
  </si>
  <si>
    <t>PWR-500AC-F#</t>
  </si>
  <si>
    <t>PWR-500AC-R#</t>
  </si>
  <si>
    <t>KIT-4POST-NT</t>
  </si>
  <si>
    <t>AOC-S-S-10G-3M</t>
  </si>
  <si>
    <t>SFP+ to SFP+ 10GbE Active Optical Cable 3 meter</t>
  </si>
  <si>
    <t>AOC-S-S-10G-5M</t>
  </si>
  <si>
    <t>SFP+ to SFP+ 10GbE Active Optical Cable 5 meter</t>
  </si>
  <si>
    <t>AOC-S-S-10G-7M</t>
  </si>
  <si>
    <t>SFP+ to SFP+ 10GbE Active Optical Cable 7 meter</t>
  </si>
  <si>
    <t>AOC-S-S-10G-10M</t>
  </si>
  <si>
    <t>SFP+ to SFP+ 10GbE Active Optical Cable 10 meter</t>
  </si>
  <si>
    <t>AOC-S-S-10G-15M</t>
  </si>
  <si>
    <t>SFP+ to SFP+ 10GbE Active Optical Cable 15 meter</t>
  </si>
  <si>
    <t>AOC-S-S-10G-20M</t>
  </si>
  <si>
    <t>SFP+ to SFP+ 10GbE Active Optical Cable 20 meter</t>
  </si>
  <si>
    <t>AOC-S-S-10G-25M</t>
  </si>
  <si>
    <t>SFP+ to SFP+ 10GbE Active Optical Cable 25 meter</t>
  </si>
  <si>
    <t>AOC-S-S-10G-30M</t>
  </si>
  <si>
    <t>SFP+ to SFP+ 10GbE Active Optical Cable 30 meter</t>
  </si>
  <si>
    <t>KIT-7010</t>
  </si>
  <si>
    <t>SVC-7010T-1M-NB</t>
  </si>
  <si>
    <t>SVC-7010T-1M-4H</t>
  </si>
  <si>
    <t>1-Month A-Care Software &amp; 24x7x4 Hour Hardware Replacement for 7010T-48</t>
  </si>
  <si>
    <t>SVC-7010T-1M-2H</t>
  </si>
  <si>
    <t>1-Month A-Care Software &amp; 24x7x2 Hour Hardware Replacement for 7010T-48</t>
  </si>
  <si>
    <t>SVC-7010T-1M-SHR</t>
  </si>
  <si>
    <t>SVC-7010T-1M-SH4</t>
  </si>
  <si>
    <t>QSFP-40G-UNIV</t>
  </si>
  <si>
    <t>40G QSFP+ Universal transceiver, up to 150m over OM3 duplex, or 500m over duplex single-mode fiber</t>
  </si>
  <si>
    <t>CAB-Q-Q-1M</t>
  </si>
  <si>
    <t>SVE-TRAIN-ONSITE</t>
  </si>
  <si>
    <t>PWR-745AC-F</t>
  </si>
  <si>
    <t>PWR-745AC-R</t>
  </si>
  <si>
    <t>PWR-745AC-F#</t>
  </si>
  <si>
    <t>PWR-745AC-R#</t>
  </si>
  <si>
    <t>QSFP-40G-ER4</t>
  </si>
  <si>
    <t>40GBASE-ER4 QSFP+ transceiver, up to 40km over single-mode fiber</t>
  </si>
  <si>
    <t>SVC-7010TDC-1M-NB</t>
  </si>
  <si>
    <t>1 Month A-Care Software &amp; NBD Hardware Replacement/Same Day Ship for 7010T-48-DC</t>
  </si>
  <si>
    <t>SVC-7010TDC-1M-4H</t>
  </si>
  <si>
    <t>1-Month A-Care Software &amp; 24x7x4 Hour Hardware Replacement for 7010T-48-DC</t>
  </si>
  <si>
    <t>SVC-7010TDC-1M-2H</t>
  </si>
  <si>
    <t>1-Month A-Care Software &amp; 24x7x2 Hour Hardware Replacement for 7010T-48-DC</t>
  </si>
  <si>
    <t>SVC-7010TDC-1M-SHR</t>
  </si>
  <si>
    <t>SVC-7010TDC-1M-SH4</t>
  </si>
  <si>
    <t>QSFP-100G-LRL4</t>
  </si>
  <si>
    <t>100GBASE-LRL4 QSFP Optics Module, up to 2km over SMF</t>
  </si>
  <si>
    <t>QSFP-100G-LR4</t>
  </si>
  <si>
    <t>100GBASE-LR4 QSFP Optics Module, up to 10km over SMF</t>
  </si>
  <si>
    <t>CAB-Q-Q-100G-1M</t>
  </si>
  <si>
    <t>100GbE QSFP to QSFP twinax copper cable, 1M</t>
  </si>
  <si>
    <t>CAB-Q-Q-100G-2M</t>
  </si>
  <si>
    <t>100GbE QSFP to QSFP twinax copper cable, 2M</t>
  </si>
  <si>
    <t>CAB-Q-Q-100G-3M</t>
  </si>
  <si>
    <t>100GbE QSFP to QSFP twinax copper cable, 3M</t>
  </si>
  <si>
    <t>CAB-Q-Q-100G-5M</t>
  </si>
  <si>
    <t>100GbE QSFP to QSFP twinax copper cable, 5M</t>
  </si>
  <si>
    <t>DCS-7504N-CH</t>
  </si>
  <si>
    <t>PWR-500-DC-F</t>
  </si>
  <si>
    <t>PWR-500-DC-F#</t>
  </si>
  <si>
    <t>PWR-500-DC-R</t>
  </si>
  <si>
    <t>PWR-500-DC-R#</t>
  </si>
  <si>
    <t>SFP-10G-DZ-T</t>
  </si>
  <si>
    <t>10GBASE-DWDM 80KM tunable SFP+ Optics Module (50-GHz ITU grid)</t>
  </si>
  <si>
    <t>SS-EOS-Enh-FIX1-1M</t>
  </si>
  <si>
    <t>SS-EOS-Enh-FIX2-1M</t>
  </si>
  <si>
    <t>SS-EOS-CV-FIX-1</t>
  </si>
  <si>
    <t>SS-EOS-CV-FIX-2</t>
  </si>
  <si>
    <t>SS-CV-SWITCH-LAB-1M</t>
  </si>
  <si>
    <t>DCS-7060CX-32S-F</t>
  </si>
  <si>
    <t>DCS-7060CX-32S-R</t>
  </si>
  <si>
    <t>Arista 7060X, 32x100GbE QSFP &amp; 2xSFP+ switch, rear-to-front air, 2xAC, 2xC13-C14 cords</t>
  </si>
  <si>
    <t>DCS-7060CX-32S#</t>
  </si>
  <si>
    <t>Arista 7060X, 32x100GbE QSFP &amp; 2xSFP+ switch, configurable fans and psu, 2 x C13-C14 cords</t>
  </si>
  <si>
    <t>SVC-7060CX-32S-1M-NB</t>
  </si>
  <si>
    <t>1 Month A-Care Software &amp; NBD Hardware Replacement/Same Day Ship for 7060CX-32S</t>
  </si>
  <si>
    <t>SVC-7060CX-32S-1M-4H</t>
  </si>
  <si>
    <t>1-Month A-Care Software &amp; 24x7x4 Hour Hardware Replacement for 7060CX-32S</t>
  </si>
  <si>
    <t>SVC-7060CX-32S-1M-2H</t>
  </si>
  <si>
    <t>1-Month A-Care Software &amp; 24x7x2 Hour Hardware Replacement for 7060CX-32S</t>
  </si>
  <si>
    <t>SVC-7060CX-32S-1M-SHR</t>
  </si>
  <si>
    <t>SVC-7060CX-32S-1M-SH4</t>
  </si>
  <si>
    <t>QSFP-100G-SR4</t>
  </si>
  <si>
    <t>100GBASE-SR4 QSFP100 transceiver, up to 70m over parallel OM3 or 100m over OM4 multi-mode fiber</t>
  </si>
  <si>
    <t>AOC-Q-Q-100G-3M</t>
  </si>
  <si>
    <t>QSFP100 to QSFP100 100GbE Active Optical Cable 3 meter</t>
  </si>
  <si>
    <t>AOC-Q-Q-100G-5M</t>
  </si>
  <si>
    <t>QSFP100 to QSFP100 100GbE Active Optical Cable 5 meter</t>
  </si>
  <si>
    <t>AOC-Q-Q-100G-7M</t>
  </si>
  <si>
    <t>QSFP100 to QSFP100 100GbE Active Optical Cable 7 meter</t>
  </si>
  <si>
    <t>AOC-Q-Q-100G-10M</t>
  </si>
  <si>
    <t>QSFP100 to QSFP100 100GbE Active Optical Cable 10 meter</t>
  </si>
  <si>
    <t>AOC-Q-Q-100G-15M</t>
  </si>
  <si>
    <t>QSFP100 to QSFP100 100GbE Active Optical Cable 15 meter</t>
  </si>
  <si>
    <t>AOC-Q-Q-100G-20M</t>
  </si>
  <si>
    <t>QSFP100 to QSFP100 100GbE Active Optical Cable 20 meter</t>
  </si>
  <si>
    <t>AOC-Q-Q-100G-25M</t>
  </si>
  <si>
    <t>QSFP100 to QSFP100 100GbE Active Optical Cable 25 meter</t>
  </si>
  <si>
    <t>AOC-Q-Q-100G-30M</t>
  </si>
  <si>
    <t>QSFP100 to QSFP100 100GbE Active Optical Cable 30 meter</t>
  </si>
  <si>
    <t>LIC-FIX-1-EOS-IPSEC</t>
  </si>
  <si>
    <t>QSFP-40G-SRBD</t>
  </si>
  <si>
    <t>40GBASE-SRBD Bidirectional QSFP+ transceiver, up to 100m over duplex OM3 or 150m over duplex OM4 multi-mode fiber</t>
  </si>
  <si>
    <t>LIC-MOD-1-MACSEC</t>
  </si>
  <si>
    <t>PWR-1900AC-F</t>
  </si>
  <si>
    <t>Spare 1900W AC power supply for Arista 7000 Series 2U switches (front to rear airflow)</t>
  </si>
  <si>
    <t>PWR-1900AC-F#</t>
  </si>
  <si>
    <t>Configurable 1900W AC power supply for Arista 7000 Series 2U switches (front to rear airflow)</t>
  </si>
  <si>
    <t>PWR-1900AC-R</t>
  </si>
  <si>
    <t>Spare 1900W AC power supply for Arista 7000 Series 2U switches (rear to front airflow)</t>
  </si>
  <si>
    <t>PWR-1900AC-R#</t>
  </si>
  <si>
    <t>Configurable 1900W AC power supply for Arista 7000 Series 2U switches (rear to front airflow)</t>
  </si>
  <si>
    <t>FAN-7002H-F</t>
  </si>
  <si>
    <t>FAN-7002H-R</t>
  </si>
  <si>
    <t>Spare high speed fan module for Arista 7260X / 7280R 2RU and 7320X switches (rear to front airflow)</t>
  </si>
  <si>
    <t>FAN-7002H-F#</t>
  </si>
  <si>
    <t>FAN-7002H-R#</t>
  </si>
  <si>
    <t>Configurable high speed fan module for Arista 7260X / 7280R 2RU and 7320X switches (rear to front airflow)</t>
  </si>
  <si>
    <t>PWR-3KT-AC-BLUE</t>
  </si>
  <si>
    <t>Spare 3kW Titanium AC Power Supply for 7300 series (blue handle)</t>
  </si>
  <si>
    <t>PWR-3KT-AC-BLUE#</t>
  </si>
  <si>
    <t>Configurable 3kW Titanium AC Power Supply for 7300 series (blue handle)</t>
  </si>
  <si>
    <t>Spare high speed fan module for Arista 7260X 2RU and 7320X switches (front to rear airflow)</t>
  </si>
  <si>
    <t>Configurable high speed fan module for Arista 7260X 2RU and 7320X switches (front to rear airflow)</t>
  </si>
  <si>
    <t>1 Month A-Care Software &amp; NBD Hardware Replacement/Same Day Ship for 7324X</t>
  </si>
  <si>
    <t>SVC-7324X-1M-4H</t>
  </si>
  <si>
    <t>1-Month A-Care Software &amp; 24x7x4 Hour Hardware Replacement for 7324X</t>
  </si>
  <si>
    <t>SVC-7324X-1M-2H</t>
  </si>
  <si>
    <t>1-Month A-Care Software &amp; 24x7x2 Hour Hardware Replacement for 7324X</t>
  </si>
  <si>
    <t>SVC-7324X-1M-SHR</t>
  </si>
  <si>
    <t>SVC-7324X-1M-SH4</t>
  </si>
  <si>
    <t>SVC-7260CX-64-1M-NB</t>
  </si>
  <si>
    <t>1 Month A-Care Software &amp; NBD Hardware Replacement/Same Day Ship for 7260CX-64</t>
  </si>
  <si>
    <t>SVC-7260CX-64-1M-4H</t>
  </si>
  <si>
    <t>1-Month A-Care Software &amp; 24x7x4 Hour Hardware Replacement for 7260CX-64</t>
  </si>
  <si>
    <t>SVC-7260CX-64-1M-2H</t>
  </si>
  <si>
    <t>1-Month A-Care Software &amp; 24x7x2 Hour Hardware Replacement for 7260CX-64</t>
  </si>
  <si>
    <t>SVC-7260CX-64-1M-SHR</t>
  </si>
  <si>
    <t>SVC-7260CX-64-1M-SH4</t>
  </si>
  <si>
    <t>LIC-FIX-4-E</t>
  </si>
  <si>
    <t>LIC-FIX-4-V</t>
  </si>
  <si>
    <t>LIC-FIX-4-Z</t>
  </si>
  <si>
    <t>Arista 7508N empty chassis, 2 Supervisor slots, 8 line card slots, 6 Fabric Module slots, AC or DC option</t>
  </si>
  <si>
    <t>DCS-7500-SUP2</t>
  </si>
  <si>
    <t>Supervisor-2 module for 7500 Series (spare)</t>
  </si>
  <si>
    <t>DCS-7500-SUP2#</t>
  </si>
  <si>
    <t>Supervisor-2 module for 7500 Series (ships in chassis)</t>
  </si>
  <si>
    <t>PWR-3KT-AC-RED</t>
  </si>
  <si>
    <t>Spare 3kW Titanium AC Power Supply for 7300 and 7500N series (red handle)</t>
  </si>
  <si>
    <t>PWR-3KT-AC-RED#</t>
  </si>
  <si>
    <t>Configurable 3kW Titanium AC Power Supply for 7300 and 7500N series (red handle)</t>
  </si>
  <si>
    <t>QSFP-100G-CWDM4</t>
  </si>
  <si>
    <t>100GBASE-CWDM4 QSFP100 transceiver, up to 2km over single-mode fiber</t>
  </si>
  <si>
    <t>CAB-Q-4S-100G-1M</t>
  </si>
  <si>
    <t>100GbE QSFP100 to 4 x 25GbE SFP25 twinax copper cable, 1M</t>
  </si>
  <si>
    <t>CAB-Q-4S-100G-2M</t>
  </si>
  <si>
    <t>100GbE QSFP100 to 4 x 25GbE SFP25 twinax copper cable, 2M</t>
  </si>
  <si>
    <t>CAB-Q-4S-100G-3M</t>
  </si>
  <si>
    <t>100GbE QSFP100 to 4 x 25GbE SFP25 twinax copper cable, 3M</t>
  </si>
  <si>
    <t>PWR-1900-DC-F</t>
  </si>
  <si>
    <t>Spare 1900W DC power supply for Arista 7000 Series 2U switches (front to rear airflow)</t>
  </si>
  <si>
    <t>PWR-1900-DC-F#</t>
  </si>
  <si>
    <t>Configurable 1900W DC power supply for Arista 7000 Series 2U switches (front to rear airflow)</t>
  </si>
  <si>
    <t>1 Month A-Care Software &amp; NBD Hardware Replacement/Same Day Ship for DCA-CV Appliance</t>
  </si>
  <si>
    <t>SVC-7280SR-48C6-1M-NB</t>
  </si>
  <si>
    <t>1 Month A-Care Software &amp; NBD Hardware Replacement/Same Day Ship for 7280SR-48C6</t>
  </si>
  <si>
    <t>SVC-7280SR-48C6-1M-4H</t>
  </si>
  <si>
    <t>1-Month A-Care Software &amp; 24x7x4 Hour Hardware Replacement for 7280SR-48C6</t>
  </si>
  <si>
    <t>SVC-7280SR-48C6-1M-2H</t>
  </si>
  <si>
    <t>1-Month A-Care Software &amp; 24x7x2 Hour Hardware Replacement for 7280SR-48C6</t>
  </si>
  <si>
    <t>OSV-7280SR-48C6-1M-NB</t>
  </si>
  <si>
    <t>Onsite Service: 1 Month A-Care Software &amp; NBD Hardware Replacement/Same Day Ship for 7280SR-48C6</t>
  </si>
  <si>
    <t>OSV-7280SR-48C6-1M-4H</t>
  </si>
  <si>
    <t>Onsite Service: 1-Month A-Care Software &amp; 24x7x4 Hour Hardware Replacement for 7280SR-48C6</t>
  </si>
  <si>
    <t>SVC-7280SR-48C6-1M-SHR</t>
  </si>
  <si>
    <t>SVC-7280SR-48C6-1M-SH4</t>
  </si>
  <si>
    <t>SVC-7280TR-48C6-1M-NB</t>
  </si>
  <si>
    <t>1 Month A-Care Software &amp; NBD Hardware Replacement/Same Day Ship for 7280TR-48C6</t>
  </si>
  <si>
    <t>SVC-7280TR-48C6-1M-4H</t>
  </si>
  <si>
    <t>1-Month A-Care Software &amp; 24x7x4 Hour Hardware Replacement for 7280TR-48C6</t>
  </si>
  <si>
    <t>SVC-7280TR-48C6-1M-2H</t>
  </si>
  <si>
    <t>1-Month A-Care Software &amp; 24x7x2 Hour Hardware Replacement for 7280TR-48C6</t>
  </si>
  <si>
    <t>OSV-7280TR-48C6-1M-NB</t>
  </si>
  <si>
    <t>Onsite Service: 1 Month A-Care Software &amp; NBD Hardware Replacement/Same Day Ship for 7280TR-48C6</t>
  </si>
  <si>
    <t>OSV-7280TR-48C6-1M-4H</t>
  </si>
  <si>
    <t>Onsite Service: 1-Month A-Care Software &amp; 24x7x4 Hour Hardware Replacement for 7280TR-48C6</t>
  </si>
  <si>
    <t>SVC-7280TR-48C6-1M-SHR</t>
  </si>
  <si>
    <t>SVC-7280TR-48C6-1M-SH4</t>
  </si>
  <si>
    <t>SVC-7280QR-36-1M-NB</t>
  </si>
  <si>
    <t>1 Month A-Care Software &amp; NBD Hardware Replacement/Same Day Ship for 7280QR-C36</t>
  </si>
  <si>
    <t>SVC-7280QR-36-1M-4H</t>
  </si>
  <si>
    <t>1-Month A-Care Software &amp; 24x7x4 Hour Hardware Replacement for 7280QR-C36</t>
  </si>
  <si>
    <t>SVC-7280QR-36-1M-2H</t>
  </si>
  <si>
    <t>1-Month A-Care Software &amp; 24x7x2 Hour Hardware Replacement for 7280QR-C36</t>
  </si>
  <si>
    <t>OSV-7280QR-36-1M-NB</t>
  </si>
  <si>
    <t>Onsite Service: 1 Month A-Care Software &amp; NBD Hardware Replacement/Same Day Ship for 7280QR-C36</t>
  </si>
  <si>
    <t>OSV-7280QR-36-1M-4H</t>
  </si>
  <si>
    <t>Onsite Service: 1-Month A-Care Software &amp; 24x7x4 Hour Hardware Replacement for 7280QR-C36</t>
  </si>
  <si>
    <t>SVC-7280QR-36-1M-SHR</t>
  </si>
  <si>
    <t>SVC-7280QR-36-1M-SH4</t>
  </si>
  <si>
    <t>SVC-7280CR-48-1M-NB</t>
  </si>
  <si>
    <t>1 Month A-Care Software &amp; NBD Hardware Replacement/Same Day Ship for 7280CR-48</t>
  </si>
  <si>
    <t>SVC-7280CR-48-1M-4H</t>
  </si>
  <si>
    <t>1-Month A-Care Software &amp; 24x7x4 Hour Hardware Replacement for 7280CR-48</t>
  </si>
  <si>
    <t>SVC-7280CR-48-1M-2H</t>
  </si>
  <si>
    <t>1-Month A-Care Software &amp; 24x7x2 Hour Hardware Replacement for 7280CR-48</t>
  </si>
  <si>
    <t>OSV-7280CR-48-1M-NB</t>
  </si>
  <si>
    <t>OSV-7280CR-48-1M-4H</t>
  </si>
  <si>
    <t>SVC-7280CR-48-1M-SHR</t>
  </si>
  <si>
    <t>SVC-7280CR-48-1M-SH4</t>
  </si>
  <si>
    <t>SVC-7504R-1M-NB</t>
  </si>
  <si>
    <t>1-Month A-Care Software &amp; 8x5xNBD Hardware Replacement/Same Day Ship for 7504R</t>
  </si>
  <si>
    <t>SVC-7504R-1M-4H</t>
  </si>
  <si>
    <t>1-Month A-Care 24x7x4 Software &amp; Hardware Replacement for 7504R</t>
  </si>
  <si>
    <t>SVC-7504R-1M-2H</t>
  </si>
  <si>
    <t>1-Month A-Care 24x7x2 Software &amp; Hardware Replacement for 7504R</t>
  </si>
  <si>
    <t>SVC-7504R-1M-SHR</t>
  </si>
  <si>
    <t>SVC-7504R-1M-SH4</t>
  </si>
  <si>
    <t>OSV-7504R-1M-NB</t>
  </si>
  <si>
    <t>Onsite Service: 1-Month A-Care Software &amp; 8x5xNBD Hardware Replacement/Same Day Ship for 7504R</t>
  </si>
  <si>
    <t>OSV-7504R-1M-4H</t>
  </si>
  <si>
    <t>Onsite Service: 1-Month A-Care 24x7x4 Software &amp; Hardware Replacement for 7504R</t>
  </si>
  <si>
    <t>SVC-7508R-1M-NB</t>
  </si>
  <si>
    <t>1-Month A-Care Software &amp; 8x5xNBD Hardware Replacement/Same Day Ship for 7508R</t>
  </si>
  <si>
    <t>SVC-7508R-1M-4H</t>
  </si>
  <si>
    <t>1-Month A-Care 24x7x4 Software &amp; Hardware Replacement for 7508R</t>
  </si>
  <si>
    <t>SVC-7508R-1M-2H</t>
  </si>
  <si>
    <t>1-Month A-Care 24x7x2 Software &amp; Hardware Replacement for 7508R</t>
  </si>
  <si>
    <t>SVC-7508R-1M-SHR</t>
  </si>
  <si>
    <t>SVC-7508R-1M-SH4</t>
  </si>
  <si>
    <t>OSV-7508R-1M-NB</t>
  </si>
  <si>
    <t>Onsite Service: 1-Month A-Care Software &amp; 8x5xNBD Hardware Replacement/Same Day Ship for 7508R</t>
  </si>
  <si>
    <t>OSV-7508R-1M-4H</t>
  </si>
  <si>
    <t>Onsite Service: 1-Month A-Care 24x7x4 Software &amp; Hardware Replacement for 7508R</t>
  </si>
  <si>
    <t>LIC-FIX-2-FLX</t>
  </si>
  <si>
    <t>LIC-FIX-4-FLX</t>
  </si>
  <si>
    <t>LIC-MOD-1-FLX</t>
  </si>
  <si>
    <t>LIC-MOD-2-FLX</t>
  </si>
  <si>
    <t>OSV-7508E-1M-NB</t>
  </si>
  <si>
    <t>Onsite Service: 1-Month A-Care Software &amp; 8x5xNBD Hardware Replacement/Same Day Ship for 7508E</t>
  </si>
  <si>
    <t>OSV-7508E-1M-4H</t>
  </si>
  <si>
    <t>Onsite Service: 1-Month A-Care 24x7x4 Software &amp; Hardware Replacement for 7508E</t>
  </si>
  <si>
    <t>OSV-7504E-1M-NB</t>
  </si>
  <si>
    <t>Onsite Service: 1-Month A-Care Software &amp; 8x5xNBD Hardware Replacement/Same Day Ship for 7504E</t>
  </si>
  <si>
    <t>OSV-7504E-1M-4H</t>
  </si>
  <si>
    <t>Onsite Service: 1-Month A-Care 24x7x4 Software &amp; Hardware Replacement for 7504E</t>
  </si>
  <si>
    <t>OSV-7324X-1M-4H</t>
  </si>
  <si>
    <t>Onsite Service: 1-Month A-Care Software &amp; 24x7x4 Hour Hardware Replacement for 7324X</t>
  </si>
  <si>
    <t>OSV-7308X-1M-NB</t>
  </si>
  <si>
    <t>Onsite Service: 1-Month A-Care Software &amp; NBD Hardware Replacement/Same Day Ship for 7308X</t>
  </si>
  <si>
    <t>OSV-7308X-1M-4H</t>
  </si>
  <si>
    <t>Onsite Service: 1-Month A-Care Software &amp; 24x7x4 Hour Hardware Replacement for 7308X</t>
  </si>
  <si>
    <t>OSV-7304X-1M-NB</t>
  </si>
  <si>
    <t>Onsite Service: 1-Month A-Care Software &amp; NBD Hardware Replacement/Same Day Ship for 7304X</t>
  </si>
  <si>
    <t>OSV-7304X-1M-4H</t>
  </si>
  <si>
    <t>Onsite Service: 1-Month A-Care Software &amp; 24x7x4 Hour Hardware Replacement for 7304X</t>
  </si>
  <si>
    <t>OSV-7260CX-64-1M-NB</t>
  </si>
  <si>
    <t>Onsite Service: 1 Month A-Care Software &amp; NBD Hardware Replacement/Same Day Ship for 7260CX-64</t>
  </si>
  <si>
    <t>OSV-7260CX-64-1M-4H</t>
  </si>
  <si>
    <t>Onsite Service: 1-Month A-Care Software &amp; 24x7x4 Hour Hardware Replacement for 7260CX-64</t>
  </si>
  <si>
    <t>OSV-7260QX-64-1M-NB</t>
  </si>
  <si>
    <t>Onsite Service: 1 Month A-Care Software &amp; NBD Hardware Replacement/Same Day Ship for 7260QX-64</t>
  </si>
  <si>
    <t>OSV-7260QX-64-1M-4H</t>
  </si>
  <si>
    <t>Onsite Service: 1-Month A-Care Software &amp; 24x7x4 Hour Hardware Replacement for 7260QX-64</t>
  </si>
  <si>
    <t>OSV-7060CX-32S-1M-NB</t>
  </si>
  <si>
    <t>Onsite Service: 1 Month A-Care Software &amp; NBD Hardware Replacement/Same Day Ship for 7060CX-32S</t>
  </si>
  <si>
    <t>OSV-7060CX-32S-1M-4H</t>
  </si>
  <si>
    <t>Onsite Service: 1-Month A-Care Software &amp; 24x7x4 Hour Hardware Replacement for 7060CX-32S</t>
  </si>
  <si>
    <t>OSV-7010T-1M-NB</t>
  </si>
  <si>
    <t>Onsite Service: 1-Month A-Care Software &amp; NBD Hardware Replacement/Same Day Ship for 7010T-48</t>
  </si>
  <si>
    <t>OSV-7010T-1M-4H</t>
  </si>
  <si>
    <t>Onsite Service: 1-Month A-Care Software &amp; 24x7x4 Hour Hardware Replacement for 7010T-48</t>
  </si>
  <si>
    <t>OSV-7010TDC-1M-NB</t>
  </si>
  <si>
    <t>Onsite Service: 1-Month A-Care Software &amp; NBD Hardware Replacement/Same Day Ship for 7010T-48-DC</t>
  </si>
  <si>
    <t>OSV-7010TDC-1M-4H</t>
  </si>
  <si>
    <t>Onsite Service: 1-Month A-Care Software &amp; 24x7x4 Hour Hardware Replacement for 7010T-48-DC</t>
  </si>
  <si>
    <t>OSV-7280QR-36M-1M-NB</t>
  </si>
  <si>
    <t>Onsite Service: 1 Month A-Care Software &amp; NBD Hardware Replacement/Same Day Ship for 7280QR-C36-M</t>
  </si>
  <si>
    <t>OSV-7280QR-36M-1M-4H</t>
  </si>
  <si>
    <t>Onsite Service: 1-Month A-Care Software &amp; 24x7x4 Hour Hardware Replacement for 7280QR-C36-M</t>
  </si>
  <si>
    <t>OSV-7280TR-48C6M-1M-NB</t>
  </si>
  <si>
    <t>Onsite Service: 1 Month A-Care Software &amp; NBD Hardware Replacement/Same Day Ship for 7280TR-48C6-M</t>
  </si>
  <si>
    <t>OSV-7280TR-48C6M-1M-4H</t>
  </si>
  <si>
    <t>Onsite Service: 1-Month A-Care Software &amp; 24x7x4 Hour Hardware Replacement for 7280TR-48C6-M</t>
  </si>
  <si>
    <t>OSV-7280SR-48C6M-1M-NB</t>
  </si>
  <si>
    <t>Onsite Service: 1 Month A-Care Software &amp; NBD Hardware Replacement/Same Day Ship for 7280SR-48C6-M</t>
  </si>
  <si>
    <t>OSV-7280SR-48C6M-1M-4H</t>
  </si>
  <si>
    <t>Onsite Service: 1-Month A-Care Software &amp; 24x7x4 Hour Hardware Replacement for 7280SR-48C6-M</t>
  </si>
  <si>
    <t>SVC-7280SR-48C6M-1M-NB</t>
  </si>
  <si>
    <t>1 Month A-Care Software &amp; NBD Hardware Replacement/Same Day Ship for 7280SR-48C6-M</t>
  </si>
  <si>
    <t>SVC-7280SR-48C6M-1M-4H</t>
  </si>
  <si>
    <t>1-Month A-Care Software &amp; 24x7x4 Hour Hardware Replacement for 7280SR-48C6-M</t>
  </si>
  <si>
    <t>SVC-7280SR-48C6M-1M-2H</t>
  </si>
  <si>
    <t>1-Month A-Care Software &amp; 24x7x2 Hour Hardware Replacement for 7280SR-48C6-M</t>
  </si>
  <si>
    <t>SVC-7280SR-48C6M-1M-SHR</t>
  </si>
  <si>
    <t>SVC-7280SR-48C6M-1M-SH4</t>
  </si>
  <si>
    <t>SVC-7280TR-48C6M-1M-NB</t>
  </si>
  <si>
    <t>1 Month A-Care Software &amp; NBD Hardware Replacement/Same Day Ship for 7280TR-48C6-M</t>
  </si>
  <si>
    <t>SVC-7280TR-48C6M-1M-4H</t>
  </si>
  <si>
    <t>1-Month A-Care Software &amp; 24x7x4 Hour Hardware Replacement for 7280TR-48C6-M</t>
  </si>
  <si>
    <t>SVC-7280TR-48C6M-1M-2H</t>
  </si>
  <si>
    <t>1-Month A-Care Software &amp; 24x7x2 Hour Hardware Replacement for 7280TR-48C6-M</t>
  </si>
  <si>
    <t>SVC-7280TR-48C6M-1M-SHR</t>
  </si>
  <si>
    <t>SVC-7280TR-48C6M-1M-SH4</t>
  </si>
  <si>
    <t>SVC-7280QR-36M-1M-NB</t>
  </si>
  <si>
    <t>1 Month A-Care Software &amp; NBD Hardware Replacement/Same Day Ship for 7280QR-C36-M</t>
  </si>
  <si>
    <t>SVC-7280QR-36M-1M-4H</t>
  </si>
  <si>
    <t>1-Month A-Care Software &amp; 24x7x4 Hour Hardware Replacement for 7280QR-C36-M</t>
  </si>
  <si>
    <t>SVC-7280QR-36M-1M-2H</t>
  </si>
  <si>
    <t>1-Month A-Care Software &amp; 24x7x2 Hour Hardware Replacement for 7280QR-C36-M</t>
  </si>
  <si>
    <t>SVC-7280QR-36M-1M-SHR</t>
  </si>
  <si>
    <t>SVC-7280QR-36M-1M-SH4</t>
  </si>
  <si>
    <t>LIC-MOD-3-FLX</t>
  </si>
  <si>
    <t>1 Month A-Care Software &amp; NBD Hardware Replacement/Same Day Ship for 7328X</t>
  </si>
  <si>
    <t>SVC-7328X-1M-4H</t>
  </si>
  <si>
    <t>1-Month A-Care Software &amp; 24x7x4 Hour Hardware Replacement for 7328X</t>
  </si>
  <si>
    <t>SVC-7328X-1M-2H</t>
  </si>
  <si>
    <t>1-Month A-Care Software &amp; 24x7x2 Hour Hardware Replacement for 7328X</t>
  </si>
  <si>
    <t>SVC-7328X-1M-SHR</t>
  </si>
  <si>
    <t>SVC-7328X-1M-SH4</t>
  </si>
  <si>
    <t>SVC-7512R-1M-NB</t>
  </si>
  <si>
    <t>1-Month A-Care Software &amp; 8x5xNBD Hardware Replacement/Same Day Ship for 7512R</t>
  </si>
  <si>
    <t>SVC-7512R-1M-4H</t>
  </si>
  <si>
    <t>1-Month A-Care 24x7x4 Software &amp; Hardware Replacement for 7512R</t>
  </si>
  <si>
    <t>SVC-7512R-1M-2H</t>
  </si>
  <si>
    <t>1-Month A-Care 24x7x2 Software &amp; Hardware Replacement for 7512R</t>
  </si>
  <si>
    <t>OSV-7512R-1M-NB</t>
  </si>
  <si>
    <t>Onsite Service: 1-Month A-Care Software &amp; 8x5xNBD Hardware Replacement/Same Day Ship for 7512R</t>
  </si>
  <si>
    <t>OSV-7512R-1M-4H</t>
  </si>
  <si>
    <t>Onsite Service: 1-Month A-Care 24x7x4 Software &amp; Hardware Replacement for 7512R</t>
  </si>
  <si>
    <t>SVC-7512R-1M-SHR</t>
  </si>
  <si>
    <t>SVC-7512R-1M-SH4</t>
  </si>
  <si>
    <t>SVC-7308XT-1M-NB</t>
  </si>
  <si>
    <t>1 Month A-Care Software &amp; NBD Hardware Replacement/Same Day Ship for 7308XT</t>
  </si>
  <si>
    <t>SVC-7308XT-1M-4H</t>
  </si>
  <si>
    <t>1-Month A-Care Software &amp; 24x7x4 Hour Hardware Replacement for 7308XT</t>
  </si>
  <si>
    <t>SVC-7308XT-1M-2H</t>
  </si>
  <si>
    <t>1-Month A-Care Software &amp; 24x7x2 Hour Hardware Replacement for 7308XT</t>
  </si>
  <si>
    <t>SVC-7308XT-1M-SHR</t>
  </si>
  <si>
    <t>SVC-7308XT-1M-SH4</t>
  </si>
  <si>
    <t>SVC-7304XT-1M-NB</t>
  </si>
  <si>
    <t>1 Month A-Care Software &amp; NBD Hardware Replacement/Same Day Ship for 7304XT</t>
  </si>
  <si>
    <t>SVC-7304XT-1M-4H</t>
  </si>
  <si>
    <t>1-Month A-Care Software &amp; 24x7x4 Hour Hardware Replacement for 7304XT</t>
  </si>
  <si>
    <t>SVC-7304XT-1M-2H</t>
  </si>
  <si>
    <t>1-Month A-Care Software &amp; 24x7x2 Hour Hardware Replacement for 7304XT</t>
  </si>
  <si>
    <t>SVC-7304XT-1M-SHR</t>
  </si>
  <si>
    <t>SVC-7304XT-1M-SH4</t>
  </si>
  <si>
    <t>OSV-7308XT-1M-4H</t>
  </si>
  <si>
    <t>Onsite Service: 1-Month A-Care Software &amp; 24x7x4 Hour Hardware Replacement for 7308XT</t>
  </si>
  <si>
    <t>OSV-7308XT-1M-NB</t>
  </si>
  <si>
    <t>Onsite Service: 1-Month A-Care Software &amp; NBD Hardware Replacement/Same Day Ship for 7308XT</t>
  </si>
  <si>
    <t>OSV-7304XT-1M-4H</t>
  </si>
  <si>
    <t>Onsite Service: 1-Month A-Care Software &amp; 24x7x4 Hour Hardware Replacement for 7304XT</t>
  </si>
  <si>
    <t>OSV-7304XT-1M-NB</t>
  </si>
  <si>
    <t>Onsite Service: 1-Month A-Care Software &amp; NBD Hardware Replacement/Same Day Ship for 7304XT</t>
  </si>
  <si>
    <t>SVC-7280QR-C72-1M-NB</t>
  </si>
  <si>
    <t>1 Month A-Care Software &amp; NBD Hardware Replacement/Same Day Ship for 7280QR-C72</t>
  </si>
  <si>
    <t>SVC-7280QR-C72-1M-4H</t>
  </si>
  <si>
    <t>1-Month A-Care Software &amp; 24x7x4 Hour Hardware Replacement for 7280QR-C72</t>
  </si>
  <si>
    <t>SVC-7280QR-C72-1M-2H</t>
  </si>
  <si>
    <t>1-Month A-Care Software &amp; 24x7x2 Hour Hardware Replacement for 7280QR-C72</t>
  </si>
  <si>
    <t>SVC-7280QR-C72-1M-SHR</t>
  </si>
  <si>
    <t>SVC-7280QR-C72-1M-SH4</t>
  </si>
  <si>
    <t>OSV-7280QR-C72-1M-NB</t>
  </si>
  <si>
    <t>Onsite Service: 1 Month A-Care Software &amp; NBD Hardware Replacement/Same Day Ship for 7280QR-C72</t>
  </si>
  <si>
    <t>OSV-7280QR-C72-1M-4H</t>
  </si>
  <si>
    <t>Onsite Service: 1-Month A-Care Software &amp; 24x7x4 Hour Hardware Replacement for 7280QR-C72</t>
  </si>
  <si>
    <t>QSFP-100G-PSM4</t>
  </si>
  <si>
    <t>100GBASE-PSM4 QSFP transceiver, up to 500m over parallel single mode fiber</t>
  </si>
  <si>
    <t>CAB-S-S-25G-1M</t>
  </si>
  <si>
    <t>25GbE SFP25 to SFP25 twinax copper cable, 1M</t>
  </si>
  <si>
    <t>CAB-S-S-25G-2M</t>
  </si>
  <si>
    <t>25GbE SFP25 to SFP25 twinax copper cable, 2M</t>
  </si>
  <si>
    <t>CAB-S-S-25G-3M</t>
  </si>
  <si>
    <t>25GbE SFP25 to SFP25 twinax copper cable, 3M</t>
  </si>
  <si>
    <t>CAB-S-S-25G-5M</t>
  </si>
  <si>
    <t>25GbE SFP25 to SFP25 twinax copper cable, 5M</t>
  </si>
  <si>
    <t>AOC-S-S-25G-3M</t>
  </si>
  <si>
    <t>25GbE SFP25 to SFP25 Active Optical Cable, 3m</t>
  </si>
  <si>
    <t>AOC-S-S-25G-5M</t>
  </si>
  <si>
    <t>25GbE SFP25 to SFP25 Active Optical Cable, 5m</t>
  </si>
  <si>
    <t>AOC-S-S-25G-7M</t>
  </si>
  <si>
    <t>25GbE SFP25 to SFP25 Active Optical Cable, 7m</t>
  </si>
  <si>
    <t>AOC-S-S-25G-10M</t>
  </si>
  <si>
    <t>25GbE SFP25 to SFP25 Active Optical Cable, 10m</t>
  </si>
  <si>
    <t>AOC-S-S-25G-15M</t>
  </si>
  <si>
    <t>25GbE SFP25 to SFP25 Active Optical Cable, 15m</t>
  </si>
  <si>
    <t>AOC-S-S-25G-20M</t>
  </si>
  <si>
    <t>25GbE SFP25 to SFP25 Active Optical Cable, 20m</t>
  </si>
  <si>
    <t>AOC-S-S-25G-25M</t>
  </si>
  <si>
    <t>25GbE SFP25 to SFP25 Active Optical Cable, 25m</t>
  </si>
  <si>
    <t>AOC-S-S-25G-30M</t>
  </si>
  <si>
    <t>25GbE SFP25 to SFP25 Active Optical Cable, 30m</t>
  </si>
  <si>
    <t>SFP-25G-SR</t>
  </si>
  <si>
    <t>SFP-25G-LR</t>
  </si>
  <si>
    <t>25GBASE-LR SFP25 transceiver, up to 10km over single-mode fiber</t>
  </si>
  <si>
    <t>CAB-Q-4S-100G-5M</t>
  </si>
  <si>
    <t>100GbE QSFP100 to 4 x 25GbE SFP25 twinax copper cable, 5M</t>
  </si>
  <si>
    <t>DCS-7060CX2-32S-F</t>
  </si>
  <si>
    <t>Arista 7060X2, 32x100GbE QSFP &amp; 2xSFP+ switch, front-to-rear air, 2xAC, 2xC13-C14 cords</t>
  </si>
  <si>
    <t>DCS-7060CX2-32S-R</t>
  </si>
  <si>
    <t>Arista 7060X2, 32x100GbE QSFP &amp; 2xSFP+ switch, rear-to-front air, 2xAC, 2xC13-C14 cords</t>
  </si>
  <si>
    <t>DCS-7060CX2-32S#</t>
  </si>
  <si>
    <t>Arista 7060X2, 32x100GbE QSFP &amp; 2xSFP+ switch, configurable fans and psu, 2 x C13-C14 cords</t>
  </si>
  <si>
    <t>SVC-7060CX2-32S-1M-NB</t>
  </si>
  <si>
    <t>1 Month A-Care Software &amp; NBD Hardware Replacement/Same Day Ship for 7060CX2-32S</t>
  </si>
  <si>
    <t>SVC-7060CX2-32S-1M-4H</t>
  </si>
  <si>
    <t>1-Month A-Care Software &amp; 24x7x4 Hour Hardware Replacement for 7060CX2-32S</t>
  </si>
  <si>
    <t>SVC-7060CX2-32S-1M-2H</t>
  </si>
  <si>
    <t>1-Month A-Care Software &amp; 24x7x2 Hour Hardware Replacement for 7060CX2-32S</t>
  </si>
  <si>
    <t>SVC-7060CX2-32S-1M-SHR</t>
  </si>
  <si>
    <t>SVC-7060CX2-32S-1M-SH4</t>
  </si>
  <si>
    <t>OSV-7060CX2-32S-1M-NB</t>
  </si>
  <si>
    <t>Onsite Service: 1 Month A-Care Software &amp; NBD Hardware Replacement/Same Day Ship for 7060CX2-32S</t>
  </si>
  <si>
    <t>OSV-7060CX2-32S-1M-4H</t>
  </si>
  <si>
    <t>Onsite Service: 1-Month A-Care Software &amp; 24x7x4 Hour Hardware Replacement for 7060CX2-32S</t>
  </si>
  <si>
    <t>PWR-1900-DC-R</t>
  </si>
  <si>
    <t>PWR-1900-DC-R#</t>
  </si>
  <si>
    <t>DCS-7500-SUP2-D</t>
  </si>
  <si>
    <t>Supervisor-2 module for 7500 Chassis, with SSD (spare)</t>
  </si>
  <si>
    <t>DCS-7500-SUP2-D#</t>
  </si>
  <si>
    <t>SVC-7280QR-C72M-1M-2H</t>
  </si>
  <si>
    <t>1-Month A-Care Software &amp; 24x7x2 Hour Hardware Replacement for 7280QR-C72M</t>
  </si>
  <si>
    <t>SVC-7280QR-C72M-1M-4H</t>
  </si>
  <si>
    <t>1-Month A-Care Software &amp; 24x7x4 Hour Hardware Replacement for 7280QR-C72M</t>
  </si>
  <si>
    <t>SVC-7280QR-C72M-1M-NB</t>
  </si>
  <si>
    <t>1 Month A-Care Software &amp; NBD Hardware Replacement/Same Day Ship for 7280QR-C72M</t>
  </si>
  <si>
    <t>LIC-MOD-1-FLX-L</t>
  </si>
  <si>
    <t>LIC-MOD-2-FLX-L</t>
  </si>
  <si>
    <t>LIC-MOD-3-FLX-L</t>
  </si>
  <si>
    <t>LIC-MOD-4-FLX-L</t>
  </si>
  <si>
    <t>LIC-MOD-3-E</t>
  </si>
  <si>
    <t>Enhanced Software License for Arista Modular Switches - 12 slots (OSPF, BGP, PIM)</t>
  </si>
  <si>
    <t>LIC-MOD-4-E</t>
  </si>
  <si>
    <t>LIC-MOD-3-Z</t>
  </si>
  <si>
    <t>LIC-MOD-4-Z</t>
  </si>
  <si>
    <t>LIC-MOD-3-V</t>
  </si>
  <si>
    <t>Virtualization license for Arista Modular switches - 12 slots (VMTracer and VXLAN)</t>
  </si>
  <si>
    <t>LIC-MOD-4-V</t>
  </si>
  <si>
    <t>LIC-MOD-4-FLX</t>
  </si>
  <si>
    <t>LIC-FIX-1-FLX-L</t>
  </si>
  <si>
    <t>LIC-FIX-2-FLX-L</t>
  </si>
  <si>
    <t>LIC-FIX-3-FLX-L</t>
  </si>
  <si>
    <t>LIC-FIX-4-FLX-L</t>
  </si>
  <si>
    <t>LIC-FIX-3-FLX</t>
  </si>
  <si>
    <t>OSV-7324X-1M-NB</t>
  </si>
  <si>
    <t>Onsite Service: 1 Month A-Care Software &amp; NB Hardware Replacement/Same Day Ship for 7324X</t>
  </si>
  <si>
    <t>SVC-7060CX-32SD-1M-SH4</t>
  </si>
  <si>
    <t>SVC-7060CX-32SD-1M-SHR</t>
  </si>
  <si>
    <t>KIT-7010-2POST-23</t>
  </si>
  <si>
    <t>SVC-7020TR-48-1M-NB</t>
  </si>
  <si>
    <t>1 Month A-Care Software &amp; NBD Hardware Replacement/Same Day Ship for 7020TR-48</t>
  </si>
  <si>
    <t>SVC-7020TR-48-1M-4H</t>
  </si>
  <si>
    <t>1-Month A-Care Software &amp; 24x7x4 Hour Hardware Replacement for 7020TR-48</t>
  </si>
  <si>
    <t>SVC-7020TR-48-1M-2H</t>
  </si>
  <si>
    <t>1-Month A-Care Software &amp; 24x7x2 Hour Hardware Replacement for 7020TR-48</t>
  </si>
  <si>
    <t>OSV-7328X-1M-4H</t>
  </si>
  <si>
    <t>Onsite Service: 1-Month A-Care Software &amp; 24x7x4 Hour Hardware Replacement for 7328X</t>
  </si>
  <si>
    <t>OSV-7280QR-C72M-1M-NB</t>
  </si>
  <si>
    <t>Onsite Service: 1 Month A-Care Software &amp; NBD Hardware Replacement/Same Day Ship for 7280QR-C72M</t>
  </si>
  <si>
    <t>OSV-7280QR-C72M-1M-4H</t>
  </si>
  <si>
    <t>Onsite Service: 1-Month A-Care Software &amp; 24x7x4 Hour Hardware Replacement for 7280QR-C72M</t>
  </si>
  <si>
    <t>OSV-7020TR-48-1M-NB</t>
  </si>
  <si>
    <t>Onsite Service: 1 Month A-Care Software &amp; NBD Hardware Replacement/Same Day Ship for 7020TR-48</t>
  </si>
  <si>
    <t>OSV-7020TR-48-1M-4H</t>
  </si>
  <si>
    <t>Onsite Service: 1-Month A-Care Software &amp; 24x7x4 Hour Hardware Replacement for 7020TR-48</t>
  </si>
  <si>
    <t>SVC-7020TR-48-1M-SHR</t>
  </si>
  <si>
    <t>SVC-7020TR-48-1M-SH4</t>
  </si>
  <si>
    <t>KIT-7003</t>
  </si>
  <si>
    <t>SVC-7280QR-C72M-1M-SH4</t>
  </si>
  <si>
    <t>SVC-7280QR-C72M-1M-SHR</t>
  </si>
  <si>
    <t>Power Cord C19 to C20 (2m)</t>
  </si>
  <si>
    <t>Onsite Service: 1-Month A-Care Software &amp; 24x7x4 Hour Hardware Replacement for 7280CR-48</t>
  </si>
  <si>
    <t>1-Month A-Care Software &amp; NBD Hardware Replacement/Same Day Ship for 7010T-48</t>
  </si>
  <si>
    <t>Enhanced Software License for Arista Modular Switches - 8 slots (OSPF, BGP, PIM)</t>
  </si>
  <si>
    <t>Virtualization license for Arista Modular switches - 8 slots (VMTracer and VXLAN)</t>
  </si>
  <si>
    <t>EOS Subscription for 1-Month includes EOS E/V/Z/FLX-LITE Licenses and ACare SW for 1RU systems</t>
  </si>
  <si>
    <t>EOS Subscription for 1-Month includes EOS E/V/Z/FLX-LITE Licenses and ACare SW for 2RU systems</t>
  </si>
  <si>
    <t>SVC-7280SR2-48YC6-1M-NB</t>
  </si>
  <si>
    <t>1 Month A-Care Software &amp; NBD Hardware Replacement/Same Day Ship for 7280SR2-48YC6</t>
  </si>
  <si>
    <t>SVC-7280SR2-48YC6-1M-4H</t>
  </si>
  <si>
    <t>1-Month A-Care Software &amp; 24x7x4 Hour Hardware Replacement for 7280SR2-48YC6</t>
  </si>
  <si>
    <t>SVC-7280SR2-48YC6-1M-2H</t>
  </si>
  <si>
    <t>1-Month A-Care Software &amp; 24x7x2 Hour Hardware Replacement for 7280SR2-48YC6</t>
  </si>
  <si>
    <t>OSV-7280SR2-48YC6-1M-NB</t>
  </si>
  <si>
    <t>Onsite Service: 1 Month A-Care Software &amp; NBD Hardware Replacement/Same Day Ship for 7280SR2-48YC6</t>
  </si>
  <si>
    <t>OSV-7280SR2-48YC6-1M-4H</t>
  </si>
  <si>
    <t>Onsite Service: 1-Month A-Care Software &amp; 24x7x4 Hour Hardware Replacement for 7280SR2-48YC6</t>
  </si>
  <si>
    <t>SVC-7280SR2-48YC6-1M-SHR</t>
  </si>
  <si>
    <t>SVC-7280SR2-48YC6-1M-SH4</t>
  </si>
  <si>
    <t>SVC-7280SR2-48YC6M-1M-NB</t>
  </si>
  <si>
    <t>1 Month A-Care Software &amp; NBD Hardware Replacement/Same Day Ship for 7280SR2-48YC6-M</t>
  </si>
  <si>
    <t>SVC-7280SR2-48YC6M-1M-4H</t>
  </si>
  <si>
    <t>1-Month A-Care Software &amp; 24x7x4 Hour Hardware Replacement for 7280SR2-48YC6-M</t>
  </si>
  <si>
    <t>SVC-7280SR2-48YC6M-1M-2H</t>
  </si>
  <si>
    <t>1-Month A-Care Software &amp; 24x7x2 Hour Hardware Replacement for 7280SR2-48YC6-M</t>
  </si>
  <si>
    <t>OSV-7280SR2-48YC6M-1M-NB</t>
  </si>
  <si>
    <t>Onsite Service: 1 Month A-Care Software &amp; NBD Hardware Replacement/Same Day Ship for 7280SR2-48YC6-M</t>
  </si>
  <si>
    <t>OSV-7280SR2-48YC6M-1M-4H</t>
  </si>
  <si>
    <t>Onsite Service: 1-Month A-Care Software &amp; 24x7x4 Hour Hardware Replacement for 7280SR2-48YC6-M</t>
  </si>
  <si>
    <t>SVC-7280SR2-48YC6M-1M-SHR</t>
  </si>
  <si>
    <t>SVC-7280SR2-48YC6M-1M-SH4</t>
  </si>
  <si>
    <t>SVC-7280SR2A-48YC6-1M-NB</t>
  </si>
  <si>
    <t>1 Month A-Care Software &amp; NBD Hardware Replacement/Same Day Ship for 7280SR2A-48YC6</t>
  </si>
  <si>
    <t>SVC-7280SR2A-48YC6-1M-4H</t>
  </si>
  <si>
    <t>1-Month A-Care Software &amp; 24x7x4 Hour Hardware Replacement for 7280SR2A-48YC6</t>
  </si>
  <si>
    <t>SVC-7280SR2A-48YC6-1M-2H</t>
  </si>
  <si>
    <t>1-Month A-Care Software &amp; 24x7x2 Hour Hardware Replacement for 7280SR2A-48YC6</t>
  </si>
  <si>
    <t>OSV-7280SR2A-48YC6-1M-NB</t>
  </si>
  <si>
    <t>Onsite Service: 1 Month A-Care Software &amp; NBD Hardware Replacement/Same Day Ship for 7280SR2A-48YC6</t>
  </si>
  <si>
    <t>OSV-7280SR2A-48YC6-1M-4H</t>
  </si>
  <si>
    <t>Onsite Service: 1-Month A-Care Software &amp; 24x7x4 Hour Hardware Replacement for 7280SR2A-48YC6</t>
  </si>
  <si>
    <t>SVC-7280SR2A-48YC6-1M-SHR</t>
  </si>
  <si>
    <t>SVC-7280SR2A-48YC6-1M-SH4</t>
  </si>
  <si>
    <t>SVC-7280SR2A-48YC6M-1M-NB</t>
  </si>
  <si>
    <t>1 Month A-Care Software &amp; NBD Hardware Replacement/Same Day Ship for 7280SR2A-48YC6M</t>
  </si>
  <si>
    <t>SVC-7280SR2A-48YC6M-1M-4H</t>
  </si>
  <si>
    <t>1-Month A-Care Software &amp; 24x7x4 Hour Hardware Replacement for 7280SR2A-48YC6M</t>
  </si>
  <si>
    <t>SVC-7280SR2A-48YC6M-1M-2H</t>
  </si>
  <si>
    <t>1-Month A-Care Software &amp; 24x7x2 Hour Hardware Replacement for 7280SR2A-48YC6M</t>
  </si>
  <si>
    <t>OSV-7280SR2A-48YC6M-1M-NB</t>
  </si>
  <si>
    <t>Onsite Service: 1 Month A-Care Software &amp; NBD Hardware Replacement/Same Day Ship for 7280SR2A-48YC6M</t>
  </si>
  <si>
    <t>OSV-7280SR2A-48YC6M-1M-4H</t>
  </si>
  <si>
    <t>Onsite Service: 1-Month A-Care Software &amp; 24x7x4 Hour Hardware Replacement for 7280SR2A-48YC6M</t>
  </si>
  <si>
    <t>SVC-7280SR2A-48YC6M-1M-SHR</t>
  </si>
  <si>
    <t>SVC-7280SR2A-48YC6M-1M-SH4</t>
  </si>
  <si>
    <t>SVC-7280CR2-60-1M-NB</t>
  </si>
  <si>
    <t>1 Month A-Care Software &amp; NBD Hardware Replacement/Same Day Ship for 7280CR2-60</t>
  </si>
  <si>
    <t>SVC-7280CR2-60-1M-4H</t>
  </si>
  <si>
    <t>1-Month A-Care Software &amp; 24x7x4 Hour Hardware Replacement for 7280CR2-60</t>
  </si>
  <si>
    <t>SVC-7280CR2-60-1M-2H</t>
  </si>
  <si>
    <t>1-Month A-Care Software &amp; 24x7x2 Hour Hardware Replacement for 7280CR2-60</t>
  </si>
  <si>
    <t>OSV-7280CR2-60-1M-NB</t>
  </si>
  <si>
    <t>Onsite Service: 1 Month A-Care Software &amp; NBD Hardware Replacement/Same Day Ship for 7280CR2-60</t>
  </si>
  <si>
    <t>OSV-7280CR2-60-1M-4H</t>
  </si>
  <si>
    <t>Onsite Service: 1-Month A-Care Software &amp; 24x7x4 Hour Hardware Replacement for 7280CR2-60</t>
  </si>
  <si>
    <t>SVC-7280CR2-60-1M-SHR</t>
  </si>
  <si>
    <t>SVC-7280CR2-60-1M-SH4</t>
  </si>
  <si>
    <t>PWR-747AC-RED</t>
  </si>
  <si>
    <t>Spare 750 Watt AC power supply for Arista 7280R Switches (front-to-rear airflow)</t>
  </si>
  <si>
    <t>PWR-747AC-BLUE</t>
  </si>
  <si>
    <t>Spare 750 Watt AC power supply for Arista 7280R Switches (rear-to-front airflow)</t>
  </si>
  <si>
    <t>PWR-747AC-RED#</t>
  </si>
  <si>
    <t>Configurable 750 Watt AC power supply for Arista 7280R Switches (front-to-rear airflow)</t>
  </si>
  <si>
    <t>PWR-747AC-BLUE#</t>
  </si>
  <si>
    <t>Configurable 750 Watt AC power supply for Arista 7280R Switches (rear-to-front airflow)</t>
  </si>
  <si>
    <t>FAN-7000H-F</t>
  </si>
  <si>
    <t>FAN-7000H-F#</t>
  </si>
  <si>
    <t>Configurable high speed fan module for Arista 7280R 1RU switches (front to rear airflow)</t>
  </si>
  <si>
    <t>FAN-7000H-R</t>
  </si>
  <si>
    <t>FAN-7000H-R#</t>
  </si>
  <si>
    <t>Configurable high speed fan module for Arista 7280R 1RU switches (rear to front airflow)</t>
  </si>
  <si>
    <t>KIT-7516N-RK</t>
  </si>
  <si>
    <t>Configurable 4 Post Rack Kit, Arista 7512N and 7516N (Standard depth)</t>
  </si>
  <si>
    <t>KIT-7516N-RK-L</t>
  </si>
  <si>
    <t>Configurable 4 Post Rack Kit, Arista 7512N and 7516N (43in depth)</t>
  </si>
  <si>
    <t>OSV-7020TRA-48-1M-4H</t>
  </si>
  <si>
    <t>Onsite Service: 1-Month A-Care Software &amp; 24x7x4 Hour Hardware Replacement for 7020TRA-48</t>
  </si>
  <si>
    <t>OSV-7020TRA-48-1M-NB</t>
  </si>
  <si>
    <t>Onsite Service: 1 Month A-Care Software &amp; NBD Hardware Replacement/Same Day Ship for 7020TRA-48</t>
  </si>
  <si>
    <t>OSV-7280CR2A-60-1M-4H</t>
  </si>
  <si>
    <t>Onsite Service: 1-Month A-Care Software &amp; 24x7x4 Hour Hardware Replacement for 7280CR2A-60</t>
  </si>
  <si>
    <t>OSV-7280CR2A-60-1M-NB</t>
  </si>
  <si>
    <t>Onsite Service: 1 Month A-Care Software &amp; NBD Hardware Replacement/Same Day Ship for 7280CR2A-60</t>
  </si>
  <si>
    <t>OSV-7280QRA-36S-1M-4H</t>
  </si>
  <si>
    <t>Onsite Service: 1-Month A-Care Software &amp; 24x7x4 Hour Hardware Replacement for 7280QRA-C36S</t>
  </si>
  <si>
    <t>OSV-7280QRA-36S-1M-NB</t>
  </si>
  <si>
    <t>Onsite Service: 1 Month A-Care Software &amp; NBD Hardware Replacement/Same Day Ship for 7280QRA-C36S</t>
  </si>
  <si>
    <t>OSV-7280QRA-36SM-1M-4H</t>
  </si>
  <si>
    <t>Onsite Service: 1-Month A-Care Software &amp; 24x7x4 Hour Hardware Replacement for 7280QRA-C36SM</t>
  </si>
  <si>
    <t>OSV-7280QRA-36SM-1M-NB</t>
  </si>
  <si>
    <t>Onsite Service: 1 Month A-Care Software &amp; NBD Hardware Replacement/Same Day Ship for 7280QRA-C36SM</t>
  </si>
  <si>
    <t>OSV-7280SRA-48C6-1M-4H</t>
  </si>
  <si>
    <t>Onsite Service: 1-Month A-Care Software &amp; 24x7x4 Hour Hardware Replacement for 7280SRA-48C6</t>
  </si>
  <si>
    <t>OSV-7280SRA-48C6-1M-NB</t>
  </si>
  <si>
    <t>Onsite Service: 1 Month A-Care Software &amp; NBD Hardware Replacement/Same Day Ship for 7280SRA-48C6</t>
  </si>
  <si>
    <t>OSV-7280SRA-48C6M-1M-4H</t>
  </si>
  <si>
    <t>OSV-7280SRA-48C6M-1M-NB</t>
  </si>
  <si>
    <t>OSV-7280TRA-48C6-1M-4H</t>
  </si>
  <si>
    <t>Onsite Service: 1-Month A-Care Software &amp; 24x7x4 Hour Hardware Replacement for 7280TRA-48C6</t>
  </si>
  <si>
    <t>OSV-7280TRA-48C6-1M-NB</t>
  </si>
  <si>
    <t>Onsite Service: 1 Month A-Care Software &amp; NBD Hardware Replacement/Same Day Ship for 7280TRA-48C6</t>
  </si>
  <si>
    <t>OSV-7280TRA-48C6M-1M-4H</t>
  </si>
  <si>
    <t>Onsite Service: 1-Month A-Care Software &amp; 24x7x4 Hour Hardware Replacement for 7280TRA-48C6M</t>
  </si>
  <si>
    <t>OSV-7280TRA-48C6M-1M-NB</t>
  </si>
  <si>
    <t>Onsite Service: 1 Month A-Care Software &amp; NBD Hardware Replacement/Same Day Ship for 7280TRA-48C6M</t>
  </si>
  <si>
    <t>OSV-7516R-1M-4H</t>
  </si>
  <si>
    <t>Onsite Service: 1-Month A-Care 24x7x4 Software &amp; Hardware Replacement for 7516R</t>
  </si>
  <si>
    <t>OSV-7516R-1M-NB</t>
  </si>
  <si>
    <t>Onsite Service: 1-Month A-Care Software &amp; 8x5xNBD Hardware Replacement/Same Day Ship for 7516R</t>
  </si>
  <si>
    <t>QSFP-100G-SWDM4</t>
  </si>
  <si>
    <t>100GBASE-SWDM4 QSFP transceiver, up to 70m over OM3 or 100m over OM4 duplex multi-mode fiber</t>
  </si>
  <si>
    <t>SVC-7020TRA-48-1M-2H</t>
  </si>
  <si>
    <t>1-Month A-Care Software &amp; 24x7x2 Hour Hardware Replacement for 7020TRA-48</t>
  </si>
  <si>
    <t>SVC-7020TRA-48-1M-4H</t>
  </si>
  <si>
    <t>1-Month A-Care Software &amp; 24x7x4 Hour Hardware Replacement for 7020TRA-48</t>
  </si>
  <si>
    <t>SVC-7020TRA-48-1M-NB</t>
  </si>
  <si>
    <t>1 Month A-Care Software &amp; NBD Hardware Replacement/Same Day Ship for 7020TRA-48</t>
  </si>
  <si>
    <t>SVC-7280CR2A-60-1M-2H</t>
  </si>
  <si>
    <t>1-Month A-Care Software &amp; 24x7x2 Hour Hardware Replacement for 7280CR2A-60</t>
  </si>
  <si>
    <t>SVC-7280CR2A-60-1M-4H</t>
  </si>
  <si>
    <t>1-Month A-Care Software &amp; 24x7x4 Hour Hardware Replacement for 7280CR2A-60</t>
  </si>
  <si>
    <t>SVC-7280CR2A-60-1M-NB</t>
  </si>
  <si>
    <t>1 Month A-Care Software &amp; NBD Hardware Replacement/Same Day Ship for 7280CR2A-60</t>
  </si>
  <si>
    <t>SVC-7280QRA-36S-1M-2H</t>
  </si>
  <si>
    <t>1-Month A-Care Software &amp; 24x7x2 Hour Hardware Replacement for 7280QRA-C36S</t>
  </si>
  <si>
    <t>SVC-7280QRA-36S-1M-4H</t>
  </si>
  <si>
    <t>1-Month A-Care Software &amp; 24x7x4 Hour Hardware Replacement for 7280QRA-C36S</t>
  </si>
  <si>
    <t>SVC-7280QRA-36S-1M-NB</t>
  </si>
  <si>
    <t>1 Month A-Care Software &amp; NBD Hardware Replacement/Same Day Ship for 7280QRA-C36S</t>
  </si>
  <si>
    <t>SVC-7280QRA-36SM-1M-2H</t>
  </si>
  <si>
    <t>1-Month A-Care Software &amp; 24x7x2 Hour Hardware Replacement for 7280QRA-C36SM</t>
  </si>
  <si>
    <t>SVC-7280QRA-36SM-1M-4H</t>
  </si>
  <si>
    <t>1-Month A-Care Software &amp; 24x7x4 Hour Hardware Replacement for 7280QRA-C36SM</t>
  </si>
  <si>
    <t>SVC-7280QRA-36SM-1M-NB</t>
  </si>
  <si>
    <t>1 Month A-Care Software &amp; NBD Hardware Replacement/Same Day Ship for 7280QRA-C36SM</t>
  </si>
  <si>
    <t>SVC-7280SRA-48C6-1M-2H</t>
  </si>
  <si>
    <t>1-Month A-Care Software &amp; 24x7x2 Hour Hardware Replacement for 7280SRA-48C6</t>
  </si>
  <si>
    <t>SVC-7280SRA-48C6-1M-4H</t>
  </si>
  <si>
    <t>1-Month A-Care Software &amp; 24x7x4 Hour Hardware Replacement for 7280SRA-48C6</t>
  </si>
  <si>
    <t>SVC-7280SRA-48C6-1M-NB</t>
  </si>
  <si>
    <t>1 Month A-Care Software &amp; NBD Hardware Replacement/Same Day Ship for 7280SRA-48C6</t>
  </si>
  <si>
    <t>SVC-7280SRA-48C6M-1M-2H</t>
  </si>
  <si>
    <t>SVC-7280SRA-48C6M-1M-4H</t>
  </si>
  <si>
    <t>SVC-7280SRA-48C6M-1M-NB</t>
  </si>
  <si>
    <t>SVC-7280TRA-48C6-1M-2H</t>
  </si>
  <si>
    <t>1-Month A-Care Software &amp; 24x7x2 Hour Hardware Replacement for 7280TRA-48C6</t>
  </si>
  <si>
    <t>SVC-7280TRA-48C6-1M-4H</t>
  </si>
  <si>
    <t>1-Month A-Care Software &amp; 24x7x4 Hour Hardware Replacement for 7280TRA-48C6</t>
  </si>
  <si>
    <t>SVC-7280TRA-48C6-1M-NB</t>
  </si>
  <si>
    <t>1 Month A-Care Software &amp; NBD Hardware Replacement/Same Day Ship for 7280TRA-48C6</t>
  </si>
  <si>
    <t>SVC-7280TRA-48C6M-1M-2H</t>
  </si>
  <si>
    <t>1-Month A-Care Software &amp; 24x7x2 Hour Hardware Replacement for 7280TRA-48C6M</t>
  </si>
  <si>
    <t>SVC-7280TRA-48C6M-1M-4H</t>
  </si>
  <si>
    <t>1-Month A-Care Software &amp; 24x7x4 Hour Hardware Replacement for 7280TRA-48C6M</t>
  </si>
  <si>
    <t>SVC-7280TRA-48C6M-1M-NB</t>
  </si>
  <si>
    <t>1 Month A-Care Software &amp; NBD Hardware Replacement/Same Day Ship for 7280TRA-48C6M</t>
  </si>
  <si>
    <t>SVC-7516R-1M-2H</t>
  </si>
  <si>
    <t>1-Month A-Care 24x7x2 Software &amp; Hardware Replacement for 7516R</t>
  </si>
  <si>
    <t>SVC-7516R-1M-4H</t>
  </si>
  <si>
    <t>1-Month A-Care 24x7x4 Software &amp; Hardware Replacement for 7516R</t>
  </si>
  <si>
    <t>SVC-7516R-1M-NB</t>
  </si>
  <si>
    <t>1-Month A-Care Software &amp; 8x5xNBD Hardware Replacement/Same Day Ship for 7516R</t>
  </si>
  <si>
    <t>SVC-7516R-1M-SH4</t>
  </si>
  <si>
    <t>SVC-7516R-1M-SHR</t>
  </si>
  <si>
    <t>DCS-7060SX2-48YC6-F</t>
  </si>
  <si>
    <t>Arista 7060X2, 48x25GbE SFP &amp; 6x100GbE QSFP switch, front-to-rear air, 2xAC, 2xC13-C14 cords</t>
  </si>
  <si>
    <t>DCS-7060SX2-48YC6-R</t>
  </si>
  <si>
    <t>Arista 7060X2, 48x25GbE SFP &amp; 6x100GbE QSFP switch, rear-to-front air, 2xAC, 2xC13-C14 cords</t>
  </si>
  <si>
    <t>DCS-7060SX2-48YC6#</t>
  </si>
  <si>
    <t>Arista 7060X2, 48x25GbE SFP &amp; 6x100GbE QSFP switch, configurable fans and psu</t>
  </si>
  <si>
    <t>SVC-7060SX2-48YC6-1M-NB</t>
  </si>
  <si>
    <t>1 Month A-Care Software &amp; NBD Hardware Replacement/Same Day Ship for 7060SX2-48YC6</t>
  </si>
  <si>
    <t>SVC-7060SX2-48YC6-1M-4H</t>
  </si>
  <si>
    <t>1-Month A-Care Software &amp; 24x7x4 Hour Hardware Replacement for 7060SX2-48YC6</t>
  </si>
  <si>
    <t>SVC-7060SX2-48YC6-1M-2H</t>
  </si>
  <si>
    <t>1-Month A-Care Software &amp; 24x7x2 Hour Hardware Replacement for 7060SX2-48YC6</t>
  </si>
  <si>
    <t>OSV-7060SX2-48YC6-1M-NB</t>
  </si>
  <si>
    <t>Onsite Service: 1 Month A-Care Software &amp; NBD Hardware Replacement/Same Day Ship for 7060SX2-48YC6</t>
  </si>
  <si>
    <t>OSV-7060SX2-48YC6-1M-4H</t>
  </si>
  <si>
    <t>Onsite Service: 1-Month A-Care Software &amp; 24x7x4 Hour Hardware Replacement for 7060SX2-48YC6</t>
  </si>
  <si>
    <t>SVC-7060SX2-48YC6-1M-SHR</t>
  </si>
  <si>
    <t>SVC-7060SX2-48YC6-1M-SH4</t>
  </si>
  <si>
    <t>SVC-7280CR2K-60-1M-NB</t>
  </si>
  <si>
    <t>1 Month A-Care Software &amp; NBD Hardware Replacement/Same Day Ship for 7280CR2K-60</t>
  </si>
  <si>
    <t>SVC-7280CR2K-60-1M-4H</t>
  </si>
  <si>
    <t>1-Month A-Care Software &amp; 24x7x4 Hour Hardware Replacement for 7280CR2K-60</t>
  </si>
  <si>
    <t>SVC-7280CR2K-60-1M-2H</t>
  </si>
  <si>
    <t>1-Month A-Care Software &amp; 24x7x2 Hour Hardware Replacement for 7280CR2K-60</t>
  </si>
  <si>
    <t>OSV-7280CR2K-60-1M-NB</t>
  </si>
  <si>
    <t>Onsite Service: 1 Month A-Care Software &amp; NBD Hardware Replacement/Same Day Ship for 7280CR2K-60</t>
  </si>
  <si>
    <t>OSV-7280CR2K-60-1M-4H</t>
  </si>
  <si>
    <t>Onsite Service: 1-Month A-Care Software &amp; 24x7x4 Hour Hardware Replacement for 7280CR2K-60</t>
  </si>
  <si>
    <t>SVC-7280CR2K-60-1M-SHR</t>
  </si>
  <si>
    <t>SVC-7280CR2K-60-1M-SH4</t>
  </si>
  <si>
    <t>Spare fan module for Arista 7160 and 7280R Series 1RU switches (front-to-rear airflow)</t>
  </si>
  <si>
    <t>Spare fan module for Arista 7160 and 7280R Series 1RU switches (rear-to-front airflow)</t>
  </si>
  <si>
    <t>SVC-7280SRAM-48C6-1M-NB</t>
  </si>
  <si>
    <t>1 Month A-Care Software &amp; NBD Hardware Replacement/Same Day Ship for 7280SRAM-48C6</t>
  </si>
  <si>
    <t>SVC-7280SRAM-48C6-1M-4H</t>
  </si>
  <si>
    <t>1-Month A-Care Software &amp; 24x7x4 Hour Hardware Replacement for 7280SRAM-48C6</t>
  </si>
  <si>
    <t>SVC-7280SRAM-48C6-1M-2H</t>
  </si>
  <si>
    <t>1-Month A-Care Software &amp; 24x7x2 Hour Hardware Replacement for 7280SRAM-48C6</t>
  </si>
  <si>
    <t>SVC-7280SRAM-48C6-1M-SHR</t>
  </si>
  <si>
    <t>SVC-7280SRAM-48C6-1M-SH4</t>
  </si>
  <si>
    <t>SVC-7280CR2K-30-1M-NB</t>
  </si>
  <si>
    <t>1 Month A-Care Software &amp; NBD Hardware Replacement/Same Day Ship for 7280CR2K-30</t>
  </si>
  <si>
    <t>SVC-7280CR2K-30-1M-4H</t>
  </si>
  <si>
    <t>1-Month A-Care Software &amp; 24x7x4 Hour Hardware Replacement for 7280CR2K-30</t>
  </si>
  <si>
    <t>SVC-7280CR2K-30-1M-2H</t>
  </si>
  <si>
    <t>1-Month A-Care Software &amp; 24x7x2 Hour Hardware Replacement for 7280CR2K-30</t>
  </si>
  <si>
    <t>OSV-7280CR2K-30-1M-NB</t>
  </si>
  <si>
    <t>Onsite Service: 1 Month A-Care Software &amp; NBD Hardware Replacement/Same Day Ship for 7280CR2K-30</t>
  </si>
  <si>
    <t>OSV-7280CR2K-30-1M-4H</t>
  </si>
  <si>
    <t>Onsite Service: 1-Month A-Care Software &amp; 24x7x4 Hour Hardware Replacement for 7280CR2K-30</t>
  </si>
  <si>
    <t>SVC-7280CR2K-30-1M-SHR</t>
  </si>
  <si>
    <t>SVC-7280CR2K-30-1M-SH4</t>
  </si>
  <si>
    <t>SVC-7280CR2A-30-1M-NB</t>
  </si>
  <si>
    <t>1 Month A-Care Software &amp; NBD Hardware Replacement/Same Day Ship for 7280CR2A-30</t>
  </si>
  <si>
    <t>SVC-7280CR2A-30-1M-4H</t>
  </si>
  <si>
    <t>1-Month A-Care Software &amp; 24x7x4 Hour Hardware Replacement for 7280CR2A-30</t>
  </si>
  <si>
    <t>SVC-7280CR2A-30-1M-2H</t>
  </si>
  <si>
    <t>1-Month A-Care Software &amp; 24x7x2 Hour Hardware Replacement for 7280CR2A-30</t>
  </si>
  <si>
    <t>OSV-7280CR2A-30-1M-NB</t>
  </si>
  <si>
    <t>Onsite Service: 1 Month A-Care Software &amp; NBD Hardware Replacement/Same Day Ship for 7280CR2A-30</t>
  </si>
  <si>
    <t>OSV-7280CR2A-30-1M-4H</t>
  </si>
  <si>
    <t>Onsite Service: 1-Month A-Care Software &amp; 24x7x4 Hour Hardware Replacement for 7280CR2A-30</t>
  </si>
  <si>
    <t>SVC-7280CR2A-30-1M-SHR</t>
  </si>
  <si>
    <t>SVC-7280CR2A-30-1M-SH4</t>
  </si>
  <si>
    <t>PWR-1600AC-F</t>
  </si>
  <si>
    <t>Spare 1600W AC power supply for Arista 7000 Series 1U switches (front to rear airflow)</t>
  </si>
  <si>
    <t>PWR-1600AC-F#</t>
  </si>
  <si>
    <t>Configurable 1600W AC power supply for Arista 7000 Series 1U switches (front to rear airflow)</t>
  </si>
  <si>
    <t>FAN-7001D-F</t>
  </si>
  <si>
    <t>Spare fan module for Arista 7000 Series 1RU switches (front-to-rear airflow)</t>
  </si>
  <si>
    <t>FAN-7001D-F#</t>
  </si>
  <si>
    <t>Configurable fan module for Arista 7000 Series 1RU switches (front-to-rear airflow)</t>
  </si>
  <si>
    <t>QSFP-100G-ERL4</t>
  </si>
  <si>
    <t>100GBASE-ERL4 QSFP100 transceiver, 30 to 40km over single-mode fiber</t>
  </si>
  <si>
    <t>DCS-7260CX3-64-F</t>
  </si>
  <si>
    <t>Arista 7260X3, 64x100GbE QSFP &amp; 2xSFP+ switch, front-to-rear air, 2xAC, 2xC13-C14 cords</t>
  </si>
  <si>
    <t>DCS-7260CX3-64-R</t>
  </si>
  <si>
    <t>Arista 7260X3, 64x100GbE QSFP &amp; 2xSFP+ switch, rear-to-front air, 2xAC, 2xC13-C14 cords</t>
  </si>
  <si>
    <t>DCS-7260CX3-64#</t>
  </si>
  <si>
    <t>Arista 7260X3, 64x100GbE QSFP &amp; 2xSFP+ switch, no fans, no psu, 2 x C13-C14 cords</t>
  </si>
  <si>
    <t>SVC-7260CX3-64-1M-NB</t>
  </si>
  <si>
    <t>1-Month A-Care Software &amp; NBD Hardware Replacement/Same Day Ship for 7260CX3-64</t>
  </si>
  <si>
    <t>SVC-7260CX3-64-1M-4H</t>
  </si>
  <si>
    <t>1-Month A-Care Software &amp; 24x7x4 Hour Hardware Replacement for 7260CX3-64</t>
  </si>
  <si>
    <t>SVC-7260CX3-64-1M-2H</t>
  </si>
  <si>
    <t>1-Month A-Care Software &amp; 24x7x2 Hour Hardware Replacement for 7260CX3-64</t>
  </si>
  <si>
    <t>OSV-7260CX3-64-1M-NB</t>
  </si>
  <si>
    <t>Onsite Service: 1-Month A-Care Software &amp; NBD Hardware Replacement/Same Day Ship for 7260CX3-64</t>
  </si>
  <si>
    <t>OSV-7260CX3-64-1M-4H</t>
  </si>
  <si>
    <t>Onsite Service: 1-Month A-Care Software &amp; 24x7x4 Hour Hardware Replacement for 7260CX3-64</t>
  </si>
  <si>
    <t>SVC-7260CX3-64-1M-SHR</t>
  </si>
  <si>
    <t>SVC-7260CX3-64-1M-SH4</t>
  </si>
  <si>
    <t>IPSec Encryption License for Arista Fixed switches - IPSec encryption via CPU</t>
  </si>
  <si>
    <t>LIC-FIX-2-MACSEC</t>
  </si>
  <si>
    <t>QSFP-100G-SRBD</t>
  </si>
  <si>
    <t>AOC-Q-Q-100G-1M</t>
  </si>
  <si>
    <t>QSFP100 to QSFP100 100GbE Active Optical Cable 1 meter</t>
  </si>
  <si>
    <t>SVC-7280SR2K-48C6M-1M-NB</t>
  </si>
  <si>
    <t>1 Month A-Care Software &amp; NBD Hardware Replacement/Same Day Ship for 7280SR2K-48C6M</t>
  </si>
  <si>
    <t>SVC-7280SR2K-48C6M-1M-4H</t>
  </si>
  <si>
    <t>1-Month A-Care Software &amp; 24x7x4 Hour Hardware Replacement for 7280SR2K-48C6M</t>
  </si>
  <si>
    <t>SVC-7280SR2K-48C6M-1M-2H</t>
  </si>
  <si>
    <t>1-Month A-Care Software &amp; 24x7x2 Hour Hardware Replacement for 7280SR2K-48C6M</t>
  </si>
  <si>
    <t>OSV-7280SR2K-48C6M-1M-NB</t>
  </si>
  <si>
    <t>Onsite Service: 1 Month A-Care Software &amp; NBD Hardware Replacement/Same Day Ship for 7280SR2K-48C6M</t>
  </si>
  <si>
    <t>OSV-7280SR2K-48C6M-1M-4H</t>
  </si>
  <si>
    <t>Onsite Service: 1-Month A-Care Software &amp; 24x7x4 Hour Hardware Replacement for 7280SR2K-48C6M</t>
  </si>
  <si>
    <t>SVC-7280SR2K-48C6M-1M-SHR</t>
  </si>
  <si>
    <t>SVC-7280SR2K-48C6M-1M-SH4</t>
  </si>
  <si>
    <t>DCS-7050CX3-32S-F</t>
  </si>
  <si>
    <t>Arista 7050X3, 32x100GbE QSFP+ &amp; 2xSFP+ switch, front-to-rear air, 2xAC, 2xC13-C14 cords</t>
  </si>
  <si>
    <t>DCS-7050CX3-32S-R</t>
  </si>
  <si>
    <t>Arista 7050X3, 32x100GbE QSFP+ &amp; 2xSFP+ switch, rear-to-front air, 2xAC, 2xC13-C14 cords</t>
  </si>
  <si>
    <t>DCS-7050CX3-32S#</t>
  </si>
  <si>
    <t>Arista 7050X3, 32x100GbE QSFP+ &amp; 2xSFP+ switch, configurable fans and psu, 2 x C13-C14 cords</t>
  </si>
  <si>
    <t>DCS-7050SX3-48YC12-F</t>
  </si>
  <si>
    <t>Arista 7050X3, 48x25GbE SFP &amp; 12x100GbE QSFP switch, front-to-rear air, 2xAC, 2xC13-C14 cords</t>
  </si>
  <si>
    <t>DCS-7050SX3-48YC12#</t>
  </si>
  <si>
    <t>Arista 7050X3, 48x25GbE SFP &amp; 12x100GbE QSFP switch, configurable fans and psu 2xC13-C14 cords</t>
  </si>
  <si>
    <t>SVC-7050SX3-48YC12-1M-NB</t>
  </si>
  <si>
    <t>1 Month A-Care Software &amp; NBD Hardware Replacement/Same Day Ship for 7050SX3-48YC12</t>
  </si>
  <si>
    <t>SVC-7050SX3-48YC12-1M-4H</t>
  </si>
  <si>
    <t>1-Month A-Care Software &amp; 24x7x4 Hour Hardware Replacement for 7050SX3-48YC12</t>
  </si>
  <si>
    <t>SVC-7050SX3-48YC12-1M-2H</t>
  </si>
  <si>
    <t>1-Month A-Care Software &amp; 24x7x2 Hour Hardware Replacement for 7050SX3-48YC12</t>
  </si>
  <si>
    <t>OSV-7050SX3-48YC12-1M-NB</t>
  </si>
  <si>
    <t>Onsite Service: 1 Month A-Care Software &amp; NBD Hardware Replacement/Same Day Ship for 7050SX3-48YC12</t>
  </si>
  <si>
    <t>OSV-7050SX3-48YC12-1M-4H</t>
  </si>
  <si>
    <t>Onsite Service: 1-Month A-Care Software &amp; 24x7x4 Hour Hardware Replacement for 7050SX3-48YC12</t>
  </si>
  <si>
    <t>SVC-7050SX3-48YC12-1M-SHR</t>
  </si>
  <si>
    <t>SVC-7050SX3-48YC12-1M-SH4</t>
  </si>
  <si>
    <t>SVC-7050CX3-32S-1M-NB</t>
  </si>
  <si>
    <t>1 Month A-Care Software &amp; NBD Hardware Replacement/Same Day Ship for 7050CX3-32S</t>
  </si>
  <si>
    <t>SVC-7050CX3-32S-1M-4H</t>
  </si>
  <si>
    <t>1-Month A-Care Software &amp; 24x7x4 Hour Hardware Replacement for 7050CX3-32S</t>
  </si>
  <si>
    <t>SVC-7050CX3-32S-1M-2H</t>
  </si>
  <si>
    <t>1-Month A-Care Software &amp; 24x7x2 Hour Hardware Replacement for 7050CX3-32S</t>
  </si>
  <si>
    <t>OSV-7050CX3-32S-1M-NB</t>
  </si>
  <si>
    <t>Onsite Service: 1 Month A-Care Software &amp; NBD Hardware Replacement/Same Day Ship for 7050CX3-32S</t>
  </si>
  <si>
    <t>OSV-7050CX3-32S-1M-4H</t>
  </si>
  <si>
    <t>Onsite Service: 1-Month A-Care Software &amp; 24x7x4 Hour Hardware Replacement for 7050CX3-32S</t>
  </si>
  <si>
    <t>SVC-7050CX3-32S-1M-SHR</t>
  </si>
  <si>
    <t>SVC-7050CX3-32S-1M-SH4</t>
  </si>
  <si>
    <t>KIT-7001</t>
  </si>
  <si>
    <t>KIT-7002</t>
  </si>
  <si>
    <t>SVC-7170-64C-1M-NB</t>
  </si>
  <si>
    <t>1-Month A-Care Software &amp; NBD Hardware Replacement/Same Day Ship for 7170-64C</t>
  </si>
  <si>
    <t>SVC-7170-64C-1M-4H</t>
  </si>
  <si>
    <t>1-Month A-Care Software &amp; 24x7x4 Hour Hardware Replacement for 7170-64C</t>
  </si>
  <si>
    <t>SVC-7170-64C-1M-2H</t>
  </si>
  <si>
    <t>1-Month A-Care Software &amp; 24x7x2 Hour Hardware Replacement for 7170-64C</t>
  </si>
  <si>
    <t>SVC-7170-64C-1M-SH4</t>
  </si>
  <si>
    <t>SVC-7170-64C-1M-SHR</t>
  </si>
  <si>
    <t>SVC-7170-64CM-1M-NB</t>
  </si>
  <si>
    <t>1-Month A-Care Software &amp; NBD Hardware Replacement/Same Day Ship for 7170-64C-M</t>
  </si>
  <si>
    <t>SVC-7170-64CM-1M-4H</t>
  </si>
  <si>
    <t>1-Month A-Care Software &amp; 24x7x4 Hour Hardware Replacement for 7170-64C-M</t>
  </si>
  <si>
    <t>SVC-7170-64CM-1M-2H</t>
  </si>
  <si>
    <t>1-Month A-Care Software &amp; 24x7x2 Hour Hardware Replacement for 7170-64C-M</t>
  </si>
  <si>
    <t>SVC-7170-64CM-1M-SHR</t>
  </si>
  <si>
    <t>SVC-7170-64CM-1M-SH4</t>
  </si>
  <si>
    <t>OSV-7170-64C-1M-NB</t>
  </si>
  <si>
    <t>Onsite Service: 1-Month A-Care Software &amp; NBD Hardware Replacement/Same Day Ship for 7170-64C</t>
  </si>
  <si>
    <t>OSV-7170-64C-1M-4H</t>
  </si>
  <si>
    <t>Onsite Service: 1-Month A-Care Software &amp; 24x7x4 Hour Hardware Replacement for 7170-64C</t>
  </si>
  <si>
    <t>OSV-7170-64CM-1M-NB</t>
  </si>
  <si>
    <t>Onsite Service: 1-Month A-Care Software &amp; NBD Hardware Replacement/Same Day Ship for 7170-64C-M</t>
  </si>
  <si>
    <t>OSV-7170-64CM-1M-4H</t>
  </si>
  <si>
    <t>Onsite Service: 1-Month A-Care Software &amp; 24x7x4 Hour Hardware Replacement for 7170-64C-M</t>
  </si>
  <si>
    <t>QSFP-100G-XSR4</t>
  </si>
  <si>
    <t>100GBASE-XSR4 QSFP100 transceiver, up to 170m over parallel OM3 or 300m over OM4 multi-mode fiber</t>
  </si>
  <si>
    <t>CAB-Q-Q-100G-0.5</t>
  </si>
  <si>
    <t>100GbE QSFP100 to QSFP100 twinax copper cable, 0.5M</t>
  </si>
  <si>
    <t>CAB-Q-Q-100G-1.5</t>
  </si>
  <si>
    <t>100GbE QSFP100 to QSFP100 twinax copper cable, 1.5M</t>
  </si>
  <si>
    <t>CAB-Q-Q-100G-2.5</t>
  </si>
  <si>
    <t>100GbE QSFP100 to QSFP100 twinax copper cable, 2.5M</t>
  </si>
  <si>
    <t>SVC-7020SR-24C2-1M-NB</t>
  </si>
  <si>
    <t>1 Month A-Care Software &amp; NBD Hardware Replacement/Same Day Ship for 7020SR-24C2</t>
  </si>
  <si>
    <t>SVC-7020SR-24C2-1M-4H</t>
  </si>
  <si>
    <t>1-Month A-Care Software &amp; 24x7x4 Hour Hardware Replacement for 7020SR-24C2</t>
  </si>
  <si>
    <t>SVC-7020SR-24C2-1M-2H</t>
  </si>
  <si>
    <t>1-Month A-Care Software &amp; 24x7x2 Hour Hardware Replacement for 7020SR-24C2</t>
  </si>
  <si>
    <t>SVC-7020SR-24C2-1M-SHR</t>
  </si>
  <si>
    <t>SVC-7020SR-24C2-1M-SH4</t>
  </si>
  <si>
    <t>OSV-7020SR-24C2-1M-NB</t>
  </si>
  <si>
    <t>Onsite Service: 1 Month A-Care Software &amp; NBD Hardware Replacement/Same Day Ship for 7020SR-24C2</t>
  </si>
  <si>
    <t>OSV-7020SR-24C2-1M-4H</t>
  </si>
  <si>
    <t>Onsite Service: 1-Month A-Care Software &amp; 24x7x4 Hour Hardware Replacement for 7020SR-24C2</t>
  </si>
  <si>
    <t>SVC-7170-32C-1M-NB</t>
  </si>
  <si>
    <t>1-Month A-Care Software &amp; NBD Hardware Replacement/Same Day Ship for 7170-32C</t>
  </si>
  <si>
    <t>SVC-7170-32C-1M-4H</t>
  </si>
  <si>
    <t>1-Month A-Care Software &amp; 24x7x4 Hour Hardware Replacement for 7170-32C</t>
  </si>
  <si>
    <t>SVC-7170-32C-1M-2H</t>
  </si>
  <si>
    <t>1-Month A-Care Software &amp; 24x7x2 Hour Hardware Replacement for 7170-32C</t>
  </si>
  <si>
    <t>SVC-7170-32C-1M-SHR</t>
  </si>
  <si>
    <t>SVC-7170-32C-1M-SH4</t>
  </si>
  <si>
    <t>SVC-7170-32CM-1M-NB</t>
  </si>
  <si>
    <t>1-Month A-Care Software &amp; NBD Hardware Replacement/Same Day Ship for 7170-32C-M</t>
  </si>
  <si>
    <t>SVC-7170-32CM-1M-4H</t>
  </si>
  <si>
    <t>1-Month A-Care Software &amp; 24x7x4 Hour Hardware Replacement for 7170-32C-M</t>
  </si>
  <si>
    <t>SVC-7170-32CM-1M-2H</t>
  </si>
  <si>
    <t>1-Month A-Care Software &amp; 24x7x2 Hour Hardware Replacement for 7170-32C-M</t>
  </si>
  <si>
    <t>SVC-7170-32CM-1M-SHR</t>
  </si>
  <si>
    <t>SVC-7170-32CM-1M-SH4</t>
  </si>
  <si>
    <t>OSV-7170-32C-1M-NB</t>
  </si>
  <si>
    <t>Onsite Service: 1-Month A-Care Software &amp; NBD Hardware Replacement/Same Day Ship for 7170-32C</t>
  </si>
  <si>
    <t>OSV-7170-32C-1M-4H</t>
  </si>
  <si>
    <t>Onsite Service: 1-Month A-Care Software &amp; 24x7x4 Hour Hardware Replacement for 7170-32C</t>
  </si>
  <si>
    <t>OSV-7170-32CM-1M-NB</t>
  </si>
  <si>
    <t>Onsite Service: 1-Month A-Care Software &amp; NBD Hardware Replacement/Same Day Ship for 7170-32C-M</t>
  </si>
  <si>
    <t>OSV-7170-32CM-1M-4H</t>
  </si>
  <si>
    <t>Onsite Service: 1-Month A-Care Software &amp; 24x7x4 Hour Hardware Replacement for 7170-32C-M</t>
  </si>
  <si>
    <t>SVC-7280SRM-40CX2-1M-NB</t>
  </si>
  <si>
    <t>1 Month A-Care Software &amp; NBD Hardware Replacement/Same Day Ship for 7280SRM-40CX2</t>
  </si>
  <si>
    <t>SVC-7280SRM-40CX2-1M-4H</t>
  </si>
  <si>
    <t>1-Month A-Care Software &amp; 24x7x4 Hour Hardware Replacement for 7280SRM-40CX2</t>
  </si>
  <si>
    <t>SVC-7280SRM-40CX2-1M-2H</t>
  </si>
  <si>
    <t>1-Month A-Care Software &amp; 24x7x2 Hour Hardware Replacement for 7280SRM-40CX2</t>
  </si>
  <si>
    <t>OSV-7280SRM-40CX2-1M-NB</t>
  </si>
  <si>
    <t>Onsite Service: 1 Month A-Care Software &amp; NBD Hardware Replacement/Same Day Ship for 7280SRM-40CX2</t>
  </si>
  <si>
    <t>OSV-7280SRM-40CX2-1M-4H</t>
  </si>
  <si>
    <t>Onsite Service: 1-Month A-Care Software &amp; 24x7x4 Hour Hardware Replacement for 7280SRM-40CX2</t>
  </si>
  <si>
    <t>SVC-7280SRM-40CX2-1M-SHR</t>
  </si>
  <si>
    <t>SVC-7280SRM-40CX2-1M-SH4</t>
  </si>
  <si>
    <t>FLX-Lite License for Arista 4-Slot Modular - Full Routing Up to 256K Routes, EVPN, VXLAN, SR, base MPLS LSR (no TE or link/node protection)</t>
  </si>
  <si>
    <t>FLX-Lite License for Arista 8-Slot Modular - Full Routing Up to 256K Routes, EVPN, VXLAN, SR, base MPLS LSR (no TE or link/node protection)</t>
  </si>
  <si>
    <t>FLX-Lite License for Arista 12-Slot Modular - Full Routing Up to 256K Routes, EVPN, VXLAN, SR, base MPLS LSR (no TE or link/node protection)</t>
  </si>
  <si>
    <t>DCS-7300X3-32C-LC</t>
  </si>
  <si>
    <t>Arista 7300X3 32-port 100GbE QSFP linecard for 7300X3 Series (Spare)</t>
  </si>
  <si>
    <t>DCS-7300X3-32C-LC#</t>
  </si>
  <si>
    <t>Arista 7300X3 32-port 100GbE QSFP linecard for 7300X3 Series (Ships in chassis)</t>
  </si>
  <si>
    <t>DCS-7308X3-FM-F</t>
  </si>
  <si>
    <t>7300X3 Fabric (integrated fans) module for 7308 chassis, required for slots 1-4. Front-to-rear air</t>
  </si>
  <si>
    <t>DCS-7308X3-FM-F#</t>
  </si>
  <si>
    <t>7300X3 Fabric (integrated fans) module for 7308 chassis, required for slots 1-4. Front-to-rear air (Ships in chassis)</t>
  </si>
  <si>
    <t>DCS-7304X3-FM-F</t>
  </si>
  <si>
    <t>7300X3 Fabric (integrated fans) module for 7304 chassis, required for slots 1-4. Front-to-rear air</t>
  </si>
  <si>
    <t>DCS-7304X3-FM-F#</t>
  </si>
  <si>
    <t>7300X3 Fabric (integrated fans) module for 7304 chassis, required for slots 1-4. Front-to-rear air (ships in chassis)</t>
  </si>
  <si>
    <t>1 Month A-Care Software &amp; NBD Hardware Replacement/Same Day Ship for 7304X3</t>
  </si>
  <si>
    <t>SVC-7304X3-1M-4H</t>
  </si>
  <si>
    <t>1-Month A-Care Software &amp; 24x7x4 Hour Hardware Replacement for 7304X3</t>
  </si>
  <si>
    <t>SVC-7304X3-1M-2H</t>
  </si>
  <si>
    <t>1-Month A-Care Software &amp; 24x7x2 Hour Hardware Replacement for 7304X3</t>
  </si>
  <si>
    <t>SVC-7304X3-1M-SHR</t>
  </si>
  <si>
    <t>SVC-7304X3-1M-SH4</t>
  </si>
  <si>
    <t>OSV-7304X3-1M-NB</t>
  </si>
  <si>
    <t>Onsite Service: 1-Month A-Care Software &amp; NBD Hardware Replacement/Same Day Ship for 7304X3</t>
  </si>
  <si>
    <t>OSV-7304X3-1M-4H</t>
  </si>
  <si>
    <t>Onsite Service: 1-Month A-Care Software &amp; 24x7x4 Hour Hardware Replacement for 7304X3</t>
  </si>
  <si>
    <t>1 Month A-Care Software &amp; NBD Hardware Replacement/Same Day Ship for 7308X3</t>
  </si>
  <si>
    <t>SVC-7308X3-1M-4H</t>
  </si>
  <si>
    <t>1-Month A-Care Software &amp; 24x7x4 Hour Hardware Replacement for 7308X3</t>
  </si>
  <si>
    <t>SVC-7308X3-1M-2H</t>
  </si>
  <si>
    <t>1-Month A-Care Software &amp; 24x7x2 Hour Hardware Replacement for 7308X3</t>
  </si>
  <si>
    <t>SVC-7308X3-1M-SHR</t>
  </si>
  <si>
    <t>SVC-7308X3-1M-SH4</t>
  </si>
  <si>
    <t>OSV-7308X3-1M-NB</t>
  </si>
  <si>
    <t>Onsite Service: 1-Month A-Care Software &amp; NBD Hardware Replacement/Same Day Ship for 7308X3</t>
  </si>
  <si>
    <t>OSV-7308X3-1M-4H</t>
  </si>
  <si>
    <t>Onsite Service: 1-Month A-Care Software &amp; 24x7x4 Hour Hardware Replacement for 7308X3</t>
  </si>
  <si>
    <t>SVC-7280CR2M-30-1M-NB</t>
  </si>
  <si>
    <t>1 Month A-Care Software &amp; NBD Hardware Replacement/Same Day Ship for 7280CR2M-30</t>
  </si>
  <si>
    <t>SVC-7280CR2M-30-1M-4H</t>
  </si>
  <si>
    <t>1-Month A-Care Software &amp; 24x7x4 Hour Hardware Replacement for 7280CR2M-30</t>
  </si>
  <si>
    <t>SVC-7280CR2M-30-1M-2H</t>
  </si>
  <si>
    <t>1-Month A-Care Software &amp; 24x7x2 Hour Hardware Replacement for 7280CR2M-30</t>
  </si>
  <si>
    <t>OSV-7280CR2M-30-1M-NB</t>
  </si>
  <si>
    <t>Onsite Service: 1 Month A-Care Software &amp; NBD Hardware Replacement/Same Day Ship for 7280CR2M-30</t>
  </si>
  <si>
    <t>OSV-7280CR2M-30-1M-4H</t>
  </si>
  <si>
    <t>Onsite Service: 1-Month A-Care Software &amp; 24x7x4 Hour Hardware Replacement for 7280CR2M-30</t>
  </si>
  <si>
    <t>SVC-7280CR2M-30-1M-SHR</t>
  </si>
  <si>
    <t>SVC-7280CR2M-30-1M-SH4</t>
  </si>
  <si>
    <t>QSFP-40G-SRBD-R</t>
  </si>
  <si>
    <t>40GBASE-BIDI QSFP+ Receiver only, up to 100m over duplex OM3 or 150m over duplex OM4 multi-mode fiber</t>
  </si>
  <si>
    <t>KIT-7508N-RK-L</t>
  </si>
  <si>
    <t>Configurable 4 Post Rack Kit, Arista 7508N (43in depth)</t>
  </si>
  <si>
    <t>LIC-FIX-4-MACSEC</t>
  </si>
  <si>
    <t>SVC-7130-96-1M-NB</t>
  </si>
  <si>
    <t>1-Month A-Care Software &amp; NBD Hardware Replacement/Same Day Ship for 7130-96</t>
  </si>
  <si>
    <t>SVC-7130-96-1M-4H</t>
  </si>
  <si>
    <t>1-Month A-Care Software &amp; 24x7x4 Hour Hardware Replacement for 7130-96</t>
  </si>
  <si>
    <t>SVC-7130-96-1M-2H</t>
  </si>
  <si>
    <t>1-Month A-Care Software &amp; 24x7x2 Hour Hardware Replacement for 7130-96</t>
  </si>
  <si>
    <t>SS-COGWIFI-1M</t>
  </si>
  <si>
    <t>Cognitive Cloud SW Subscription License for 1-Month for 1 x Wireless Access Point</t>
  </si>
  <si>
    <t>CAB-C19-C20</t>
  </si>
  <si>
    <t>CAB-C19-L6-20P</t>
  </si>
  <si>
    <t>CAB-Q-Q-0.5M</t>
  </si>
  <si>
    <t>CAB-Q-Q-2M</t>
  </si>
  <si>
    <t>CAB-Q-Q-3M</t>
  </si>
  <si>
    <t>CAB-Q-Q-5M</t>
  </si>
  <si>
    <t>CAB-Q-S-0.5M</t>
  </si>
  <si>
    <t>CAB-Q-S-1M</t>
  </si>
  <si>
    <t>CAB-Q-S-2M</t>
  </si>
  <si>
    <t>CAB-Q-S-3M</t>
  </si>
  <si>
    <t>DCS-7500-LCVR</t>
  </si>
  <si>
    <t>DCS-7500-SCVR</t>
  </si>
  <si>
    <t>FAN-7000-F</t>
  </si>
  <si>
    <t>FAN-7000-F#</t>
  </si>
  <si>
    <t>FAN-7000-R</t>
  </si>
  <si>
    <t>FAN-7000-R#</t>
  </si>
  <si>
    <t>KIT-7000</t>
  </si>
  <si>
    <t>KIT-7300-4PR</t>
  </si>
  <si>
    <t>KIT-7504</t>
  </si>
  <si>
    <t>KIT-7508</t>
  </si>
  <si>
    <t>QSFP-40G-LRL4</t>
  </si>
  <si>
    <t>QSFP-40G-SR4</t>
  </si>
  <si>
    <t>SS-PREMWIFI-1M</t>
  </si>
  <si>
    <t>DCS-7300X3-48YC4-LC</t>
  </si>
  <si>
    <t>Arista 7300X3 48-port 25GbE SFP &amp; 4 port 100GbE QSFP linecard for 7300X3 Series (Spare)</t>
  </si>
  <si>
    <t>DCS-7300X3-48YC4-LC#</t>
  </si>
  <si>
    <t>Arista 7300X3 48-port 25GbE SFP &amp; 4 port 100GbE QSFP linecard for 7300X3 Series (Ships in chassis)</t>
  </si>
  <si>
    <t>SVC-7170-32CD-1M-2H</t>
  </si>
  <si>
    <t>1-Month A-Care Software &amp; 24x7x2 Hour Hardware Replacement for 7170-32CD</t>
  </si>
  <si>
    <t>SVC-7170-32CD-1M-4H</t>
  </si>
  <si>
    <t>1-Month A-Care Software &amp; 24x7x4 Hour Hardware Replacement for 7170-32CD</t>
  </si>
  <si>
    <t>SVC-7170-32CD-1M-NB</t>
  </si>
  <si>
    <t>1-Month A-Care Software &amp; NBD Hardware Replacement/Same Day Ship for 7170-32CD</t>
  </si>
  <si>
    <t>SVC-7170-32CD-1M-SH4</t>
  </si>
  <si>
    <t>SVC-7170-32CD-1M-SHR</t>
  </si>
  <si>
    <t>OSV-7170-32CD-1M-4H</t>
  </si>
  <si>
    <t>Onsite Service: 1-Month A-Care Software &amp; 24x7x4 Hour Hardware Replacement for 7170-32CD</t>
  </si>
  <si>
    <t>OSV-7170-32CD-1M-NB</t>
  </si>
  <si>
    <t>Onsite Service: 1-Month A-Care Software &amp; NBD Hardware Replacement/Same Day Ship for 7170-32CD</t>
  </si>
  <si>
    <t>SVC-7280CR2A-60-1M-SHR</t>
  </si>
  <si>
    <t>SVC-7280CR2A-60-1M-SH4</t>
  </si>
  <si>
    <t>SVC-7280QRA-36S-1M-SHR</t>
  </si>
  <si>
    <t>SVC-7280QRA-36S-1M-SH4</t>
  </si>
  <si>
    <t>SVC-7280QRA-36SM-1M-SHR</t>
  </si>
  <si>
    <t>SVC-7280QRA-36SM-1M-SH4</t>
  </si>
  <si>
    <t>SVC-7280SRA-48C6-1M-SHR</t>
  </si>
  <si>
    <t>SVC-7280SRA-48C6-1M-SH4</t>
  </si>
  <si>
    <t>SVC-7280SRA-48C6M-1M-SHR</t>
  </si>
  <si>
    <t>SVC-7280SRA-48C6M-1M-SH4</t>
  </si>
  <si>
    <t>SVC-7280TRA-48C6-1M-SHR</t>
  </si>
  <si>
    <t>SVC-7280TRA-48C6-1M-SH4</t>
  </si>
  <si>
    <t>SVC-7280TRA-48C6M-1M-SHR</t>
  </si>
  <si>
    <t>SVC-7280TRA-48C6M-1M-SH4</t>
  </si>
  <si>
    <t>SVC-7020TRA-48-1M-SHR</t>
  </si>
  <si>
    <t>SVC-7020TRA-48-1M-SH4</t>
  </si>
  <si>
    <t>DCS-7050SX3-48YC8-F</t>
  </si>
  <si>
    <t>Arista 7050X3, 48x25GbE SFP &amp; 8x100GbE QSFP switch, front-to-rear air, 2xAC, 2xC13-C14 cords</t>
  </si>
  <si>
    <t>DCS-7050SX3-48YC8-R</t>
  </si>
  <si>
    <t>Arista 7050X3, 48x25GbE SFP &amp; 8x100GbE QSFP switch, rear-to-front air, 2xAC, 2xC13-C14 cords</t>
  </si>
  <si>
    <t>DCS-7050SX3-48YC8#</t>
  </si>
  <si>
    <t>Arista 7050X3, 48x25GbE SFP &amp; 8x100GbE QSFP switch, configurable fans and psu 2xC13-C14 cords</t>
  </si>
  <si>
    <t>LIC-MOD-1-V2</t>
  </si>
  <si>
    <t>LIC-MOD-2-V2</t>
  </si>
  <si>
    <t>LIC-MOD-3-V2</t>
  </si>
  <si>
    <t>LIC-MOD-4-V2</t>
  </si>
  <si>
    <t>Enhanced L3 License for Arista Group 1 Fixed switches (BGP, OSPF, ISIS, PIM, NAT)</t>
  </si>
  <si>
    <t>Virtualization license for Group 4 Arista Fixed switches (VMTracer and VXLAN)</t>
  </si>
  <si>
    <t>LIC-FIX-1-V2</t>
  </si>
  <si>
    <t>LIC-FIX-2-V2</t>
  </si>
  <si>
    <t>LIC-FIX-3-V2</t>
  </si>
  <si>
    <t>LIC-FIX-4-V2</t>
  </si>
  <si>
    <t>DCS-7060PX4-32-F</t>
  </si>
  <si>
    <t>Arista 7060X4, 32x400GbE OSFP switch, front-to-rear air, 2xAC</t>
  </si>
  <si>
    <t>DCS-7060PX4-32#</t>
  </si>
  <si>
    <t>Arista 7060X4, 32x400GbE OSFP switch, no fans, no psu</t>
  </si>
  <si>
    <t>SVC-7060PX4-32-1M-NB</t>
  </si>
  <si>
    <t>1 Month A-Care Software &amp; NBD Hardware Replacement/Same Day Ship for 7060PX4-32</t>
  </si>
  <si>
    <t>SVC-7060PX4-32-1M-4H</t>
  </si>
  <si>
    <t>1-Month A-Care Software &amp; 24x7x4 Hour Hardware Replacement for 7060PX4-32</t>
  </si>
  <si>
    <t>SVC-7060PX4-32-1M-2H</t>
  </si>
  <si>
    <t>1-Month A-Care Software &amp; 24x7x2 Hour Hardware Replacement for 7060PX4-32</t>
  </si>
  <si>
    <t>OSV-7060PX4-32-1M-NB</t>
  </si>
  <si>
    <t>Onsite Service: 1 Month A-Care Software &amp; NBD Hardware Replacement/Same Day Ship for 7060PX4-32</t>
  </si>
  <si>
    <t>OSV-7060PX4-32-1M-4H</t>
  </si>
  <si>
    <t>Onsite Service: 1-Month A-Care Software &amp; 24x7x4 Hour Hardware Replacement for 7060PX4-32</t>
  </si>
  <si>
    <t>SVC-7060PX4-32-1M-SHR</t>
  </si>
  <si>
    <t>SVC-7060PX4-32-1M-SH4</t>
  </si>
  <si>
    <t>PWR-1611-AC-RED</t>
  </si>
  <si>
    <t>Spare Arista PSU, 1RU, AC/DC, 1600W, Forward, HS, 73.5MM</t>
  </si>
  <si>
    <t>PWR-1611-AC-RED#</t>
  </si>
  <si>
    <t>Configurable Arista PSU, 1RU, AC/DC, 1600W, Forward, HS, 73.5MM</t>
  </si>
  <si>
    <t>SVC-7050SX3-48YC8-1M-NB</t>
  </si>
  <si>
    <t>1 Month A-Care Software &amp; NBD Hardware Replacement/Same Day Ship for 7050SX3-48YC8</t>
  </si>
  <si>
    <t>SVC-7050SX3-48YC8-1M-4H</t>
  </si>
  <si>
    <t>1-Month A-Care Software &amp; 24x7x4 Hour Hardware Replacement for 7050SX3-48YC8</t>
  </si>
  <si>
    <t>SVC-7050SX3-48YC8-1M-2H</t>
  </si>
  <si>
    <t>1-Month A-Care Software &amp; 24x7x2 Hour Hardware Replacement for 7050SX3-48YC8</t>
  </si>
  <si>
    <t>OSV-7050SX3-48YC8-1M-NB</t>
  </si>
  <si>
    <t>Onsite Service: 1 Month A-Care Software &amp; NBD Hardware Replacement/Same Day Ship for 7050SX3-48YC8</t>
  </si>
  <si>
    <t>OSV-7050SX3-48YC8-1M-4H</t>
  </si>
  <si>
    <t>Onsite Service: 1-Month A-Care Software &amp; 24x7x4 Hour Hardware Replacement for 7050SX3-48YC8</t>
  </si>
  <si>
    <t>SVC-7050SX3-48YC8-1M-SHR</t>
  </si>
  <si>
    <t>SVC-7050SX3-48YC8-1M-SH4</t>
  </si>
  <si>
    <t>PWR-511-AC-RED</t>
  </si>
  <si>
    <t>Arista PSU, 1RU, AC, 500W, front-to-rear airflow, 73.5mm</t>
  </si>
  <si>
    <t>PWR-511-AC-BLUE</t>
  </si>
  <si>
    <t>Arista PSU, 1RU, AC, 500W, rear-to-front airflow, 73.5mm</t>
  </si>
  <si>
    <t>SVC-7130-96L-1M-NB</t>
  </si>
  <si>
    <t>1-Month A-Care Software &amp; NBD Hardware Replacement/Same Day Ship for 7130-96L</t>
  </si>
  <si>
    <t>SVC-7130-96L-1M-4H</t>
  </si>
  <si>
    <t>1-Month A-Care Software &amp; 24x7x4 Hour Hardware Replacement for 7130-96L</t>
  </si>
  <si>
    <t>SVC-7130-96L-1M-2H</t>
  </si>
  <si>
    <t>1-Month A-Care Software &amp; 24x7x2 Hour Hardware Replacement for 7130-96L</t>
  </si>
  <si>
    <t>SVC-7130-96LB-1M-NB</t>
  </si>
  <si>
    <t>1-Month A-Care Software &amp; NBD Hardware Replacement/Same Day Ship for 7130-96LB</t>
  </si>
  <si>
    <t>SVC-7130-96LB-1M-4H</t>
  </si>
  <si>
    <t>1-Month A-Care Software &amp; 24x7x4 Hour Hardware Replacement for 7130-96LB</t>
  </si>
  <si>
    <t>SVC-7130-96LB-1M-2H</t>
  </si>
  <si>
    <t>1-Month A-Care Software &amp; 24x7x2 Hour Hardware Replacement for 7130-96LB</t>
  </si>
  <si>
    <t>1 Month A-Care Software &amp; NBD Hardware Replacement/Same Day Ship for DCA-200-CV Appliance</t>
  </si>
  <si>
    <t>1 Month A-Care Software &amp; NBD Hardware Replacement/Same Day Ship for DCA-200-VEOS Appliance</t>
  </si>
  <si>
    <t>DCS-7060DX4-32-F</t>
  </si>
  <si>
    <t>Arista 7060X4, 32x400GbE QSFP-DD switch, front-to-rear air, 2xAC</t>
  </si>
  <si>
    <t>DCS-7060DX4-32#</t>
  </si>
  <si>
    <t>Arista 7060X4, 32x400GbE QSFP-DD switch, no fans, no psu</t>
  </si>
  <si>
    <t>SVC-7060DX4-32-1M-NB</t>
  </si>
  <si>
    <t>1 Month A-Care Software &amp; NBD Hardware Replacement/Same Day Ship for 7060DX4-32</t>
  </si>
  <si>
    <t>SVC-7060DX4-32-1M-4H</t>
  </si>
  <si>
    <t>1-Month A-Care Software &amp; 24x7x4 Hour Hardware Replacement for 7060DX4-32</t>
  </si>
  <si>
    <t>SVC-7060DX4-32-1M-2H</t>
  </si>
  <si>
    <t>1-Month A-Care Software &amp; 24x7x2 Hour Hardware Replacement for 7060DX4-32</t>
  </si>
  <si>
    <t>OSV-7060DX4-32-1M-NB</t>
  </si>
  <si>
    <t>Onsite Service: 1 Month A-Care Software &amp; NBD Hardware Replacement/Same Day Ship for 7060DX4-32</t>
  </si>
  <si>
    <t>OSV-7060DX4-32-1M-4H</t>
  </si>
  <si>
    <t>Onsite Service: 1-Month A-Care Software &amp; 24x7x4 Hour Hardware Replacement for 7060DX4-32</t>
  </si>
  <si>
    <t>SVC-7060DX4-32-1M-SHR</t>
  </si>
  <si>
    <t>SVC-7060DX4-32-1M-SH4</t>
  </si>
  <si>
    <t>SFP-10G-ERBD-U</t>
  </si>
  <si>
    <t>10GBASE-ERBD-U SFP+ BiDirectional Extended Reach to 40km</t>
  </si>
  <si>
    <t>SFP-10G-ERBD-D</t>
  </si>
  <si>
    <t>10GBASE-ERBD-D SFP+ BiDirectional Extended Reach to 40km</t>
  </si>
  <si>
    <t>SFP-10G-ERLBD-U</t>
  </si>
  <si>
    <t>10GBASE-ERLBD-U SFP+ BiDirectional ER Lite reach to 30km</t>
  </si>
  <si>
    <t>SFP-10G-ERLBD-D</t>
  </si>
  <si>
    <t>10GBASE-ERLBD-D SFP+ BiDirectional ER Lite reach to 30km</t>
  </si>
  <si>
    <t>FAN-7011M-F</t>
  </si>
  <si>
    <t>Spare fan module for Arista 7000 Series 1RU Enhanced Fan Speed (front-to-rear airflow)</t>
  </si>
  <si>
    <t>FAN-7011M-R</t>
  </si>
  <si>
    <t>Spare fan module for Arista 7000 Series 1RU Enhanced Fan Speed (rear-to-front airflow)</t>
  </si>
  <si>
    <t>DCS-7368X-BND-F</t>
  </si>
  <si>
    <t>Arista 7368X chassis bundle. Includes 7368 chassis, 2 x AC PS, Supervisor, X4-SC and Fans (front-to-rear air)</t>
  </si>
  <si>
    <t>DCS-7368X-BND-D-F</t>
  </si>
  <si>
    <t>Arista 7368X chassis bundle. Includes 7368 chassis, 2 x AC PS, Supervisor-SSD, X4-SC and Fans (front-to-rear air)</t>
  </si>
  <si>
    <t>DCS-7368X-128-BND-F</t>
  </si>
  <si>
    <t>Arista 7368X 100G System bundle. Includes 7368X-BND Bundle and 128 x 100G QSFP ports (front-to-rear air)</t>
  </si>
  <si>
    <t>DCS-7368X-128-BND-D-F</t>
  </si>
  <si>
    <t>Arista 7368X 100G System bundle. Includes 7368X-BND-D Bundle and 128 x 100G QSFP ports (front-to-rear air)</t>
  </si>
  <si>
    <t>DCS-7368-PCVR</t>
  </si>
  <si>
    <t>Blank Cover for 7368 Power Supply Slot</t>
  </si>
  <si>
    <t>DCS-7368-LCVR</t>
  </si>
  <si>
    <t>Blank cover for 7368 module slot</t>
  </si>
  <si>
    <t>DCS-7368X4-SC-F</t>
  </si>
  <si>
    <t>7368X Switch Card for 7368 chassis, X4-SC, includes Fans (front-to-rear air)</t>
  </si>
  <si>
    <t>DCS-7368-16C</t>
  </si>
  <si>
    <t>DCS-7368-16C#</t>
  </si>
  <si>
    <t>DCS-7368-CH</t>
  </si>
  <si>
    <t>Arista 7368 empty chassis, 1 supervisor slots, 8 module slots</t>
  </si>
  <si>
    <t>DCS-7368-SUP</t>
  </si>
  <si>
    <t>Supervisor module for 7368 Series</t>
  </si>
  <si>
    <t>DCS-7368-SUP-D</t>
  </si>
  <si>
    <t>Supervisor module for 7368 Series, with SSD</t>
  </si>
  <si>
    <t>OSV-7368X4-1M-4H</t>
  </si>
  <si>
    <t>Onsite Service: 1-Month A-Care Software &amp; 24x7x4 Hour Hardware Replacement for 7368X4</t>
  </si>
  <si>
    <t>OSV-7368X4-1M-NB</t>
  </si>
  <si>
    <t>Onsite Service: 1-Month A-Care Software &amp; NBD Hardware Replacement/Same Day Ship for 7368X4</t>
  </si>
  <si>
    <t>OSV-7368X4D-1M-4H</t>
  </si>
  <si>
    <t>Onsite Service: 1-Month A-Care Software &amp; 24x7x4 Hour Hardware Replacement for 7368X4-SSD</t>
  </si>
  <si>
    <t>OSV-7368X4D-1M-NB</t>
  </si>
  <si>
    <t>Onsite Service: 1-Month A-Care Software &amp; NBD Hardware Replacement/Same Day Ship for 7368X4-SSD</t>
  </si>
  <si>
    <t>1-Month A-Care Software &amp; 24x7x2 Hour Hardware Replacement for 7368X4</t>
  </si>
  <si>
    <t>1-Month A-Care Software &amp; 24x7x4 Hour Hardware Replacement for 7368X4</t>
  </si>
  <si>
    <t>1 Month A-Care Software &amp; NBD Hardware Replacement/Same Day Ship for 7368X4</t>
  </si>
  <si>
    <t>SVC-7368X4-1M-SH4</t>
  </si>
  <si>
    <t>SVC-7368X4-1M-SHR</t>
  </si>
  <si>
    <t>SVC-7368X4D-1M-SH4</t>
  </si>
  <si>
    <t>SVC-7368X4D-1M-SHR</t>
  </si>
  <si>
    <t>SVC-7020SRG-24C2-1M-NB</t>
  </si>
  <si>
    <t>1 Month A-Care Software &amp; NBD Hardware Replacement/Same Day Ship for 7020SRG-24C2</t>
  </si>
  <si>
    <t>SVC-7020SRG-24C2-1M-4H</t>
  </si>
  <si>
    <t>1-Month A-Care Software &amp; 24x7x4 Hour Hardware Replacement for 7020SRG-24C2</t>
  </si>
  <si>
    <t>SVC-7020SRG-24C2-1M-2H</t>
  </si>
  <si>
    <t>1-Month A-Care Software &amp; 24x7x2 Hour Hardware Replacement for 7020SRG-24C2</t>
  </si>
  <si>
    <t>OSV-7020SRG-24C2-1M-NB</t>
  </si>
  <si>
    <t>Onsite Service: 1 Month A-Care Software &amp; NBD Hardware Replacement/Same Day Ship for 7020SRG-24C2</t>
  </si>
  <si>
    <t>OSV-7020SRG-24C2-1M-4H</t>
  </si>
  <si>
    <t>Onsite Service: 1-Month A-Care Software &amp; 24x7x4 Hour Hardware Replacement for 7020SRG-24C2</t>
  </si>
  <si>
    <t>SVC-7020SRG-24C2-1M-SHR</t>
  </si>
  <si>
    <t>SVC-7020SRG-24C2-1M-SH4</t>
  </si>
  <si>
    <t>SVC-7020SR-32C2-1M-NB</t>
  </si>
  <si>
    <t>1 Month A-Care Software &amp; NBD Hardware Replacement/Same Day Ship for 7020SR-32C2</t>
  </si>
  <si>
    <t>SVC-7020SR-32C2-1M-4H</t>
  </si>
  <si>
    <t>1-Month A-Care Software &amp; 24x7x4 Hour Hardware Replacement for 7020SR-32C2</t>
  </si>
  <si>
    <t>SVC-7020SR-32C2-1M-2H</t>
  </si>
  <si>
    <t>1-Month A-Care Software &amp; 24x7x2 Hour Hardware Replacement for 7020SR-32C2</t>
  </si>
  <si>
    <t>OSV-7020SR-32C2-1M-NB</t>
  </si>
  <si>
    <t>Onsite Service: 1 Month A-Care Software &amp; NBD Hardware Replacement/Same Day Ship for 7020SR-32C2</t>
  </si>
  <si>
    <t>OSV-7020SR-32C2-1M-4H</t>
  </si>
  <si>
    <t>Onsite Service: 1-Month A-Care Software &amp; 24x7x4 Hour Hardware Replacement for 7020SR-32C2</t>
  </si>
  <si>
    <t>SVC-7020SR-32C2-1M-SHR</t>
  </si>
  <si>
    <t>SVC-7020SR-32C2-1M-SH4</t>
  </si>
  <si>
    <t>CAB-C19-C20-1M</t>
  </si>
  <si>
    <t>Power Cord C19 to C20 (1m)</t>
  </si>
  <si>
    <t>CCS-720XP-48ZC2-F</t>
  </si>
  <si>
    <t>Arista 720XP, 40x2.5G, 8x5G POE, 4x25G SFP/2x100G QSFP switch, front to rear air, AC</t>
  </si>
  <si>
    <t>CCS-720XP-24ZY4-F</t>
  </si>
  <si>
    <t>Arista 720XP, 16x2.5G, 8x5G POE, 4x25G SFP switch, front to rear air, AC</t>
  </si>
  <si>
    <t>CCS-720XP-48Y6-F</t>
  </si>
  <si>
    <t>Arista 720XP, 48x1G POE, 6x25G SFP switch, front to rear air, AC</t>
  </si>
  <si>
    <t>PWR-1021-AC-RED#</t>
  </si>
  <si>
    <t>Arista PSU, 1050W, POE, AC (Ships in chassis)</t>
  </si>
  <si>
    <t>PWR-1021-AC-RED</t>
  </si>
  <si>
    <t>Arista PSU, 1050W, POE, AC (Spare)</t>
  </si>
  <si>
    <t>PWR-621-AC-RED#</t>
  </si>
  <si>
    <t>PWR-621-AC-RED</t>
  </si>
  <si>
    <t>CAB-C15-NA</t>
  </si>
  <si>
    <t>CAB-C15-UK</t>
  </si>
  <si>
    <t>CAB-C15-EUR</t>
  </si>
  <si>
    <t>CAB-C14-C15</t>
  </si>
  <si>
    <t>CAB-C15-JPN</t>
  </si>
  <si>
    <t>CCS-720-PCVR</t>
  </si>
  <si>
    <t>Spare Blank Cover for 720 Series Power Supply Slot</t>
  </si>
  <si>
    <t>KIT-CCS-720</t>
  </si>
  <si>
    <t>CCS-720XP-48ZC2-F-NA</t>
  </si>
  <si>
    <t>Arista 720XP, 40x2.5G, 8x5G POE, 4x25G SFP/2x100G QSFP switch, front to rear air, AC, NA Power Cord</t>
  </si>
  <si>
    <t>CCS-720XP-24ZY4-F-NA</t>
  </si>
  <si>
    <t>Arista 720XP, 16x2.5G, 8x5G POE, 4x25G SFP switch, front to rear air, AC, NA Power Cord</t>
  </si>
  <si>
    <t>CCS-720XP-48Y6-F-NA</t>
  </si>
  <si>
    <t>CCS-720XP-48ZC2-F-UK</t>
  </si>
  <si>
    <t>Arista 720XP, 40x2.5G, 8x5G POE, 4x25G SFP/2x100G QSFP switch, front to rear air, AC, UK Power Cord</t>
  </si>
  <si>
    <t>CCS-720XP-24ZY4-F-UK</t>
  </si>
  <si>
    <t>Arista 720XP, 16x2.5G, 8x5G POE, 4x25G SFP switch, front to rear air, AC, UK Power Cord</t>
  </si>
  <si>
    <t>CCS-720XP-48Y6-F-UK</t>
  </si>
  <si>
    <t>CCS-720XP-48ZC2-F-EU</t>
  </si>
  <si>
    <t>Arista 720XP, 40x2.5G, 8x5G POE, 4x25G SFP/2x100G QSFP switch, front to rear air, AC, EU Power Cord</t>
  </si>
  <si>
    <t>CCS-720XP-24ZY4-F-EU</t>
  </si>
  <si>
    <t>Arista 720XP, 16x2.5G, 8x5G POE, 4x25G SFP switch, front to rear air, AC, EU Power Cord</t>
  </si>
  <si>
    <t>CCS-720XP-48Y6-F-EU</t>
  </si>
  <si>
    <t>CCS-720XP-48ZC2-F-JPN</t>
  </si>
  <si>
    <t>Arista 720XP, 40x2.5G, 8x5G POE, 4x25G SFP/2x100G QSFP switch, front to rear air, AC, JPN Power Cord</t>
  </si>
  <si>
    <t>CCS-720XP-24ZY4-F-JPN</t>
  </si>
  <si>
    <t>Arista 720XP, 16x2.5G, 8x5G POE, 4x25G SFP switch, front to rear air, AC, JPN Power Cord</t>
  </si>
  <si>
    <t>CCS-720XP-48Y6-F-JPN</t>
  </si>
  <si>
    <t>Enhanced License for Arista Fixed 1G/mG Ethernet Switches (OSPF, BGP, ISIS, PIM)</t>
  </si>
  <si>
    <t>FLX-Lite License for Arista Fixed 1G/mG Ethernet Switches - Full Routing Up to 32K Routes, EVPN, VXLAN</t>
  </si>
  <si>
    <t>SVC-720XP-48ZC2-1M-RB</t>
  </si>
  <si>
    <t>1 Month A-Care Software Support and HW Replacement for CCS-720XP-48ZC2</t>
  </si>
  <si>
    <t>SVC-720XP-48ZC2-1M-NB</t>
  </si>
  <si>
    <t>1 Month A-Care Software &amp; NBD Hardware Replacement/Same Day Ship for CCS-720XP-48ZC2</t>
  </si>
  <si>
    <t>SVC-720XP-48ZC2-1M-4H</t>
  </si>
  <si>
    <t>1-Month A-Care Software &amp; 24x7x4 Hour Hardware Replacement for 720XP-48ZC2</t>
  </si>
  <si>
    <t>SVC-720XP-48ZC2-1M-2H</t>
  </si>
  <si>
    <t>1-Month A-Care Software &amp; 24x7x2 Hour Hardware Replacement for 720XP-48ZC2</t>
  </si>
  <si>
    <t>OSV-720XP-48ZC2-1M-NB</t>
  </si>
  <si>
    <t>Onsite Service: 1 Month A-Care Software &amp; NBD Hardware Replacement/Same Day Ship for 720XP-48ZC2</t>
  </si>
  <si>
    <t>OSV-720XP-48ZC2-1M-4H</t>
  </si>
  <si>
    <t>Onsite Service: 1-Month A-Care Software &amp; 24x7x4 Hour Hardware Replacement for 720XP-48ZC2</t>
  </si>
  <si>
    <t>SVC-720XP-48ZC2-1M-SHR</t>
  </si>
  <si>
    <t>SVC-720XP-48ZC2-1M-SH4</t>
  </si>
  <si>
    <t>SVC-720XP-48Y6-1M-RB</t>
  </si>
  <si>
    <t>1 Month A-Care Software Support and HW Replacement for CCS-720XP-48Y6</t>
  </si>
  <si>
    <t>SVC-720XP-48Y6-1M-NB</t>
  </si>
  <si>
    <t>1 Month A-Care Software &amp; NBD Hardware Replacement/Same Day Ship for CCS-720XP-48Y6</t>
  </si>
  <si>
    <t>SVC-720XP-48Y6-1M-4H</t>
  </si>
  <si>
    <t>1-Month A-Care Software &amp; 24x7x4 Hour Hardware Replacement for 720XP-48Y6</t>
  </si>
  <si>
    <t>SVC-720XP-48Y6-1M-2H</t>
  </si>
  <si>
    <t>1-Month A-Care Software &amp; 24x7x2 Hour Hardware Replacement for 720XP-48Y6</t>
  </si>
  <si>
    <t>OSV-720XP-48Y6-1M-NB</t>
  </si>
  <si>
    <t>Onsite Service: 1 Month A-Care Software &amp; NBD Hardware Replacement/Same Day Ship for 720XP-48Y6</t>
  </si>
  <si>
    <t>OSV-720XP-48Y6-1M-4H</t>
  </si>
  <si>
    <t>Onsite Service: 1-Month A-Care Software &amp; 24x7x4 Hour Hardware Replacement for 720XP-48Y6</t>
  </si>
  <si>
    <t>SVC-720XP-48Y6-1M-SHR</t>
  </si>
  <si>
    <t>SVC-720XP-48Y6-1M-SH4</t>
  </si>
  <si>
    <t>PWR-400AC-BLUE</t>
  </si>
  <si>
    <t>Spare 400W AC Power supply for Arista 1U Switches (front-to-rear airflow)</t>
  </si>
  <si>
    <t>PWR-400AC-RED</t>
  </si>
  <si>
    <t>Spare 400W AC Power supply for Arista 1U Switches (rear-to-front airflow)</t>
  </si>
  <si>
    <t>PWR-400AC-BLUE#</t>
  </si>
  <si>
    <t>Configurable 400W AC Power supply for Arista 1U Switches (front-to-rear airflow)</t>
  </si>
  <si>
    <t>PWR-400AC-RED#</t>
  </si>
  <si>
    <t>Configurable 400W AC Power supply for Arista 1U Switches (rear-to-front airflow)</t>
  </si>
  <si>
    <t>FAN-7001C-F</t>
  </si>
  <si>
    <t>FAN-7001C-R</t>
  </si>
  <si>
    <t>Spare fan module for Arista 7000 Series 1RU switches (rear-to-front airflow)</t>
  </si>
  <si>
    <t>FAN-7001C-F#</t>
  </si>
  <si>
    <t>FAN-7001C-R#</t>
  </si>
  <si>
    <t>Configurable fan module for Arista 7000 Series 1RU switches (rear-to-front airflow)</t>
  </si>
  <si>
    <t>LIC-FIX-1-IPSEC</t>
  </si>
  <si>
    <t>IPSec Encryption License for Arista Fixed switches Group 1 - IPSec encryption</t>
  </si>
  <si>
    <t>PWR-1611-DC-RED</t>
  </si>
  <si>
    <t>Spare Arista PSU, 1RU, DC/DC, 1600W, Forward, HS, 73.5MM</t>
  </si>
  <si>
    <t>PWR-1611-DC-RED#</t>
  </si>
  <si>
    <t>Configurable Arista PSU, 1RU, DC/DC, 1600W, Forward, HS, 73.5MM</t>
  </si>
  <si>
    <t>SVC-7130-48LA-1M-NB</t>
  </si>
  <si>
    <t>1-Month A-Care Software &amp; NBD Hardware Replacement/Same Day Ship for 7130-48LA</t>
  </si>
  <si>
    <t>SVC-7130-48LA-1M-4H</t>
  </si>
  <si>
    <t>1-Month A-Care Software &amp; 24x7x4 Hour Hardware Replacement for 7130-48LA</t>
  </si>
  <si>
    <t>SVC-7130-48LA-1M-2H</t>
  </si>
  <si>
    <t>1-Month A-Care Software &amp; 24x7x2 Hour Hardware Replacement for 7130-48LA</t>
  </si>
  <si>
    <t>SVC-7130-48LBA-1M-NB</t>
  </si>
  <si>
    <t>1-Month A-Care Software &amp; NBD Hardware Replacement/Same Day Ship for 7130-48LBA</t>
  </si>
  <si>
    <t>SVC-7130-48LBA-1M-4H</t>
  </si>
  <si>
    <t>1-Month A-Care Software &amp; 24x7x4 Hour Hardware Replacement for 7130-48LBA</t>
  </si>
  <si>
    <t>SVC-7130-48LBA-1M-2H</t>
  </si>
  <si>
    <t>1-Month A-Care Software &amp; 24x7x2 Hour Hardware Replacement for 7130-48LBA</t>
  </si>
  <si>
    <t>SVC-7130-96LA-1M-NB</t>
  </si>
  <si>
    <t>1-Month A-Care Software &amp; NBD Hardware Replacement/Same Day Ship for 7130-96LA</t>
  </si>
  <si>
    <t>SVC-7130-96LA-1M-4H</t>
  </si>
  <si>
    <t>1-Month A-Care Software &amp; 24x7x4 Hour Hardware Replacement for 7130-96LA</t>
  </si>
  <si>
    <t>SVC-7130-96LA-1M-2H</t>
  </si>
  <si>
    <t>1-Month A-Care Software &amp; 24x7x2 Hour Hardware Replacement for 7130-96LA</t>
  </si>
  <si>
    <t>SVC-7130-96LBA-1M-NB</t>
  </si>
  <si>
    <t>1-Month A-Care Software &amp; NBD Hardware Replacement/Same Day Ship for 7130-96LBA</t>
  </si>
  <si>
    <t>SVC-7130-96LBA-1M-4H</t>
  </si>
  <si>
    <t>1-Month A-Care Software &amp; 24x7x4 Hour Hardware Replacement for 7130-96LBA</t>
  </si>
  <si>
    <t>SVC-7130-96LBA-1M-2H</t>
  </si>
  <si>
    <t>1-Month A-Care Software &amp; 24x7x2 Hour Hardware Replacement for 7130-96LBA</t>
  </si>
  <si>
    <t>DCS-7260CX3-64E-F</t>
  </si>
  <si>
    <t>Arista 7260X3, 64x100GbE QSFP &amp; 2xSFP+ Enhanced switch, front-to-rear air, 2xAC</t>
  </si>
  <si>
    <t>DCS-7260CX3-64E-R</t>
  </si>
  <si>
    <t>Arista 7260X3, 64x100GbE QSFP &amp; 2xSFP+ Enhanced switch, rear-to-front air, 2xAC</t>
  </si>
  <si>
    <t>DCS-7260CX3-64E#</t>
  </si>
  <si>
    <t>Arista 7260X3, 64x100GbE QSFP &amp; 2xSFP+ Enhanced switch, no fans, no psu</t>
  </si>
  <si>
    <t>SVC-7260CX3-64E-1M-NB</t>
  </si>
  <si>
    <t>1-Month A-Care Software &amp; NBD Hardware Replacement/Same Day Ship for 7260CX3-64E</t>
  </si>
  <si>
    <t>SVC-7260CX3-64E-1M-4H</t>
  </si>
  <si>
    <t>1-Month A-Care Software &amp; 24x7x4 Hour Hardware Replacement for 7260CX3-64E</t>
  </si>
  <si>
    <t>SVC-7260CX3-64E-1M-2H</t>
  </si>
  <si>
    <t>1-Month A-Care Software &amp; 24x7x2 Hour Hardware Replacement for 7260CX3-64E</t>
  </si>
  <si>
    <t>OSV-7260CX3-64E-1M-NB</t>
  </si>
  <si>
    <t>Onsite Service: 1-Month A-Care Software &amp; NBD Hardware Replacement/Same Day Ship for 7260CX3-64E</t>
  </si>
  <si>
    <t>OSV-7260CX3-64E-1M-4H</t>
  </si>
  <si>
    <t>Onsite Service: 1-Month A-Care Software &amp; 24x7x4 Hour Hardware Replacement for 7260CX3-64E</t>
  </si>
  <si>
    <t>SVC-7260CX3-64E-1M-SHR</t>
  </si>
  <si>
    <t>SVC-7260CX3-64E-1M-SH4</t>
  </si>
  <si>
    <t>CAB-C13-IN</t>
  </si>
  <si>
    <t>Power Cord C13 to India (10A) 2m</t>
  </si>
  <si>
    <t>CAB-C19-IN</t>
  </si>
  <si>
    <t>Power Cord C19 to India (16A) 2m</t>
  </si>
  <si>
    <t>CCS-720XP-48ZC2#</t>
  </si>
  <si>
    <t>Arista 720XP, 40x2.5G, 8x5G POE, 4x25G SFP/2x100G QSFP switch; Requires PSU/Fans</t>
  </si>
  <si>
    <t>CCS-720XP-24ZY4#</t>
  </si>
  <si>
    <t>Arista 720XP, 16x2.5G, 8x5G POE, 4x25G SFP switch; Requires PSU/Fans</t>
  </si>
  <si>
    <t>CCS-720XP-48Y6#</t>
  </si>
  <si>
    <t>Arista 720XP, 48x1G POE, 6x25G SFP switch; Requires PSU/Fans</t>
  </si>
  <si>
    <t>CCS-720XP-48ZC2-2F</t>
  </si>
  <si>
    <t>Arista 720XP, 40x2.5G, 8x5G POE, 4x25G SFP/2x100G QSFP switch, front to rear air, AC (2)</t>
  </si>
  <si>
    <t>CCS-720XP-24ZY4-2F</t>
  </si>
  <si>
    <t>Arista 720XP, 16x2.5G, 8x5G POE, 4x25G SFP switch, front to rear air, AC (2)</t>
  </si>
  <si>
    <t>CCS-720XP-48Y6-2F</t>
  </si>
  <si>
    <t>Arista 720XP, 48x1G POE, 6x25G SFP switch, front to rear air, AC (2)</t>
  </si>
  <si>
    <t>CCS-720XP-48ZC2-2F-NA</t>
  </si>
  <si>
    <t>Arista 720XP, 40x2.5G, 8x5G POE, 4x25G SFP/2x100G QSFP switch, front to rear air, AC (2), NA Power Cords</t>
  </si>
  <si>
    <t>CCS-720XP-24ZY4-2F-NA</t>
  </si>
  <si>
    <t>Arista 720XP, 16x2.5G, 8x5G POE, 4x25G SFP switch, front to rear air, AC (2), NA Power Cords</t>
  </si>
  <si>
    <t>CCS-720XP-48Y6-2F-NA</t>
  </si>
  <si>
    <t>Arista 720XP, 48x1G POE, 6x25G SFP switch, front to rear air, AC (2), NA Power Cords</t>
  </si>
  <si>
    <t>CCS-720XP-48ZC2-2F-UK</t>
  </si>
  <si>
    <t>Arista 720XP, 40x2.5G, 8x5G POE, 4x25G SFP/2x100G QSFP switch, front to rear air, AC (2), UK Power Cords</t>
  </si>
  <si>
    <t>CCS-720XP-24ZY4-2F-UK</t>
  </si>
  <si>
    <t>Arista 720XP, 16x2.5G, 8x5G POE, 4x25G SFP switch, front to rear air, AC (2), UK Power Cords</t>
  </si>
  <si>
    <t>CCS-720XP-48Y6-2F-UK</t>
  </si>
  <si>
    <t>Arista 720XP, 48x1G POE, 6x25G SFP switch, front to rear air, AC (2), UK Power Cords</t>
  </si>
  <si>
    <t>CCS-720XP-48ZC2-2F-EU</t>
  </si>
  <si>
    <t>Arista 720XP, 40x2.5G, 8x5G POE, 4x25G SFP/2x100G QSFP switch, front to rear air, AC (2), EU Power Cords</t>
  </si>
  <si>
    <t>CCS-720XP-24ZY4-2F-EU</t>
  </si>
  <si>
    <t>Arista 720XP, 16x2.5G, 8x5G POE, 4x25G SFP switch, front to rear air, AC (2), EU Power Cords</t>
  </si>
  <si>
    <t>CCS-720XP-48Y6-2F-EU</t>
  </si>
  <si>
    <t>Arista 720XP, 48x1G POE, 6x25G SFP switch, front to rear air, AC (2), EU Power Cords</t>
  </si>
  <si>
    <t>CCS-720XP-48ZC2-2F-C14</t>
  </si>
  <si>
    <t>Arista 720XP, 40x2.5G, 8x5G POE, 4x25G SFP/2x100G QSFP switch, front to rear air, AC (2), C14 Power Cords</t>
  </si>
  <si>
    <t>CCS-720XP-24ZY4-2F-C14</t>
  </si>
  <si>
    <t>Arista 720XP, 16x2.5G, 8x5G POE, 4x25G SFP switch, front to rear air, AC (2), C14 Power Cords</t>
  </si>
  <si>
    <t>CCS-720XP-48Y6-2F-C14</t>
  </si>
  <si>
    <t>Arista 720XP, 48x1G POE, 6x25G SFP switch, front to rear air, AC (2), C14 Power Cords</t>
  </si>
  <si>
    <t>CCS-720XP-48ZC2-2F-JPN</t>
  </si>
  <si>
    <t>Arista 720XP, 40x2.5G, 8x5G POE, 4x25G SFP/2x100G QSFP switch, front to rear air, AC (2), JPN Power Cords</t>
  </si>
  <si>
    <t>CCS-720XP-24ZY4-2F-JPN</t>
  </si>
  <si>
    <t>Arista 720XP, 16x2.5G, 8x5G POE, 4x25G SFP switch, front to rear air, AC (2), JPN Power Cords</t>
  </si>
  <si>
    <t>CCS-720XP-48Y6-2F-JPN</t>
  </si>
  <si>
    <t>Arista 720XP, 48x1G POE, 6x25G SFP switch, front to rear air, AC (2), JPN Power Cords</t>
  </si>
  <si>
    <t>CAB-C15-ISR</t>
  </si>
  <si>
    <t>Power Cord, Israel, C15-SI32, 10A/250V, 1.00mm2, 2.5M</t>
  </si>
  <si>
    <t>CAB-C15-CHN</t>
  </si>
  <si>
    <t>Power Cord, China, C15-GB2099, 10A/250V, 1.00mm2, 2.5M, CCC</t>
  </si>
  <si>
    <t>CAB-C15-BRZ</t>
  </si>
  <si>
    <t>Power Cord, Brazil, C15-NBR14136, 10A/250V, 1.00mm2, 2.5M</t>
  </si>
  <si>
    <t>CAB-C15-SWZ</t>
  </si>
  <si>
    <t>Power Cord, Swiss, C15-SEV1011, 10A/250V, 1.00mm2, 2.5M</t>
  </si>
  <si>
    <t>CAB-C15-ARG</t>
  </si>
  <si>
    <t>Power Cord, Argentina, C15-IRAM2073, 10A/250V, 1.00mm2, 2.5M</t>
  </si>
  <si>
    <t>DCS-7508N-CH</t>
  </si>
  <si>
    <t>DCS-7512N-CH</t>
  </si>
  <si>
    <t>KIT-2POST</t>
  </si>
  <si>
    <t>Spare 2 post rack mount installation kit for Arista 7050X and 7250X 2RU switches</t>
  </si>
  <si>
    <t>KIT-2POST-1U-NT</t>
  </si>
  <si>
    <t>CAB-C13-C14-INTL</t>
  </si>
  <si>
    <t>Power Cord C13 to C14 (2m)</t>
  </si>
  <si>
    <t>OSV-7328X-1M-NB</t>
  </si>
  <si>
    <t>Onsite Service: 1 Month A-Care Software &amp; NBD Hardware Replacement/Same Day Ship for 7328X</t>
  </si>
  <si>
    <t>OSV-7280SRAM-48C6-1M-NB</t>
  </si>
  <si>
    <t>Onsite Service: 1 Month A-Care Software &amp; NBD Hardware Replacement/Same Day Ship for 7280SRAM-48C6</t>
  </si>
  <si>
    <t>OSV-7280SRAM-48C6-1M-4H</t>
  </si>
  <si>
    <t>Onsite Service: 1-Month A-Care Software &amp; 24x7x4 Hour Hardware Replacement for 7280SRAM-48C6</t>
  </si>
  <si>
    <t>CCS-720XP-24Y6-F</t>
  </si>
  <si>
    <t>PWR-400-DC-BLUE#</t>
  </si>
  <si>
    <t>Configurable 400W DC Power supply for Arista 1U Switches (front-to-rear airflow)</t>
  </si>
  <si>
    <t>PWR-400-DC-RED#</t>
  </si>
  <si>
    <t>Configurable 400W DC Power supply for Arista 1U Switches (rear-to-front airflow)</t>
  </si>
  <si>
    <t>PWR-400-DC-BLUE</t>
  </si>
  <si>
    <t>Spare 400W DC Power supply for Arista 1U Switches (front-to-rear airflow)</t>
  </si>
  <si>
    <t>PWR-400-DC-RED</t>
  </si>
  <si>
    <t>Spare 400W DC Power supply for Arista 1U Switches (rear-to-front airflow)</t>
  </si>
  <si>
    <t>Arista 720XP, 24x1G POE, 6x25G SFP switch, front to rear air, AC</t>
  </si>
  <si>
    <t>CCS-720XP-24Y6-2F</t>
  </si>
  <si>
    <t>Arista 720XP, 24x1G POE, 6x25G SFP switch, front to rear air, AC (2)</t>
  </si>
  <si>
    <t>CCS-720XP-24Y6#</t>
  </si>
  <si>
    <t>Arista 720XP, 24x1G POE, 6x25G SFP switch; Requires PSU</t>
  </si>
  <si>
    <t>CCS-720XP-24Y6-F-NA</t>
  </si>
  <si>
    <t>Arista 720XP, 24x1G POE, 6x25G SFP switch, front to rear air, AC, NA Power Cord</t>
  </si>
  <si>
    <t>CCS-720XP-24Y6-F-UK</t>
  </si>
  <si>
    <t>Arista 720XP, 24x1G POE, 6x25G SFP switch, front to rear air, AC, UK Power Cord</t>
  </si>
  <si>
    <t>CCS-720XP-24Y6-F-EU</t>
  </si>
  <si>
    <t>Arista 720XP, 24x1G POE, 6x25G SFP switch, front to rear air, AC, EU Power Cord</t>
  </si>
  <si>
    <t>CCS-720XP-24Y6-F-C14</t>
  </si>
  <si>
    <t>Arista 720XP, 24x1G POE, 6x25G SFP switch, front to rear air, AC, C14 Power Cord</t>
  </si>
  <si>
    <t>CCS-720XP-24Y6-F-JPN</t>
  </si>
  <si>
    <t>Arista 720XP, 24x1G POE, 6x25G SFP switch, front to rear air, AC, JPN Power Cord</t>
  </si>
  <si>
    <t>CCS-720XP-24Y6-2F-NA</t>
  </si>
  <si>
    <t>Arista 720XP, 24x1G POE, 6x25G SFP switch, front to rear air, AC (2), NA Power Cords</t>
  </si>
  <si>
    <t>CCS-720XP-24Y6-2F-UK</t>
  </si>
  <si>
    <t>Arista 720XP, 24x1G POE, 6x25G SFP switch, front to rear air, AC (2), UK Power Cords</t>
  </si>
  <si>
    <t>CCS-720XP-24Y6-2F-EU</t>
  </si>
  <si>
    <t>Arista 720XP, 24x1G POE, 6x25G SFP switch, front to rear air, AC (2), EU Power Cords</t>
  </si>
  <si>
    <t>CCS-720XP-24Y6-2F-C14</t>
  </si>
  <si>
    <t>Arista 720XP, 24x1G POE, 6x25G SFP switch, front to rear air, AC (2), C14 Power Cords</t>
  </si>
  <si>
    <t>CCS-720XP-24Y6-2F-JPN</t>
  </si>
  <si>
    <t>Arista 720XP, 24x1G POE, 6x25G SFP switch, front to rear air, AC (2), JPN Power Cords</t>
  </si>
  <si>
    <t>OSFP-400G-SR8</t>
  </si>
  <si>
    <t>400GBASE-SR8 OSFP Transceiver, up to 100m over OM4 multi-mode fiber</t>
  </si>
  <si>
    <t>OSFP-400G-DR4</t>
  </si>
  <si>
    <t>400GBASE-DR4 OSFP Transceiver, up to 500m over parallel SMF</t>
  </si>
  <si>
    <t>OSFP-400G-XDR4</t>
  </si>
  <si>
    <t>OSFP-400G-FR4</t>
  </si>
  <si>
    <t>OSFP-400G-2FR4</t>
  </si>
  <si>
    <t>CAB-O-O-400G-1M</t>
  </si>
  <si>
    <t>400G-CR8 OSFP TO OSFP Twinax Copper Cable, 1 meter</t>
  </si>
  <si>
    <t>CAB-O-O-400G-2M</t>
  </si>
  <si>
    <t>400G-CR8 OSFP TO OSFP Twinax Copper Cable, 2 meter</t>
  </si>
  <si>
    <t>CAB-O-O-400G-3M</t>
  </si>
  <si>
    <t>400G-CR8 OSFP TO OSFP Twinax Copper Cable, 3 meter</t>
  </si>
  <si>
    <t>CAB-O-4Q-400G-1M</t>
  </si>
  <si>
    <t>CAB-O-4Q-400G-2M</t>
  </si>
  <si>
    <t>CAB-O-4Q-400G-3M</t>
  </si>
  <si>
    <t>CAB-O-4Q-200G-1M</t>
  </si>
  <si>
    <t>CAB-O-4Q-200G-2M</t>
  </si>
  <si>
    <t>CAB-O-4Q-200G-3M</t>
  </si>
  <si>
    <t>CAB-O-2Q-400G-1M</t>
  </si>
  <si>
    <t>CAB-O-2Q-400G-2M</t>
  </si>
  <si>
    <t>CAB-O-2Q-400G-3M</t>
  </si>
  <si>
    <t>CAB-O-2Q-200G-1M</t>
  </si>
  <si>
    <t>200G-CR8 OSFP to 2 x 100GBASE-CR4 QSFP Twinax Copper Cable, 1 meter</t>
  </si>
  <si>
    <t>CAB-O-2Q-200G-2M</t>
  </si>
  <si>
    <t>200G-CR8 OSFP to 2 x 100GBASE-CR4 QSFP Twinax Copper Cable, 2 meter</t>
  </si>
  <si>
    <t>CAB-O-2Q-200G-3M</t>
  </si>
  <si>
    <t>200G-CR8 OSFP to 2 x 100GBASE-CR4 QSFP Twinax Copper Cable, 3 meter</t>
  </si>
  <si>
    <t>AOC-O-O-400G-1M</t>
  </si>
  <si>
    <t>400GbE OSFP to OSFP Active Optical Cable, 1 meter</t>
  </si>
  <si>
    <t>AOC-O-O-400G-3M</t>
  </si>
  <si>
    <t>400GbE OSFP to OSFP Active Optical Cable, 3 meter</t>
  </si>
  <si>
    <t>AOC-O-O-400G-5M</t>
  </si>
  <si>
    <t>400GbE OSFP to OSFP Active Optical Cable, 5 meter</t>
  </si>
  <si>
    <t>AOC-O-O-400G-7M</t>
  </si>
  <si>
    <t>400GbE OSFP to OSFP Active Optical Cable, 7 meter</t>
  </si>
  <si>
    <t>AOC-O-O-400G-10M</t>
  </si>
  <si>
    <t>400GbE OSFP to OSFP Active Optical Cable, 10 meter</t>
  </si>
  <si>
    <t>AOC-O-O-400G-15M</t>
  </si>
  <si>
    <t>400GbE OSFP to OSFP Active Optical Cable, 15 meter</t>
  </si>
  <si>
    <t>AOC-O-O-400G-20M</t>
  </si>
  <si>
    <t>400GbE OSFP to OSFP Active Optical Cable, 20 meter</t>
  </si>
  <si>
    <t>AOC-O-O-400G-25M</t>
  </si>
  <si>
    <t>400GbE OSFP to OSFP Active Optical Cable, 25 meter</t>
  </si>
  <si>
    <t>AOC-O-O-400G-30M</t>
  </si>
  <si>
    <t>400GbE OSFP to OSFP Active Optical Cable, 30 meter</t>
  </si>
  <si>
    <t>QDD-400G-DR4</t>
  </si>
  <si>
    <t>QDD-400G-XDR4</t>
  </si>
  <si>
    <t>QDD-400G-FR4</t>
  </si>
  <si>
    <t>CAB-D-4Q-400G-1M</t>
  </si>
  <si>
    <t>CAB-D-4Q-400G-2M</t>
  </si>
  <si>
    <t>CAB-D-4Q-400-2.5</t>
  </si>
  <si>
    <t>CAB-D-4Q-200G-1M</t>
  </si>
  <si>
    <t>CAB-D-4Q-200G-2M</t>
  </si>
  <si>
    <t>CAB-D-4Q-200-2.5</t>
  </si>
  <si>
    <t>CAB-D-2Q-400G-1M</t>
  </si>
  <si>
    <t>400G-CR8 QSFP-DD to 2 x 200GBASE-CR4 QSFP Twinax Copper Cable, 1 meter</t>
  </si>
  <si>
    <t>CAB-D-2Q-400G-2M</t>
  </si>
  <si>
    <t>400G-CR8 QSFP-DD to 2 x 200GBASE-CR4 QSFP Twinax Copper Cable, 2 meter</t>
  </si>
  <si>
    <t>CAB-D-2Q-400-2.5</t>
  </si>
  <si>
    <t>QSFP-100G-DR</t>
  </si>
  <si>
    <t>100GBASE-DR QSFP Optics Module, up to 500m over duplex SMF</t>
  </si>
  <si>
    <t>QSFP-100G-FR</t>
  </si>
  <si>
    <t>100GBASE-FR QSFP Optics Module, up to 2km over duplex SMF</t>
  </si>
  <si>
    <t>FAN-7001DH-F</t>
  </si>
  <si>
    <t>Spare high speed fan module for Arista 7000 Series 1RU switches (front-to-rear airflow)</t>
  </si>
  <si>
    <t>FAN-7001DH-F#</t>
  </si>
  <si>
    <t>Configurable high speed fan module for Arista 7000 Series 1RU switches (front-to-rear airflow)</t>
  </si>
  <si>
    <t>CAB-O-8S-200G-1M</t>
  </si>
  <si>
    <t>CAB-O-8S-200G-2M</t>
  </si>
  <si>
    <t>CAB-O-8S-200G-3M</t>
  </si>
  <si>
    <t>PWR-1511-DC-RED</t>
  </si>
  <si>
    <t>Arista PSU, 1RU, DC, 1500W, FORWARD, 73.5MM</t>
  </si>
  <si>
    <t>PWR-1511-DC-BLUE</t>
  </si>
  <si>
    <t>Arista PSU, 1RU, DC, 1500W, REVERSE, 73.5MM</t>
  </si>
  <si>
    <t>PWR-1011-DC-RED</t>
  </si>
  <si>
    <t>Arista PSU, 1RU, DC, 1000W, FORWARD, 73.5MM</t>
  </si>
  <si>
    <t>PWR-1011-DC-BLUE</t>
  </si>
  <si>
    <t>Arista PSU, 1RU, DC, 1000W, REVERSE, 73.5MM</t>
  </si>
  <si>
    <t>PWR-1511-AC-RED</t>
  </si>
  <si>
    <t>Arista PSU, 1RU, AC, 1500W, FORWARD, 73.5MM</t>
  </si>
  <si>
    <t>PWR-1511-AC-BLUE</t>
  </si>
  <si>
    <t>Arista PSU, 1RU, AC, 1500W, REVERSE, 73.5MM</t>
  </si>
  <si>
    <t>DCS-7280PR3-24#</t>
  </si>
  <si>
    <t>Arista 7280R3, 24x400GbE OSFP switch router, front to rear air, configurable fans and psu</t>
  </si>
  <si>
    <t>DCS-7280DR3-24#</t>
  </si>
  <si>
    <t>Arista 7280R3, 24x400GbE QSFP-DD switch router, configurable fans and psu</t>
  </si>
  <si>
    <t>DCS-7280PR3K-24#</t>
  </si>
  <si>
    <t>Arista 7280R3, 24x400GbE OSFP switch router, large route, configurable fans and psu</t>
  </si>
  <si>
    <t>LIC-FIX-1-FLX</t>
  </si>
  <si>
    <t>Non-discountable purchase. Universal AC power supply for C-120, C-130, W-118 and C-100</t>
  </si>
  <si>
    <t>FLX-Lite License for Arista Fixed Group 1 - Full Routing Up to 256K Routes, EVPN, VXLAN</t>
  </si>
  <si>
    <t>FLX-Lite License for Arista Fixed Group 2 - Full Routing Up to 256K Routes, EVPN, VXLAN, SR, base MPLS LSR (no TE or link/node protection)</t>
  </si>
  <si>
    <t>FLX-Lite License for Arista Fixed Group 3 - Full Routing Up to 256K Routes, EVPN, VXLAN, SR, base MPLS LSR (no TE or link/node protection)</t>
  </si>
  <si>
    <t>FLX-Lite License for Arista Fixed Group 4 - Full Routing Up to 256K Routes, EVPN, VXLAN, SR, base MPLS LSR (no TE or link/node protection)</t>
  </si>
  <si>
    <t>Arista 720XP, 48x1G POE, 6x25G SFP switch, front to rear air, AC, NA Power Cord</t>
  </si>
  <si>
    <t>Arista 720XP, 48x1G POE, 6x25G SFP switch, front to rear air, AC, UK Power Cord</t>
  </si>
  <si>
    <t>Arista 720XP, 48x1G POE, 6x25G SFP switch, front to rear air, AC, EU Power Cord</t>
  </si>
  <si>
    <t>Arista 720XP, 48x1G POE, 6x25G SFP switch, front to rear air, AC, JPN Power Cord</t>
  </si>
  <si>
    <t>CCS-720XP-48Y6-F-C14</t>
  </si>
  <si>
    <t>SVC-720XP-24Y6-1M-RB</t>
  </si>
  <si>
    <t>1 Month A-Care Software Support and HW Replacement for CCS-720XP-24Y6</t>
  </si>
  <si>
    <t>SVC-720XP-24Y6-1M-NB</t>
  </si>
  <si>
    <t>1 Month A-Care Software &amp; NBD Hardware Replacement/Same Day Ship for CCS-720XP-24Y6</t>
  </si>
  <si>
    <t>SVC-720XP-24Y6-1M-4H</t>
  </si>
  <si>
    <t>1-Month A-Care Software &amp; 24x7x4 Hour Hardware Replacement for 720XP-24Y6</t>
  </si>
  <si>
    <t>SVC-720XP-24Y6-1M-2H</t>
  </si>
  <si>
    <t>1-Month A-Care Software &amp; 24x7x2 Hour Hardware Replacement for 720XP-24Y6</t>
  </si>
  <si>
    <t>OSV-720XP-24Y6-1M-NB</t>
  </si>
  <si>
    <t>Onsite Service: 1 Month A-Care Software &amp; NBD Hardware Replacement/Same Day Ship for 720XP-24Y6</t>
  </si>
  <si>
    <t>OSV-720XP-24Y6-1M-4H</t>
  </si>
  <si>
    <t>Onsite Service: 1-Month A-Care Software &amp; 24x7x4 Hour Hardware Replacement for 720XP-24Y6</t>
  </si>
  <si>
    <t>SVC-720XP-24Y6-1M-SHR</t>
  </si>
  <si>
    <t>SVC-720XP-24Y6-1M-SH4</t>
  </si>
  <si>
    <t>QDD-400G-SR8</t>
  </si>
  <si>
    <t>DCS-7368-4D</t>
  </si>
  <si>
    <t>DCS-7368-4D#</t>
  </si>
  <si>
    <t>Arista 720XP, 48x1G POE, 6x25G SFP switch, front to rear air, AC, C14 Power Cord</t>
  </si>
  <si>
    <t>ADPT-O-Q-100G</t>
  </si>
  <si>
    <t>CAB-D-D-400G-1M</t>
  </si>
  <si>
    <t>400GBASE-CR8 QSFP-DD to QSFP-DD Twinax Copper Cable, 1 meter</t>
  </si>
  <si>
    <t>CAB-D-D-400G-2M</t>
  </si>
  <si>
    <t>400GBASE-CR8 QSFP-DD to QSFP-DD Twinax Copper Cable, 2 meter</t>
  </si>
  <si>
    <t>CAB-D-D-400-2.5</t>
  </si>
  <si>
    <t>400GBASE-CR8 QSFP-DD to QSFP-DD Twinax Copper Cable, 2.5 meter</t>
  </si>
  <si>
    <t>CAB-D-2Q-200G-1M</t>
  </si>
  <si>
    <t>200GBASE-CR8 QSFP-DD to 2 x 100GBASE-CR4 QSFP Twinax Copper Cable, 1 meter</t>
  </si>
  <si>
    <t>CAB-D-2Q-200G-2M</t>
  </si>
  <si>
    <t>200GBASE-CR8 QSFP-DD to 2 x 100GBASE-CR4 QSFP Twinax Copper Cable, 2 meter</t>
  </si>
  <si>
    <t>CAB-D-2Q-200-2.5</t>
  </si>
  <si>
    <t>200GBASE-CR8 QSFP-DD to 2 x 100GBASE-CR4 QSFP Twinax Copper Cable, 2.5 meter</t>
  </si>
  <si>
    <t>CAB-D-8S-200G-1M</t>
  </si>
  <si>
    <t>200GBASE-CR8 QSFP-DD to 8 x 25GBASE-CR SFP Twinax Copper Cable, 1 meter</t>
  </si>
  <si>
    <t>CAB-D-8S-200G-2M</t>
  </si>
  <si>
    <t>200GBASE-CR8 QSFP-DD to 8 x 25GBASE-CR SFP Twinax Copper Cable, 2 meter</t>
  </si>
  <si>
    <t>CAB-D-8S-200-2.5</t>
  </si>
  <si>
    <t>200GBASE-CR8 QSFP-DD to 8 x 25GBASE-CR SFP Twinax Copper Cable, 2.5 meter</t>
  </si>
  <si>
    <t>Power Cord, Japan, C15-JA1-15P, 12A/125V, 1.25mm2, 1.8M, PSE</t>
  </si>
  <si>
    <t>CCS-720XP-24ZY4-F-C14</t>
  </si>
  <si>
    <t>Arista 720XP, 16x2.5G, 8x5G POE, 4x25G SFP switch, front to rear air, AC, C14 Power Cord</t>
  </si>
  <si>
    <t>CCS-720XP-48ZC2-F-C14</t>
  </si>
  <si>
    <t>Arista 720XP, 40x2.5G, 8x5G POE, 4x25G SFP/2x100G QSFP switch, front to rear air, AC, C14 Power Cord</t>
  </si>
  <si>
    <t>CAB-C15-IND</t>
  </si>
  <si>
    <t>CAB-C15-AUS</t>
  </si>
  <si>
    <t>1 Month A-Care NBD Hardware Replacement/Same Day Ship for 1 x Wireless Access Point</t>
  </si>
  <si>
    <t>Enhanced L3 License for Arista Group 2 Fixed switches (BGP, OSPF, ISIS, PIM, NAT)</t>
  </si>
  <si>
    <t>Enhanced L3 License for Arista Group 3 Fixed switches (BGP, OSPF, ISIS, PIM, NAT)</t>
  </si>
  <si>
    <t>Enhanced L3 License for Arista Group 4 Fixed switches (BGP, OSPF, ISIS, PIM, NAT)</t>
  </si>
  <si>
    <t>Virtualization license for Group 1 Arista Fixed switches (VMTracer and VXLAN)</t>
  </si>
  <si>
    <t>Virtualization license for Group 2 Arista Fixed switches (VMTracer and VXLAN)</t>
  </si>
  <si>
    <t>Virtualization license for Group 3 Arista Fixed switches (VMTracer and VXLAN)</t>
  </si>
  <si>
    <t>DCS-7280CR3-32P4-F</t>
  </si>
  <si>
    <t>Arista 7280R3, 32x100GbE QSFP and 4x400GbE OSFP switch router, front to rear air, 2 x AC</t>
  </si>
  <si>
    <t>DCS-7050CX3M-32S-F</t>
  </si>
  <si>
    <t>Arista 7050X3, 32x100GbE QSFP+ &amp; 2xSFP+ switch, MACsec, front-to-rear air, 2xAC, 2xC13-C14 cords</t>
  </si>
  <si>
    <t>DCS-7050CX3M-32S-R</t>
  </si>
  <si>
    <t>Arista 7050X3, 32x100GbE QSFP+ &amp; 2xSFP+ switch, MACsec, rear-to-front air, 2xAC, 2xC13-C14 cords</t>
  </si>
  <si>
    <t>DCS-7050CX3M-32S#</t>
  </si>
  <si>
    <t>Arista 7050X3, 32x100GbE QSFP+ &amp; 2xSFP+ switch, MACsec, configurable fans and psu, 2 x C13-C14 cords</t>
  </si>
  <si>
    <t>SVC-7050CX3M-32S-1M-NB</t>
  </si>
  <si>
    <t>1 Month A-Care Software &amp; NBD Hardware Replacement/Same Day Ship for 7050CX3M-32S</t>
  </si>
  <si>
    <t>SVC-7050CX3M-32S-1M-4H</t>
  </si>
  <si>
    <t>1-Month A-Care Software &amp; 24x7x4 Hour Hardware Replacement for 7050CX3M-32S</t>
  </si>
  <si>
    <t>SVC-7050CX3M-32S-1M-2H</t>
  </si>
  <si>
    <t>1-Month A-Care Software &amp; 24x7x2 Hour Hardware Replacement for 7050CX3M-32S</t>
  </si>
  <si>
    <t>OSV-7050CX3M-32S-1M-NB</t>
  </si>
  <si>
    <t>Onsite Service: 1 Month A-Care Software &amp; NBD Hardware Replacement/Same Day Ship for 7050CX3M-32S</t>
  </si>
  <si>
    <t>OSV-7050CX3M-32S-1M-4H</t>
  </si>
  <si>
    <t>Onsite Service: 1-Month A-Care Software &amp; 24x7x4 Hour Hardware Replacement for 7050CX3M-32S</t>
  </si>
  <si>
    <t>SVC-7050CX3M-32S-1M-SHR</t>
  </si>
  <si>
    <t>SVC-7050CX3M-32S-1M-SH4</t>
  </si>
  <si>
    <t>DCS-7280CR3-32P4#</t>
  </si>
  <si>
    <t>Arista 7280R3, 32x100GbE QSFP and 4x400GbE OSFP switch router, configurable fans and psu</t>
  </si>
  <si>
    <t>DCS-7280CR3K-32P4-F</t>
  </si>
  <si>
    <t>Arista 7280R3, 32x100GbE QSFP and 4x400GbE OSFP switch router, large route, front to rear air, 2 x AC</t>
  </si>
  <si>
    <t>DCS-7280CR3K-32P4#</t>
  </si>
  <si>
    <t>Arista 7280R3, 32x100GbE QSFP and 4x400GbE OSFP switch router, large route, configurable fans and psu</t>
  </si>
  <si>
    <t>DCS-7280CR3K-32P4-FLX-F</t>
  </si>
  <si>
    <t>Arista 7280R3, 32x100GbE QSFP and 4x400GbE OSFP switch router, large route, front to rear air, 2 x AC. Over 256K Routes, MPLS and VXLAN</t>
  </si>
  <si>
    <t>DCS-7280CR3K-32P4-FLX#</t>
  </si>
  <si>
    <t>Arista 7280R3, 32x100GbE QSFP and 4x400GbE OSFP switch router, large route, configurable fans and psu. Over 256K Routes, MPLS and VXLAN</t>
  </si>
  <si>
    <t>SVC-7280CR3-32P4-1M-NB</t>
  </si>
  <si>
    <t>1 Month A-Care Software &amp; NBD Hardware Replacement/Same Day Ship for 7280CR3-32P4</t>
  </si>
  <si>
    <t>SVC-7280CR3-32P4-1M-4H</t>
  </si>
  <si>
    <t>1-Month A-Care Software &amp; 24x7x4 Hour Hardware Replacement for 7280CR3-32P4</t>
  </si>
  <si>
    <t>SVC-7280CR3-32P4-1M-2H</t>
  </si>
  <si>
    <t>1-Month A-Care Software &amp; 24x7x2 Hour Hardware Replacement for 7280CR3-32P4</t>
  </si>
  <si>
    <t>OSV-7280CR3-32P4-1M-NB</t>
  </si>
  <si>
    <t>Onsite Service: 1 Month A-Care Software &amp; NBD Hardware Replacement/Same Day Ship for 7280CR3-32P4</t>
  </si>
  <si>
    <t>OSV-7280CR3-32P4-1M-4H</t>
  </si>
  <si>
    <t>Onsite Service: 1-Month A-Care Software &amp; 24x7x4 Hour Hardware Replacement for 7280CR3-32P4</t>
  </si>
  <si>
    <t>SVC-7280CR3-32P4-1M-SHR</t>
  </si>
  <si>
    <t>SVC-7280CR3-32P4-1M-SH4</t>
  </si>
  <si>
    <t>SVC-7280CR3-32P4M-1M-NB</t>
  </si>
  <si>
    <t>1 Month A-Care Software &amp; NBD Hardware Replacement/Same Day Ship for 7280CR3-32P4M</t>
  </si>
  <si>
    <t>SVC-7280CR3-32P4M-1M-4H</t>
  </si>
  <si>
    <t>1-Month A-Care Software &amp; 24x7x4 Hour Hardware Replacement for 7280CR3-32P4M</t>
  </si>
  <si>
    <t>SVC-7280CR3-32P4M-1M-2H</t>
  </si>
  <si>
    <t>1-Month A-Care Software &amp; 24x7x2 Hour Hardware Replacement for 7280CR3-32P4M</t>
  </si>
  <si>
    <t>OSV-7280CR3-32P4M-1M-NB</t>
  </si>
  <si>
    <t>Onsite Service: 1 Month A-Care Software &amp; NBD Hardware Replacement/Same Day Ship for 7280CR3-32P4M</t>
  </si>
  <si>
    <t>OSV-7280CR3-32P4M-1M-4H</t>
  </si>
  <si>
    <t>Onsite Service: 1-Month A-Care Software &amp; 24x7x4 Hour Hardware Replacement for 7280CR3-32P4M</t>
  </si>
  <si>
    <t>SVC-7280CR3-32P4M-1M-SHR</t>
  </si>
  <si>
    <t>SVC-7280CR3-32P4M-1M-SH4</t>
  </si>
  <si>
    <t>DCS-7504R3-BND</t>
  </si>
  <si>
    <t>Arista 7504R Chassis bundle. Includes 7504N chassis, 4x3kW PS, 6xFM-R3, 1xSup2</t>
  </si>
  <si>
    <t>DCS-7504R3-BND-D</t>
  </si>
  <si>
    <t>Arista 7504R Chassis bundle. Includes 7504N chassis, 4x3kW PS, 6xFM-R3, 1xSup2-SSD</t>
  </si>
  <si>
    <t>DCS-7504R3-BND-DC</t>
  </si>
  <si>
    <t>Arista 7504R Chassis bundle. Includes 7504N chassis, 4x3kW DC PS, 6xFM-R3, 1xSup2</t>
  </si>
  <si>
    <t>DCS-7504R3-BND-DC-D</t>
  </si>
  <si>
    <t>Arista 7504R Chassis bundle. Includes 7504N chassis, 4x3kW DC PS, 6xFM-R3, 1xSup2-SSD</t>
  </si>
  <si>
    <t>DCS-7504R3-BND-S2</t>
  </si>
  <si>
    <t>Arista 7504R Chassis bundle. Includes 7504N chassis, 4x3kW PS, 6xFM-R3, 2xSup2</t>
  </si>
  <si>
    <t>DCS-7504R3-BND-DC-S2</t>
  </si>
  <si>
    <t>Arista 7504R Chassis bundle. Includes 7504N chassis, 4x3kW DC PS, 6xFM-R3, 2xSup2</t>
  </si>
  <si>
    <t>DCS-7504R3-BND-FLX</t>
  </si>
  <si>
    <t>Arista 7504R Chassis bundle. Includes 7504N chassis, 4x3kW PS, 6xFM-R3, 1xSup2, FLX Lic</t>
  </si>
  <si>
    <t>SVC-7504R3-1M-NB</t>
  </si>
  <si>
    <t>1-Month A-Care Software &amp; 8x5xNBD Hardware Replacement/Same Day Ship for 7504R3R</t>
  </si>
  <si>
    <t>SVC-7504R3-1M-4H</t>
  </si>
  <si>
    <t>1-Month A-Care 24x7x4 Software &amp; Hardware Replacement for 7504R3R</t>
  </si>
  <si>
    <t>SVC-7504R3-1M-2H</t>
  </si>
  <si>
    <t>1-Month A-Care 24x7x2 Software &amp; Hardware Replacement for 7504R3R</t>
  </si>
  <si>
    <t>SVC-7504R3-1M-SHR</t>
  </si>
  <si>
    <t>SVC-7504R3-1M-SH4</t>
  </si>
  <si>
    <t>OSV-7504R3-1M-NB</t>
  </si>
  <si>
    <t>Onsite Service: 1 Month A-Care Software &amp; NBD Hardware Replacement/Same Day Ship for 7504R3R</t>
  </si>
  <si>
    <t>OSV-7504R3-1M-4H</t>
  </si>
  <si>
    <t>Onsite Service: 1-Month A-Care Software &amp; 24x7x4 Hour Hardware Replacement for 7504R3R</t>
  </si>
  <si>
    <t>DCS-7508R3-BND</t>
  </si>
  <si>
    <t>Arista 7508R Chassis bundle. Includes 7508N chassis, 6x3kW PS, 6xFM-R3, 1xSup2</t>
  </si>
  <si>
    <t>DCS-7508R3-BND-D</t>
  </si>
  <si>
    <t>Arista 7508R Chassis bundle. Includes 7508N chassis, 6x3kW PS, 6xFM-R3, 1xSup2-SSD</t>
  </si>
  <si>
    <t>DCS-7508R3-BND-DC</t>
  </si>
  <si>
    <t>Arista 7508R Chassis bundle. Includes 7508N chassis, 6x3kW DC PS, 6xFM-R3, 1xSup2</t>
  </si>
  <si>
    <t>DCS-7508R3-BND-DC-D</t>
  </si>
  <si>
    <t>Arista 7508R Chassis bundle. Includes 7508N chassis, 6x3kW DC PS, 6xFM-R3, 1xSup2-SSD</t>
  </si>
  <si>
    <t>DCS-7508R3-BND-S2</t>
  </si>
  <si>
    <t>Arista 7508R Chassis bundle. Includes 7508N chassis, 8x3kW PS, 6xFM-R3, 2xSup2</t>
  </si>
  <si>
    <t>DCS-7508R3-BND-DC-S2</t>
  </si>
  <si>
    <t>Arista 7508R Chassis bundle. Includes 7508N chassis, 8x3kW DC PS, 6xFM-R3, 2xSup2</t>
  </si>
  <si>
    <t>DCS-7508R3-BND-FLX</t>
  </si>
  <si>
    <t>Arista 7508R Chassis bundle. Includes 7508N chassis, 6x3kW PS, 6xFM-R3, 1xSup2, FLX Lic</t>
  </si>
  <si>
    <t>SVC-7508R3-1M-NB</t>
  </si>
  <si>
    <t>1-Month A-Care Software &amp; 8x5xNBD Hardware Replacement/Same Day Ship for 7508R3R</t>
  </si>
  <si>
    <t>SVC-7508R3-1M-4H</t>
  </si>
  <si>
    <t>1-Month A-Care 24x7x4 Software &amp; Hardware Replacement for 7508R3R</t>
  </si>
  <si>
    <t>SVC-7508R3-1M-2H</t>
  </si>
  <si>
    <t>1-Month A-Care 24x7x2 Software &amp; Hardware Replacement for 7508R3R</t>
  </si>
  <si>
    <t>SVC-7508R3-1M-SHR</t>
  </si>
  <si>
    <t>SVC-7508R3-1M-SH4</t>
  </si>
  <si>
    <t>OSV-7508R3-1M-NB</t>
  </si>
  <si>
    <t>Onsite Service: 1 Month A-Care Software &amp; NBD Hardware Replacement/Same Day Ship for 7508R3R</t>
  </si>
  <si>
    <t>OSV-7508R3-1M-4H</t>
  </si>
  <si>
    <t>Onsite Service: 1-Month A-Care Software &amp; 24x7x4 Hour Hardware Replacement for 7508R3R</t>
  </si>
  <si>
    <t>DCS-7504R3-FM</t>
  </si>
  <si>
    <t>7500R3 Series Fabric (integrated fan) Module for 7504 Chassis, required for fabric slots 1-6</t>
  </si>
  <si>
    <t>DCS-7508R3-FM</t>
  </si>
  <si>
    <t>7500R3 Series Fabric (integrated fan) Module for 7508 Chassis, required for fabric slots 1-6</t>
  </si>
  <si>
    <t>FLX-Lite License for Arista 16-Slot Modular - Full Routing Up to 256K Routes, EVPN, VXLAN, SR, base MPLS LSR (no TE or link/node protection)</t>
  </si>
  <si>
    <t>DCS-7500R3K-36CQ-LC</t>
  </si>
  <si>
    <t>7500R3 Series 36 port 100GbE QSFP100 wirespeed line card, large routes (spare)</t>
  </si>
  <si>
    <t>DCS-7500R3K-36CQ-LC#</t>
  </si>
  <si>
    <t>7500R3 Series 36 port 100GbE QSFP100 wirespeed line card, large routes (ships in chassis)</t>
  </si>
  <si>
    <t>DCS-7500R3-36CQ-LC</t>
  </si>
  <si>
    <t>7500R3 Series 36 port 100GbE QSFP100 wirespeed line card (spare)</t>
  </si>
  <si>
    <t>DCS-7500R3-36CQ-LC#</t>
  </si>
  <si>
    <t>7500R3 Series 36 port 100GbE QSFP100 wirespeed line card (ships in chassis)</t>
  </si>
  <si>
    <t>DCS-7500R3-24P-LC</t>
  </si>
  <si>
    <t>7500R3 Series 24 port 400GbE OSFP wirespeed line card (spare)</t>
  </si>
  <si>
    <t>DCS-7500R3-24P-LC#</t>
  </si>
  <si>
    <t>7500R3 Series 24 port 400GbE OSFP wirespeed line card (ships in chassis)</t>
  </si>
  <si>
    <t>DCS-7280CR3-32P4-M#</t>
  </si>
  <si>
    <t>Arista 7280R3, 32x100GbE QSFP and 4x400GbE OSFP switch router, expn mem, configurable fans and psu</t>
  </si>
  <si>
    <t>DCS-7280CR3-32P4-M-FLX-F</t>
  </si>
  <si>
    <t>Arista 7280R3, 32x100GbE QSFP and 4x400GbE OSFP switch router, expn mem, front to rear air, 2 x AC. Over 256K Routes, MPLS and VXLAN</t>
  </si>
  <si>
    <t>DCS-7280CR3-32P4-M-FLX#</t>
  </si>
  <si>
    <t>Arista 7280R3, 32x100GbE QSFP and 4x400GbE OSFP switch router, expn mem, configurable fans and psu. Over 256K Routes, MPLS and VXLAN</t>
  </si>
  <si>
    <t>SVC-7280CR3K-32P4-1M-NB</t>
  </si>
  <si>
    <t>1 Month A-Care Software &amp; NBD Hardware Replacement/Same Day Ship for 7280CR3K-32P4</t>
  </si>
  <si>
    <t>SVC-7280CR3K-32P4-1M-4H</t>
  </si>
  <si>
    <t>1-Month A-Care Software &amp; 24x7x4 Hour Hardware Replacement for 7280CR3K-32P4</t>
  </si>
  <si>
    <t>SVC-7280CR3K-32P4-1M-2H</t>
  </si>
  <si>
    <t>1-Month A-Care Software &amp; 24x7x2 Hour Hardware Replacement for 7280CR3K-32P4</t>
  </si>
  <si>
    <t>OSV-7280CR3K-32P4-1M-NB</t>
  </si>
  <si>
    <t>Onsite Service: 1 Month A-Care Software &amp; NBD Hardware Replacement/Same Day Ship for 7280CR3K-32P4</t>
  </si>
  <si>
    <t>OSV-7280CR3K-32P4-1M-4H</t>
  </si>
  <si>
    <t>Onsite Service: 1-Month A-Care Software &amp; 24x7x4 Hour Hardware Replacement for 7280CR3K-32P4</t>
  </si>
  <si>
    <t>SVC-7280CR3K-32P4-1M-SHR</t>
  </si>
  <si>
    <t>SVC-7280CR3K-32P4-1M-SH4</t>
  </si>
  <si>
    <t xml:space="preserve"> </t>
  </si>
  <si>
    <t>KIT-7512N</t>
  </si>
  <si>
    <t>KIT-7516N</t>
  </si>
  <si>
    <t>DCS-7280CR3-32P4-R</t>
  </si>
  <si>
    <t>Arista 7280R3, 32x100GbE QSFP and 4x400GbE OSFP switch router, rear to front air, 2 x AC</t>
  </si>
  <si>
    <t>DCS-7280CR3-32P4-M-FLX-R</t>
  </si>
  <si>
    <t>Arista 7280R3, 32x100GbE QSFP and 4x400GbE OSFP switch router, expn mem, rear to front air, 2 x AC. Over 256K Routes, MPLS and VXLAN</t>
  </si>
  <si>
    <t>DCS-7280CR3K-32P4-R</t>
  </si>
  <si>
    <t>Arista 7280R3, 32x100GbE QSFP and 4x400GbE OSFP switch router, large route, rear to front air, 2 x AC</t>
  </si>
  <si>
    <t>DCS-7280CR3K-32P4-FLX-R</t>
  </si>
  <si>
    <t>Arista 7280R3, 32x100GbE QSFP and 4x400GbE OSFP switch router, large route, rear to front air, 2 x AC. Over 256K Routes, MPLS and VXLAN</t>
  </si>
  <si>
    <t>PWR-1011-AC-BLUE</t>
  </si>
  <si>
    <t>Arista PSU, 1RU, AC, 1000W, REVERSE, 73.5MM</t>
  </si>
  <si>
    <t>FAN-7011H-R</t>
  </si>
  <si>
    <t>Spare fan module for Arista 7000 Series 1RU High Speed Fan (rear-to-front airflow)</t>
  </si>
  <si>
    <t>SVC-7280PR3-24M-1M-NB</t>
  </si>
  <si>
    <t>1 Month A-Care Software &amp; NBD Hardware Replacement/Same Day Ship for 7280PR3-24M</t>
  </si>
  <si>
    <t>SVC-7280PR3-24M-1M-4H</t>
  </si>
  <si>
    <t>1-Month A-Care Software &amp; 24x7x4 Hour Hardware Replacement for 7280PR3-24M</t>
  </si>
  <si>
    <t>SVC-7280PR3-24M-1M-2H</t>
  </si>
  <si>
    <t>1-Month A-Care Software &amp; 24x7x2 Hour Hardware Replacement for 7280PR3-24M</t>
  </si>
  <si>
    <t>OSV-7280PR3-24M-1M-NB</t>
  </si>
  <si>
    <t>Onsite Service: 1 Month A-Care Software &amp; NBD Hardware Replacement/Same Day Ship for 7280PR3-24M</t>
  </si>
  <si>
    <t>OSV-7280PR3-24M-1M-4H</t>
  </si>
  <si>
    <t>Onsite Service: 1-Month A-Care Software &amp; 24x7x4 Hour Hardware Replacement for 7280PR3-24M</t>
  </si>
  <si>
    <t>SVC-7280PR3-24M-1M-SHR</t>
  </si>
  <si>
    <t>SVC-7280PR3-24M-1M-SH4</t>
  </si>
  <si>
    <t>DCS-7280PR3-24-F</t>
  </si>
  <si>
    <t>Arista 7280R3, 24x400GbE OSFP switch router, front to rear air, 2 x AC</t>
  </si>
  <si>
    <t>DCS-7280PR3-24-M#</t>
  </si>
  <si>
    <t>Arista 7280R3, 24x400GbE OSFP switch router, expn mem, configurable fans and psu</t>
  </si>
  <si>
    <t>DCS-7280PR3-24-M-FLX-F</t>
  </si>
  <si>
    <t>Arista 7280R3, 24x400GbE OSFP switch router, expn mem, front to rear air, 2 x AC. Over 256K Routes, MPLS and VXLAN</t>
  </si>
  <si>
    <t>DCS-7280PR3-24-M-FLX#</t>
  </si>
  <si>
    <t>Arista 7280R3, 24x400GbE OSFP switch router, expn mem, configurable fans and psu. Over 256K Routes, MPLS and VXLAN</t>
  </si>
  <si>
    <t>DCS-7280PR3K-24-F</t>
  </si>
  <si>
    <t>Arista 7280R3, 24x400GbE OSFP switch router, large route, front to rear air, 2 x AC</t>
  </si>
  <si>
    <t>DCS-7280PR3K-24-FLX-F</t>
  </si>
  <si>
    <t>Arista 7280R3, 24x400GbE OSFP switch router, large route, front to rear air, 2 x AC. Over 256K Routes, MPLS and VXLAN</t>
  </si>
  <si>
    <t>DCS-7280PR3K-24-FLX#</t>
  </si>
  <si>
    <t>Arista 7280R3, 24x400GbE OSFP switch router, large route, configurable fans and psu. Over 256K Routes, MPLS and VXLAN</t>
  </si>
  <si>
    <t>SVC-7280PR3-24-1M-NB</t>
  </si>
  <si>
    <t>1 Month A-Care Software &amp; NBD Hardware Replacement/Same Day Ship for 7280PR3-24</t>
  </si>
  <si>
    <t>SVC-7280PR3-24-1M-4H</t>
  </si>
  <si>
    <t>1-Month A-Care Software &amp; 24x7x4 Hour Hardware Replacement for 7280PR3-24</t>
  </si>
  <si>
    <t>SVC-7280PR3-24-1M-2H</t>
  </si>
  <si>
    <t>1-Month A-Care Software &amp; 24x7x2 Hour Hardware Replacement for 7280PR3-24</t>
  </si>
  <si>
    <t>OSV-7280PR3-24-1M-NB</t>
  </si>
  <si>
    <t>Onsite Service: 1 Month A-Care Software &amp; NBD Hardware Replacement/Same Day Ship for 7280PR3-24</t>
  </si>
  <si>
    <t>OSV-7280PR3-24-1M-4H</t>
  </si>
  <si>
    <t>Onsite Service: 1-Month A-Care Software &amp; 24x7x4 Hour Hardware Replacement for 7280PR3-24</t>
  </si>
  <si>
    <t>SVC-7280PR3-24-1M-SHR</t>
  </si>
  <si>
    <t>SVC-7280PR3-24-1M-SH4</t>
  </si>
  <si>
    <t>SVC-7280PR3K-24-1M-NB</t>
  </si>
  <si>
    <t>1 Month A-Care Software &amp; NBD Hardware Replacement/Same Day Ship for 7280PR3K-24</t>
  </si>
  <si>
    <t>SVC-7280PR3K-24-1M-4H</t>
  </si>
  <si>
    <t>1-Month A-Care Software &amp; 24x7x4 Hour Hardware Replacement for 7280PR3K-24</t>
  </si>
  <si>
    <t>SVC-7280PR3K-24-1M-2H</t>
  </si>
  <si>
    <t>1-Month A-Care Software &amp; 24x7x2 Hour Hardware Replacement for 7280PR3K-24</t>
  </si>
  <si>
    <t>OSV-7280PR3K-24-1M-NB</t>
  </si>
  <si>
    <t>Onsite Service: 1 Month A-Care Software &amp; NBD Hardware Replacement/Same Day Ship for 7280PR3K-24</t>
  </si>
  <si>
    <t>OSV-7280PR3K-24-1M-4H</t>
  </si>
  <si>
    <t>Onsite Service: 1-Month A-Care Software &amp; 24x7x4 Hour Hardware Replacement for 7280PR3K-24</t>
  </si>
  <si>
    <t>SVC-7280PR3K-24-1M-SHR</t>
  </si>
  <si>
    <t>SVC-7280PR3K-24-1M-SH4</t>
  </si>
  <si>
    <t>400GBASE-2FR4 OSFP Optics Module, up to 2km over 2 pairs of duplex SMF</t>
  </si>
  <si>
    <t>PWR-1011-AC-RED</t>
  </si>
  <si>
    <t>Arista PSU, 1RU, AC, 1000W, FORWARD, 73.5MM</t>
  </si>
  <si>
    <t>FAN-7011H-F</t>
  </si>
  <si>
    <t>Spare fan module for Arista 7000 Series 1RU High Speed Fan (front-to-rear airflow)</t>
  </si>
  <si>
    <t>DCS-7368X-BND-R</t>
  </si>
  <si>
    <t>Arista 7368X chassis bundle. Includes 7368 chassis, 2 x AC PS, Supervisor, X4-SC and Fans (rear-to-front air)</t>
  </si>
  <si>
    <t>DCS-7368X-BND-D-R</t>
  </si>
  <si>
    <t>Arista 7368X chassis bundle. Includes 7368 chassis, 2 x AC PS, Supervisor-SSD, X4-SC and Fans (rear-to-front air)</t>
  </si>
  <si>
    <t>DCS-7368X-128-BND-R</t>
  </si>
  <si>
    <t>Arista 7368X 100G System bundle. Includes 7368X-BND Bundle and 128 x 100G QSFP ports (rear-to-front air)</t>
  </si>
  <si>
    <t>DCS-7368X-128-BND-D-R</t>
  </si>
  <si>
    <t>Arista 7368X 100G System bundle. Includes 7368X-BND-D Bundle and 128 x 100G QSFP ports (rear-to-front air)</t>
  </si>
  <si>
    <t>DCS-7368X4-SC-R</t>
  </si>
  <si>
    <t>7368X Switch Card for 7368 chassis, X4-SC, includes Fans (rear-to-front air)</t>
  </si>
  <si>
    <t>SVC-DCA-200-CV-NB</t>
  </si>
  <si>
    <t>SVC-DCA-200-VEOS-NB</t>
  </si>
  <si>
    <t>SVC-AP-1M-NB</t>
  </si>
  <si>
    <t>SVC-DCA-CV-100-NB</t>
  </si>
  <si>
    <t>SVC-7324X-1M-NB</t>
  </si>
  <si>
    <t>SVC-7328X-1M-NB</t>
  </si>
  <si>
    <t>SVC-7304X3-1M-NB</t>
  </si>
  <si>
    <t>SVC-7308X3-1M-NB</t>
  </si>
  <si>
    <t>DCS-7280CR3-32D4#</t>
  </si>
  <si>
    <t>Arista 7280R3, 32x100GbE QSFP and 4x400GbE QSFP-DD switch router, configurable fans and psu</t>
  </si>
  <si>
    <t>DCS-7280CR3-32D4-F</t>
  </si>
  <si>
    <t>Arista 7280R3, 32x100GbE QSFP and 4x400GbE QSFP-DD switch router, front to rear air, 2 x AC</t>
  </si>
  <si>
    <t>DCS-7280CR3-32D4-M#</t>
  </si>
  <si>
    <t>Arista 7280R3, 32x100GbE QSFP and 4x400GbE QSFP-DD switch router, expn mem, configurable fans and psu</t>
  </si>
  <si>
    <t>DCS-7280CR3-32D4-M-FLX#</t>
  </si>
  <si>
    <t>Arista 7280R3, 32x100GbE QSFP and 4x400GbE QSFP-DD switch router, expn mem, configurable fans and psu. Over 256K Routes, MPLS and VXLAN</t>
  </si>
  <si>
    <t>DCS-7280CR3-32D4-M-FLX-F</t>
  </si>
  <si>
    <t>Arista 7280R3, 32x100GbE QSFP and 4x400GbE QSFP-DD switch router, expn mem, front to rear air, 2 x AC. Over 256K Routes, MPLS and VXLAN</t>
  </si>
  <si>
    <t>DCS-7280CR3-32D4-R</t>
  </si>
  <si>
    <t>Arista 7280R3, 32x100GbE QSFP and 4x400GbE QSFP-DD switch router, rear to front air, 2 x AC</t>
  </si>
  <si>
    <t>DCS-7280CR3K-32D4#</t>
  </si>
  <si>
    <t>Arista 7280R3, 32x100GbE QSFP and 4x400GbE QSFP-DD switch router, large route, configurable fans and psu</t>
  </si>
  <si>
    <t>DCS-7280CR3K-32D4-F</t>
  </si>
  <si>
    <t>Arista 7280R3, 32x100GbE QSFP and 4x400GbE QSFP-DD switch router, large route, front to rear air, 2 x AC</t>
  </si>
  <si>
    <t>DCS-7280CR3K-32D4-FLX#</t>
  </si>
  <si>
    <t>Arista 7280R3, 32x100GbE QSFP and 4x400GbE QSFP-DD switch router, large route, configurable fans and psu. Over 256K Routes, MPLS and VXLAN</t>
  </si>
  <si>
    <t>DCS-7280CR3K-32D4-FLX-F</t>
  </si>
  <si>
    <t>Arista 7280R3, 32x100GbE QSFP and 4x400GbE QSFP-DD switch router, large route, front to rear air, 2 x AC. Over 256K Routes, MPLS and VXLAN</t>
  </si>
  <si>
    <t>DCS-7280CR3K-32D4-FLX-R</t>
  </si>
  <si>
    <t>Arista 7280R3, 32x100GbE QSFP and 4x400GbE QSFP-DD switch router, large route, rear to front air, 2 x AC. Over 256K Routes, MPLS and VXLAN</t>
  </si>
  <si>
    <t>DCS-7280CR3K-32D4-R</t>
  </si>
  <si>
    <t>Arista 7280R3, 32x100GbE QSFP and 4x400GbE QSFP-DD switch router, large route, rear to front air, 2 x AC</t>
  </si>
  <si>
    <t>DCS-7280DR3K-24#</t>
  </si>
  <si>
    <t>Arista 7280R3, 24x400GbE QSFP-DD switch router, large route, configurable fans and psu</t>
  </si>
  <si>
    <t>DCS-7280DR3K-24-F</t>
  </si>
  <si>
    <t>Arista 7280R3, 24x400GbE QSFP-DD switch router, large route, front to rear air, 2 x AC</t>
  </si>
  <si>
    <t>DCS-7280DR3K-24-FLX#</t>
  </si>
  <si>
    <t>Arista 7280R3, 24x400GbE QSFP-DD switch router, large route, configurable fans and psu. Over 256K Routes, MPLS and VXLAN</t>
  </si>
  <si>
    <t>DCS-7280DR3K-24-FLX-F</t>
  </si>
  <si>
    <t>Arista 7280R3, 24x400GbE QSFP-DD switch router, large route, front to rear air, 2 x AC. Over 256K Routes, MPLS and VXLAN</t>
  </si>
  <si>
    <t>KIT-7004-2U</t>
  </si>
  <si>
    <t>KIT-7004-2UL</t>
  </si>
  <si>
    <t>KIT-7010-4POST</t>
  </si>
  <si>
    <t>OSV-7280CR3-32D4-1M-4H</t>
  </si>
  <si>
    <t>Onsite Service: 1-Month A-Care Software &amp; 24x7x4 Hour Hardware Replacement for 7280CR3-32D4</t>
  </si>
  <si>
    <t>OSV-7280CR3-32D4-1M-NB</t>
  </si>
  <si>
    <t>Onsite Service: 1 Month A-Care Software &amp; NBD Hardware Replacement/Same Day Ship for 7280CR3-32D4</t>
  </si>
  <si>
    <t>OSV-7280CR3-32D4M-1M-4H</t>
  </si>
  <si>
    <t>Onsite Service: 1-Month A-Care Software &amp; 24x7x4 Hour Hardware Replacement for 7280CR3-32D4M</t>
  </si>
  <si>
    <t>OSV-7280CR3-32D4M-1M-NB</t>
  </si>
  <si>
    <t>Onsite Service: 1 Month A-Care Software &amp; NBD Hardware Replacement/Same Day Ship for 7280CR3-32D4M</t>
  </si>
  <si>
    <t>OSV-7280CR3K-32D4-1M-4H</t>
  </si>
  <si>
    <t>Onsite Service: 1-Month A-Care Software &amp; 24x7x4 Hour Hardware Replacement for 7280CR3K-32D4</t>
  </si>
  <si>
    <t>OSV-7280CR3K-32D4-1M-NB</t>
  </si>
  <si>
    <t>Onsite Service: 1 Month A-Care Software &amp; NBD Hardware Replacement/Same Day Ship for 7280CR3K-32D4</t>
  </si>
  <si>
    <t>OSV-7280DR3K-24-1M-4H</t>
  </si>
  <si>
    <t>Onsite Service: 1-Month A-Care Software &amp; 24x7x4 Hour Hardware Replacement for 7280DR3K-24</t>
  </si>
  <si>
    <t>OSV-7280DR3K-24-1M-NB</t>
  </si>
  <si>
    <t>Onsite Service: 1 Month A-Care Software &amp; NBD Hardware Replacement/Same Day Ship for 7280DR3K-24</t>
  </si>
  <si>
    <t>SS-CV-ENT-1M</t>
  </si>
  <si>
    <t>CloudVision SW Subscription Enterprise License for 1-Month. Large Companies - Requires approval.</t>
  </si>
  <si>
    <t>SVC-7280CR3-32D4-1M-2H</t>
  </si>
  <si>
    <t>1-Month A-Care Software &amp; 24x7x2 Hour Hardware Replacement for 7280CR3-32D4</t>
  </si>
  <si>
    <t>SVC-7280CR3-32D4-1M-4H</t>
  </si>
  <si>
    <t>1-Month A-Care Software &amp; 24x7x4 Hour Hardware Replacement for 7280CR3-32D4</t>
  </si>
  <si>
    <t>SVC-7280CR3-32D4-1M-NB</t>
  </si>
  <si>
    <t>1 Month A-Care Software &amp; NBD Hardware Replacement/Same Day Ship for 7280CR3-32D4</t>
  </si>
  <si>
    <t>SVC-7280CR3-32D4-1M-SH4</t>
  </si>
  <si>
    <t>SVC-7280CR3-32D4-1M-SHR</t>
  </si>
  <si>
    <t>SVC-7280CR3-32D4M-1M-2H</t>
  </si>
  <si>
    <t>1-Month A-Care Software &amp; 24x7x2 Hour Hardware Replacement for 7280CR3-32D4M</t>
  </si>
  <si>
    <t>SVC-7280CR3-32D4M-1M-4H</t>
  </si>
  <si>
    <t>1-Month A-Care Software &amp; 24x7x4 Hour Hardware Replacement for 7280CR3-32D4M</t>
  </si>
  <si>
    <t>SVC-7280CR3-32D4M-1M-NB</t>
  </si>
  <si>
    <t>1 Month A-Care Software &amp; NBD Hardware Replacement/Same Day Ship for 7280CR3-32D4M</t>
  </si>
  <si>
    <t>SVC-7280CR3-32D4M-1M-SH4</t>
  </si>
  <si>
    <t>SVC-7280CR3-32D4M-1M-SHR</t>
  </si>
  <si>
    <t>SVC-7280CR3K-32D4-1M-2H</t>
  </si>
  <si>
    <t>1-Month A-Care Software &amp; 24x7x2 Hour Hardware Replacement for 7280CR3K-32D4</t>
  </si>
  <si>
    <t>SVC-7280CR3K-32D4-1M-4H</t>
  </si>
  <si>
    <t>1-Month A-Care Software &amp; 24x7x4 Hour Hardware Replacement for 7280CR3K-32D4</t>
  </si>
  <si>
    <t>SVC-7280CR3K-32D4-1M-NB</t>
  </si>
  <si>
    <t>1 Month A-Care Software &amp; NBD Hardware Replacement/Same Day Ship for 7280CR3K-32D4</t>
  </si>
  <si>
    <t>SVC-7280CR3K-32D4-1M-SH4</t>
  </si>
  <si>
    <t>SVC-7280CR3K-32D4-1M-SHR</t>
  </si>
  <si>
    <t>SVC-7280DR3K-24-1M-2H</t>
  </si>
  <si>
    <t>1-Month A-Care Software &amp; 24x7x2 Hour Hardware Replacement for 7280DR3K-24</t>
  </si>
  <si>
    <t>SVC-7280DR3K-24-1M-4H</t>
  </si>
  <si>
    <t>1-Month A-Care Software &amp; 24x7x4 Hour Hardware Replacement for 7280DR3K-24</t>
  </si>
  <si>
    <t>SVC-7280DR3K-24-1M-NB</t>
  </si>
  <si>
    <t>1 Month A-Care Software &amp; NBD Hardware Replacement/Same Day Ship for 7280DR3K-24</t>
  </si>
  <si>
    <t>SVC-7280DR3K-24-1M-SH4</t>
  </si>
  <si>
    <t>SVC-7280DR3K-24-1M-SHR</t>
  </si>
  <si>
    <t>DCS-7280DR3-24-F</t>
  </si>
  <si>
    <t>Arista 7280R3, 24x400GbE QSFP-DD switch router, front to rear air, 2 x AC</t>
  </si>
  <si>
    <t>DCS-7280DR3-24-M#</t>
  </si>
  <si>
    <t>Arista 7280R3, 24x400GbE QSFP-DD switch router, expn mem, configurable fans and psu</t>
  </si>
  <si>
    <t>DCS-7280DR3-24-M-FLX-F</t>
  </si>
  <si>
    <t>Arista 7280R3, 24x400GbE QSFP-DD switch router, expn mem, front to rear air, 2 x AC. Over 256K Routes, MPLS and VXLAN</t>
  </si>
  <si>
    <t>DCS-7280DR3-24-M-FLX#</t>
  </si>
  <si>
    <t>Arista 7280R3, 24x400GbE QSFP-DD switch router, expn mem, configurable fans and psu. Over 256K Routes, MPLS and VXLAN</t>
  </si>
  <si>
    <t>SVC-7280DR3-24-1M-NB</t>
  </si>
  <si>
    <t>1 Month A-Care Software &amp; NBD Hardware Replacement/Same Day Ship for 7280DR3-24</t>
  </si>
  <si>
    <t>SVC-7280DR3-24-1M-4H</t>
  </si>
  <si>
    <t>1-Month A-Care Software &amp; 24x7x4 Hour Hardware Replacement for 7280DR3-24</t>
  </si>
  <si>
    <t>SVC-7280DR3-24-1M-2H</t>
  </si>
  <si>
    <t>1-Month A-Care Software &amp; 24x7x2 Hour Hardware Replacement for 7280DR3-24</t>
  </si>
  <si>
    <t>OSV-7280DR3-24-1M-NB</t>
  </si>
  <si>
    <t>Onsite Service: 1 Month A-Care Software &amp; NBD Hardware Replacement/Same Day Ship for 7280DR3-24</t>
  </si>
  <si>
    <t>OSV-7280DR3-24-1M-4H</t>
  </si>
  <si>
    <t>Onsite Service: 1-Month A-Care Software &amp; 24x7x4 Hour Hardware Replacement for 7280DR3-24</t>
  </si>
  <si>
    <t>SVC-7280DR3-24-1M-SHR</t>
  </si>
  <si>
    <t>SVC-7280DR3-24-1M-SH4</t>
  </si>
  <si>
    <t>SVC-7280DR3-24M-1M-NB</t>
  </si>
  <si>
    <t>1 Month A-Care Software &amp; NBD Hardware Replacement/Same Day Ship for 7280DR3-24M</t>
  </si>
  <si>
    <t>SVC-7280DR3-24M-1M-4H</t>
  </si>
  <si>
    <t>1-Month A-Care Software &amp; 24x7x4 Hour Hardware Replacement for 7280DR3-24M</t>
  </si>
  <si>
    <t>SVC-7280DR3-24M-1M-2H</t>
  </si>
  <si>
    <t>1-Month A-Care Software &amp; 24x7x2 Hour Hardware Replacement for 7280DR3-24M</t>
  </si>
  <si>
    <t>OSV-7280DR3-24M-1M-NB</t>
  </si>
  <si>
    <t>Onsite Service: 1 Month A-Care Software &amp; NBD Hardware Replacement/Same Day Ship for 7280DR3-24M</t>
  </si>
  <si>
    <t>OSV-7280DR3-24M-1M-4H</t>
  </si>
  <si>
    <t>Onsite Service: 1-Month A-Care Software &amp; 24x7x4 Hour Hardware Replacement for 7280DR3-24M</t>
  </si>
  <si>
    <t>SVC-7280DR3-24M-1M-SHR</t>
  </si>
  <si>
    <t>SVC-7280DR3-24M-1M-SH4</t>
  </si>
  <si>
    <t>DCS-7050TX3-48C8-F</t>
  </si>
  <si>
    <t>Arista 7050X3, 48x10GBaseT &amp; 8x100GbE QSFP switch, front-to-rear air, 2xAC</t>
  </si>
  <si>
    <t>DCS-7050TX3-48C8-R</t>
  </si>
  <si>
    <t>Arista 7050X3, 48x10GBaseT &amp; 8x100GbE QSFP switch, rear-to-front air, 2xAC</t>
  </si>
  <si>
    <t>DCS-7050TX3-48C8#</t>
  </si>
  <si>
    <t>Arista 7050X3, 48x10GBaseT &amp; 8x100GbE QSFP switch, configurable fans and psu</t>
  </si>
  <si>
    <t>SVC-7050TX3-48C8-1M-NB</t>
  </si>
  <si>
    <t>1 Month A-Care Software &amp; NBD Hardware Replacement/Same Day Ship for 7050TX3-48C8</t>
  </si>
  <si>
    <t>SVC-7050TX3-48C8-1M-4H</t>
  </si>
  <si>
    <t>1-Month A-Care Software &amp; 24x7x4 Hour Hardware Replacement for 7050TX3-48C8</t>
  </si>
  <si>
    <t>SVC-7050TX3-48C8-1M-2H</t>
  </si>
  <si>
    <t>1-Month A-Care Software &amp; 24x7x2 Hour Hardware Replacement for 7050TX3-48C8</t>
  </si>
  <si>
    <t>OSV-7050TX3-48C8-1M-NB</t>
  </si>
  <si>
    <t>Onsite Service: 1 Month A-Care Software &amp; NBD Hardware Replacement/Same Day Ship for 7050TX3-48C8</t>
  </si>
  <si>
    <t>OSV-7050TX3-48C8-1M-4H</t>
  </si>
  <si>
    <t>Onsite Service: 1-Month A-Care Software &amp; 24x7x4 Hour Hardware Replacement for 7050TX3-48C8</t>
  </si>
  <si>
    <t>SVC-7050TX3-48C8-1M-SHR</t>
  </si>
  <si>
    <t>SVC-7050TX3-48C8-1M-SH4</t>
  </si>
  <si>
    <t>DCS-7808R3-BND</t>
  </si>
  <si>
    <t>DCS-7808R3-BND-DC</t>
  </si>
  <si>
    <t>DCS-7808R3-BND-S2</t>
  </si>
  <si>
    <t>DCS-7808R3-BND-DC-S2</t>
  </si>
  <si>
    <t>DCS-7808R3-BND-FLX</t>
  </si>
  <si>
    <t>DCS-7800R3-48CQ-LC#</t>
  </si>
  <si>
    <t>7800R3 Series 48 port 100GbE QSFP wirespeed line card (ships in chassis)</t>
  </si>
  <si>
    <t>DCS-7800R3K-48CQ-LC#</t>
  </si>
  <si>
    <t>7800R3 Series 48 port 100GbE QSFP wirespeed line card, large routes (ships in chassis)</t>
  </si>
  <si>
    <t>DCS-7800R3-48CQM-LC#</t>
  </si>
  <si>
    <t>7800R3 Series 48 port 100GbE QSFP with MACsec wirespeed line card (ships in chassis)</t>
  </si>
  <si>
    <t>DCS-7808-CH</t>
  </si>
  <si>
    <t>7800R3 Series Fabric Module for 7808 Chassis, required for fabric slots 1-6</t>
  </si>
  <si>
    <t>PWR-D1-3041-AC-BLUE</t>
  </si>
  <si>
    <t>Arista PSU, ATS, 1RU, AC, 3KW, BLUE</t>
  </si>
  <si>
    <t>PWR-D2-3041-DC-BLUE</t>
  </si>
  <si>
    <t>Arista PSU, DUAL INPUT, 1RU, DC, 3KW, BLUE</t>
  </si>
  <si>
    <t>DCS-7800-SCVR</t>
  </si>
  <si>
    <t>Blank cover for 7800 supervisor slot</t>
  </si>
  <si>
    <t>DCS-7800-LCVR</t>
  </si>
  <si>
    <t>Blank cover for 7800 line card slot</t>
  </si>
  <si>
    <t>DCS-7800-PCVR</t>
  </si>
  <si>
    <t>Blank cover for 7800 power supply slot</t>
  </si>
  <si>
    <t>KIT-7808</t>
  </si>
  <si>
    <t>SVC-7808R3-1M-NB</t>
  </si>
  <si>
    <t>1-Month A-Care Software &amp; 8x5xNBD Hardware Replacement/Same Day Ship for 7808R3</t>
  </si>
  <si>
    <t>SVC-7808R3-1M-4H</t>
  </si>
  <si>
    <t>1-Month A-Care 24x7x4 Software &amp; Hardware Replacement for 7808R3</t>
  </si>
  <si>
    <t>SVC-7808R3-1M-2H</t>
  </si>
  <si>
    <t>1-Month A-Care 24x7x2 Software &amp; Hardware Replacement for 7808R3</t>
  </si>
  <si>
    <t>OSV-7808R3-1M-NB</t>
  </si>
  <si>
    <t>Onsite Service: 1 Month A-Care Software &amp; NBD Hardware Replacement/Same Day Ship for 7808R3</t>
  </si>
  <si>
    <t>OSV-7808R3-1M-4H</t>
  </si>
  <si>
    <t>Onsite Service: 1-Month A-Care Software &amp; 24x7x4 Hour Hardware Replacement for 7808R3</t>
  </si>
  <si>
    <t>FAN-7011M-F#</t>
  </si>
  <si>
    <t>Configurable fan module for Arista 7000 Series 1RU Enhanced Fan Speed (front-to-rear airflow)</t>
  </si>
  <si>
    <t>FAN-7011M-R#</t>
  </si>
  <si>
    <t>Configurable fan module for Arista 7000 Series 1RU Enhanced Fan Speed (rear-to-front airflow)</t>
  </si>
  <si>
    <t>FAN-7011H-F#</t>
  </si>
  <si>
    <t>Configurable fan module for Arista 7000 Series 1RU High Speed Fan (front-to-rear airflow)</t>
  </si>
  <si>
    <t>FAN-7011H-R#</t>
  </si>
  <si>
    <t>Configurable fan module for Arista 7000 Series 1RU High Speed Fan (rear-to-front airflow)</t>
  </si>
  <si>
    <t>LIC-FIX-G-E</t>
  </si>
  <si>
    <t>LIC-FIX-G-V2</t>
  </si>
  <si>
    <t>LIC-FIX-G-FLX-L</t>
  </si>
  <si>
    <t>LIC-FIX-G-FLX</t>
  </si>
  <si>
    <t>FLX License for Arista Fixed Gigabit Ethernet Switches - OSPF, ISIS, BGP/MP-BGP, PIM, 32K - 200K Routes, EVPN, VXLAN</t>
  </si>
  <si>
    <t>SS-CLOUDEOS-VR-CV-1G-B-1M</t>
  </si>
  <si>
    <t>SS-CLOUDEOS-VR-CV-10G-B-1M</t>
  </si>
  <si>
    <t>PWR-621-AC-BLUE</t>
  </si>
  <si>
    <t>PWR-621-AC-BLUE#</t>
  </si>
  <si>
    <t>DCS-7050SX3-48C8-F</t>
  </si>
  <si>
    <t>Arista 7050X3, 48x10GbE SFP &amp; 8x100GbE QSFP switch, front-to-rear air, 2xAC</t>
  </si>
  <si>
    <t>DCS-7050SX3-48C8-R</t>
  </si>
  <si>
    <t>Arista 7050X3, 48x10GbE SFP &amp; 8x100GbE QSFP switch, rear-to-front air, 2xAC</t>
  </si>
  <si>
    <t>DCS-7050SX3-48C8#</t>
  </si>
  <si>
    <t>Arista 7050X3, 48x10GbE SFP &amp; 8x100GbE QSFP switch, configurable fans and psu</t>
  </si>
  <si>
    <t>SVC-7050SX3-48C8-1M-NB</t>
  </si>
  <si>
    <t>1 Month A-Care Software &amp; NBD Hardware Replacement/Same Day Ship for 7050SX3-48C8</t>
  </si>
  <si>
    <t>SVC-7050SX3-48C8-1M-4H</t>
  </si>
  <si>
    <t>1-Month A-Care Software &amp; 24x7x4 Hour Hardware Replacement for 7050SX3-48C8</t>
  </si>
  <si>
    <t>SVC-7050SX3-48C8-1M-2H</t>
  </si>
  <si>
    <t>1-Month A-Care Software &amp; 24x7x2 Hour Hardware Replacement for 7050SX3-48C8</t>
  </si>
  <si>
    <t>OSV-7050SX3-48C8-1M-NB</t>
  </si>
  <si>
    <t>Onsite Service: 1 Month A-Care Software &amp; NBD Hardware Replacement/Same Day Ship for 7050SX3-48C8</t>
  </si>
  <si>
    <t>OSV-7050SX3-48C8-1M-4H</t>
  </si>
  <si>
    <t>Onsite Service: 1-Month A-Care Software &amp; 24x7x4 Hour Hardware Replacement for 7050SX3-48C8</t>
  </si>
  <si>
    <t>SVC-7050SX3-48C8-1M-SHR</t>
  </si>
  <si>
    <t>SVC-7050SX3-48C8-1M-SH4</t>
  </si>
  <si>
    <t>PWR-3K-DC-RED</t>
  </si>
  <si>
    <t>Spare 3kW DC Power Supply for 7300 and 7500N series (red handle)</t>
  </si>
  <si>
    <t>PWR-3K-DC-RED#</t>
  </si>
  <si>
    <t>Configurable 3kW DC Power Supply for 7300 and 7500N series (red handle)</t>
  </si>
  <si>
    <t>PWR-3K-DC-BLUE</t>
  </si>
  <si>
    <t>Spare 3kW DC Power Supply for 7300 series (blue handle)</t>
  </si>
  <si>
    <t>PWR-3K-DC-BLUE#</t>
  </si>
  <si>
    <t>Configurable 3kW DC Power Supply for 7300 series (blue handle)</t>
  </si>
  <si>
    <t>FAN-7012H-RED</t>
  </si>
  <si>
    <t>Spare fan module for Arista 7000 Series 2RU High Speed Fan (front-to-rear airflow)</t>
  </si>
  <si>
    <t>PWR-2411-AC-RED</t>
  </si>
  <si>
    <t>Arista PSU, AC TO DC, 2400W, FORWARD, RED</t>
  </si>
  <si>
    <t>SFP-10G-T</t>
  </si>
  <si>
    <t>KIT-GND-EXT-1RU</t>
  </si>
  <si>
    <t>PWR-2411-DC-RED</t>
  </si>
  <si>
    <t>Arista PSU, 1RU, DC/DC, 2400W, FORWARD, 73.5MM</t>
  </si>
  <si>
    <t>AP-C260</t>
  </si>
  <si>
    <t>C-260 8x8 tri radio 802.11ax (WiFi 6) access point with internal antennas and dual 5GbE interface</t>
  </si>
  <si>
    <t>AP-C260-SS-3Y</t>
  </si>
  <si>
    <t>C-260 8x8 tri radio 802.11ax (WiFi 6) access point with internal antennas and dual 5GbE interface and 3 year Cognitive Cloud SW Subscription</t>
  </si>
  <si>
    <t>AP-C260-SS-5Y</t>
  </si>
  <si>
    <t>C-260 8x8 tri radio 802.11ax (WiFi 6) access point with internal antennas and dual 5GbE interface and 5 year Cognitive Cloud SW Subscription</t>
  </si>
  <si>
    <t>DCS-7280CR3-96#</t>
  </si>
  <si>
    <t>DCS-7280CR3-96-F</t>
  </si>
  <si>
    <t>Arista 7280R3, 96x100GbE QSFP switch router, front to rear air, 2 x AC</t>
  </si>
  <si>
    <t>DCS-7280CR3-96-FLX#</t>
  </si>
  <si>
    <t>Arista 7280R3, 96x100GbE QSFP switch router, configurable fans and psu. Over 256K Routes, MPLS and VXLAN</t>
  </si>
  <si>
    <t>DCS-7280CR3-96-FLX-F</t>
  </si>
  <si>
    <t>Arista 7280R3, 96x100GbE QSFP switch router, front to rear air, 2 x AC. Over 256K Routes, MPLS and VXLAN</t>
  </si>
  <si>
    <t>DCS-7280CR3K-96#</t>
  </si>
  <si>
    <t>Arista 7280R3, 96x100GbE QSFP switch router, large routes, configurable fans and psu</t>
  </si>
  <si>
    <t>DCS-7280CR3K-96-F</t>
  </si>
  <si>
    <t>Arista 7280R3, 96x100GbE QSFP switch router, large routes, front to rear air, 2 x AC</t>
  </si>
  <si>
    <t>DCS-7280CR3K-96-FLX#</t>
  </si>
  <si>
    <t>Arista 7280R3, 96x100GbE QSFP switch router, large routes, configurable fans and psu. Over 256K Routes, MPLS and VXLAN</t>
  </si>
  <si>
    <t>DCS-7280CR3K-96-FLX-F</t>
  </si>
  <si>
    <t>Arista 7280R3, 96x100GbE QSFP switch router, large routes, front to rear air, 2 x AC. Over 256K Routes, MPLS and VXLAN</t>
  </si>
  <si>
    <t>OSV-7280CR3-96-1M-4H</t>
  </si>
  <si>
    <t>Onsite Service: 1-Month A-Care Software &amp; 24x7x4 Hour Hardware Replacement for 7280CR3-96</t>
  </si>
  <si>
    <t>OSV-7280CR3-96-1M-NB</t>
  </si>
  <si>
    <t>Onsite Service: 1 Month A-Care Software &amp; NBD Hardware Replacement/Same Day Ship for 7280CR3-96</t>
  </si>
  <si>
    <t>OSV-7280CR3K-96-1M-4H</t>
  </si>
  <si>
    <t>Onsite Service: 1-Month A-Care Software &amp; 24x7x4 Hour Hardware Replacement for 7280CR3K-96</t>
  </si>
  <si>
    <t>OSV-7280CR3K-96-1M-NB</t>
  </si>
  <si>
    <t>Onsite Service: 1 Month A-Care Software &amp; NBD Hardware Replacement/Same Day Ship for 7280CR3K-96</t>
  </si>
  <si>
    <t>SVC-7280CR3-96-1M-2H</t>
  </si>
  <si>
    <t>1-Month A-Care Software &amp; 24x7x2 Hour Hardware Replacement for 7280CR3-96</t>
  </si>
  <si>
    <t>SVC-7280CR3-96-1M-4H</t>
  </si>
  <si>
    <t>1-Month A-Care Software &amp; 24x7x4 Hour Hardware Replacement for 7280CR3-96</t>
  </si>
  <si>
    <t>SVC-7280CR3-96-1M-NB</t>
  </si>
  <si>
    <t>1 Month A-Care Software &amp; NBD Hardware Replacement/Same Day Ship for 7280CR3-96</t>
  </si>
  <si>
    <t>SVC-7280CR3-96-1M-SH4</t>
  </si>
  <si>
    <t>SVC-7280CR3-96-1M-SHR</t>
  </si>
  <si>
    <t>SVC-7280CR3K-96-1M-2H</t>
  </si>
  <si>
    <t>1-Month A-Care Software &amp; 24x7x2 Hour Hardware Replacement for 7280CR3K-96</t>
  </si>
  <si>
    <t>SVC-7280CR3K-96-1M-4H</t>
  </si>
  <si>
    <t>1-Month A-Care Software &amp; 24x7x4 Hour Hardware Replacement for 7280CR3K-96</t>
  </si>
  <si>
    <t>SVC-7280CR3K-96-1M-NB</t>
  </si>
  <si>
    <t>1 Month A-Care Software &amp; NBD Hardware Replacement/Same Day Ship for 7280CR3K-96</t>
  </si>
  <si>
    <t>SVC-7280CR3K-96-1M-SH4</t>
  </si>
  <si>
    <t>SVC-7280CR3K-96-1M-SHR</t>
  </si>
  <si>
    <t>DCS-7804R3-BND</t>
  </si>
  <si>
    <t>DCS-7804R3-BND-DC</t>
  </si>
  <si>
    <t>DCS-7804R3-BND-S2</t>
  </si>
  <si>
    <t>DCS-7804R3-BND-DC-S2</t>
  </si>
  <si>
    <t>DCS-7804R3-BND-FLX</t>
  </si>
  <si>
    <t>DCS-7800R3-36P-LC#</t>
  </si>
  <si>
    <t>7800R3 Series 36 port 400GbE OSFP wirespeed line card (ships in chassis)</t>
  </si>
  <si>
    <t>DCS-7804-CH</t>
  </si>
  <si>
    <t>7800R3 Series Fabric Module for 7804 Chassis, required for fabric slots 1-6</t>
  </si>
  <si>
    <t>KIT-7804</t>
  </si>
  <si>
    <t>SVC-7804R3-1M-NB</t>
  </si>
  <si>
    <t>1-Month A-Care Software &amp; 8x5xNBD Hardware Replacement/Same Day Ship for 7804R3</t>
  </si>
  <si>
    <t>SVC-7804R3-1M-4H</t>
  </si>
  <si>
    <t>1-Month A-Care 24x7x4 Software &amp; Hardware Replacement for 7804R3</t>
  </si>
  <si>
    <t>SVC-7804R3-1M-2H</t>
  </si>
  <si>
    <t>1-Month A-Care 24x7x2 Software &amp; Hardware Replacement for 7804R3</t>
  </si>
  <si>
    <t>SVC-7804R3-1M-SHR</t>
  </si>
  <si>
    <t>SVC-7804R3-1M-SH4</t>
  </si>
  <si>
    <t>OSV-7804R3-1M-NB</t>
  </si>
  <si>
    <t>Onsite Service: 1 Month A-Care Software &amp; NBD Hardware Replacement/Same Day Ship for 7804R3</t>
  </si>
  <si>
    <t>OSV-7804R3-1M-4H</t>
  </si>
  <si>
    <t>Onsite Service: 1-Month A-Care Software &amp; 24x7x4 Hour Hardware Replacement for 7804R3</t>
  </si>
  <si>
    <t>SVC-7808R3-1M-SHR</t>
  </si>
  <si>
    <t>SVC-7808R3-1M-SH4</t>
  </si>
  <si>
    <t>CAB-AC-20A-SG-C20-1M</t>
  </si>
  <si>
    <t>CAB-AC-20A-SG-C20-3M</t>
  </si>
  <si>
    <t>CAB-AC-20A-SG-C20-4M</t>
  </si>
  <si>
    <t>CAB-Q-2Q-100G-1M</t>
  </si>
  <si>
    <t>100GBASE-CR4 QSFP to 2 x 50GBASE-CR2 QSFP Twinax Copper Cable, 1M</t>
  </si>
  <si>
    <t>CAB-Q-2Q-100G-2M</t>
  </si>
  <si>
    <t>100GBASE-CR4 QSFP to 2 x 50GBASE-CR2 QSFP Twinax Copper Cable, 2M</t>
  </si>
  <si>
    <t>CAB-Q-2Q-100G-3M</t>
  </si>
  <si>
    <t>100GBASE-CR4 QSFP to 2 x 50GBASE-CR2 QSFP Twinax Copper Cable, 3M</t>
  </si>
  <si>
    <t>CAB-Q-2Q-100G-5M</t>
  </si>
  <si>
    <t>100GBASE-CR4 QSFP to 2 x 50GBASE-CR2 QSFP Twinax Copper Cable, 5M</t>
  </si>
  <si>
    <t>DCS-7800R3-36P-LC</t>
  </si>
  <si>
    <t>7800R3 Series 36 port 400GbE OSFP wirespeed line card (spare)</t>
  </si>
  <si>
    <t>LIC-DM-CVM</t>
  </si>
  <si>
    <t>Arista DMF: Controller VM SW perpetual, requires A-Care support</t>
  </si>
  <si>
    <t>MNT-AP-15MM</t>
  </si>
  <si>
    <t>MNT-AP-24MM</t>
  </si>
  <si>
    <t>MNT-AP-FLAT-14CM</t>
  </si>
  <si>
    <t>MNT-AP-INTSIL</t>
  </si>
  <si>
    <t>PWR-511-DC-BLUE</t>
  </si>
  <si>
    <t>Arista PSU, 1RU, DC, 500W, rear-to-front airflow, 73.5mm</t>
  </si>
  <si>
    <t>PWR-511-DC-RED</t>
  </si>
  <si>
    <t>Arista PSU, 1RU, DC, 500W, front-to-rear airflow, 73.5mm</t>
  </si>
  <si>
    <t>PWR-AP-W2</t>
  </si>
  <si>
    <t>PWR-AP-W3</t>
  </si>
  <si>
    <t>Non-discountable purchase. Universal AC power supply for W-118, C-120, C-130 and C-100, 12VDC, 2A, Center +, DC Plug 5.5mm*2.1mm*L9.5mm, US UK Euro AU Plugs</t>
  </si>
  <si>
    <t>PWR-AP-W4</t>
  </si>
  <si>
    <t>Non-discountable purchase. Universal AC power supply for C-250 and C-260, 12VDC, 3.3A, Center +, DC Plug 5.5mm*2.1mm*L9.5mm, US UK Euro AU Plugs</t>
  </si>
  <si>
    <t>SVC-DCA-DM-AA-1M-NB</t>
  </si>
  <si>
    <t>Arista DMF: 1 Month A-Care Software &amp; NBD Hardware Replacement/Same Day Ship for Analytics Node HWA support</t>
  </si>
  <si>
    <t>SVC-DCA-DM-AA2-1M-NB</t>
  </si>
  <si>
    <t>Arista DMF: 1 Month A-Care Software &amp; NBD Hardware Replacement/Same Day Ship for Analytics Node HWA2 support</t>
  </si>
  <si>
    <t>SVC-DCA-DM-CDL-1M-NB</t>
  </si>
  <si>
    <t>Arista DMF: 1 Month A-Care Software &amp; NBD Hardware Replacement/Same Day Ship for Controller Appliance HWDL support</t>
  </si>
  <si>
    <t>SVC-DCA-DM-RA-1M-NB</t>
  </si>
  <si>
    <t>Arista DMF: 1 Month A-Care Software &amp; NBD Hardware Replacement/Same Day Ship for Recorder Node HWA support</t>
  </si>
  <si>
    <t>SVC-DCA-DM-RA3-1M-NB</t>
  </si>
  <si>
    <t>Arista DMF: 1 Month A-Care Software &amp; NBD Hardware Replacement/Same Day Ship for Recorder Node HWA3 support</t>
  </si>
  <si>
    <t>SVC-DCA-DM-SC-1M-NB</t>
  </si>
  <si>
    <t>Arista DMF: 1 Month A-Care Software &amp; NBD Hardware Replacement/Same Day Ship for Service Node HWC support</t>
  </si>
  <si>
    <t>SVC-DCA-DM-SDL-1M-NB</t>
  </si>
  <si>
    <t>Arista DMF: 1 Month A-Care Software &amp; NBD Hardware Replacement/Same Day Ship for Service Node HWDL support</t>
  </si>
  <si>
    <t>SVC-LIC-DM-CVM-1M-NB</t>
  </si>
  <si>
    <t>Arista DMF: 1 Month A-Care Software for Controller VM SW support</t>
  </si>
  <si>
    <t>200G-CR8 QSFP-DD to 4 x 50GBASE-CR2 QSFP Twinax Copper Cable, 2.5 meter</t>
  </si>
  <si>
    <t>200G-CR8 QSFP-DD to 4 x 50GBASE-CR2 QSFP Twinax Copper Cable, 1 meter</t>
  </si>
  <si>
    <t>200G-CR8 QSFP-DD to 4 x 50GBASE-CR2 QSFP Twinax Copper Cable, 2 meter</t>
  </si>
  <si>
    <t>400G-CR8 QSFP-DD to 4 x 100GBASE-CR2 QSFP Twinax Copper Cable, 2.5 meter</t>
  </si>
  <si>
    <t>400G-CR8 QSFP-DD to 4 x 100GBASE-CR2 QSFP Twinax Copper Cable, 1 meter</t>
  </si>
  <si>
    <t>400G-CR8 QSFP-DD to 4 x 100GBASE-CR2 QSFP Twinax Copper Cable, 2 meter</t>
  </si>
  <si>
    <t>200G-CR8 OSFP to 4 x 50GBASE-CR2 QSFP Twinax Copper Cable, 1 meter</t>
  </si>
  <si>
    <t>200G-CR8 OSFP to 4 x 50GBASE-CR2 QSFP Twinax Copper Cable, 2 meter</t>
  </si>
  <si>
    <t>200G-CR8 OSFP to 4 x 50GBASE-CR2 QSFP Twinax Copper Cable, 3 meter</t>
  </si>
  <si>
    <t>400G-CR8 OSFP to 4 x 100GBASE-CR2 QSFP Twinax Copper Cable, 1 meter</t>
  </si>
  <si>
    <t>400G-CR8 OSFP to 4 x 100GBASE-CR2 QSFP Twinax Copper Cable, 2 meter</t>
  </si>
  <si>
    <t>400G-CR8 OSFP to 4 x 100GBASE-CR2 QSFP Twinax Copper Cable, 3 meter</t>
  </si>
  <si>
    <t>200G-CR8 OSFP to 8 x  25GBASE-CR SFP Twinax Copper Cable, 1 meter</t>
  </si>
  <si>
    <t>200G-CR8 OSFP to 8 x  25GBASE-CR SFP Twinax Copper Cable, 2 meter</t>
  </si>
  <si>
    <t>200G-CR8 OSFP to 8 x  25GBASE-CR SFP Twinax Copper Cable, 3 meter</t>
  </si>
  <si>
    <t>DCS-7050SX3-96YC8-F</t>
  </si>
  <si>
    <t>Arista 7050X3, 96x25GbE SFP &amp; 8x100GbE QSFP switch, front-to-rear air, 2xAC</t>
  </si>
  <si>
    <t>DCS-7050SX3-96YC8-R</t>
  </si>
  <si>
    <t>Arista 7050X3, 96x25GbE SFP &amp; 8x100GbE QSFP switch, rear-to-front air, 2xAC</t>
  </si>
  <si>
    <t>Arista 7050X3, 96x25GbE SFP &amp; 8x100GbE QSFP switch, configurable fans and psu</t>
  </si>
  <si>
    <t>SVC-7050SX3-96YC8-1M-NB</t>
  </si>
  <si>
    <t>1 Month A-Care Software &amp; NBD Hardware Replacement/Same Day Ship for 7050SX3-96YC8</t>
  </si>
  <si>
    <t>SVC-7050SX3-96YC8-1M-4H</t>
  </si>
  <si>
    <t>1-Month A-Care Software &amp; 24x7x4 Hour Hardware Replacement for 7050SX3-96YC8</t>
  </si>
  <si>
    <t>SVC-7050SX3-96YC8-1M-2H</t>
  </si>
  <si>
    <t>1-Month A-Care Software &amp; 24x7x2 Hour Hardware Replacement for 7050SX3-96YC8</t>
  </si>
  <si>
    <t>OSV-7050SX3-96YC8-1M-NB</t>
  </si>
  <si>
    <t>Onsite Service: 1 Month A-Care Software &amp; NBD Hardware Replacement/Same Day Ship for 7050SX3-96YC8</t>
  </si>
  <si>
    <t>OSV-7050SX3-96YC8-1M-4H</t>
  </si>
  <si>
    <t>Onsite Service: 1-Month A-Care Software &amp; 24x7x4 Hour Hardware Replacement for 7050SX3-96YC8</t>
  </si>
  <si>
    <t>SVC-7050SX3-96YC8-1M-SHR</t>
  </si>
  <si>
    <t>SVC-7050SX3-96YC8-1M-SH4</t>
  </si>
  <si>
    <t>KIT-7001-4POST-L</t>
  </si>
  <si>
    <t>FAN-7012M-RED</t>
  </si>
  <si>
    <t>Spare fan module for Arista 7000 Series 2RU Enhanced Fan Speed (front-to-rear airflow)</t>
  </si>
  <si>
    <t>FAN-7012M-BLUE</t>
  </si>
  <si>
    <t>Spare fan module for Arista 7000 Series 2RU Enhanced Fan Speed (rear-to-front airflow)</t>
  </si>
  <si>
    <t>DCS-7500R3-24D-LC</t>
  </si>
  <si>
    <t>7500R3 Series 24 port 400GbE QSFP-DD wirespeed line card (spare)</t>
  </si>
  <si>
    <t>DCS-7500R3-24D-LC#</t>
  </si>
  <si>
    <t>7500R3 Series 24 port 400GbE QSFP-DD wirespeed line card (ships in chassis)</t>
  </si>
  <si>
    <t>Arista PSU, 650W, POE, AC Front to Rear (Spare)</t>
  </si>
  <si>
    <t>Arista PSU, 650W, POE, AC Front to Rear (Ships in chassis)</t>
  </si>
  <si>
    <t>Arista PSU, 650W, POE, AC Rear to Front (Spare)</t>
  </si>
  <si>
    <t>Arista PSU, 650W, POE, AC Rear to Front (Ships in chassis)</t>
  </si>
  <si>
    <t>Power Cord, C14 to C15, 15A/250V, 14 AWG, 2M, UL</t>
  </si>
  <si>
    <t>Power Cord, Australia, C15-AS3112, 10A/250V, 1.00mm2, 2.5M</t>
  </si>
  <si>
    <t>Power Cord, EU, C15 to CEE7/7, 10A/250V, 1mm2, 2.5M, EN</t>
  </si>
  <si>
    <t>Power Cord, India, C15-IA16A3, 10A/250V, 1.00mm2, 2.5M</t>
  </si>
  <si>
    <t>Power Cord, North America, C15 to NEMA5-15P, 13A/125V, 16 AWG, 6FT (2M), UL/CSA</t>
  </si>
  <si>
    <t>Power Cord, UK, C15 to BS1363, 10A/250V, 1mm2, 2.5M, EN</t>
  </si>
  <si>
    <t>CCS-720XP-96ZC2-4F</t>
  </si>
  <si>
    <t>Arista 720XP, 80x2.5G, 16x5G POE, 4x25G SFP/2x100G QSFP switch, front to rear air, AC (4)</t>
  </si>
  <si>
    <t>CCS-720XP-96ZC2-2F</t>
  </si>
  <si>
    <t>Arista 720XP, 80x2.5G, 16x5G POE, 4x25G SFP/2x100G QSFP switch, front to rear air, AC (2)</t>
  </si>
  <si>
    <t>CCS-720XP-96ZC2-4F-NA</t>
  </si>
  <si>
    <t>Arista 720XP, 80x2.5G, 16x5G POE, 4x25G SFP/2x100G QSFP switch, front to rear air, AC (4), NA power cord</t>
  </si>
  <si>
    <t>CCS-720XP-96ZC2-2F-NA</t>
  </si>
  <si>
    <t>Arista 720XP, 80x2.5G, 16x5G POE, 4x25G SFP/2x100G QSFP switch, front to rear air, AC (2),  NA power cord</t>
  </si>
  <si>
    <t>CCS-720XP-96ZC2-4F-UK</t>
  </si>
  <si>
    <t>Arista 720XP, 80x2.5G, 16x5G POE, 4x25G SFP/2x100G QSFP switch, front to rear air, AC (4), UK power cord</t>
  </si>
  <si>
    <t>CCS-720XP-96ZC2-2F-UK</t>
  </si>
  <si>
    <t>Arista 720XP, 80x2.5G, 16x5G POE, 4x25G SFP/2x100G QSFP switch, front to rear air, AC (2), UK power cord</t>
  </si>
  <si>
    <t>CCS-720XP-96ZC2-4F-EU</t>
  </si>
  <si>
    <t>Arista 720XP, 80x2.5G, 16x5G POE, 4x25G SFP/2x100G QSFP switch, front to rear air, AC (4), EU power cord</t>
  </si>
  <si>
    <t>CCS-720XP-96ZC2-2F-EU</t>
  </si>
  <si>
    <t>Arista 720XP, 80x2.5G, 16x5G POE, 4x25G SFP/2x100G QSFP switch, front to rear air, AC (2), EU power cord</t>
  </si>
  <si>
    <t>CCS-720XP-96ZC2-4F-C14</t>
  </si>
  <si>
    <t>Arista 720XP, 80x2.5G, 16x5G POE, 4x25G SFP/2x100G QSFP switch, front to rear air, AC (4), C15 to C14 power cord</t>
  </si>
  <si>
    <t>CCS-720XP-96ZC2-2F-C14</t>
  </si>
  <si>
    <t>Arista 720XP, 80x2.5G, 16x5G POE, 4x25G SFP/2x100G QSFP switch, front to rear air, AC (2), C15 to C14 power cord</t>
  </si>
  <si>
    <t>CCS-720XP-96ZC2-4F-JPN</t>
  </si>
  <si>
    <t>Arista 720XP, 80x2.5G, 16x5G POE, 4x25G SFP/2x100G QSFP switch, front to rear air, AC (4), JPN power cord</t>
  </si>
  <si>
    <t>CCS-720XP-96ZC2-2F-JPN</t>
  </si>
  <si>
    <t>Arista 720XP, 80x2.5G, 16x5G POE, 4x25G SFP/2x100G QSFP switch, front to rear air, AC (2), JPN power cord</t>
  </si>
  <si>
    <t>CCS-720XP-96ZC2#</t>
  </si>
  <si>
    <t>Arista 720XP, 80x2.5G, 16x5G POE, 4x25G SFP/2x100G QSFP switch; Requires PSU/Fans</t>
  </si>
  <si>
    <t>SVC-720XP-96ZC2-1M-RB</t>
  </si>
  <si>
    <t>1 Month A-Care Software Support and HW Replacement for CCS-720XP-96ZC2</t>
  </si>
  <si>
    <t>SVC-720XP-96ZC2-1M-NB</t>
  </si>
  <si>
    <t>1 Month A-Care Software &amp; NBD Hardware Replacement/Same Day Ship for CCS-720XP-96ZC2</t>
  </si>
  <si>
    <t>SVC-720XP-96ZC2-1M-4H</t>
  </si>
  <si>
    <t>1-Month A-Care Software &amp; 24x7x4 Hour Hardware Replacement for 720XP-96ZC2</t>
  </si>
  <si>
    <t>SVC-720XP-96ZC2-1M-2H</t>
  </si>
  <si>
    <t>1-Month A-Care Software &amp; 24x7x2 Hour Hardware Replacement for 720XP-96ZC2</t>
  </si>
  <si>
    <t>OSV-720XP-96ZC2-1M-NB</t>
  </si>
  <si>
    <t>Onsite Service: 1 Month A-Care Software &amp; NBD Hardware Replacement/Same Day Ship for 720XP-96ZC2</t>
  </si>
  <si>
    <t>OSV-720XP-96ZC2-1M-4H</t>
  </si>
  <si>
    <t>Onsite Service: 1-Month A-Care Software &amp; 24x7x4 Hour Hardware Replacement for 720XP-96ZC2</t>
  </si>
  <si>
    <t>SVC-720XP-96ZC2-1M-SHR</t>
  </si>
  <si>
    <t>SVC-720XP-96ZC2-1M-SH4</t>
  </si>
  <si>
    <t>LIC-FIX-3-MACSEC</t>
  </si>
  <si>
    <t>MACSEC Encryption License for Arista Group 3 Fixed switches, MACSEC capable ports</t>
  </si>
  <si>
    <t>Spare fan for Arista 700 Series 2RU and chassis Enhanced Fan Speed (Front-to-rear airflow)</t>
  </si>
  <si>
    <t>SVC-720XP-24ZY4-1M-2H</t>
  </si>
  <si>
    <t>SVC-720XP-24ZY4-1M-4H</t>
  </si>
  <si>
    <t>SVC-720XP-24ZY4-1M-NB</t>
  </si>
  <si>
    <t>SVC-720XP-24ZY4-1M-RB</t>
  </si>
  <si>
    <t>SVC-720XP-24ZY4-1M-SH4</t>
  </si>
  <si>
    <t>SVC-720XP-24ZY4-1M-SHR</t>
  </si>
  <si>
    <t>FAN-752M-RED</t>
  </si>
  <si>
    <t>KIT-7368</t>
  </si>
  <si>
    <t>LIC-FIX-ENH1</t>
  </si>
  <si>
    <t>Enhanced Profile License Group 1 for 7170 Platforms. Includes E, V2, Z, FLX</t>
  </si>
  <si>
    <t>AP-C230</t>
  </si>
  <si>
    <t>C-230 4x4+2x2 tri radio 802.11ax (WiFi 6) access point with internal antennas</t>
  </si>
  <si>
    <t>AP-C230E</t>
  </si>
  <si>
    <t>C-230E 4x4+2x2 tri radio 802.11ax (WiFi 6) access point with external antenna connectors. Antennas not included</t>
  </si>
  <si>
    <t>AP-O235</t>
  </si>
  <si>
    <t>O-235 4x4+2x2 tri radio 802.11ax (WiFi 6) outdoor access point with IP67 enclosure, industrial operating temperature and internal antennas</t>
  </si>
  <si>
    <t>AP-O235E</t>
  </si>
  <si>
    <t>O-235 4x4+2x2 tri radio 802.11ax (WiFi 6) outdoor access point with IP67 enclosure, industrial operating temperature and external antenna connectors. Antennas not included</t>
  </si>
  <si>
    <t>AP-C230-SS-3Y</t>
  </si>
  <si>
    <t>C-230 4x4+2x2 tri radio 802.11ax (WiFi 6) access point with internal antennas. Includes 3 year cloud service</t>
  </si>
  <si>
    <t>AP-C230E-SS-3Y</t>
  </si>
  <si>
    <t>C-230E 4x4+2x2 tri radio 802.11ax (WiFi 6) access point with external antenna connectors. Includes 3 year cloud service. Antennas not included</t>
  </si>
  <si>
    <t>AP-O235-SS-3Y</t>
  </si>
  <si>
    <t>O-235 4x4+2x2 tri radio 802.11ax (WiFi 6) outdoor access point with IP67 enclosure, industrial operating temperature and internal antennas. Includes 3 year cloud service</t>
  </si>
  <si>
    <t>AP-O235E-SS-3Y</t>
  </si>
  <si>
    <t>O-235 4x4+2x2 tri radio 802.11ax (WiFi 6) outdoor access point with IP67 enclosure, industrial operating temperature and external antenna connectors. Includes 3 year cloud service. Antennas not included</t>
  </si>
  <si>
    <t>AP-C230-SS-5Y</t>
  </si>
  <si>
    <t>C-230 4x4+2x2 tri radio 802.11ax (WiFi 6) access point with internal antennas. Includes 5 year cloud service</t>
  </si>
  <si>
    <t>AP-C230E-SS-5Y</t>
  </si>
  <si>
    <t>C-230E 4x4+2x2 tri radio 802.11ax (WiFi 6) access point with external antenna connectors. Includes 5 year cloud service. Antennas not included</t>
  </si>
  <si>
    <t>AP-O235-SS-5Y</t>
  </si>
  <si>
    <t>O-235 4x4+2x2 tri radio 802.11ax (WiFi 6) outdoor access point with IP67 enclosure, industrial operating temperature and internal antennas. Includes 5 year cloud service</t>
  </si>
  <si>
    <t>AP-O235E-SS-5Y</t>
  </si>
  <si>
    <t>O-235 4x4+2x2 tri radio 802.11ax (WiFi 6) outdoor access point with IP67 enclosure, industrial operating temperature and external antenna connectors. Includes 5 year cloud service. Antennas not included</t>
  </si>
  <si>
    <t>SVC-DCA-DM-SEL-1M-NB</t>
  </si>
  <si>
    <t>Arista DMF: 1 Month A-Care Software &amp; NBD Hardware Replacement/Same Day Ship for Service Node HWEL support</t>
  </si>
  <si>
    <t>DCS-7800R3K-48CQ-LC</t>
  </si>
  <si>
    <t>7800R3 Series 48 port 100GbE QSFP wirespeed line card, large routes (spare)</t>
  </si>
  <si>
    <t>DCS-7800R3-48CQM-LC</t>
  </si>
  <si>
    <t>7800R3 Series 48 port 100GbE QSFP with MACsec wirespeed line card (spare)</t>
  </si>
  <si>
    <t>DCS-7800R3-48CQ-LC</t>
  </si>
  <si>
    <t>7800R3 Series 48 port 100GbE QSFP wirespeed line card (spare)</t>
  </si>
  <si>
    <t>DCS-7808R3-FM</t>
  </si>
  <si>
    <t>DCS-7804R3-FM</t>
  </si>
  <si>
    <t>DCS-7280DR3-24-DC-F</t>
  </si>
  <si>
    <t>DCS-7280DR3K-24-DC-F</t>
  </si>
  <si>
    <t>DCS-7280PR3-24-DC-F</t>
  </si>
  <si>
    <t>DCS-7280PR3K-24-DC-F</t>
  </si>
  <si>
    <t>DCS-7280DR3-24-M-DC-F</t>
  </si>
  <si>
    <t>DCS-7280PR3-24-M-DC-F</t>
  </si>
  <si>
    <t>SS-CLOUDEOS-VR-CVS-1G-B-1M</t>
  </si>
  <si>
    <t>SS-CLOUDEOS-VR-CVS-10G-B-1M</t>
  </si>
  <si>
    <t>SS-CLOUDEOS-RR-CVS-10M-B-1M</t>
  </si>
  <si>
    <t>SS-CLOUDEOS-RR-CV-10M-B-1M</t>
  </si>
  <si>
    <t>CloudEOS Router for VM/Cloud SW Sub Lic for 1-Month, up to 10M routes with virtual route reflector feature, A-care Support, and 1-Month CloudVision SVC for single instance</t>
  </si>
  <si>
    <t>400GBASE-SR8 QSFP-DD Transceiver, up to 100m over parallel multi-mode fiber</t>
  </si>
  <si>
    <t>QSFP-100G-LR</t>
  </si>
  <si>
    <t>100GBASE-LR QSFP Transceiver, up to 10km over duplex SMF</t>
  </si>
  <si>
    <t>PWR-721-DC-RED</t>
  </si>
  <si>
    <t>Arista PSU, 700W, POE, DC</t>
  </si>
  <si>
    <t>DCS-7504R3-BND-DC-FLX</t>
  </si>
  <si>
    <t>Arista 7504R Chassis bundle. Includes 7504N chassis, 4x3kW DC PS, 6xFM-R3, 1xSup2, FLX Lic</t>
  </si>
  <si>
    <t>DCS-7508R3-BND-DC-FLX</t>
  </si>
  <si>
    <t>Arista 7508R Chassis bundle. Includes 7508N chassis, 6x3kW DC PS, 6xFM-R3, 1xSup2, FLX Lic</t>
  </si>
  <si>
    <t>DCS-7512R3-BND-DC-FLX</t>
  </si>
  <si>
    <t>Arista 7512R Chassis bundle. Includes 7512N chassis, 8x3kW DC PS, 6xFM-R3, 1xSup2, FLX Lic</t>
  </si>
  <si>
    <t>MACSEC Encryption License for Arista Group 2 Fixed switches, MACSEC capable ports</t>
  </si>
  <si>
    <t>MACSEC Encryption License for Arista Group 4 Fixed switches, MACSEC capable ports</t>
  </si>
  <si>
    <t>KIT-7201</t>
  </si>
  <si>
    <t>SFP-25G-MR-LR</t>
  </si>
  <si>
    <t>10/25GBASE-LR SFP transceiver, up to 10km over duplex SMF</t>
  </si>
  <si>
    <t>DCA-250-CV</t>
  </si>
  <si>
    <t>1 unit CloudVision Physical Appliance, Model 250 (Incl CVX, CVP, MWM Server). No device licenses.</t>
  </si>
  <si>
    <t>1 Month A-Care Software &amp; NBD Hardware Replacement/Same Day Ship for DCA-250-CV Appliance</t>
  </si>
  <si>
    <t>QSFP-100G-XCWDM4</t>
  </si>
  <si>
    <t>100GBASE-XCWDM4 QSFP100 transceiver, up to 10km over single-mode fiber</t>
  </si>
  <si>
    <t>CCS-755-100-BND</t>
  </si>
  <si>
    <t>Arista 755 Chassis bundle. Includes 750X 5-slot Chassis, 1 Switch Card, 1 Sup100 (Linecards and Power Supplies sold seperately)</t>
  </si>
  <si>
    <t>CCS-755-25-BND</t>
  </si>
  <si>
    <t>Arista 755 Chassis bundle. Includes 750X 5-slot Chassis, 1 Switch Card, 1 Sup25 (Linecards and Power Supplies sold seperately)</t>
  </si>
  <si>
    <t>CCS-758-100-BND</t>
  </si>
  <si>
    <t>Arista 758 Chassis bundle. Includes 750X 8-slot Chassis, 1 Switch Card, 1 Sup100 (Linecards and Power Supplies sold seperately)</t>
  </si>
  <si>
    <t>CCS-758-25-BND</t>
  </si>
  <si>
    <t>Arista 758 Chassis bundle. Includes 750X 8-slot Chassis, 1 Switch Card, 1 Sup25 (Linecards and Power Supplies sold seperately)</t>
  </si>
  <si>
    <t>CCS-750-SUP100</t>
  </si>
  <si>
    <t>Arista 750 Series Supervisor module with QSFP100 (spare)</t>
  </si>
  <si>
    <t>CCS-750-SUP25</t>
  </si>
  <si>
    <t>Arista 750 Series Supervisor module with SFP25 (spare)</t>
  </si>
  <si>
    <t>CCS-758-X3-SC</t>
  </si>
  <si>
    <t>CCS-755-X3-SC</t>
  </si>
  <si>
    <t>CCS-750X-48TP-LC</t>
  </si>
  <si>
    <t>Arista 750 Series 48 port 1G PoE (30W) linecard</t>
  </si>
  <si>
    <t>CCS-750X-48ZP-LC</t>
  </si>
  <si>
    <t>Arista 750 Series 48 port mGig 1G/2.5G PoE (60W) linecard</t>
  </si>
  <si>
    <t>CCS-750X-48ZXP-LC</t>
  </si>
  <si>
    <t>Arista 750 Series 48 port 1G/2.5G/5G/10G PoE (60W) linecard</t>
  </si>
  <si>
    <t>LIC-MOD-G-FLX-L</t>
  </si>
  <si>
    <t>FLX-Lite License Arista 5 and 8 slot Modular 1G/mG Ethernet Switches - Full Routing Up to 256K Routes, EVPN, VXLAN</t>
  </si>
  <si>
    <t>LIC-MOD-G-E</t>
  </si>
  <si>
    <t>Enhanced License for Arista 5 and 8 slot Modular 1G/mG Ethernet Switches (OSPF, BGP, ISIS, PIM)</t>
  </si>
  <si>
    <t>SS-CV-MOD-G-SWITCH-1M</t>
  </si>
  <si>
    <t>SS-CV-LT-MOD-G-SWITCH-1M</t>
  </si>
  <si>
    <t>CCS-758-CH</t>
  </si>
  <si>
    <t>Arista 750 Series 8 Slot Chassis, 2 Sup slots, 8 linecard slots, 10 PS slots</t>
  </si>
  <si>
    <t>CCS-755-CH</t>
  </si>
  <si>
    <t>PWR-3351-AC-RED</t>
  </si>
  <si>
    <t>Arista 3300W AC PSU POE Front to Rear</t>
  </si>
  <si>
    <t>Spare fan module for Arista 750 Series. Regular Fan Speed (front-to-rear airflow)</t>
  </si>
  <si>
    <t>CCS-750-SCVR</t>
  </si>
  <si>
    <t>Spare Blank Cover for 750 Series Supervisor Slot</t>
  </si>
  <si>
    <t>CCS-750-LCVR</t>
  </si>
  <si>
    <t>Spare Blank Cover for 750 Series Linecard Slot</t>
  </si>
  <si>
    <t>KIT-CCS-750</t>
  </si>
  <si>
    <t>KIT-CCS-750-4P</t>
  </si>
  <si>
    <t>KIT-CCS-750-4PL</t>
  </si>
  <si>
    <t>CAB-C19-6-20</t>
  </si>
  <si>
    <t>Power Cord, NA, C19 - NEMA 6-20, 20A/250V, 2.5M, UL/CSA</t>
  </si>
  <si>
    <t>CAB-C19-316P6</t>
  </si>
  <si>
    <t>Power Cord, EU, C19 - IEC60309 316P6, 16A/250V, 2.5M, EN</t>
  </si>
  <si>
    <t>CAB-C19-EUR</t>
  </si>
  <si>
    <t>Power Cord, EU/Russia, C19 - CEE7/7, 16A/250V, 2.5M, CE/EAC</t>
  </si>
  <si>
    <t>CAB-C19-NA</t>
  </si>
  <si>
    <t>CAB-C19-AUS</t>
  </si>
  <si>
    <t>Power Cord, Australia, C19 - AS3112, 15A/250V, 3M, SAA</t>
  </si>
  <si>
    <t>CAB-C19-ITY</t>
  </si>
  <si>
    <t>Power Cord, Italy, C19 - CEI2350, 16A/250V, 3M, IMQ</t>
  </si>
  <si>
    <t>CAB-C19-ISR</t>
  </si>
  <si>
    <t>Power Cord, Isreal, C19 - SI32, 16A/250V, 2.5M, SII</t>
  </si>
  <si>
    <t>CAB-C19-CHN</t>
  </si>
  <si>
    <t>Power Cord, China, C19 - GB2099, 16A/250V, 3M, CCC</t>
  </si>
  <si>
    <t>SVC-755XP-1M-RB</t>
  </si>
  <si>
    <t>1 Month A-Care Software Support and HW Replacement for CCS-755</t>
  </si>
  <si>
    <t>SVC-755XP-1M-NB</t>
  </si>
  <si>
    <t>1 Month A-Care Software &amp; NBD Hardware Replacement/Same Day Ship for CCS-755</t>
  </si>
  <si>
    <t>SVC-755XP-1M-4H</t>
  </si>
  <si>
    <t>1-Month A-Care Software &amp; 24x7x4 Hour Hardware Replacement for CCS-755</t>
  </si>
  <si>
    <t>SVC-755XP-1M-2H</t>
  </si>
  <si>
    <t>1-Month A-Care Software &amp; 24x7x2 Hour Hardware Replacement for CCS-755</t>
  </si>
  <si>
    <t>OSV-755XP-1M-NB</t>
  </si>
  <si>
    <t>Onsite Service: 1 Month A-Care Software &amp; NBD Hardware Replacement/Same Day Ship for CCS-755</t>
  </si>
  <si>
    <t>OSV-755XP-1M-4H</t>
  </si>
  <si>
    <t>Onsite Service: 1-Month A-Care Software &amp; 24x7x4 Hour Hardware Replacement for CCS-755</t>
  </si>
  <si>
    <t>SVC-755XP-1M-SHR</t>
  </si>
  <si>
    <t>SVC-755XP-1M-SH4</t>
  </si>
  <si>
    <t>SVC-758XP-1M-RB</t>
  </si>
  <si>
    <t>1 Month A-Care Software Support and HW Replacement for CCS-758</t>
  </si>
  <si>
    <t>SVC-758XP-1M-NB</t>
  </si>
  <si>
    <t>1 Month A-Care Software &amp; NBD Hardware Replacement/Same Day Ship for CCS-758</t>
  </si>
  <si>
    <t>SVC-758XP-1M-4H</t>
  </si>
  <si>
    <t>1-Month A-Care Software &amp; 24x7x4 Hour Hardware Replacement for CCS-758</t>
  </si>
  <si>
    <t>SVC-758XP-1M-2H</t>
  </si>
  <si>
    <t>1-Month A-Care Software &amp; 24x7x2 Hour Hardware Replacement for CCS-758</t>
  </si>
  <si>
    <t>OSV-758XP-1M-NB</t>
  </si>
  <si>
    <t>Onsite Service: 1 Month A-Care Software &amp; NBD Hardware Replacement/Same Day Ship for CCS-758</t>
  </si>
  <si>
    <t>OSV-758XP-1M-4H</t>
  </si>
  <si>
    <t>Onsite Service: 1-Month A-Care Software &amp; 24x7x4 Hour Hardware Replacement for CCS-758</t>
  </si>
  <si>
    <t>SVC-758XP-1M-SHR</t>
  </si>
  <si>
    <t>SVC-758XP-1M-SH4</t>
  </si>
  <si>
    <t>CloudEOS Router for VM/Cloud SW Sub Lic for 1-Month up to 1G throughput, includes routing, IPSec, and Support, 1-Month CloudVision as-a-Service for single instance</t>
  </si>
  <si>
    <t>CloudEOS Router for VM/Cloud SW Sub Lic for 1-Month up to 10G throughput, includes routing, IPSec, and Support, 1-Month CloudVision as-a-Service for single instance</t>
  </si>
  <si>
    <t>CloudEOS Router for VM/Cloud SW Sub Lic for 1-Month, up to 10M routes with virtual route reflector feature, A-care Support, and 1-Month CloudVision as-a-Service for single instance</t>
  </si>
  <si>
    <t>DCS-7130-48G3S#</t>
  </si>
  <si>
    <t>Arista 7130 Series G3 Connect 48 Layer-1 Switch, configurable fans &amp; psu v2</t>
  </si>
  <si>
    <t>DCS-7130-48G3S-F</t>
  </si>
  <si>
    <t>Arista 7130 Series G3 Connect 48 Layer-1 Switch, front-to-rear air, 2xAC v2</t>
  </si>
  <si>
    <t>DCS-7130-48G3S-R</t>
  </si>
  <si>
    <t>Arista 7130 Series G3 Connect 48 Layer-1 Switch, rear-to-front air, 2xAC v2</t>
  </si>
  <si>
    <t>DCS-7130-48LBS#</t>
  </si>
  <si>
    <t>Arista 7130 Series 48L with UltraScale VU9P-3 FPGA. Requires PSU/Fan kit sold separately. v2</t>
  </si>
  <si>
    <t>DCS-7130-48LBS-F</t>
  </si>
  <si>
    <t>Arista 7130 Series 48L with UltraScale VU9P-3 FPGA, front-to-rear air, 2xAC v2</t>
  </si>
  <si>
    <t>DCS-7130-48LBS-R</t>
  </si>
  <si>
    <t>Arista 7130 Series 48L with UltraScale VU9P-3 FPGA, rear-to-front air, 2xAC v2</t>
  </si>
  <si>
    <t>DCS-7130-48LBAS#</t>
  </si>
  <si>
    <t>Arista 7130 Series 48L with UltraScale VU9P-3 FPGA and Atomic Clock. Requires PSU/Fan kit sold separately. v2</t>
  </si>
  <si>
    <t>DCS-7130-48LBAS-F</t>
  </si>
  <si>
    <t>Arista 7130 Series 48L with UltraScale VU9P-3 FPGA and Atomic Clock, front-to-rear air, 2xAC v2</t>
  </si>
  <si>
    <t>DCS-7130-48LBAS-R</t>
  </si>
  <si>
    <t>Arista 7130 Series 48L with UltraScale VU9P-3 FPGA and Atomic Clock, rear-to-front air, 2xAC v2</t>
  </si>
  <si>
    <t>SVC-7130-16G3S-1M-2H</t>
  </si>
  <si>
    <t>1-Month A-Care Software &amp; 24x7x2 Hour Hardware Replacement for 7130-16G3S</t>
  </si>
  <si>
    <t>SVC-7130-16G3S-1M-4H</t>
  </si>
  <si>
    <t>1-Month A-Care Software &amp; 24x7x4 Hour Hardware Replacement for 7130-16G3S</t>
  </si>
  <si>
    <t>SVC-7130-16G3S-1M-NB</t>
  </si>
  <si>
    <t>1-Month A-Care Software &amp; NBD Hardware Replacement/Same Day Ship for 7130-16G3S</t>
  </si>
  <si>
    <t>SVC-7130-48G3S-1M-2H</t>
  </si>
  <si>
    <t>1-Month A-Care Software &amp; 24x7x2 Hour Hardware Replacement for 7130-48G3S</t>
  </si>
  <si>
    <t>SVC-7130-48G3S-1M-4H</t>
  </si>
  <si>
    <t>1-Month A-Care Software &amp; 24x7x4 Hour Hardware Replacement for 7130-48G3S</t>
  </si>
  <si>
    <t>SVC-7130-48G3S-1M-NB</t>
  </si>
  <si>
    <t>1-Month A-Care Software &amp; NBD Hardware Replacement/Same Day Ship for 7130-48G3S</t>
  </si>
  <si>
    <t>SVC-7130-48LS-1M-NB</t>
  </si>
  <si>
    <t>1-Month A-Care Software &amp; NBD Hardware Replacement/Same Day Ship for 7130-48LS</t>
  </si>
  <si>
    <t>SVC-7130-48LS-1M-4H</t>
  </si>
  <si>
    <t>1-Month A-Care Software &amp; 24x7x4 Hour Hardware Replacement for 7130-48LS</t>
  </si>
  <si>
    <t>SVC-7130-48LS-1M-2H</t>
  </si>
  <si>
    <t>1-Month A-Care Software &amp; 24x7x2 Hour Hardware Replacement for 7130-48LS</t>
  </si>
  <si>
    <t>SVC-7130-48LBS-1M-NB</t>
  </si>
  <si>
    <t>1-Month A-Care Software &amp; NBD Hardware Replacement/Same Day Ship for 7130-48LBS</t>
  </si>
  <si>
    <t>SVC-7130-48LBS-1M-4H</t>
  </si>
  <si>
    <t>1-Month A-Care Software &amp; 24x7x4 Hour Hardware Replacement for 7130-48LBS</t>
  </si>
  <si>
    <t>SVC-7130-48LBS-1M-2H</t>
  </si>
  <si>
    <t>1-Month A-Care Software &amp; 24x7x2 Hour Hardware Replacement for 7130-48LBS</t>
  </si>
  <si>
    <t>SVC-7130-48LAS-1M-NB</t>
  </si>
  <si>
    <t>1-Month A-Care Software &amp; NBD Hardware Replacement/Same Day Ship for 7130-48LAS</t>
  </si>
  <si>
    <t>SVC-7130-48LAS-1M-4H</t>
  </si>
  <si>
    <t>1-Month A-Care Software &amp; 24x7x4 Hour Hardware Replacement for 7130-48LAS</t>
  </si>
  <si>
    <t>SVC-7130-48LAS-1M-2H</t>
  </si>
  <si>
    <t>1-Month A-Care Software &amp; 24x7x2 Hour Hardware Replacement for 7130-48LAS</t>
  </si>
  <si>
    <t>SVC-7130-48LBAS-1M-NB</t>
  </si>
  <si>
    <t>1-Month A-Care Software &amp; NBD Hardware Replacement/Same Day Ship for 7130-48LBAS</t>
  </si>
  <si>
    <t>SVC-7130-48LBAS-1M-4H</t>
  </si>
  <si>
    <t>1-Month A-Care Software &amp; 24x7x4 Hour Hardware Replacement for 7130-48LBAS</t>
  </si>
  <si>
    <t>SVC-7130-48LBAS-1M-2H</t>
  </si>
  <si>
    <t>1-Month A-Care Software &amp; 24x7x2 Hour Hardware Replacement for 7130-48LBAS</t>
  </si>
  <si>
    <t>DCS-7512R3-BND</t>
  </si>
  <si>
    <t>Arista 7512R Chassis bundle. Includes 7512N chassis, 8x3kW PS, 6xFM-R3, 1xSup2</t>
  </si>
  <si>
    <t>DCS-7512R3-BND-D</t>
  </si>
  <si>
    <t>Arista 7512R Chassis bundle. Includes 7512N chassis, 8x3kW PS, 6xFM-R3, 1xSup2-SSD</t>
  </si>
  <si>
    <t>DCS-7512R3-BND-DC</t>
  </si>
  <si>
    <t>Arista 7512R Chassis bundle. Includes 7512N chassis, 8x3kW DC PS, 6xFM-R3, 1xSup2</t>
  </si>
  <si>
    <t>DCS-7512R3-BND-DC-D</t>
  </si>
  <si>
    <t>Arista 7512R Chassis bundle. Includes 7512N chassis, 8x3kW DC PS, 6xFM-R3, 1xSup2-SSD</t>
  </si>
  <si>
    <t>DCS-7512R3-BND-S2</t>
  </si>
  <si>
    <t>Arista 7512R Chassis bundle. Includes 7512N chassis, 12x3kW PS, 6xFM-R3, 2xSup2</t>
  </si>
  <si>
    <t>DCS-7512R3-BND-DC-S2</t>
  </si>
  <si>
    <t>Arista 7512R Chassis bundle. Includes 7512N chassis, 12x3kW DC PS, 6xFM-R3, 2xSup2</t>
  </si>
  <si>
    <t>DCS-7512R3-BND-FLX</t>
  </si>
  <si>
    <t>Arista 7512R Chassis bundle. Includes 7512N chassis, 12x3kW PS, 6xFM-R3, 1xSup2, FLX Lic</t>
  </si>
  <si>
    <t>DCS-7512R3-FM</t>
  </si>
  <si>
    <t>7500R3 Series Fabric (integrated fan) Module for 7512 Chassis, required for fabric slots 1-6</t>
  </si>
  <si>
    <t>SVC-7512R3-1M-NB</t>
  </si>
  <si>
    <t>1-Month A-Care Software &amp; 8x5xNBD Hardware Replacement/Same Day Ship for 7512R3</t>
  </si>
  <si>
    <t>SVC-7512R3-1M-4H</t>
  </si>
  <si>
    <t>1-Month A-Care 24x7x4 Software &amp; Hardware Replacement for 7512R3</t>
  </si>
  <si>
    <t>SVC-7512R3-1M-2H</t>
  </si>
  <si>
    <t>1-Month A-Care 24x7x2 Software &amp; Hardware Replacement for 7512R3</t>
  </si>
  <si>
    <t>SVC-7512R3-1M-SHR</t>
  </si>
  <si>
    <t>SVC-7512R3-1M-SH4</t>
  </si>
  <si>
    <t>OSV-7512R3-1M-NB</t>
  </si>
  <si>
    <t>Onsite Service: 1 Month A-Care Software &amp; NBD Hardware Replacement/Same Day Ship for 7512R3</t>
  </si>
  <si>
    <t>OSV-7512R3-1M-4H</t>
  </si>
  <si>
    <t>Onsite Service: 1-Month A-Care Software &amp; 24x7x4 Hour Hardware Replacement for 7512R3</t>
  </si>
  <si>
    <t>DCS-7280CR3MK-32D4S-F</t>
  </si>
  <si>
    <t>Arista 7280R3S, 32x100GbE QSFP and 4x400GbE QSFP-DD switch router, MACsec, large route, front to rear air, 2 x AC</t>
  </si>
  <si>
    <t>DCS-7280CR3MK-32D4S-R</t>
  </si>
  <si>
    <t>Arista 7280R3S, 32x100GbE QSFP and 4x400GbE QSFP-DD switch router, MACsec, large route, rear to front air, 2 x AC</t>
  </si>
  <si>
    <t>DCS-7280CR3MK-32D4S#</t>
  </si>
  <si>
    <t>Arista 7280R3S, 32x100GbE QSFP and 4x400GbE QSFP-DD switch router, MACsec large route, configurable fans and psu</t>
  </si>
  <si>
    <t>DCS-7280CR3MK-32D4S-FLX-F</t>
  </si>
  <si>
    <t>Arista 7280R3S, 32x100GbE QSFP and 4x400GbE QSFP-DD switch router, MACsec, large route, front to rear air, 2 x AC. Over 256K Routes, MPLS and VXLAN</t>
  </si>
  <si>
    <t>DCS-7280CR3MK-32D4S-FLX-R</t>
  </si>
  <si>
    <t>Arista 7280R3S, 32x100GbE QSFP and 4x400GbE QSFP-DD switch router, large route, MACsec, rear to front air, 2 x AC. Over 256K Routes, MPLS and VXLAN</t>
  </si>
  <si>
    <t>DCS-7280CR3MK-32D4S-FLX#</t>
  </si>
  <si>
    <t>Arista 7280R3S, 32x100GbE QSFP and 4x400GbE QSFP-DD switch router, large route, MACsec, configurable fans and psu. Over 256K Routes, MPLS and VXLAN</t>
  </si>
  <si>
    <t>SVC-7280CR3MK-32D4S-1M-NB</t>
  </si>
  <si>
    <t>1 Month A-Care Software &amp; NBD Hardware Replacement/Same Day Ship for 7280CR3MK-32D4S</t>
  </si>
  <si>
    <t>SVC-7280CR3MK-32D4S-1M-4H</t>
  </si>
  <si>
    <t>1-Month A-Care Software &amp; 24x7x4 Hour Hardware Replacement for 7280CR3MK-32D4S</t>
  </si>
  <si>
    <t>SVC-7280CR3MK-32D4S-1M-2H</t>
  </si>
  <si>
    <t>1-Month A-Care Software &amp; 24x7x2 Hour Hardware Replacement for 7280CR3MK-32D4S</t>
  </si>
  <si>
    <t>OSV-7280CR3MK-32D4S-1M-NB</t>
  </si>
  <si>
    <t>Onsite Service: 1 Month A-Care Software &amp; NBD Hardware Replacement/Same Day Ship for 7280CR3MK-32D4S</t>
  </si>
  <si>
    <t>OSV-7280CR3MK-32D4S-1M-4H</t>
  </si>
  <si>
    <t>Onsite Service: 1-Month A-Care Software &amp; 24x7x4 Hour Hardware Replacement for 7280CR3MK-32D4S</t>
  </si>
  <si>
    <t>SVC-7280CR3MK-32D4S-1M-SHR</t>
  </si>
  <si>
    <t>SVC-7280CR3MK-32D4S-1M-SH4</t>
  </si>
  <si>
    <t>SFP-25G-MR-XSR</t>
  </si>
  <si>
    <t>Dual rate 10/25GBASE-XSR SFP Optics Module, up to 200m over OM3 or 300m over OM4 MMF</t>
  </si>
  <si>
    <t>AOC-D-D-400G-1M</t>
  </si>
  <si>
    <t>400GbE QSFP-DD to QSFP-DD Active Optical Cable, 1 meter</t>
  </si>
  <si>
    <t>AOC-D-D-400G-3M</t>
  </si>
  <si>
    <t>400GbE QSFP-DD to QSFP-DD Active Optical Cable, 3 meter</t>
  </si>
  <si>
    <t>AOC-D-D-400G-5M</t>
  </si>
  <si>
    <t>400GbE QSFP-DD to QSFP-DD Active Optical Cable, 5 meter</t>
  </si>
  <si>
    <t>AOC-D-D-400G-7M</t>
  </si>
  <si>
    <t>400GbE QSFP-DD to QSFP-DD Active Optical Cable, 7 meter</t>
  </si>
  <si>
    <t>AOC-D-D-400G-10M</t>
  </si>
  <si>
    <t>400GbE QSFP-DD to QSFP-DD Active Optical Cable, 10 meter</t>
  </si>
  <si>
    <t>AOC-D-D-400G-15M</t>
  </si>
  <si>
    <t>400GbE QSFP-DD to QSFP-DD Active Optical Cable, 15 meter</t>
  </si>
  <si>
    <t>AOC-D-D-400G-20M</t>
  </si>
  <si>
    <t>400GbE QSFP-DD to QSFP-DD Active Optical Cable, 20 meter</t>
  </si>
  <si>
    <t>AOC-D-D-400G-25M</t>
  </si>
  <si>
    <t>400GbE QSFP-DD to QSFP-DD Active Optical Cable, 25 meter</t>
  </si>
  <si>
    <t>AOC-D-D-400G-30M</t>
  </si>
  <si>
    <t>400GbE QSFP-DD to QSFP-DD Active Optical Cable, 30 meter</t>
  </si>
  <si>
    <t>DCS-7808R3A-BND</t>
  </si>
  <si>
    <t>DCS-7800-SUP1A</t>
  </si>
  <si>
    <t>DCS-7280SR3-48YC8-F</t>
  </si>
  <si>
    <t>Arista 7280R3, 48x25GbE SFP and 8x100G QSFP switch router, front to rear air, 2 x AC</t>
  </si>
  <si>
    <t>DCS-7280SR3-48YC8-R</t>
  </si>
  <si>
    <t>Arista 7280R3, 48x25GbE SFP and 8x100G QSFP switch router, rear to front air, 2 x AC</t>
  </si>
  <si>
    <t>DCS-7280SR3-48YC8#</t>
  </si>
  <si>
    <t>Arista 7280R3, 48x25GbE SFP and 8x100G QSFP switch router, configurable fans and psu</t>
  </si>
  <si>
    <t>DCS-7280SR3-48YC8-FLX-F</t>
  </si>
  <si>
    <t>Arista 7280R3, 48x25GbE SFP and 8x100G QSFP switch router, front to rear air, 2 x AC. Over 256K Routes, MPLS and VXLAN</t>
  </si>
  <si>
    <t>DCS-7280SR3-48YC8-FLX-R</t>
  </si>
  <si>
    <t>Arista 7280R3, 48x25GbE SFP and 8x100G QSFP switch router, rear to front air, 2 x AC. Over 256K Routes, MPLS and VXLAN</t>
  </si>
  <si>
    <t>DCS-7280SR3-48YC8-FLX#</t>
  </si>
  <si>
    <t>Arista 7280R3, 48x25GbE SFP and 8x100G QSFP switch router, configurable fans and psu. Over 256K Routes, MPLS and VXLAN</t>
  </si>
  <si>
    <t>DCS-7280SR3K-48YC8-F</t>
  </si>
  <si>
    <t>Arista 7280R3, 48x25GbE SFP and 8x100G QSFP switch router, large routes, front to rear air, 2 x AC</t>
  </si>
  <si>
    <t>DCS-7280SR3K-48YC8-R</t>
  </si>
  <si>
    <t>Arista 7280R3, 48x25GbE SFP and 8x100G QSFP switch router, large routes, rear to front air, 2 x AC</t>
  </si>
  <si>
    <t>DCS-7280SR3K-48YC8#</t>
  </si>
  <si>
    <t>Arista 7280R3, 48x25GbE SFP and 8x100G QSFP switch router large routes, configurable fans and psu</t>
  </si>
  <si>
    <t>Arista 7280R3, 48x25GbE SFP and 8x100G QSFP switch router, large route, front to rear air, 2 x DC</t>
  </si>
  <si>
    <t>DCS-7280SR3K-48YC8-FLX-F</t>
  </si>
  <si>
    <t>Arista 7280R3, 48x25GbE SFP and 8x100G QSFP switch router, large routes, front to rear air, 2 x AC. Over 256K Routes, MPLS and VXLAN</t>
  </si>
  <si>
    <t>DCS-7280SR3K-48YC8-FLX-R</t>
  </si>
  <si>
    <t>Arista 7280R3, 48x25GbE SFP and 8x100G QSFP switch router, large routes, rear to front air, 2 x AC. Over 256K Routes, MPLS and VXLAN</t>
  </si>
  <si>
    <t>Arista 7280R3, 48x25GbE SFP and 8x100G QSFP switch router large routes, configurable fans and psu. Over 256K Routes, MPLS and VXLAN</t>
  </si>
  <si>
    <t>SVC-7280SR3-48YC8-1M-NB</t>
  </si>
  <si>
    <t>1 Month A-Care Software &amp; NBD Hardware Replacement/Same Day Ship for 7280SR3-48YC8</t>
  </si>
  <si>
    <t>SVC-7280SR3-48YC8-1M-4H</t>
  </si>
  <si>
    <t>1-Month A-Care Software &amp; 24x7x4 Hour Hardware Replacement for 7280SR3-48YC8</t>
  </si>
  <si>
    <t>SVC-7280SR3-48YC8-1M-2H</t>
  </si>
  <si>
    <t>1-Month A-Care Software &amp; 24x7x2 Hour Hardware Replacement for 7280SR3-48YC8</t>
  </si>
  <si>
    <t>OSV-7280SR3-48YC8-1M-NB</t>
  </si>
  <si>
    <t>Onsite Service: 1 Month A-Care Software &amp; NBD Hardware Replacement/Same Day Ship for 7280SR3-48YC8</t>
  </si>
  <si>
    <t>OSV-7280SR3-48YC8-1M-4H</t>
  </si>
  <si>
    <t>Onsite Service: 1-Month A-Care Software &amp; 24x7x4 Hour Hardware Replacement for 7280SR3-48YC8</t>
  </si>
  <si>
    <t>SVC-7280SR3-48YC8-1M-SHR</t>
  </si>
  <si>
    <t>SVC-7280SR3-48YC8-1M-SH4</t>
  </si>
  <si>
    <t>SVC-7280SR3K-48YC8-1M-NB</t>
  </si>
  <si>
    <t>1 Month A-Care Software &amp; NBD Hardware Replacement/Same Day Ship for 7280SR3K-48YC8</t>
  </si>
  <si>
    <t>SVC-7280SR3K-48YC8-1M-4H</t>
  </si>
  <si>
    <t>1-Month A-Care Software &amp; 24x7x4 Hour Hardware Replacement for 7280SR3K-48YC8</t>
  </si>
  <si>
    <t>SVC-7280SR3K-48YC8-1M-2H</t>
  </si>
  <si>
    <t>1-Month A-Care Software &amp; 24x7x2 Hour Hardware Replacement for 7280SR3K-48YC8</t>
  </si>
  <si>
    <t>OSV-7280SR3K-48YC8-1M-NB</t>
  </si>
  <si>
    <t>Onsite Service: 1 Month A-Care Software &amp; NBD Hardware Replacement/Same Day Ship for 7280SR3K-48YC8</t>
  </si>
  <si>
    <t>OSV-7280SR3K-48YC8-1M-4H</t>
  </si>
  <si>
    <t>Onsite Service: 1-Month A-Care Software &amp; 24x7x4 Hour Hardware Replacement for 7280SR3K-48YC8</t>
  </si>
  <si>
    <t>SVC-7280SR3K-48YC8-1M-SHR</t>
  </si>
  <si>
    <t>SVC-7280SR3K-48YC8-1M-SH4</t>
  </si>
  <si>
    <t>DCS-7280CR3MK-32P4S-F</t>
  </si>
  <si>
    <t>Arista 7280R3S, 32x100GbE QSFP and 4x400GbE OSFP switch router, MACsec, large route, front to rear air, 2 x AC</t>
  </si>
  <si>
    <t>DCS-7280CR3MK-32P4S-R</t>
  </si>
  <si>
    <t>Arista 7280R3S, 32x100GbE QSFP and 4x400GbE OSFP switch router, MACsec, large route, rear to front air, 2 x AC</t>
  </si>
  <si>
    <t>DCS-7280CR3MK-32P4S#</t>
  </si>
  <si>
    <t>Arista 7280R3S, 32x100GbE QSFP and 4x400GbE OSFP switch router, MACsec large route, configurable fans and psu</t>
  </si>
  <si>
    <t>DCS-7280CR3MK-32P4S-FLX-F</t>
  </si>
  <si>
    <t>Arista 7280R3S, 32x100GbE QSFP and 4x400GbE OSFP switch router, MACsec, large route, front to rear air, 2 x AC. Over 256K Routes, MPLS and VXLAN</t>
  </si>
  <si>
    <t>DCS-7280CR3MK-32P4S-FLX-R</t>
  </si>
  <si>
    <t>Arista 7280R3S, 32x100GbE QSFP and 4x400GbE OSFP switch router, large route, MACsec, rear to front air, 2 x AC. Over 256K Routes, MPLS and VXLAN</t>
  </si>
  <si>
    <t>DCS-7280CR3MK-32P4S-FLX#</t>
  </si>
  <si>
    <t>Arista 7280R3S, 32x100GbE QSFP and 4x400GbE OSFP switch router, large route, MACsec, configurable fans and psu. Over 256K Routes, MPLS and VXLAN</t>
  </si>
  <si>
    <t>SVC-7280CR3MK-32P4S-1M-NB</t>
  </si>
  <si>
    <t>1 Month A-Care Software &amp; NBD Hardware Replacement/Same Day Ship for 7280CR3MK-32P4S</t>
  </si>
  <si>
    <t>SVC-7280CR3MK-32P4S-1M-4H</t>
  </si>
  <si>
    <t>1-Month A-Care Software &amp; 24x7x4 Hour Hardware Replacement for 7280CR3MK-32P4S</t>
  </si>
  <si>
    <t>SVC-7280CR3MK-32P4S-1M-2H</t>
  </si>
  <si>
    <t>1-Month A-Care Software &amp; 24x7x2 Hour Hardware Replacement for 7280CR3MK-32P4S</t>
  </si>
  <si>
    <t>OSV-7280CR3MK-32P4S-1M-NB</t>
  </si>
  <si>
    <t>Onsite Service: 1 Month A-Care Software &amp; NBD Hardware Replacement/Same Day Ship for 7280CR3MK-32P4S</t>
  </si>
  <si>
    <t>OSV-7280CR3MK-32P4S-1M-4H</t>
  </si>
  <si>
    <t>Onsite Service: 1-Month A-Care Software &amp; 24x7x4 Hour Hardware Replacement for 7280CR3MK-32P4S</t>
  </si>
  <si>
    <t>SVC-7280CR3MK-32P4S-1M-SHR</t>
  </si>
  <si>
    <t>SVC-7280CR3MK-32P4S-1M-SH4</t>
  </si>
  <si>
    <t>SVC-7808R3A-1M-NB</t>
  </si>
  <si>
    <t>1-Month A-Care Software &amp; 8x5xNBD Hardware Replacement/Same Day Ship for 7808R3A</t>
  </si>
  <si>
    <t>SVC-7808R3A-1M-4H</t>
  </si>
  <si>
    <t>1-Month A-Care 24x7x4 Software &amp; Hardware Replacement for 7808R3A</t>
  </si>
  <si>
    <t>SVC-7808R3A-1M-2H</t>
  </si>
  <si>
    <t>1-Month A-Care 24x7x2 Software &amp; Hardware Replacement for 7808R3A</t>
  </si>
  <si>
    <t>SVC-7808R3A-1M-SHR</t>
  </si>
  <si>
    <t>SVC-7808R3A-1M-SH4</t>
  </si>
  <si>
    <t>DCS-7808R3-FM2</t>
  </si>
  <si>
    <t>7800R3 Series Fabric Module-2 for 7808 Chassis, required for fabric slots 1-6</t>
  </si>
  <si>
    <t>DCS-7050CX3-32S-D#</t>
  </si>
  <si>
    <t>Arista 7050X3, 32x100GbE QSFP+ &amp; 2xSFP+ switch, expn memory, SSD, configurable fans and psu, 2 x C13-C14 cords</t>
  </si>
  <si>
    <t>DCS-7050CX3-32S-D-F</t>
  </si>
  <si>
    <t>Arista 7050X3, 32x100GbE QSFP+ &amp; 2xSFP+ switch, expn memory, SSD, front-to-rear air, 2xAC</t>
  </si>
  <si>
    <t>DCS-7050CX3-32S-D-R</t>
  </si>
  <si>
    <t>Arista 7050X3, 32x100GbE QSFP+ &amp; 2xSFP+ switch, expn memory, SSD, rear-to-front air, 2xAC</t>
  </si>
  <si>
    <t>SVC-7050CX3-32SD-1M-NB</t>
  </si>
  <si>
    <t>1 Month A-Care Software &amp; NBD Hardware Replacement/Same Day Ship for 7050CX3-32S-D, with SSD</t>
  </si>
  <si>
    <t>SVC-7050CX3-32SD-1M-4H</t>
  </si>
  <si>
    <t>1-Month A-Care Software &amp; 24x7x4 Hour Hardware Replacement for 7050CX3-32S-D, with SSD</t>
  </si>
  <si>
    <t>SVC-7050CX3-32SD-1M-2H</t>
  </si>
  <si>
    <t>1-Month A-Care Software &amp; 24x7x2 Hour Hardware Replacement for 7050CX3-32S-D, with SSD</t>
  </si>
  <si>
    <t>OSV-7050CX3-32SD-1M-NB</t>
  </si>
  <si>
    <t>Onsite Service: 1 Month A-Care Software &amp; NBD Hardware Replacement/Same Day Ship for 7050CX3-32S-D, with SSD</t>
  </si>
  <si>
    <t>OSV-7050CX3-32SD-1M-4H</t>
  </si>
  <si>
    <t>Onsite Service: 1-Month A-Care Software &amp; 24x7x4 Hour Hardware Replacement for 7050CX3-32S-D, with SSD</t>
  </si>
  <si>
    <t>SVC-7050CX3-32SD-1M-SHR</t>
  </si>
  <si>
    <t>SVC-7050CX3-32SD-1M-SH4</t>
  </si>
  <si>
    <t>DCS-7368-16S#</t>
  </si>
  <si>
    <t>DCS-7368-16S</t>
  </si>
  <si>
    <t>SVE-SEC-ASA-5U</t>
  </si>
  <si>
    <t>Attack Surface Assessment for organizations up to 5k users. 1 appliance shipped for 30 days, up to 10% endpoints deployed. Includes Assessment of network, OSINT, and endpoint components.</t>
  </si>
  <si>
    <t>SVE-SEC-ASA-10U</t>
  </si>
  <si>
    <t>Attack Surface Assessment for organizations up to 10k users. 2 appliances shipped for 30 days, up to 10% endpoints deployed. Includes Assessment of network, OSINT, and endpoint components.</t>
  </si>
  <si>
    <t>PWR-501AC-F</t>
  </si>
  <si>
    <t>Spare 500v2 Watt AC power supply for Arista 7050CX3-32S-D Switches (front-to-rear airflow)</t>
  </si>
  <si>
    <t>PWR-501AC-R</t>
  </si>
  <si>
    <t>Spare 500v2 Watt AC power supply for Arista 7050CX3-32S-D Switches (rear-to-front airflow)</t>
  </si>
  <si>
    <t>PWR-501AC-F#</t>
  </si>
  <si>
    <t>Configurable 500v2 Watt AC power supply for Arista 7050CX3-32S-D Switches (front-to-rear airflow)</t>
  </si>
  <si>
    <t>PWR-501AC-R#</t>
  </si>
  <si>
    <t>Configurable 500v2 Watt AC power supply for Arista 7050CX3-32S-D Switches (rear-to-front airflow)</t>
  </si>
  <si>
    <t>PWR-3KT-HV-RED</t>
  </si>
  <si>
    <t>Spare 3kW HV 230VAC and 240VDC Power Supply for 7300 and 7500N series (red handle)</t>
  </si>
  <si>
    <t>PWR-3KT-HV-RED#</t>
  </si>
  <si>
    <t>Configurable 3kW HV 230VAC and 240VDC Power Supply for 7300 and 7500N series (red handle)</t>
  </si>
  <si>
    <t>SS-CVS-SWITCH-LAB-1M</t>
  </si>
  <si>
    <t>Arista 758 X3 Switch Card for CCS-758 Chassis, Fans Included</t>
  </si>
  <si>
    <t>Arista 755 X3 Switch Card for CCS-755 Chassis, Fans Included</t>
  </si>
  <si>
    <t>Quotation</t>
    <phoneticPr fontId="27" type="noConversion"/>
  </si>
  <si>
    <t>Switches</t>
    <phoneticPr fontId="27" type="noConversion"/>
  </si>
  <si>
    <t xml:space="preserve">Optics </t>
    <phoneticPr fontId="27" type="noConversion"/>
  </si>
  <si>
    <t>Service</t>
    <phoneticPr fontId="27" type="noConversion"/>
  </si>
  <si>
    <t>소비자가</t>
    <phoneticPr fontId="9" type="noConversion"/>
  </si>
  <si>
    <t>소비자합계가</t>
    <phoneticPr fontId="9" type="noConversion"/>
  </si>
  <si>
    <t>원가</t>
    <phoneticPr fontId="9" type="noConversion"/>
  </si>
  <si>
    <t>원가합계</t>
    <phoneticPr fontId="9" type="noConversion"/>
  </si>
  <si>
    <t>원가 합계</t>
    <phoneticPr fontId="9" type="noConversion"/>
  </si>
  <si>
    <t>DCA-NDR-A5</t>
  </si>
  <si>
    <t>ASP All-In-One Physical Appliance, up to 5Gb/sec BW, requires HW support. No license</t>
  </si>
  <si>
    <t>DCA-NDR-NB10</t>
  </si>
  <si>
    <t>DCA-NDR-S1</t>
  </si>
  <si>
    <t>ASP Sensor Physical Appliance, up to 1Gb/sec BW, requires HW support. No license</t>
  </si>
  <si>
    <t>DCA-NDR-S5</t>
  </si>
  <si>
    <t>ASP Sensor Physical Appliance, up to 5Gb/sec BW, requires HW support. No license</t>
  </si>
  <si>
    <t>CCS-755-100-BND-2</t>
  </si>
  <si>
    <t>Arista 755 Chassis bundle. Includes 750X 5-slot Chassis, 2 Switch Card, 2 Sup100 (Linecards and Power Supplies sold seperately)</t>
  </si>
  <si>
    <t>CCS-755-25-BND-2</t>
  </si>
  <si>
    <t>Arista 755 Chassis bundle. Includes 750X 5-slot Chassis, 2 Switch Card, 2 Sup25 (Linecards and Power Supplies sold seperately)</t>
  </si>
  <si>
    <t>CCS-758-100-BND-2</t>
  </si>
  <si>
    <t>Arista 758 Chassis bundle. Includes 750X 8-slot Chassis, 2 Switch Card, 2 Sup100 (Linecards and Power Supplies sold seperately)</t>
  </si>
  <si>
    <t>CCS-758-25-BND-2</t>
  </si>
  <si>
    <t>Arista 758 Chassis bundle. Includes 750X 8-slot Chassis, 2 Switch Card, 2 Sup25 (Linecards and Power Supplies sold seperately)</t>
  </si>
  <si>
    <t>Spare Rack Mount Kit for 750 Series Switches, 4 Post, standard depth</t>
  </si>
  <si>
    <t>Spare Rack Mount Kit for 750 Series Switches, 4 Post, extended depth</t>
  </si>
  <si>
    <t>Spare 2-post 23" rack mount kit for 7010T switches and 720 series switches</t>
  </si>
  <si>
    <t>PWR-2421-HV-RED</t>
  </si>
  <si>
    <t>Spare 2400W HV AC and DC Power Supply for 7388 Series (Red Handle)</t>
  </si>
  <si>
    <t>DCS-7280CR3-36S-F</t>
  </si>
  <si>
    <t>Arista 7280R3, 36x100GbE QSFP/2x400G switch router, front to rear air, 2 x AC.</t>
  </si>
  <si>
    <t>DCS-7280CR3-36S#</t>
  </si>
  <si>
    <t>Arista 7280R3, 36x100GbE QSFP/2x400G switch router, configurable fans and psu</t>
  </si>
  <si>
    <t>DCS-7280CR3-36S-FLX-F</t>
  </si>
  <si>
    <t>Arista 7280R3, 36x100GbE QSFP/2x400G switch router, front to rear air, 2 x AC. Over 256K Routes, MPLS and VXLAN</t>
  </si>
  <si>
    <t>DCS-7280CR3-36S-FLX#</t>
  </si>
  <si>
    <t>Arista 7280R3, 36x100GbE QSFP/2x400G switch router, configurable fans and psu. Over 256K Routes, MPLS and VXLAN</t>
  </si>
  <si>
    <t>DCS-7280CR3K-36S-F</t>
  </si>
  <si>
    <t>Arista 7280R3, 36x100GbE QSFP/2x400G switch router, large routes, front to rear air, 2 x AC.</t>
  </si>
  <si>
    <t>DCS-7280CR3K-36S#</t>
  </si>
  <si>
    <t>Arista 7280R3, 36x100GbE QSFP/2x400G switch router, large routes, configurable fans and psu</t>
  </si>
  <si>
    <t>DCS-7280CR3K-36S-FLX-F</t>
  </si>
  <si>
    <t>Arista 7280R3, 36x100GbE QSFP/2x400G switch router, large routes, front to rear air, 2 x AC. Over 256K Routes, MPLS and VXLAN</t>
  </si>
  <si>
    <t>DCS-7280CR3K-36S-FLX#</t>
  </si>
  <si>
    <t>DCS-7280SR3M-48YC8#</t>
  </si>
  <si>
    <t>Arista 7280R3, 48x25GbE SFP and 8x100G QSFP switch router, MACsec configurable fans and psu</t>
  </si>
  <si>
    <t>DCS-7280SR3M-48YC8-F</t>
  </si>
  <si>
    <t>Arista 7280R3, 48x25GbE SFP and 8x100G QSFP switch router, MACsec front to rear air, 2 x AC</t>
  </si>
  <si>
    <t>Arista 7280R3, 48x25GbE SFP and 8x100G QSFP switch router, MACsec configurable fans and psu. Over 256K Routes, MPLS and VXLAN</t>
  </si>
  <si>
    <t>DCS-7280SR3M-48YC8-FLX-F</t>
  </si>
  <si>
    <t>Arista 7280R3, 48x25GbE SFP and 8x100G QSFP switch router, MACsec front to rear air, 2 x AC. Over 256K Routes, MPLS and VXLAN</t>
  </si>
  <si>
    <t>DCS-7280SR3M-48YC8-FLX-R</t>
  </si>
  <si>
    <t>Arista 7280R3, 48x25GbE SFP and 8x100G QSFP switch router, MACsec rear to front air, 2 x AC. Over 256K Routes, MPLS and VXLAN</t>
  </si>
  <si>
    <t>DCS-7280SR3M-48YC8-R</t>
  </si>
  <si>
    <t>Arista 7280R3, 48x25GbE SFP and 8x100G QSFP switch router, MACsec rear to front air, 2 x AC</t>
  </si>
  <si>
    <t>DCS-7050SX3-48YC8-DC-F</t>
  </si>
  <si>
    <t>Arista 7050X3, 48x25GbE SFP &amp; 8x100GbE QSFP switch, front-to-rear air, 2xDC</t>
  </si>
  <si>
    <t>DCS-7050SX3-48YC8-DC-R</t>
  </si>
  <si>
    <t>Arista 7050X3, 48x25GbE SFP &amp; 8x100GbE QSFP switch, rear-to-front air, 2xDC</t>
  </si>
  <si>
    <t>KIT-7021</t>
  </si>
  <si>
    <t>DCS-7816R3-BND</t>
  </si>
  <si>
    <t>DCS-7816R3-BND-DC</t>
  </si>
  <si>
    <t>DCS-7816R3-BND-DC-S2</t>
  </si>
  <si>
    <t>DCS-7816R3-BND-FLX</t>
  </si>
  <si>
    <t>DCS-7816R3-BND-S2</t>
  </si>
  <si>
    <t>DCS-7800R3A-36P-LC</t>
  </si>
  <si>
    <t>7800R3A Series 36 port 400GbE OSFP line card (spare)</t>
  </si>
  <si>
    <t>DCS-7800R3A-36P-LC#</t>
  </si>
  <si>
    <t>7800R3A Series 36 port 400GbE OSFP line card (ships in chassis)</t>
  </si>
  <si>
    <t>DCS-7800R3A-36PM-LC</t>
  </si>
  <si>
    <t>7800R3A Series 36 port 400GbE OSFP with Enh MACsec line card (spare)</t>
  </si>
  <si>
    <t>DCS-7800R3A-36PM-LC#</t>
  </si>
  <si>
    <t>7800R3A Series 36 port 400GbE OSFP with Enh MACsec line card (ships in chassis)</t>
  </si>
  <si>
    <t>DCS-7800R3AK-36PM-LC</t>
  </si>
  <si>
    <t>7800R3A Series 36 port 400GbE OSFP line card with large routes (MACsec) (spare)</t>
  </si>
  <si>
    <t>DCS-7800R3AK-36PM-LC#</t>
  </si>
  <si>
    <t>7800R3A Series 36 port 400GbE OSFP line card with large routes (MACsec) (ships in chassis)</t>
  </si>
  <si>
    <t>DCS-7800R3A-36D-LC</t>
  </si>
  <si>
    <t>7800R3A Series 36 port 400GbE QSFP-DD line card (spare)</t>
  </si>
  <si>
    <t>DCS-7800R3A-36D-LC#</t>
  </si>
  <si>
    <t>7800R3A Series 36 port 400GbE QSFP-DD line card (ships in chassis)</t>
  </si>
  <si>
    <t>DCS-7800R3A-36DM-LC</t>
  </si>
  <si>
    <t>7800R3A Series 36 port 400GbE QSFP-DD with Enh MACsec line card (spare)</t>
  </si>
  <si>
    <t>DCS-7800R3A-36DM-LC#</t>
  </si>
  <si>
    <t>7800R3A Series 36 port 400GbE QSFP-DD with Enh MACsec line card (ships in chassis)</t>
  </si>
  <si>
    <t>DCS-7800R3AK-36DM-LC</t>
  </si>
  <si>
    <t>7800R3A Series 36 port 400GbE QSFP-DD line card with large routes (MACsec) (spare)</t>
  </si>
  <si>
    <t>DCS-7800R3AK-36DM-LC#</t>
  </si>
  <si>
    <t>7800R3A Series 36 port 400GbE QSFP-DD line card with large routes (MACsec) (ships in chassis)</t>
  </si>
  <si>
    <t>DCS-7800R3-36D-LC</t>
  </si>
  <si>
    <t>7800R3 Series 36 port 400GbE QSFP-DD wirespeed line card (spare)</t>
  </si>
  <si>
    <t>DCS-7800R3-36D-LC#</t>
  </si>
  <si>
    <t>7800R3 Series 36 port 400GbE QSFP-DD wirespeed line card (Ships in chassis)</t>
  </si>
  <si>
    <t>DCS-7800R3K-72Y-LC</t>
  </si>
  <si>
    <t>7800R3 Series 72 port 25GbE SFP wirespeed line card, large routes (spare)</t>
  </si>
  <si>
    <t>DCS-7800R3K-72Y-LC#</t>
  </si>
  <si>
    <t>7800R3 Series 72 port 25GbE SFP wirespeed line card, large routes (Ships in chassis)</t>
  </si>
  <si>
    <t>DCS-7800R3A-36DM2-LC</t>
  </si>
  <si>
    <t>DCS-7800R3AK-36DM2-LC</t>
  </si>
  <si>
    <t>DCS-7800R3A-36DM2-LC#</t>
  </si>
  <si>
    <t>DCS-7800R3AK-36DM2-LC#</t>
  </si>
  <si>
    <t>DCS-7500R3K-48Y4D-LC</t>
  </si>
  <si>
    <t>7500R3 Series 48 port 25GbE SFP and 4 port 400GbE wirespeed line card, large routes (spare)</t>
  </si>
  <si>
    <t>DCS-7500R3K-48Y4D-LC#</t>
  </si>
  <si>
    <t>7500R3 Series 48 port 25GbE SFP and 4 port 400GbE wirespeed line card, large routes (ships in chassis)</t>
  </si>
  <si>
    <t>DCS-7816R3-FM</t>
  </si>
  <si>
    <t>7800R3 Series Fabric Module for 7816 Chassis, required for fabric slots 1-12</t>
  </si>
  <si>
    <t>DCS-7816-SUP</t>
  </si>
  <si>
    <t>DCS-7816-CH</t>
  </si>
  <si>
    <t>KIT-7816</t>
  </si>
  <si>
    <t>Arista 7388X-8D module for 7388X Series, 8 port 400GbE QSFP-DD with MACsec (Spare)</t>
  </si>
  <si>
    <t>Arista 7388 empty chassis, 1 supervisor slot, 8 module slots</t>
  </si>
  <si>
    <t>DCS-7368-4P</t>
  </si>
  <si>
    <t>DCS-7368-4P#</t>
  </si>
  <si>
    <t>Non-discountable purchase. AP mount kit for Suprafine (15mm, 9/16") T-grid rails for all APs (refer to AP Mounting Brackets Datasheet for details)</t>
  </si>
  <si>
    <t>Non-discountable purchase. AP mount kit for Prelude (24mm, 15/16") T-grid rails for all APs (refer to AP Mounting Brackets Datasheet for details)</t>
  </si>
  <si>
    <t>Non-discountable purchase. AP mount kit for flat surface installation (wall, hard ceiling) for all APs except C-100, C-120, C-130 (refer to AP Mounting Brackets Datasheet for details)</t>
  </si>
  <si>
    <t>Non-discountable purchase. AP mount kit for Interlude and Silhouette T-grid rails for all APs (refer to AP Mounting Brackets Datasheet for details)</t>
  </si>
  <si>
    <t>CAB-C19-L6-30P</t>
  </si>
  <si>
    <t>Power Cord C19 to L6-30P (2.5m)</t>
  </si>
  <si>
    <t>H-O400-4Q100-1M</t>
  </si>
  <si>
    <t>400GBASE-CR8 OSFP to 4 x 100GBASE-CR4 QSFP Active Copper Cable, 1 meter</t>
  </si>
  <si>
    <t>H-O400-4Q100-2M</t>
  </si>
  <si>
    <t>400GBASE-CR8 OSFP to 4 x 100GBASE-CR4 QSFP Active Copper Cable, 2 meter</t>
  </si>
  <si>
    <t>H-O400-4Q100-3M</t>
  </si>
  <si>
    <t>400GBASE-CR8 OSFP to 4 x 100GBASE-CR4 QSFP Active Copper Cable, 3 meter</t>
  </si>
  <si>
    <t>H-O400-4Q100-5M</t>
  </si>
  <si>
    <t>400GBASE-CR8 OSFP to 4 x 100GBASE-CR4 QSFP Active Copper Cable, 5 meter</t>
  </si>
  <si>
    <t>H-D400-4Q100-1M</t>
  </si>
  <si>
    <t>400GBASE-CR8 QSFP-DD to 4 x 100GBASE-CR4 QSFP Active Copper Cable, 1 meter</t>
  </si>
  <si>
    <t>H-D400-4Q100-2M</t>
  </si>
  <si>
    <t>400GBASE-CR8 QSFP-DD to 4 x 100GBASE-CR4 QSFP Active Copper Cable, 2 meter</t>
  </si>
  <si>
    <t>H-D400-4Q100-3M</t>
  </si>
  <si>
    <t>400GBASE-CR8 QSFP-DD to 4 x 100GBASE-CR4 QSFP Active Copper Cable, 3 meter</t>
  </si>
  <si>
    <t>H-D400-4Q100-5M</t>
  </si>
  <si>
    <t>400GBASE-CR8 QSFP-DD to 4 x 100GBASE-CR4 QSFP Active Copper Cable, 5 meter</t>
  </si>
  <si>
    <t>QDD-400G-LR8</t>
  </si>
  <si>
    <t>400GBASE-LR8 QSFP-DD Transceiver, up to 10km over duplex SMF</t>
  </si>
  <si>
    <t>OSFP-400G-LR4</t>
  </si>
  <si>
    <t>400GBASE-LR4 OSFP Transceiver, up to 10km over duplex SMF</t>
  </si>
  <si>
    <t>QDD-400G-PLR4</t>
  </si>
  <si>
    <t>400GBASE-PLR4 QSFP-DD Transceiver, up to 10km over parallel SMF</t>
  </si>
  <si>
    <t>QDD-400G-LR4</t>
  </si>
  <si>
    <t>400GBASE-LR4 QSFP-DD Transceiver, up to 10km over duplex SMF</t>
  </si>
  <si>
    <t>OSFP-400G-PLR4</t>
  </si>
  <si>
    <t>400GBASE-PLR4 OSFP Transceiver, up to 10km over parallel SMF</t>
  </si>
  <si>
    <t>FAN-7012MP-RED</t>
  </si>
  <si>
    <t>PWR-511-AC-RED#</t>
  </si>
  <si>
    <t>Configurable Arista PSU, 1RU, AC, 500W, front-to-rear airflow, 73.5mm</t>
  </si>
  <si>
    <t>PWR-511-AC-BLUE#</t>
  </si>
  <si>
    <t>Configurable Arista PSU, 1RU, AC, 500W, rear-to-front airflow, 73.5mm</t>
  </si>
  <si>
    <t>PWR-511-DC-RED#</t>
  </si>
  <si>
    <t>Configurable Arista PSU, 1RU, DC, 500W, front-to-rear airflow, 73.5mm</t>
  </si>
  <si>
    <t>PWR-511-DC-BLUE#</t>
  </si>
  <si>
    <t>Configurable Arista PSU, 1RU, DC, 500W, rear-to-front airflow, 73.5mm</t>
  </si>
  <si>
    <t>PWR-1011-AC-RED#</t>
  </si>
  <si>
    <t>Configurable Arista PSU, 1RU, AC, 1000W, FORWARD, 73.5MM</t>
  </si>
  <si>
    <t>PWR-1011-AC-BLUE#</t>
  </si>
  <si>
    <t>Configurable Arista PSU, 1RU, AC, 1000W, REVERSE, 73.5MM</t>
  </si>
  <si>
    <t>PWR-1011-DC-RED#</t>
  </si>
  <si>
    <t>Configurable Arista PSU, 1RU, DC, 1000W, FORWARD, 73.5MM</t>
  </si>
  <si>
    <t>PWR-1011-DC-BLUE#</t>
  </si>
  <si>
    <t>Configurable Arista PSU, 1RU, DC, 1000W, REVERSE, 73.5MM</t>
  </si>
  <si>
    <t>PWR-1511-AC-RED#</t>
  </si>
  <si>
    <t>Configurable Arista PSU, 1RU, AC, 1500W, FORWARD, 73.5MM</t>
  </si>
  <si>
    <t>FAN-7012H-RED#</t>
  </si>
  <si>
    <t>Configurable fan module for Arista 7000 Series 2RU High Speed Fan (front-to-rear airflow)</t>
  </si>
  <si>
    <t>FAN-7012M-BLUE#</t>
  </si>
  <si>
    <t>Configurable fan module for Arista 7000 Series 2RU Enhanced Fan Speed (rear-to-front airflow)</t>
  </si>
  <si>
    <t>FAN-7012M-RED#</t>
  </si>
  <si>
    <t>Configurable fan module for Arista 7000 Series 2RU Enhanced Fan Speed (front-to-rear airflow)</t>
  </si>
  <si>
    <t>DCS-7130-48EHS#</t>
  </si>
  <si>
    <t>Arista 7130 Series 48E with 3 x UltraScale+ VU9P-3 FPGA, configurable fans &amp; psu v2</t>
  </si>
  <si>
    <t>DCS-7130-48EHS-F</t>
  </si>
  <si>
    <t>Arista 7130 Series 48E with 3x UltraScale+ VU9P-3 FPGA, front-to-rear air, 2xAC v2</t>
  </si>
  <si>
    <t>DCS-7130-48EHS-R</t>
  </si>
  <si>
    <t>Arista 7130 Series 48E with 3x UltraScale+ VU9P-3 FPGA, rear-to-front air, 2xAC v2</t>
  </si>
  <si>
    <t>FAN-7130-1U-F</t>
  </si>
  <si>
    <t>Spare fan module for Arista 7130 Series 1U (front-to-rear airflow)</t>
  </si>
  <si>
    <t>FAN-7130-1U-F#</t>
  </si>
  <si>
    <t>Configurable fan module for Arista 7130 Series 1U (front-to-rear airflow)</t>
  </si>
  <si>
    <t>FAN-7130-1U-R</t>
  </si>
  <si>
    <t>Spare fan module for Arista 7130 Series 1U (rear-to-front airflow)</t>
  </si>
  <si>
    <t>FAN-7130-1U-R#</t>
  </si>
  <si>
    <t>Configurable fan module for Arista 7130 Series 1U (rear-to-front airflow)</t>
  </si>
  <si>
    <t>KIT-7130-ACC</t>
  </si>
  <si>
    <t>FAN-7130-2U-F</t>
  </si>
  <si>
    <t>Spare fan module for Arista 7130 Series 2U (front-to-rear airflow)</t>
  </si>
  <si>
    <t>FAN-7130-2U-F#</t>
  </si>
  <si>
    <t>Configurable fan module for Arista 7130 Series 2U (front-to-rear airflow)</t>
  </si>
  <si>
    <t>FAN-7130-2U-R</t>
  </si>
  <si>
    <t>Spare fan module for Arista 7130 Series 2U (rear-to-front airflow)</t>
  </si>
  <si>
    <t>FAN-7130-2U-R#</t>
  </si>
  <si>
    <t>Configurable fan module for Arista 7130 Series 2U (rear-to-front airflow)</t>
  </si>
  <si>
    <t>AP-C230E-SS-PREM-3Y</t>
  </si>
  <si>
    <t>C-230E 4x4+2x2 tri radio 802.11ax (WiFi 6) access point with external antenna connectors. incl. 3 year on-premises Cognitive Management Subscription. Antennas not incl.</t>
  </si>
  <si>
    <t>AP-C230E-SS-PREM-5Y</t>
  </si>
  <si>
    <t>C-230E 4x4+2x2 tri radio 802.11ax (WiFi 6) access point with external antenna connectors. incl. 5 year on-premises Cognitive Management Subscription. Antennas not incl.</t>
  </si>
  <si>
    <t>AP-C230-SS-PREM-3Y</t>
  </si>
  <si>
    <t>C-230 4x4+2x2 tri radio 802.11ax (WiFi 6) access point with internal antennas. incl. 3 year on-premises Cognitive Management Subscription</t>
  </si>
  <si>
    <t>AP-C230-SS-PREM-5Y</t>
  </si>
  <si>
    <t>C-230 4x4+2x2 tri radio 802.11ax (WiFi 6) access point with internal antennas. incl. 5 year on-premises Cognitive Management Subscription</t>
  </si>
  <si>
    <t>AP-C260-SS-PREM-3Y</t>
  </si>
  <si>
    <t>C-260 8x8 tri radio 802.11ax (WiFi 6) access point with internal antennas and dual 5GbE interface and 3 year on-premises Cognitive Management Subscription</t>
  </si>
  <si>
    <t>AP-C260-SS-PREM-5Y</t>
  </si>
  <si>
    <t>C-260 8x8 tri radio 802.11ax (WiFi 6) access point with internal antennas and dual 5GbE interface and 5 year on-premises Cognitive Management Subscription</t>
  </si>
  <si>
    <t>AP-O235E-SS-PREM-3Y</t>
  </si>
  <si>
    <t>O-235 4x4+2x2 tri radio 802.11ax (WiFi 6) outdoor access point with IP67 enclosure, industrial operating temperature and external antenna connectors. incl. 3 year on-premises Cognitive Management Subscription. Antennas not incl.</t>
  </si>
  <si>
    <t>AP-O235E-SS-PREM-5Y</t>
  </si>
  <si>
    <t>O-235 4x4+2x2 tri radio 802.11ax (WiFi 6) outdoor access point with IP67 enclosure, industrial operating temperature and external antenna connectors. incl. 5 year on-premises Cognitive Management Subscription. Antennas not incl.</t>
  </si>
  <si>
    <t>AP-O235-SS-PREM-3Y</t>
  </si>
  <si>
    <t>O-235 4x4+2x2 tri radio 802.11ax (WiFi 6) outdoor access point with IP67 enclosure, industrial operating temperature and internal antennas. incl. 3 year on-premises Cognitive Management Subscription</t>
  </si>
  <si>
    <t>AP-O235-SS-PREM-5Y</t>
  </si>
  <si>
    <t>O-235 4x4+2x2 tri radio 802.11ax (WiFi 6) outdoor access point with IP67 enclosure, industrial operating temperature and internal antennas. incl. 5 year on-premises Cognitive Management Subscription</t>
  </si>
  <si>
    <t>SS-CC-A-SSP-1M</t>
  </si>
  <si>
    <t>Arista CCF: 1 Arista switch SW license subscription for 1 Month, includes A-Care SW, max 2000G BW</t>
  </si>
  <si>
    <t>SS-CC-A-SXP-1M</t>
  </si>
  <si>
    <t>Arista CCF: 1 Arista switch SW license subscription for 1 Month, includes A-Care SW, max 3200G BW</t>
  </si>
  <si>
    <t>SS-CC-A-SXP2-1M</t>
  </si>
  <si>
    <t>Arista CCF: 1 Arista switch SW license subscription for 1 Month, includes A-Care SW, max 6400G BW</t>
  </si>
  <si>
    <t>SS-NDR-A5-1M</t>
  </si>
  <si>
    <t>ASP All-In-One Subscription License for 1-Month, up to 5Gb/sec BW, A-Care Support</t>
  </si>
  <si>
    <t>SS-NDR-N5-1M</t>
  </si>
  <si>
    <t>ASP Nucleus Subscription License for 1-Month,up to 5Gb/sec BW, A-Care Support</t>
  </si>
  <si>
    <t>SS-NDR-NB10-1M</t>
  </si>
  <si>
    <t>ASP Nucleus Subscription License for 1-Month, up to 10Gb/sec BW, A-Care Support</t>
  </si>
  <si>
    <t>SS-NDR-S1-1M</t>
  </si>
  <si>
    <t>ASP Sensor Subscription License for 1-Month, up to 1Gb/sec BW, A-Care Support</t>
  </si>
  <si>
    <t>SS-NDR-S5-1M</t>
  </si>
  <si>
    <t>ASP Sensor Subscription License for 1-Month, up to  5Gb/sec BW, A-Care Support</t>
  </si>
  <si>
    <t>SS-NDR-SVV1-1M</t>
  </si>
  <si>
    <t>ASP Virtual ESXI Sensor Subscription License for 1-Month, up to 1Gb/sec BW, A-Care Support</t>
  </si>
  <si>
    <t>SS-NDR-SCA1-1M</t>
  </si>
  <si>
    <t>ASP Virtual AWS Sensor Subscription License for 1-Month, up to 1Gb/sec BW, A-Care Support</t>
  </si>
  <si>
    <t>SS-NDR-SCG1-1M</t>
  </si>
  <si>
    <t>ASP Virtual GCP Sensor Subscription License for 1-Month, up to 1Gb/sec BW, A-Care Support</t>
  </si>
  <si>
    <t>SS-CVS-LT-MOD-G-SWITCH-1M</t>
  </si>
  <si>
    <t>SS-CVS-LT-MOD-G-T1-1M</t>
  </si>
  <si>
    <t>SS-CVS-LT-MOD-G-T2-1M</t>
  </si>
  <si>
    <t>SS-DM-A-SSP-1M</t>
  </si>
  <si>
    <t>SS-DM-A-SXP-1M</t>
  </si>
  <si>
    <t>SS-DM-A-SXPP-1M</t>
  </si>
  <si>
    <t>SS-DM-A-SXP2-1M</t>
  </si>
  <si>
    <t>SVC-DCA-CC-CDL-1M-NB</t>
  </si>
  <si>
    <t>SVC-DCA-NDR-A5-1M-NB</t>
  </si>
  <si>
    <t>ASP: 1 Month NBD Hardware Replacement/Same Day Ship for All-In-One</t>
  </si>
  <si>
    <t>SVC-DCA-NDR-NB10-1M-NB</t>
  </si>
  <si>
    <t>ASP: NBD Hardware Replacement/Same Day Ship for Nucleus</t>
  </si>
  <si>
    <t>SVC-DCA-NDR-S1-1M-NB</t>
  </si>
  <si>
    <t>ASP: NBD Hardware Replacement/Same Day Ship for 1Gb Sensor</t>
  </si>
  <si>
    <t>SVC-DCA-NDR-S5-1M-NB</t>
  </si>
  <si>
    <t>ASP: NBD Hardware Replacement/Same Day Ship for 5Gb Sensor</t>
  </si>
  <si>
    <t>SVE-SEC-ASA-5u1</t>
  </si>
  <si>
    <t>ASA annual assessment up to 5,000 user devices with one appliance for 30-day and 10% endpoints deployed.  Non discountable.</t>
  </si>
  <si>
    <t>SVE-SEC-ASA-10u1</t>
  </si>
  <si>
    <t>ASA annual assessment up to 10,000 user devices with up to two appliances for 30-day and 10% endpoints deployed.  Non discountable.</t>
  </si>
  <si>
    <t>SVE-SEC-ASA-10u2</t>
  </si>
  <si>
    <t>ASA two annual assessments for up to 10,000 user devices with up to two appliances for 30-day and 10% endpoints deployed.  Non discountable.</t>
  </si>
  <si>
    <t>SVE-SEC-ASA-10u3</t>
  </si>
  <si>
    <t>ASA three annual assessments for up to 10,000 user devices with up to two appliances for 30-day and 10% endpoints deployed.  Non discountable.</t>
  </si>
  <si>
    <t>SVE-SEC-IR-Hourly</t>
  </si>
  <si>
    <t>Incident Response Hourly Rate</t>
  </si>
  <si>
    <t>SVE-SEC-STR-Assess</t>
  </si>
  <si>
    <t>Comprehensive maturity assessment of incident response program hourly rate.</t>
  </si>
  <si>
    <t>SVE-SEC-STR-Program</t>
  </si>
  <si>
    <t>Development of incident response or security program components hourly rate.</t>
  </si>
  <si>
    <t>SVE-SEC-STR-Playbook</t>
  </si>
  <si>
    <t>One playbook for incident response</t>
  </si>
  <si>
    <t>SVE-SEC-AUG-HourA</t>
  </si>
  <si>
    <t>Security Augmentation Hourly Rate A</t>
  </si>
  <si>
    <t>SVE-SEC-AUG-HourB</t>
  </si>
  <si>
    <t>Security Augmentation Hourly Rate B</t>
  </si>
  <si>
    <t>SVE-SEC-AUG-HourC</t>
  </si>
  <si>
    <t>Security Augmentation Hourly Rate C</t>
  </si>
  <si>
    <t>SVE-SEC-CA-STDEND-5u</t>
  </si>
  <si>
    <t>Endpoint only compromise assessment (2501 -5000 devices)</t>
  </si>
  <si>
    <t>SVE-SEC-CA-STDEND-10u</t>
  </si>
  <si>
    <t>Endpoint only compromise assessment (5001 -10000 devices)</t>
  </si>
  <si>
    <t>SVE-SEC-CA-STDEND-20u</t>
  </si>
  <si>
    <t>Endpoint only compromise assessment (10001 -20000 devices)</t>
  </si>
  <si>
    <t>SVE-SEC-CA-STDEND-30u</t>
  </si>
  <si>
    <t>Endpoint only compromise assessment (20001 -30000 devices)</t>
  </si>
  <si>
    <t>SVE-SEC-CA-STDEND-40u</t>
  </si>
  <si>
    <t>Endpoint only compromise assessment (30001 -40000 devices)</t>
  </si>
  <si>
    <t>SVE-SEC-CA-STDEND-50u</t>
  </si>
  <si>
    <t>Endpoint only compromise assessment (40001 -50000 devices)</t>
  </si>
  <si>
    <t>SVE-SEC-CA-STDNET-5GB</t>
  </si>
  <si>
    <t>Network only compromise assessment with All-In-One 5Gbps</t>
  </si>
  <si>
    <t>SVE-SEC-CA-STDNET-10GB</t>
  </si>
  <si>
    <t>Network only compromise assessment with up to 3 appliances 10Gbps</t>
  </si>
  <si>
    <t>SVE-SEC-CA-NETI-10GB</t>
  </si>
  <si>
    <t>Network only compromise assessment, incremental 10Gbps</t>
  </si>
  <si>
    <t>SVE-SEC-CA-Custom</t>
  </si>
  <si>
    <t>Custom security compromise assessment hourly rate</t>
  </si>
  <si>
    <t>MNDR with threat hunting 9am to 5pm M-F for All-In-One 5Gbps</t>
  </si>
  <si>
    <t>MNDR with threat hunting 9am to 5pm M-F for Nucleus 5Gbps</t>
  </si>
  <si>
    <t>MNDR with threat hunting 9am to 5pm M-F for Nucleus 10Gbps</t>
  </si>
  <si>
    <t>MNDR with threat hunting 9am to 5pm M-F incremental for 10Gbps</t>
  </si>
  <si>
    <t>MNDR with threat hunting 24x7 for All-In-One 5Gbps</t>
  </si>
  <si>
    <t>MNDR with threat hunting 24x7 for Nucleus 5Gbps</t>
  </si>
  <si>
    <t>MNDR with threat hunting 24x7 for Nucleus 10Gbps</t>
  </si>
  <si>
    <t>MNDR with threat hunting 24x7 incremental for 10Gbps</t>
  </si>
  <si>
    <t>SVC-7280CR3-36S-1M-NB</t>
  </si>
  <si>
    <t>1 Month A-Care Software &amp; NBD Hardware Replacement/Same Day Ship for 7280CR3-36S</t>
  </si>
  <si>
    <t>SVC-7280CR3-36S-1M-4H</t>
  </si>
  <si>
    <t>1-Month A-Care Software &amp; 24x7x4 Hour Hardware Replacement for 7280CR3-36S</t>
  </si>
  <si>
    <t>SVC-7280CR3-36S-1M-2H</t>
  </si>
  <si>
    <t>1-Month A-Care Software &amp; 24x7x2 Hour Hardware Replacement for 7280CR3-36S</t>
  </si>
  <si>
    <t>OSV-7280CR3-36S-1M-NB</t>
  </si>
  <si>
    <t>Onsite Service: 1 Month A-Care Software &amp; NBD Hardware Replacement/Same Day Ship for 7280CR3-36S</t>
  </si>
  <si>
    <t>OSV-7280CR3-36S-1M-4H</t>
  </si>
  <si>
    <t>Onsite Service: 1-Month A-Care Software &amp; 24x7x4 Hour Hardware Replacement for 7280CR3-36S</t>
  </si>
  <si>
    <t>SVC-7280CR3-36S-1M-SHR</t>
  </si>
  <si>
    <t>SVC-7280CR3-36S-1M-SH4</t>
  </si>
  <si>
    <t>SVC-7280CR3K-36S-1M-NB</t>
  </si>
  <si>
    <t>1 Month A-Care Software &amp; NBD Hardware Replacement/Same Day Ship for 7280CR3K-36S</t>
  </si>
  <si>
    <t>SVC-7280CR3K-36S-1M-4H</t>
  </si>
  <si>
    <t>1-Month A-Care Software &amp; 24x7x4 Hour Hardware Replacement for 7280CR3K-36S</t>
  </si>
  <si>
    <t>SVC-7280CR3K-36S-1M-2H</t>
  </si>
  <si>
    <t>1-Month A-Care Software &amp; 24x7x2 Hour Hardware Replacement for 7280CR3K-36S</t>
  </si>
  <si>
    <t>OSV-7280CR3K-36S-1M-NB</t>
  </si>
  <si>
    <t>Onsite Service: 1 Month A-Care Software &amp; NBD Hardware Replacement/Same Day Ship for 7280CR3K-36S</t>
  </si>
  <si>
    <t>OSV-7280CR3K-36S-1M-4H</t>
  </si>
  <si>
    <t>Onsite Service: 1-Month A-Care Software &amp; 24x7x4 Hour Hardware Replacement for 7280CR3K-36S</t>
  </si>
  <si>
    <t>SVC-7280CR3K-36S-1M-SHR</t>
  </si>
  <si>
    <t>SVC-7280CR3K-36S-1M-SH4</t>
  </si>
  <si>
    <t>SVC-7280SR3M-48YC8-1M-2H</t>
  </si>
  <si>
    <t>1-Month A-Care Software &amp; 24x7x2 Hour Hardware Replacement for 7280SR3M-48YC8</t>
  </si>
  <si>
    <t>SVC-7280SR3M-48YC8-1M-4H</t>
  </si>
  <si>
    <t>1-Month A-Care Software &amp; 24x7x4 Hour Hardware Replacement for 7280SR3M-48YC8</t>
  </si>
  <si>
    <t>SVC-7280SR3M-48YC8-1M-NB</t>
  </si>
  <si>
    <t>1 Month A-Care Software &amp; NBD Hardware Replacement/Same Day Ship for 7280SR3M-48YC8</t>
  </si>
  <si>
    <t>SVC-7280SR3M-48YC8-1M-SH4</t>
  </si>
  <si>
    <t>SVC-7280SR3M-48YC8-1M-SHR</t>
  </si>
  <si>
    <t>OSV-7280SR3M-48YC8-1M-4H</t>
  </si>
  <si>
    <t>Onsite Service: 1-Month A-Care Software &amp; 24x7x4 Hour Hardware Replacement for 7280SR3M-48YC8</t>
  </si>
  <si>
    <t>OSV-7280SR3M-48YC8-1M-NB</t>
  </si>
  <si>
    <t>Onsite Service: 1 Month A-Care Software &amp; NBD Hardware Replacement/Same Day Ship for 7280SR3M-48YC8</t>
  </si>
  <si>
    <t>SVC-7130-48EHS-1M-2H</t>
  </si>
  <si>
    <t>1-Month A-Care Software &amp; 24x7x2 Hour Hardware Replacement for 7130-48EHS</t>
  </si>
  <si>
    <t>SVC-7130-48EHS-1M-4H</t>
  </si>
  <si>
    <t>1-Month A-Care Software &amp; 24x7x4 Hour Hardware Replacement for 7130-48EHS</t>
  </si>
  <si>
    <t>SVC-7130-48EHS-1M-NB</t>
  </si>
  <si>
    <t>1-Month A-Care Software &amp; NBD Hardware Replacement/Same Day Ship for 7130-48EHS</t>
  </si>
  <si>
    <t>OSV-7816R3-1M-4H</t>
  </si>
  <si>
    <t>Onsite Service: 1-Month A-Care Software &amp; 24x7x4 Hour Hardware Replacement for 7816R3</t>
  </si>
  <si>
    <t>OSV-7816R3-1M-NB</t>
  </si>
  <si>
    <t>Onsite Service: 1 Month A-Care Software &amp; NBD Hardware Replacement/Same Day Ship for 7816R3</t>
  </si>
  <si>
    <t>SVC-7816R3-1M-2H</t>
  </si>
  <si>
    <t>1-Month A-Care 24x7x2 Software &amp; Hardware Replacement for 7816R3</t>
  </si>
  <si>
    <t>SVC-7816R3-1M-4H</t>
  </si>
  <si>
    <t>1-Month A-Care 24x7x4 Software &amp; Hardware Replacement for 7816R3</t>
  </si>
  <si>
    <t>SVC-7816R3-1M-NB</t>
  </si>
  <si>
    <t>1-Month A-Care Software &amp; 8x5xNBD Hardware Replacement/Same Day Ship for 7816R3</t>
  </si>
  <si>
    <t>SVC-7816R3-1M-SH4</t>
  </si>
  <si>
    <t>SVC-7816R3-1M-SHR</t>
  </si>
  <si>
    <r>
      <t xml:space="preserve">2. </t>
    </r>
    <r>
      <rPr>
        <sz val="11"/>
        <rFont val="맑은 고딕"/>
        <family val="3"/>
        <charset val="129"/>
      </rPr>
      <t>견적유효기간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견적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30</t>
    </r>
    <r>
      <rPr>
        <sz val="11"/>
        <rFont val="맑은 고딕"/>
        <family val="3"/>
        <charset val="129"/>
      </rPr>
      <t>일</t>
    </r>
    <phoneticPr fontId="29" type="noConversion"/>
  </si>
  <si>
    <r>
      <t>3. 12</t>
    </r>
    <r>
      <rPr>
        <sz val="11"/>
        <rFont val="맑은 고딕"/>
        <family val="3"/>
        <charset val="129"/>
      </rPr>
      <t>개월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하자보증서비스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조건</t>
    </r>
    <phoneticPr fontId="29" type="noConversion"/>
  </si>
  <si>
    <t>Spare 4-post rack mount kit for 7010T and 720XP switches</t>
  </si>
  <si>
    <t>DCS-7280SR3-40YC6-F</t>
  </si>
  <si>
    <t>Arista 7280R3, 40x25GbE SFP and 6x100G QSFP switch router, front to rear air, 2 x AC</t>
  </si>
  <si>
    <t>DCS-7280SR3-40YC6-R</t>
  </si>
  <si>
    <t>Arista 7280R3, 40x25GbE SFP and 6x100G QSFP switch router, rear to front air, 2 x AC</t>
  </si>
  <si>
    <t>DCS-7280SR3-40YC6#</t>
  </si>
  <si>
    <t>Arista 7280R3, 40x25GbE SFP and 6x100G QSFP switch router, configurable fans and psu</t>
  </si>
  <si>
    <t>DCS-7280SR3-40YC6-FLX-F</t>
  </si>
  <si>
    <t>Arista 7280R3, 40x25GbE SFP and 6x100G QSFP switch router, front to rear air, 2 x AC. Over 256K Routes, MPLS and VXLAN</t>
  </si>
  <si>
    <t>DCS-7280SR3-40YC6-FLX-R</t>
  </si>
  <si>
    <t>Arista 7280R3, 40x25GbE SFP and 6x100G QSFP switch router, rear to front air, 2 x AC. Over 256K Routes, MPLS and VXLAN</t>
  </si>
  <si>
    <t>DCS-7280SR3-40YC6-FLX#</t>
  </si>
  <si>
    <t>Arista 7280R3, 40x25GbE SFP and 6x100G QSFP switch router, configurable fans and psu. Over 256K Routes, MPLS and VXLAN</t>
  </si>
  <si>
    <t>OSFP-400G-ZR</t>
  </si>
  <si>
    <t>400GBASE-ZR OSFP Digital Coherent Tunable Transceiver, up to 120km over duplex SMF</t>
  </si>
  <si>
    <t>OSFP-AMP-ZR</t>
  </si>
  <si>
    <t>OSFP Optical amplifier line system</t>
  </si>
  <si>
    <t>CAB-LC8-CS</t>
  </si>
  <si>
    <t>8 Channel passive optical splitter / combiner</t>
  </si>
  <si>
    <t>QSFP-200G-FR4</t>
  </si>
  <si>
    <t>200GBASE-FR4 QSFP200 Transceiver, up to 2km over single-mode fiber</t>
  </si>
  <si>
    <t>CAB-C19-6-30</t>
  </si>
  <si>
    <t>Power Cord, NA, C19 - NEMA 6-30, 30A/250V, 2.5M, UL/CSA</t>
  </si>
  <si>
    <t>SVC-7280SR3-40YC6-1M-NB</t>
  </si>
  <si>
    <t>1 Month A-Care Software &amp; NBD Hardware Replacement/Same Day Ship for 7280SR3-40YC6</t>
  </si>
  <si>
    <t>SVC-7280SR3-40YC6-1M-4H</t>
  </si>
  <si>
    <t>1-Month A-Care Software &amp; 24x7x4 Hour Hardware Replacement for 7280SR3-40YC6</t>
  </si>
  <si>
    <t>SVC-7280SR3-40YC6-1M-2H</t>
  </si>
  <si>
    <t>1-Month A-Care Software &amp; 24x7x2 Hour Hardware Replacement for 7280SR3-40YC6</t>
  </si>
  <si>
    <t>OSV-7280SR3-40YC6-1M-NB</t>
  </si>
  <si>
    <t>Onsite Service: 1 Month A-Care Software &amp; NBD Hardware Replacement/Same Day Ship for 7280SR3-40YC6</t>
  </si>
  <si>
    <t>OSV-7280SR3-40YC6-1M-4H</t>
  </si>
  <si>
    <t>Onsite Service: 1-Month A-Care Software &amp; 24x7x4 Hour Hardware Replacement for 7280SR3-40YC6</t>
  </si>
  <si>
    <t>SVC-7280SR3-40YC6-1M-SHR</t>
  </si>
  <si>
    <t>SVC-7280SR3-40YC6-1M-SH4</t>
  </si>
  <si>
    <t>SVC-7170B-64C-1M-NB</t>
  </si>
  <si>
    <t>1-Month A-Care Software &amp; NBD Hardware Replacement/Same Day Ship for 7170B-64C</t>
  </si>
  <si>
    <t>SVC-7170B-64C-1M-4H</t>
  </si>
  <si>
    <t>1-Month A-Care Software &amp; 24x7x4 Hour Hardware Replacement for 7170B-64C</t>
  </si>
  <si>
    <t>SVC-7170B-64C-1M-2H</t>
  </si>
  <si>
    <t>1-Month A-Care Software &amp; 24x7x2 Hour Hardware Replacement for 7170B-64C</t>
  </si>
  <si>
    <t>OSV-7170B-64C-1M-NB</t>
  </si>
  <si>
    <t>Onsite Service: 1-Month A-Care Software &amp; NBD Hardware Replacement/Same Day Ship for 7170B-64C</t>
  </si>
  <si>
    <t>OSV-7170B-64C-1M-4H</t>
  </si>
  <si>
    <t>Onsite Service: 1-Month A-Care Software &amp; 24x7x4 Hour Hardware Replacement for 7170B-64C</t>
  </si>
  <si>
    <t>SVC-7170B-64C-1M-SHR</t>
  </si>
  <si>
    <t>SVC-7170B-64C-1M-SH4</t>
  </si>
  <si>
    <t>Expedite Fee</t>
  </si>
  <si>
    <t>Optics/Cables 15 Business Day Expedite Fee (Up to 30 units)</t>
  </si>
  <si>
    <t>Expedite Fee-30+</t>
  </si>
  <si>
    <t>Optics/Cables 15 Business Day Expedite Fee (Up to 300 units)</t>
  </si>
  <si>
    <t>DCS-7010TX-48-F</t>
  </si>
  <si>
    <t>DCS-7010TX-48-R</t>
  </si>
  <si>
    <t>DCS-7010TX-48-DC-F</t>
  </si>
  <si>
    <t>DCS-7010TX-48-DC-R</t>
  </si>
  <si>
    <t>FAN-7010X</t>
  </si>
  <si>
    <t>Spare fan module for Arista 7010X switches (reversible airflow)</t>
  </si>
  <si>
    <t>DCS-7260CX3-64E-DC-F</t>
  </si>
  <si>
    <t>Arista 7260X3, 64x100GbE QSFP &amp; 2xSFP+ Enhanced switch, front-to-rear air, 2xDC</t>
  </si>
  <si>
    <t>DCS-7260CX3-64E-DC-R</t>
  </si>
  <si>
    <t>Arista 7260X3, 64x100GbE QSFP &amp; 2xSFP+ Enhanced switch, rear-to-front air, 2xDC</t>
  </si>
  <si>
    <t>DCS-7816-SUP#</t>
  </si>
  <si>
    <t>Supervisor module for 7800 series 7816 chassis (Ships in chassis)</t>
  </si>
  <si>
    <t>LIC-MOD-SLOT-FLX-L</t>
  </si>
  <si>
    <t>FLX-Lite License Per Line Card for Arista Modular Switches - Full Routing Up to 256K Routes, EVPN, VXLAN, SR, base MPLS LSR (no TE or link/node protection)</t>
  </si>
  <si>
    <t>LIC-MOD-SLOT-FLX</t>
  </si>
  <si>
    <t>FLX License Per Line Card for Arista Modular Switches - Full Routing upto 2M Routes, &gt;24K ACL, EVPN, VXLAN, SR, Adv MPLS-LER/LSR, with TE &amp; link/node protection</t>
  </si>
  <si>
    <t>Power Cord C19 to L6-20P (2.5m)</t>
  </si>
  <si>
    <t>SS-CV-MOD-G-T1-1M</t>
  </si>
  <si>
    <t>SS-CV-MOD-G-T2-1M</t>
  </si>
  <si>
    <t>SS-CVS-MOD-G-SWITCH-1M</t>
  </si>
  <si>
    <t>SS-CVS-MOD-G-T1-1M</t>
  </si>
  <si>
    <t>SS-CVS-MOD-G-T2-1M</t>
  </si>
  <si>
    <t>KIT-7101</t>
  </si>
  <si>
    <t>KIT-7101-D</t>
  </si>
  <si>
    <t>KIT-7101-LD-RK</t>
  </si>
  <si>
    <t>KIT-7101-RK</t>
  </si>
  <si>
    <t>KIT-7102</t>
  </si>
  <si>
    <t>KIT-7102-D</t>
  </si>
  <si>
    <t>KIT-GND-EXT-2RU</t>
  </si>
  <si>
    <t>KIT-ADJ-RLR</t>
  </si>
  <si>
    <t>Spare adapters for deep tool-free switches (pair) (Compatible with KIT 7101/7102 only)</t>
  </si>
  <si>
    <t>Arista 7280R3, 96x100GbE QSFP switch router, configurable fans and psu</t>
  </si>
  <si>
    <t>AP-C200</t>
  </si>
  <si>
    <t>C-200 2x2 dual-radio 802.11ax (WiFi6) Indoor Access Point with internal antenna and 1GbE interface</t>
  </si>
  <si>
    <t>AP-C200-SS-3Y</t>
  </si>
  <si>
    <t>C-200 2x2:2 dual radio Wi-Fi 6 access point with internal antennas and 3 year Cognitive Cloud SW Subscription</t>
  </si>
  <si>
    <t>AP-C200-SS-5Y</t>
  </si>
  <si>
    <t>C-200 2x2:2 dual radio Wi-Fi 6 access point with internal antennas and 5 year Cognitive Cloud SW Subscription</t>
  </si>
  <si>
    <t>CAB-D-D-400G-3M</t>
  </si>
  <si>
    <t>400GBASE-CR8 QSFP-DD to QSFP-DD Twinax Copper Cable 3 meter</t>
  </si>
  <si>
    <t>CAB-D-2Q-400G-3M</t>
  </si>
  <si>
    <t>400GBASE-CR8 QSFP-DD to 2 x 200GBASE-CR4 QSFP Twinax Copper Cable, 3 meter</t>
  </si>
  <si>
    <t>CAB-D-4Q-400G-3M</t>
  </si>
  <si>
    <t>400GBASE-CR8 QSFP-DD to 4 x 100GBASE-CR2 QSFP Twinax Copper Cable, 3 meter</t>
  </si>
  <si>
    <t>CAB-O-8S-400G-1M</t>
  </si>
  <si>
    <t>400GBASE-CR8 OSFP to 8 x 50GBASE-CR SFP Twinax Copper Cable, 1 meter</t>
  </si>
  <si>
    <t>CAB-O-8S-400G-2M</t>
  </si>
  <si>
    <t>400GBASE-CR8 OSFP to 8 x 50GBASE-CR SFP Twinax Copper Cable, 2 meter</t>
  </si>
  <si>
    <t>CAB-O-8S-400G-3M</t>
  </si>
  <si>
    <t>400GBASE-CR8 OSFP to 8 x 50GBASE-CR SFP Twinax Copper Cable, 3 meter</t>
  </si>
  <si>
    <t>OSV-7304X3-2-1M-4H</t>
  </si>
  <si>
    <t>Onsite Service: 1-Month A-Care Software &amp; 24x7x4 Hour Hardware Replacement for 7304X3-2</t>
  </si>
  <si>
    <t>OSV-7304X3-2-1M-NB</t>
  </si>
  <si>
    <t>Onsite Service: 1-Month A-Care Software &amp; NBD Hardware Replacement/Same Day Ship for 7304X3-2</t>
  </si>
  <si>
    <t>OSV-7308X3-2-1M-4H</t>
  </si>
  <si>
    <t>OSV-7308X3-2-1M-NB</t>
  </si>
  <si>
    <t>Onsite Service: 1-Month A-Care Software &amp; NBD Hardware Replacement/Same Day Ship for 7308X3-2</t>
  </si>
  <si>
    <t>SVC-7304X3-2-1M-2H</t>
  </si>
  <si>
    <t>1-Month A-Care Software &amp; 24x7x2 Hour Hardware Replacement for 7304X3-2</t>
  </si>
  <si>
    <t>SVC-7304X3-2-1M-4H</t>
  </si>
  <si>
    <t>1-Month A-Care Software &amp; 24x7x4 Hour Hardware Replacement for 7304X3-2</t>
  </si>
  <si>
    <t>1 Month A-Care Software &amp; NBD Hardware Replacement/Same Day Ship for 7304X3-2</t>
  </si>
  <si>
    <t>SVC-7304X3-2-1M-SH4</t>
  </si>
  <si>
    <t>SVC-7304X3-2-1M-SHR</t>
  </si>
  <si>
    <t>SVC-7308X3-2-1M-2H</t>
  </si>
  <si>
    <t>1-Month A-Care Software &amp; 24x7x2 Hour Hardware Replacement for 7308X3-2</t>
  </si>
  <si>
    <t>SVC-7308X3-2-1M-4H</t>
  </si>
  <si>
    <t>1-Month A-Care Software &amp; 24x7x4 Hour Hardware Replacement for 7308X3-2</t>
  </si>
  <si>
    <t>1 Month A-Care Software &amp; NBD Hardware Replacement/Same Day Ship for 7308X3-2</t>
  </si>
  <si>
    <t>SVC-7308X3-2-1M-SH4</t>
  </si>
  <si>
    <t>SVC-7308X3-2-1M-SHR</t>
  </si>
  <si>
    <t>ASP Nucleus Physical Appliance, up to 10Gb/sec BW, requires HW support. No license</t>
  </si>
  <si>
    <t>CCS-722XPM-48ZY8-F</t>
  </si>
  <si>
    <t>CCS-722XPM-48Y4-F</t>
  </si>
  <si>
    <t>CCS-722XPM-48ZY8-2F</t>
  </si>
  <si>
    <t>CCS-722XPM-48Y4-2F</t>
  </si>
  <si>
    <t>CCS-722XPM-48ZY8#</t>
  </si>
  <si>
    <t>CCS-722XPM-48Y4#</t>
  </si>
  <si>
    <t>CCS-722XPM-48ZY8-2F-C14</t>
  </si>
  <si>
    <t>CCS-722XPM-48ZY8-2F-EU</t>
  </si>
  <si>
    <t>Arista 722XPM, 48x2.5G 60W POE, 8x25G SFP28 switch, front to rear air, MACSec, AC (2), EU Power Cords</t>
  </si>
  <si>
    <t>CCS-722XPM-48ZY8-2F-JPN</t>
  </si>
  <si>
    <t>Arista 722XPM, 48x2.5G 60W POE, 8x25G SFP28 switch, front to rear air, MACSec, AC (2), JPN Power Cords</t>
  </si>
  <si>
    <t>CCS-722XPM-48ZY8-2F-NA</t>
  </si>
  <si>
    <t>Arista 722XPM, 48x2.5G 60W POE, 8x25G SFP28 switch, front to rear air, MACSec, AC (2), NA Power Cords</t>
  </si>
  <si>
    <t>CCS-722XPM-48ZY8-2F-UK</t>
  </si>
  <si>
    <t>Arista 722XPM, 48x2.5G 60W POE, 8x25G SFP28 switch, front to rear air, MACSec, AC (2), UK Power Cords</t>
  </si>
  <si>
    <t>CCS-722XPM-48ZY8-F-C14</t>
  </si>
  <si>
    <t>Arista 722XPM, 48x2.5G 60W POE, 8x25G SFP28 switch, front to rear air, MACSec, AC, C14 Power Cord</t>
  </si>
  <si>
    <t>CCS-722XPM-48ZY8-F-EU</t>
  </si>
  <si>
    <t>Arista 722XPM, 48x2.5G 60W POE, 8x25G SFP28 switch, front to rear air, MACSec, AC, EU Power Cord</t>
  </si>
  <si>
    <t>CCS-722XPM-48ZY8-F-JPN</t>
  </si>
  <si>
    <t>Arista 722XPM, 48x2.5G 60W POE, 8x25G SFP28 switch, front to rear air, MACSec, AC, JPN Power Cord</t>
  </si>
  <si>
    <t>CCS-722XPM-48ZY8-F-NA</t>
  </si>
  <si>
    <t>Arista 722XPM, 48x2.5G 60W POE, 8x25G SFP28 switch, front to rear air, MACSec, AC, NA Power Cord</t>
  </si>
  <si>
    <t>CCS-722XPM-48ZY8-F-UK</t>
  </si>
  <si>
    <t>Arista 722XPM, 48x2.5G 60W POE, 8x25G SFP28 switch, front to rear air, MACSec, AC, UK Power Cord</t>
  </si>
  <si>
    <t>CCS-722XPM-48Y4-2F-C14</t>
  </si>
  <si>
    <t>CCS-722XPM-48Y4-2F-EU</t>
  </si>
  <si>
    <t>Arista 722XPM, 48x1G 30W POE, 4x25G, 4x10G SFP+ switch, front to rear air, MACSec, AC (2), EU Power Cords</t>
  </si>
  <si>
    <t>CCS-722XPM-48Y4-2F-JPN</t>
  </si>
  <si>
    <t>Arista 722XPM, 48x1G 30W POE, 4x25G, 4x10G SFP+ switch, front to rear air, MACSec, AC (2), JPN Power Cords</t>
  </si>
  <si>
    <t>CCS-722XPM-48Y4-2F-NA</t>
  </si>
  <si>
    <t>Arista 722XPM, 48x1G 30W POE, 4x25G, 4x10G SFP+ switch, front to rear air, MACSec, AC (2), NA Power Cords</t>
  </si>
  <si>
    <t>CCS-722XPM-48Y4-2F-UK</t>
  </si>
  <si>
    <t>Arista 722XPM, 48x1G 30W POE, 4x25G, 4x10G SFP+ switch, front to rear air, MACSec, AC (2), UK Power Cords</t>
  </si>
  <si>
    <t>CCS-722XPM-48Y4-F-C14</t>
  </si>
  <si>
    <t>Arista 722XPM, 48x1G 30W POE, 4x25G, 4x10G SFP+ switch, front to rear air, MACSec, AC, C14 Power Cord</t>
  </si>
  <si>
    <t>CCS-722XPM-48Y4-F-EU</t>
  </si>
  <si>
    <t>Arista 722XPM, 48x1G 30W POE, 4x25G, 4x10G SFP+ switch, front to rear air, MACSec, AC, EU Power Cord</t>
  </si>
  <si>
    <t>CCS-722XPM-48Y4-F-JPN</t>
  </si>
  <si>
    <t>Arista 722XPM, 48x1G 30W POE, 4x25G, 4x10G SFP+ switch, front to rear air, MACSec, AC, JPN Power Cord</t>
  </si>
  <si>
    <t>CCS-722XPM-48Y4-F-NA</t>
  </si>
  <si>
    <t>Arista 722XPM, 48x1G 30W POE, 4x25G, 4x10G SFP+ switch, front to rear air, MACSec, AC, NA Power Cord</t>
  </si>
  <si>
    <t>CCS-722XPM-48Y4-F-UK</t>
  </si>
  <si>
    <t>Arista 722XPM, 48x1G 30W POE, 4x25G, 4x10G SFP+ switch, front to rear air, MACSec, AC, UK Power Cord</t>
  </si>
  <si>
    <t>Arista 7010TX, 48x 10/100/1000 RJ45 &amp; 4 x 25G SFP (1/10/25GbE) switch, front to rear air, 2xAC</t>
  </si>
  <si>
    <t>Arista 7010TX, 48x 10/100/1000 RJ45 &amp; 4 x 25G SFP (1/10/25GbE) switch, rear to front air, 2xAC</t>
  </si>
  <si>
    <t>Arista 7010TX, 48x 10/100/1000 RJ45 &amp; 4 x 25G SFP (1/10/25GbE) switch, front to rear air, 2xDC</t>
  </si>
  <si>
    <t>Arista 7010TX, 48x 10/100/1000 RJ45 &amp; 4 x 25G SFP (1/10/25GbE) switch, rear to front air, 2xDC</t>
  </si>
  <si>
    <t>LIC-CC-CVMM</t>
  </si>
  <si>
    <t>Arista CCF: Controller VM-Medium SW perpetual , max scale 12 racks, requires A-Care support</t>
  </si>
  <si>
    <t>LIC-CC-CVMS</t>
  </si>
  <si>
    <t>Arista CCF: Controller VM-Small SW perpetual , max scale 4 racks, requires A-Care support</t>
  </si>
  <si>
    <t>LIC-MOD-G-V2</t>
  </si>
  <si>
    <t>LIC-FIX-G-MACSEC</t>
  </si>
  <si>
    <t>OSFP-400G-XDR4-S</t>
  </si>
  <si>
    <t>400GBASE-XDR4 OSFP Transceiver with SN optical connectors, up to 2km over parallel SMF</t>
  </si>
  <si>
    <t>QDD-400G-XDR4-S</t>
  </si>
  <si>
    <t>400GBASE-XDR4 QSFP-DD Transceiver with SN optical connectors, up to 2km over parallel SMF</t>
  </si>
  <si>
    <t>CAB-D-8S-400G-1M</t>
  </si>
  <si>
    <t>400GBASE-CR8 QSFP-DD to 8 x 50GBASE-CR SFP Twinax Copper Cable, 1 meter</t>
  </si>
  <si>
    <t>CAB-D-8S-400G-2M</t>
  </si>
  <si>
    <t>400GBASE-CR8 QSFP-DD to 8 x 50GBASE-CR SFP Twinax Copper Cable, 2 meter</t>
  </si>
  <si>
    <t>CAB-D-8S-400-2.5</t>
  </si>
  <si>
    <t>400GBASE-CR8 QSFP-DD to 8 x 50GBASE-CR SFP Twinax Copper Cable, 2.5 meter</t>
  </si>
  <si>
    <t>C-Q200-2Q100-1M</t>
  </si>
  <si>
    <t>200GBASE-CR4 QSFP to 2 x 100GBASE-CR2 QSFP Twinax Copper Cable, 1M</t>
  </si>
  <si>
    <t>C-Q200-2Q100-2M</t>
  </si>
  <si>
    <t>200GBASE-CR4 QSFP to 2 x 100GBASE-CR2 QSFP Twinax Copper Cable, 2M</t>
  </si>
  <si>
    <t>C-Q200-2Q100-3M</t>
  </si>
  <si>
    <t>200GBASE-CR4 QSFP to 2 x 100GBASE-CR2 QSFP Twinax Copper Cable, 3M</t>
  </si>
  <si>
    <t>QSFP-100G-ZR4</t>
  </si>
  <si>
    <t>100GBASE-ZR4 QSFP transceiver, up to 80km over duplex SMF</t>
  </si>
  <si>
    <t>SFP-25G-MR-SR</t>
  </si>
  <si>
    <t>10/25GBASE-SR SFP transceiver, up to 70/100m at 25G, and 300/400m at 10G over duplex OM3/OM4 MMF.</t>
  </si>
  <si>
    <t>DCS-7130-96S#</t>
  </si>
  <si>
    <t>Arista 7130 Series Connect 96 Layer-1 Switch, configurable fans &amp; psu v2</t>
  </si>
  <si>
    <t>DCS-7130-96S-F</t>
  </si>
  <si>
    <t>Arista 7130 Series Connect 96 Layer-1 Switch, front-to-rear air, 2xAC v2</t>
  </si>
  <si>
    <t>DCS-7130-96S-R</t>
  </si>
  <si>
    <t>Arista 7130 Series Connect 96 Layer-1 Switch, rear-to-front air, 2xAC v2</t>
  </si>
  <si>
    <t>DCS-7130-96LBS#</t>
  </si>
  <si>
    <t>Arista 7130 Series 96L with UltraScale VU9P-3 FPGA. Requires PSU/Fan kit sold separately. v2</t>
  </si>
  <si>
    <t>DCS-7130-96LBS-F</t>
  </si>
  <si>
    <t>Arista 7130 Series 96L with UltraScale VU9P-3 FPGA, front-to-rear air, 2xAC v2</t>
  </si>
  <si>
    <t>DCS-7130-96LBS-R</t>
  </si>
  <si>
    <t>Arista 7130 Series 96L with UltraScale VU9P-3 FPGA, rear-to-front air, 2xAC v2</t>
  </si>
  <si>
    <t>SS-NDR-MDN5-1M -ASP</t>
  </si>
  <si>
    <t>Meta-Data Duplication Subscription License for 1-Month,up to 5Gb/sec BW, A-Care Support.</t>
  </si>
  <si>
    <t>SS-NDR-MDNB10-1M-ASP</t>
  </si>
  <si>
    <t>Meta-Data Duplication Subscription License for 1-Month, up to 10 Gb/sec BW, A-Care Support.</t>
  </si>
  <si>
    <t>SS-NDR-NCA5-1M</t>
  </si>
  <si>
    <t>ASP Nucleus SAAS AWS Subscription License for 1-Month, up to 5 Gb/sec BW, A-Care Support</t>
  </si>
  <si>
    <t>SS-NDR-NCA10-1M</t>
  </si>
  <si>
    <t>ASP Nucleus SAAS AWS Subscription License for 1-Month, up to 10 Gb/sec BW, A-Care Support</t>
  </si>
  <si>
    <t>SS-CV-LT-MOD-G-T1-1M</t>
  </si>
  <si>
    <t>SS-CV-LT-MOD-G-T2-1M</t>
  </si>
  <si>
    <t>SS-DM-VSPHR100-1M</t>
  </si>
  <si>
    <t>Arista DMF: SW subscription for 1 BMF Controller HA pair to monitor up to 100 VMware vSphere VMs; 1 Month; includes A-Care SW</t>
  </si>
  <si>
    <t>SVC-LIC-CC-CVMM-1M-NB</t>
  </si>
  <si>
    <t>Arista CCF: 1 Month A-Care Software for Controller VM-Medium SW Support</t>
  </si>
  <si>
    <t>SVC-LIC-CC-CVMS-1M-NB</t>
  </si>
  <si>
    <t>Arista CCF: 1 Month A-Care Software for Controller VM-Small SW Support</t>
  </si>
  <si>
    <t>SVC-DCA-DM-AA3-1M-NB</t>
  </si>
  <si>
    <t>Arista DMF: 1 Month A-Care Software &amp; NBD Hardware Replacement/Same Day Ship for Analytics Node HWA3 support</t>
  </si>
  <si>
    <t>SVC-722XPM-48ZY8-1M-2H</t>
  </si>
  <si>
    <t>1-Month A-Care Software &amp; 24x7x2 Hour Hardware Replacement for 722XPM-48ZY8</t>
  </si>
  <si>
    <t>SVC-722XPM-48ZY8-1M-4H</t>
  </si>
  <si>
    <t>1-Month A-Care Software &amp; 24x7x4 Hour Hardware Replacement for 722XPM-48ZY8</t>
  </si>
  <si>
    <t>SVC-722XPM-48ZY8-1M-NB</t>
  </si>
  <si>
    <t>1 Month A-Care Software &amp; NBD Hardware Replacement/Same Day Ship for 722XPM-48ZY8</t>
  </si>
  <si>
    <t>SVC-722XPM-48ZY8-1M-RB</t>
  </si>
  <si>
    <t>1 Month A-Care Software Support and HW Replacement for 722XPM-48ZY8</t>
  </si>
  <si>
    <t>SVC-722XPM-48Y4-1M-2H</t>
  </si>
  <si>
    <t>1-Month A-Care Software &amp; 24x7x2 Hour Hardware Replacement for 722XPM-48Y4</t>
  </si>
  <si>
    <t>SVC-722XPM-48Y4-1M-4H</t>
  </si>
  <si>
    <t>1-Month A-Care Software &amp; 24x7x4 Hour Hardware Replacement for 722XPM-48Y4</t>
  </si>
  <si>
    <t>SVC-722XPM-48Y4-1M-NB</t>
  </si>
  <si>
    <t>1 Month A-Care Software &amp; NBD Hardware Replacement/Same Day Ship for 722XPM-48Y4</t>
  </si>
  <si>
    <t>SVC-722XPM-48Y4-1M-RB</t>
  </si>
  <si>
    <t>1 Month A-Care Software Support and HW Replacement for 722XPM-48Y4</t>
  </si>
  <si>
    <t>OSV-720XP-24ZY4-1M-4H</t>
  </si>
  <si>
    <t>OSV-720XP-24ZY4-1M-NB</t>
  </si>
  <si>
    <t>SVC-7010TX-48-1M-NB</t>
  </si>
  <si>
    <t>1 Month A-Care Software &amp; NBD Hardware Replacement/Same Day Ship for 7010TX-48</t>
  </si>
  <si>
    <t>SVC-7010TX-48-1M-4H</t>
  </si>
  <si>
    <t>1-Month A-Care Software &amp; 24x7x4 Hour Hardware Replacement for 7010TX-48</t>
  </si>
  <si>
    <t>SVC-7010TX-48-1M-2H</t>
  </si>
  <si>
    <t>1-Month A-Care Software &amp; 24x7x2 Hour Hardware Replacement for 7010TX-48</t>
  </si>
  <si>
    <t>OSV-7010TX-48-1M-NB</t>
  </si>
  <si>
    <t>Onsite Service: 1 Month A-Care Software &amp; NBD Hardware Replacement/Same Day Ship for 7010TX-48</t>
  </si>
  <si>
    <t>OSV-7010TX-48-1M-4H</t>
  </si>
  <si>
    <t>Onsite Service: 1-Month A-Care Software &amp; 24x7x4 Hour Hardware Replacement for 7010TX-48</t>
  </si>
  <si>
    <t>SVC-7010TX-48-1M-SHR</t>
  </si>
  <si>
    <t>SVC-7010TX-48-1M-SH4</t>
  </si>
  <si>
    <t>SVC-7010TX-48DC-1M-NB</t>
  </si>
  <si>
    <t>1 Month A-Care Software &amp; NBD Hardware Replacement/Same Day Ship for 7010TX-48DC</t>
  </si>
  <si>
    <t>SVC-7010TX-48DC-1M-4H</t>
  </si>
  <si>
    <t>1-Month A-Care Software &amp; 24x7x4 Hour Hardware Replacement for 7010TX-48DC</t>
  </si>
  <si>
    <t>SVC-7010TX-48DC-1M-2H</t>
  </si>
  <si>
    <t>1-Month A-Care Software &amp; 24x7x2 Hour Hardware Replacement for 7010TX-48DC</t>
  </si>
  <si>
    <t>OSV-7010TX-48DC-1M-NB</t>
  </si>
  <si>
    <t>Onsite Service: 1 Month A-Care Software &amp; NBD Hardware Replacement/Same Day Ship for 7010TX-48DC</t>
  </si>
  <si>
    <t>OSV-7010TX-48DC-1M-4H</t>
  </si>
  <si>
    <t>Onsite Service: 1-Month A-Care Software &amp; 24x7x4 Hour Hardware Replacement for 7010TX-48DC</t>
  </si>
  <si>
    <t>SVC-7010TX-48DC-1M-SHR</t>
  </si>
  <si>
    <t>SVC-7010TX-48DC-1M-SH4</t>
  </si>
  <si>
    <t>SVC-7130-96S-1M-2H</t>
  </si>
  <si>
    <t>1-Month A-Care Software &amp; 24x7x2 Hour Hardware Replacement for 7130-96S</t>
  </si>
  <si>
    <t>SVC-7130-96S-1M-4H</t>
  </si>
  <si>
    <t>1-Month A-Care Software &amp; 24x7x4 Hour Hardware Replacement for 7130-96S</t>
  </si>
  <si>
    <t>SVC-7130-96S-1M-NB</t>
  </si>
  <si>
    <t>1-Month A-Care Software &amp; NBD Hardware Replacement/Same Day Ship for 7130-96S</t>
  </si>
  <si>
    <t>SVC-7130-96LS-1M-NB</t>
  </si>
  <si>
    <t>1-Month A-Care Software &amp; NBD Hardware Replacement/Same Day Ship for 7130-96LS</t>
  </si>
  <si>
    <t>SVC-7130-96LS-1M-4H</t>
  </si>
  <si>
    <t>1-Month A-Care Software &amp; 24x7x4 Hour Hardware Replacement for 7130-96LS</t>
  </si>
  <si>
    <t>SVC-7130-96LS-1M-2H</t>
  </si>
  <si>
    <t>1-Month A-Care Software &amp; 24x7x2 Hour Hardware Replacement for 7130-96LS</t>
  </si>
  <si>
    <t>SVC-7130-96LBS-1M-NB</t>
  </si>
  <si>
    <t>1-Month A-Care Software &amp; NBD Hardware Replacement/Same Day Ship for 7130-96LBS</t>
  </si>
  <si>
    <t>SVC-7130-96LBS-1M-4H</t>
  </si>
  <si>
    <t>1-Month A-Care Software &amp; 24x7x4 Hour Hardware Replacement for 7130-96LBS</t>
  </si>
  <si>
    <t>SVC-7130-96LBS-1M-2H</t>
  </si>
  <si>
    <t>1-Month A-Care Software &amp; 24x7x2 Hour Hardware Replacement for 7130-96LBS</t>
  </si>
  <si>
    <t>SVC-7130-96LAS-1M-NB</t>
  </si>
  <si>
    <t>1-Month A-Care Software &amp; NBD Hardware Replacement/Same Day Ship for 7130-96LAS</t>
  </si>
  <si>
    <t>SVC-7130-96LAS-1M-4H</t>
  </si>
  <si>
    <t>1-Month A-Care Software &amp; 24x7x4 Hour Hardware Replacement for 7130-96LAS</t>
  </si>
  <si>
    <t>SVC-7130-96LAS-1M-2H</t>
  </si>
  <si>
    <t>1-Month A-Care Software &amp; 24x7x2 Hour Hardware Replacement for 7130-96LAS</t>
  </si>
  <si>
    <t>CCS-710P-12</t>
  </si>
  <si>
    <t>Arista 710P, 12 x 1G PoE, 2x10G SFP+ compact switch 150W power adapter, no power cord</t>
  </si>
  <si>
    <t>CCS-710P-12#</t>
  </si>
  <si>
    <t>Arista 710P, 12 x 1G PoE, 2x10G SFP+ compact switch</t>
  </si>
  <si>
    <t>CCS-710P-12-EU</t>
  </si>
  <si>
    <t>Arista 710P, 12 x 1G PoE, 2x10G SFP+ compact switch 150W power adapter, EU Power Cord</t>
  </si>
  <si>
    <t>CCS-710P-12-JPN</t>
  </si>
  <si>
    <t>Arista 710P, 12 x 1G PoE, 2x10G SFP+ compact switch 150W power adapter, JPN Power Cord</t>
  </si>
  <si>
    <t>CCS-710P-12-NA</t>
  </si>
  <si>
    <t>Arista 710P, 12 x 1G PoE, 2x10G SFP+ compact switch 150W power adapter, NA Power Cord</t>
  </si>
  <si>
    <t>CCS-710P-12-UK</t>
  </si>
  <si>
    <t>Arista 710P, 12 x 1G PoE, 2x10G SFP+ compact switch 150W power adapter, UK Power Cord</t>
  </si>
  <si>
    <t>CCS-710P-16P</t>
  </si>
  <si>
    <t>Arista 710P, 12 x 1G PoE, 2 x 5G PoE, 2 x 5G (1 data only, 1 PD/PSE), 2x10G SFP+ compact switch  280W power adapter</t>
  </si>
  <si>
    <t>CCS-710P-16P#</t>
  </si>
  <si>
    <t>Arista 710P, 12 x 1G PoE, 2 x 5G PoE, 2 x 5G (1 data only, 1 PD/PSE), 2x10G SFP+ compact switch</t>
  </si>
  <si>
    <t>CCS-710P-16P-EU</t>
  </si>
  <si>
    <t>Arista 710P, 12 x 1G PoE, 2 x 5G PoE, 2 x 5G (1 data only, 1 PD/PSE), 2x10G SFP+ compact switch  280W power adapter, EU Power Cord</t>
  </si>
  <si>
    <t>CCS-710P-16P-JPN</t>
  </si>
  <si>
    <t>Arista 710P, 12 x 1G PoE, 2 x 5G PoE, 2 x 5G (1 data only, 1 PD/PSE), 2x10G SFP+ compact switch  280W power adapter, JPN Power Cord</t>
  </si>
  <si>
    <t>CCS-710P-16P-NA</t>
  </si>
  <si>
    <t>Arista 710P, 12 x 1G PoE, 2 x 5G PoE, 2 x 5G (1 data only, 1 PD/PSE), 2x10G SFP+ compact switch  280W power adapter, NA Power Cord</t>
  </si>
  <si>
    <t>CCS-710P-16P-UK</t>
  </si>
  <si>
    <t>Arista 710P, 12 x 1G PoE, 2 x 5G PoE, 2 x 5G (1 data only, 1 PD/PSE), 2x10G SFP+ compact switch  280W power adapter, UK Power Cord</t>
  </si>
  <si>
    <t>KIT-CCS-710</t>
  </si>
  <si>
    <t>KIT-CCS-710-DIN</t>
  </si>
  <si>
    <t>Spare DIN-Rail Mount Kit for Arista 710P Series switches</t>
  </si>
  <si>
    <t>KIT-CCS-710-MGN</t>
  </si>
  <si>
    <t>Spare Magnet Mount Kit for Arista 710P Series switches (include 3-in-1 bracket and Magnet)</t>
  </si>
  <si>
    <t>KIT-CCS-710-RM</t>
  </si>
  <si>
    <t>Spare Rack Mount Kit for Arista 710P Series switches</t>
  </si>
  <si>
    <t>PWR-150-ADP</t>
  </si>
  <si>
    <t>Arista Power Adapter, 150W, POE, AC (Spare)</t>
  </si>
  <si>
    <t>PWR-150-ADP#</t>
  </si>
  <si>
    <t>Arista Power Adapter, 150W, POE, AC (Ships with switch)</t>
  </si>
  <si>
    <t>PWR-280-ADP</t>
  </si>
  <si>
    <t>Arista Power Adapter, 280W, POE, AC (Spare)</t>
  </si>
  <si>
    <t>PWR-280-ADP#</t>
  </si>
  <si>
    <t>Arista Power Adapter, 280W, POE, AC (Ships with switch)</t>
  </si>
  <si>
    <t>Arista 722XPM, 48x2.5G 60W POE, 8x25G SFP28 switch, front to rear air, MACSec, AC</t>
  </si>
  <si>
    <t>Arista 722XPM, 48x1G 30W POE, 4x25G, 4x10G SFP+ switch, front to rear air, MACSec, AC</t>
  </si>
  <si>
    <t>Arista 722XPM, 48x2.5G 60W POE, 8x25G SFP28 switch, front to rear air, MACSec, Requires PSU/Fans</t>
  </si>
  <si>
    <t>Arista 722XPM, 48x1G 30W POE, 4x25G, 4x10G SFP+ switch, front to rear air, MACSec, Requires PSU/Fans</t>
  </si>
  <si>
    <t>Arista 750 Series 5 Slot Chassis, 2 Sup slots, 5 linecard slots, 6 PS slots</t>
  </si>
  <si>
    <t>DCS-7050SX3-48C8-DC-F</t>
  </si>
  <si>
    <t>Arista 7050X3, 48x10GbE SFP &amp; 8x100GbE QSFP switch, front-to-rear air, 2xDC</t>
  </si>
  <si>
    <t>DCS-7050SX3-48C8-DC-R</t>
  </si>
  <si>
    <t>DCS-7280TR3-40C6-F</t>
  </si>
  <si>
    <t>Arista 7280R3, 40x10GbE RJ45 and 6x100G QSFP switch router, front to rear air, 2 x AC</t>
  </si>
  <si>
    <t>DCS-7280TR3-40C6-R</t>
  </si>
  <si>
    <t>Arista 7280R3, 40x10GbE RJ45 and 6x100G QSFP switch router, rear to front air, 2 x AC</t>
  </si>
  <si>
    <t>DCS-7280TR3-40C6#</t>
  </si>
  <si>
    <t>Arista 7280R3, 40x10GbE RJ45 and 6x100G QSFP switch router, configurable fans and psu</t>
  </si>
  <si>
    <t>DCS-7280TR3-40C6-FLX-F</t>
  </si>
  <si>
    <t>Arista 7280R3, 40x10GbE RJ45 and 6x100G QSFP switch router, front to rear air, 2 x AC. Over 256K Routes, MPLS and VXLAN</t>
  </si>
  <si>
    <t>DCS-7280TR3-40C6-FLX-R</t>
  </si>
  <si>
    <t>Arista 7280R3, 40x10GbE RJ45 and 6x100G QSFP switch router, rear to front air, 2 x AC. Over 256K Routes, MPLS and VXLAN</t>
  </si>
  <si>
    <t>DCS-7280TR3-40C6-FLX#</t>
  </si>
  <si>
    <t>Arista 7280R3, 40x10GbE RJ45 and 6x100G QSFP switch router, configurable fans and psu. Over 256K Routes, MPLS and VXLAN</t>
  </si>
  <si>
    <t>DCS-7812R3-BND</t>
  </si>
  <si>
    <t>DCS-7812R3-BND-DC</t>
  </si>
  <si>
    <t>DCS-7812R3-BND-S2</t>
  </si>
  <si>
    <t>DCS-7812R3-BND-DC-S2</t>
  </si>
  <si>
    <t>DCS-7812R3-BND-FLX</t>
  </si>
  <si>
    <t>DCS-7812-CH</t>
  </si>
  <si>
    <t>DCS-7812R3-FM</t>
  </si>
  <si>
    <t>7800R3 Series Fabric Module for 7812 Chassis, required for fabric slots 1-6</t>
  </si>
  <si>
    <t>DCS-7358X-BND-F</t>
  </si>
  <si>
    <t>DCS-7358X-BND-D-F</t>
  </si>
  <si>
    <t>DCS-7358X-128-BND-F</t>
  </si>
  <si>
    <t>Arista 7358X 100G System bundle. Includes 7358X-BND Bundle and 128 x 100G QSFP ports (front-to-rear air)</t>
  </si>
  <si>
    <t>DCS-7358X-128-BND-D-F</t>
  </si>
  <si>
    <t>Arista 7358X 100G System bundle. Includes 7358X-BND-D Bundle and 128 x 100G QSFP ports (front-to-rear air)</t>
  </si>
  <si>
    <t>DCS-7358X-BND-R</t>
  </si>
  <si>
    <t>DCS-7358X-BND-D-R</t>
  </si>
  <si>
    <t>DCS-7358X-128-BND-R</t>
  </si>
  <si>
    <t>Arista 7358X 100G System bundle. Includes 7358X-BND Bundle and 128 x 100G QSFP ports (rear-to-front air)</t>
  </si>
  <si>
    <t>DCS-7358X-128-BND-D-R</t>
  </si>
  <si>
    <t>Arista 7358X 100G System bundle. Includes 7358X-BND-D Bundle and 128 x 100G QSFP ports (rear-to-front air)</t>
  </si>
  <si>
    <t>DCS-7358X4-SC-F</t>
  </si>
  <si>
    <t>7358X Switch Card for 7368 chassis, 7358X4-SC, includes Fans (front-to-rear air) Spare</t>
  </si>
  <si>
    <t>DCS-7358X4-SC-R</t>
  </si>
  <si>
    <t>7358X Switch Card for 7368 chassis, 7358X4-SC, includes Fans (rear-to-front air) Spare</t>
  </si>
  <si>
    <t>DCS-7358X4-SC-F#</t>
  </si>
  <si>
    <t>7358X Switch Card for 7368 chassis, 7358X4-SC, includes Fans (front-to-rear air) Ships in chassis</t>
  </si>
  <si>
    <t>DCS-7358X4-SC-R#</t>
  </si>
  <si>
    <t>7358X Switch Card for 7368 chassis, 7358X4-SC, includes Fans (rear-to-front air) Ships in chassis</t>
  </si>
  <si>
    <t>DCS-7358-16C</t>
  </si>
  <si>
    <t>DCS-7358-16C#</t>
  </si>
  <si>
    <t>DCS-7388X5-64D-F</t>
  </si>
  <si>
    <t>DCS-7388-CH</t>
  </si>
  <si>
    <t>DCS-7388-8D</t>
  </si>
  <si>
    <t>AP-C360</t>
  </si>
  <si>
    <t>C-360 12 stream tri band 802.11ax (WiFi 6E) access point with internal antennas, dual 10 GbE interface and dedicated Wi-Fi 6E multi-function radio</t>
  </si>
  <si>
    <t>AP-C360-SS-3Y</t>
  </si>
  <si>
    <t>C-360 12 stream tri band 802.11ax (WiFi 6E) access point with internal antennas, dual 10 GbE interface and dedicated Wi-Fi 6E multi-function radio with a 3 year cognitive cloud management subscription</t>
  </si>
  <si>
    <t>AP-C360-SS-5Y</t>
  </si>
  <si>
    <t>C-360 12 stream tri band 802.11ax (WiFi 6E) access point with internal antennas, dual 10 GbE interface and dedicated Wi-Fi 6E multi-function radio with a 5 year cognitive cloud management subscription</t>
  </si>
  <si>
    <t>AP-C360-SS-PREM-3Y</t>
  </si>
  <si>
    <t>C-360 12 stream tri band 802.11ax (WiFi 6E) access point with internal antennas, dual 10 GbE interface and dedicated Wi-Fi 6E multi-function radio with a 3 year on-premises cognitive management subscription</t>
  </si>
  <si>
    <t>AP-C360-SS-PREM-5Y</t>
  </si>
  <si>
    <t>C-360 12 stream tri band 802.11ax (WiFi 6E) access point with internal antennas, dual 10 GbE interface and dedicated Wi-Fi 6E multi-function radio with a 5 year on-premises cognitive management subscription</t>
  </si>
  <si>
    <t>LIC-FIX-CG-FLX-L</t>
  </si>
  <si>
    <t>FLX-Lite License for Arista Fixed Compact Switches - Dynamic Routing, EVPN, VXLAN (includes E Features)</t>
  </si>
  <si>
    <t>OSFP-400G-PLR4-S</t>
  </si>
  <si>
    <t>400GBASE-PLR4 OSFP Transceiver with SN optical connectors, up to 10km over parallel SMF</t>
  </si>
  <si>
    <t>QDD-400G-PLR4-S</t>
  </si>
  <si>
    <t>400GBASE-PLR4 QSFP-DD Transceiver with SN optical connectors, up to 10km over parallel SMF</t>
  </si>
  <si>
    <t>C-Q200-4S50-1M</t>
  </si>
  <si>
    <t>200GbE QSFP200 to 4 x 50GbE SFP50 twinax copper cable, 1M</t>
  </si>
  <si>
    <t>C-Q200-4S50-2M</t>
  </si>
  <si>
    <t>200GbE QSFP200 to 4 x 50GbE SFP50 twinax copper cable, 2M</t>
  </si>
  <si>
    <t>C-Q200-4S50-3M</t>
  </si>
  <si>
    <t>200GbE QSFP200 to 4 x 50GbE SFP50 twinax copper cable, 3M</t>
  </si>
  <si>
    <t>KIT-7508N</t>
  </si>
  <si>
    <t>SVE-SEC-DI-CLASS1</t>
  </si>
  <si>
    <t>Up to 1 week of deployment and Integration services for Arista security technology</t>
  </si>
  <si>
    <t>SVE-SEC-DI-CLASS1-TRAVEL</t>
  </si>
  <si>
    <t>Up to 1 week of deployment and Integration services for Arista security technology; Includes up to 4 days onsite travel</t>
  </si>
  <si>
    <t>SVE-SEC-DI-CLASS2</t>
  </si>
  <si>
    <t>Up to 2 weeks of deployment and Integration services for Arista security technology</t>
  </si>
  <si>
    <t>SVE-SEC-DI-CLASS2I</t>
  </si>
  <si>
    <t>Up to additional 2.5 days of services for each 10GB increment</t>
  </si>
  <si>
    <t>SVE-SEC-DI-CLASS2-TRAVEL</t>
  </si>
  <si>
    <t>Up to 2 weeks of deployment and Integration services for Arista security technology; Includes up to 8 days onsite travel</t>
  </si>
  <si>
    <t>SVE-SEC-DI-AUG-QUARTER</t>
  </si>
  <si>
    <t>Deployment and Integration staff augmentation for 480 hours of security consulting services.</t>
  </si>
  <si>
    <t>SVE-SEC-DI-AUG-ANNUAL</t>
  </si>
  <si>
    <t>Deployment and Integration staff augmentation for 1920 hours of security consulting services.</t>
  </si>
  <si>
    <t>SVE-SEC-DI-HEALTHAW</t>
  </si>
  <si>
    <t>A one time health check of the Awake Security Platform (Recommended annually)</t>
  </si>
  <si>
    <t>SVE-SEC-DI-CUSTOM</t>
  </si>
  <si>
    <t>Customer deployment and Integration hourly rate</t>
  </si>
  <si>
    <t>SS-SEC-MNDR-24X7A-500MB-1M</t>
  </si>
  <si>
    <t>MNDR with threat hunting 24X7 for 500MB Cloud Nucleus</t>
  </si>
  <si>
    <t>SS-SEC-MNDR-24X7A-1GB-1M</t>
  </si>
  <si>
    <t>MNDR with threat hunting 24X7 for 1GB Cloud Nucleus</t>
  </si>
  <si>
    <t>SS-SEC-MNDR-24X7A-2GB-1M</t>
  </si>
  <si>
    <t>MNDR with threat hunting 24X7 for 2GB Cloud Nucleus</t>
  </si>
  <si>
    <t>OSV-710P-12-1M-4H</t>
  </si>
  <si>
    <t>Onsite Service: 1-Month A-Care Software &amp; 24x7x4 Hour Hardware Replacement for 710P-12 series</t>
  </si>
  <si>
    <t>OSV-710P-12-1M-NB</t>
  </si>
  <si>
    <t>Onsite Service: 1-Month A-Care Software &amp; NBD Hardware Replacement/Same Day Ship for 710P-12 series</t>
  </si>
  <si>
    <t>OSV-710P-16P-1M-4H</t>
  </si>
  <si>
    <t>Onsite Service: 1-Month A-Care Software &amp; 24x7x4 Hour Hardware Replacement for 710P-16P series</t>
  </si>
  <si>
    <t>OSV-710P-16P-1M-NB</t>
  </si>
  <si>
    <t>Onsite Service: 1 Month A-Care Software &amp; NBD Hardware Replacement/Same Day Ship for 710P-16P series</t>
  </si>
  <si>
    <t>SVC-710P-12-1M-2H</t>
  </si>
  <si>
    <t>1-Month A-Care Software &amp; 24x7x2 Hour Hardware Replacement for 710P-12 series</t>
  </si>
  <si>
    <t>SVC-710P-12-1M-4H</t>
  </si>
  <si>
    <t>1-Month A-Care Software &amp; 24x7x4 Hour Hardware Replacement for 710P-12 series</t>
  </si>
  <si>
    <t>SVC-710P-12-1M-NB</t>
  </si>
  <si>
    <t>1-Month A-Care Software &amp; NBD Hardware Replacement/Same Day Ship for CCS-710P-12 series</t>
  </si>
  <si>
    <t>SVC-710P-12-1M-RB</t>
  </si>
  <si>
    <t>1-Month A-Care Software Support and HW Replacement for CCS-710P-12 series</t>
  </si>
  <si>
    <t>SVC-710P-12-1M-SH4</t>
  </si>
  <si>
    <t>SVC-710P-12-1M-SHR</t>
  </si>
  <si>
    <t>SVC-710P-16D-1M-SH4</t>
  </si>
  <si>
    <t>SVC-710P-16D-1M-SHR</t>
  </si>
  <si>
    <t>SVC-710P-16P-1M-2H</t>
  </si>
  <si>
    <t>1-Month A-Care Software &amp; 24x7x2 Hour Hardware Replacement for 710P-16P series</t>
  </si>
  <si>
    <t>SVC-710P-16P-1M-4H</t>
  </si>
  <si>
    <t>1-Month A-Care Software &amp; 24x7x4 Hour Hardware Replacement for 710P-16P series</t>
  </si>
  <si>
    <t>SVC-710P-16P-1M-NB</t>
  </si>
  <si>
    <t>1-Month A-Care Software &amp; NBD Hardware Replacement/Same Day Ship for CCS-710P-16P series</t>
  </si>
  <si>
    <t>SVC-710P-16P-1M-RB</t>
  </si>
  <si>
    <t>1-Month A-Care Software Support and HW Replacement for CCS-710P-16P series</t>
  </si>
  <si>
    <t>SVC-710P-16P-1M-SH4</t>
  </si>
  <si>
    <t>SVC-710P-16P-1M-SHR</t>
  </si>
  <si>
    <t>OSV-722XPM-48ZY8-1M-NB</t>
  </si>
  <si>
    <t>Onsite Service: 1-Month A-Care Software &amp; NBD Hardware Replacement/Same Day Ship for 722XPM-48ZY8 series</t>
  </si>
  <si>
    <t>OSV-722XPM-48ZY8-1M-4H</t>
  </si>
  <si>
    <t>Onsite Service: 1-Month A-Care Software &amp; 24x7x4 Hour Hardware Replacement for 722XPM-48ZY8 series</t>
  </si>
  <si>
    <t>SVC-722XPM-48ZY8-1M-SHR</t>
  </si>
  <si>
    <t>SVC-722XPM-48ZY8-1M-SH4</t>
  </si>
  <si>
    <t>OSV-722XPM-48Y4-1M-NB</t>
  </si>
  <si>
    <t>Onsite Service: 1-Month A-Care Software &amp; NBD Hardware Replacement/Same Day Ship for 722XPM-48Y4 series</t>
  </si>
  <si>
    <t>OSV-722XPM-48Y4-1M-4H</t>
  </si>
  <si>
    <t>Onsite Service: 1-Month A-Care Software &amp; 24x7x4 Hour Hardware Replacement for 722XPM-48Y4 series</t>
  </si>
  <si>
    <t>SVC-722XPM-48Y4-1M-SHR</t>
  </si>
  <si>
    <t>SVC-722XPM-48Y4-1M-SH4</t>
  </si>
  <si>
    <t>SVC-7280TR3-40C6-1M-NB</t>
  </si>
  <si>
    <t>1 Month A-Care Software &amp; NBD Hardware Replacement/Same Day Ship for 7280TR3-40C6</t>
  </si>
  <si>
    <t>SVC-7280TR3-40C6-1M-4H</t>
  </si>
  <si>
    <t>1-Month A-Care Software &amp; 24x7x4 Hour Hardware Replacement for 7280TR3-40C6</t>
  </si>
  <si>
    <t>SVC-7280TR3-40C6-1M-2H</t>
  </si>
  <si>
    <t>1-Month A-Care Software &amp; 24x7x2 Hour Hardware Replacement for 7280TR3-40C6</t>
  </si>
  <si>
    <t>OSV-7280TR3-40C6-1M-NB</t>
  </si>
  <si>
    <t>Onsite Service: 1 Month A-Care Software &amp; NBD Hardware Replacement/Same Day Ship for 7280TR3-40C6</t>
  </si>
  <si>
    <t>OSV-7280TR3-40C6-1M-4H</t>
  </si>
  <si>
    <t>Onsite Service: 1-Month A-Care Software &amp; 24x7x4 Hour Hardware Replacement for 7280TR3-40C6</t>
  </si>
  <si>
    <t>SVC-7280TR3-40C6-1M-SHR</t>
  </si>
  <si>
    <t>SVC-7280TR3-40C6-1M-SH4</t>
  </si>
  <si>
    <t>SVC-7388X5-1M-NB</t>
  </si>
  <si>
    <t>1 Month A-Care Software &amp; NBD Hardware Replacement/Same Day Ship for 7388X5</t>
  </si>
  <si>
    <t>SVC-7388X5-1M-4H</t>
  </si>
  <si>
    <t>1-Month A-Care Software &amp; 24x7x4 Hour Hardware Replacement for 7388X5</t>
  </si>
  <si>
    <t>SVC-7388X5-1M-2H</t>
  </si>
  <si>
    <t>1-Month A-Care Software &amp; 24x7x2 Hour Hardware Replacement for 7388X5</t>
  </si>
  <si>
    <t>OSV-7388X5-1M-NB</t>
  </si>
  <si>
    <t>Onsite Service: 1 Month A-Care Software &amp; NBD Hardware Replacement/Same Day Ship for 7388X5</t>
  </si>
  <si>
    <t>OSV-7388X5-1M-4H</t>
  </si>
  <si>
    <t>Onsite Service: 1-Month A-Care Software &amp; 24x7x4 Hour Hardware Replacement for 7388X5</t>
  </si>
  <si>
    <t>SVC-7388X5-1M-SHR</t>
  </si>
  <si>
    <t>SVC-7388X5-1M-SH4</t>
  </si>
  <si>
    <t>SVC-7358X4-1M-NB</t>
  </si>
  <si>
    <t>1 Month A-Care Software &amp; NBD Hardware Replacement/Same Day Ship for 7358X4</t>
  </si>
  <si>
    <t>SVC-7358X4-1M-4H</t>
  </si>
  <si>
    <t>1-Month A-Care Software &amp; 24x7x4 Hour Hardware Replacement for 7358X4</t>
  </si>
  <si>
    <t>SVC-7358X4-1M-2H</t>
  </si>
  <si>
    <t>1-Month A-Care Software &amp; 24x7x2 Hour Hardware Replacement for 7358X4</t>
  </si>
  <si>
    <t>OSV-7358X4D-1M-NB</t>
  </si>
  <si>
    <t>Onsite Service: 1-Month A-Care Software &amp; NBD Hardware Replacement/Same Day Ship for 7358X4-SSD</t>
  </si>
  <si>
    <t>OSV-7358X4D-1M-4H</t>
  </si>
  <si>
    <t>Onsite Service: 1-Month A-Care Software &amp; 24x7x4 Hour Hardware Replacement for 7358X4-SSD</t>
  </si>
  <si>
    <t>SVC-7358X4D-1M-NB</t>
  </si>
  <si>
    <t>1-Month A-Care Software &amp; 24x7x4 Hour Hardware Replacement for 7358X4-SSD</t>
  </si>
  <si>
    <t>SVC-7358X4D-1M-4H</t>
  </si>
  <si>
    <t>1 Month A-Care Software &amp; NBD Hardware Replacement/Same Day Ship for 7358X4-SSD</t>
  </si>
  <si>
    <t>SVC-7358X4D-1M-2H</t>
  </si>
  <si>
    <t>1 Month A-Care NBD Hardware Replacement/Same Day Ship for 7358X4-SSD</t>
  </si>
  <si>
    <t>SVC-7812R3-1M-NB</t>
  </si>
  <si>
    <t>1-Month A-Care Software &amp; 8x5xNBD Hardware Replacement/Same Day Ship for 7812R3</t>
  </si>
  <si>
    <t>SVC-7812R3-1M-4H</t>
  </si>
  <si>
    <t>1-Month A-Care 24x7x4 Software &amp; Hardware Replacement for 7812R3</t>
  </si>
  <si>
    <t>SVC-7812R3-1M-2H</t>
  </si>
  <si>
    <t>1-Month A-Care 24x7x2 Software &amp; Hardware Replacement for 7812R3</t>
  </si>
  <si>
    <t>SVC-7812R3-1M-SHR</t>
  </si>
  <si>
    <t>SVC-7812R3-1M-SH4</t>
  </si>
  <si>
    <t>OSV-7812R3-1M-NB</t>
  </si>
  <si>
    <t>Onsite Service: 1 Month A-Care Software &amp; NBD Hardware Replacement/Same Day Ship for 7812R3</t>
  </si>
  <si>
    <t>OSV-7812R3-1M-4H</t>
  </si>
  <si>
    <t>Onsite Service: 1-Month A-Care Software &amp; 24x7x4 Hour Hardware Replacement for 7812R3</t>
  </si>
  <si>
    <t>총합계</t>
  </si>
  <si>
    <t>DCS-7050DX4-32S-FLX-L-F</t>
  </si>
  <si>
    <t>DCS-7050DX4-32S-FLX-L-R</t>
  </si>
  <si>
    <t>DCS-7050DX4-32S-F</t>
  </si>
  <si>
    <t>Arista 7050X4, 32x400GbE QSFP-DD &amp; 2xSFP+ switch, front-to-rear air, 2xAC</t>
  </si>
  <si>
    <t>DCS-7050DX4-32S-R</t>
  </si>
  <si>
    <t>Arista 7050X4, 32x400GbE QSFP-DD &amp; 2xSFP+ switch, rear-to-front air, 2xAC</t>
  </si>
  <si>
    <t>DCS-7050DX4-32S#</t>
  </si>
  <si>
    <t>Arista 7050X4, 32x400GbE QSFP-DD &amp; 2xSFP+ switch, no fans, no psu</t>
  </si>
  <si>
    <t>DCS-7050PX4-32S-F</t>
  </si>
  <si>
    <t>Arista 7050X4, 32x400GbE OSFP &amp; 2xSFP+ switch, front-to-rear air, 2xAC</t>
  </si>
  <si>
    <t>DCS-7050PX4-32S-R</t>
  </si>
  <si>
    <t>Arista 7050X4, 32x400GbE OSFP &amp; 2xSFP+ switch, rear-to-front air, 2xAC</t>
  </si>
  <si>
    <t>DCS-7050PX4-32S#</t>
  </si>
  <si>
    <t>Arista 7050X4, 32x400GbE OSFP &amp; 2xSFP+ switch, no fans, no psu</t>
  </si>
  <si>
    <t>DCS-7804R3-BNDS-DC</t>
  </si>
  <si>
    <t>DCS-7800-FCVR</t>
  </si>
  <si>
    <t>Blank cover for 7800 line card slot with fiber sockets</t>
  </si>
  <si>
    <t>LIC-FIX-5-FLX</t>
  </si>
  <si>
    <t>LIC-FIX-5-FLX-L</t>
  </si>
  <si>
    <t>LIC-FIX-5-E</t>
  </si>
  <si>
    <t>Enhanced L3 License for Arista Group 5 Fixed switches, (BGP, OSPF, ISIS, PIM, NAT)</t>
  </si>
  <si>
    <t>LIC-FIX-5-Z</t>
  </si>
  <si>
    <t>LIC-FIX-5-V</t>
  </si>
  <si>
    <t>Virtualization license for Group 5 Arista Fixed switches (VMTracer and VXLAN)</t>
  </si>
  <si>
    <t>LIC-FIX-5-V2</t>
  </si>
  <si>
    <t>LIC-FIX-5-MACSEC</t>
  </si>
  <si>
    <t>MACSEC Encryption License for Arista Group 5 Fixed switches, MACSEC capable ports</t>
  </si>
  <si>
    <t>SVC-7050DX4-32S-1M-NB</t>
  </si>
  <si>
    <t>1 Month A-Care Software &amp; NBD Hardware Replacement/Same Day Ship for 7050DX4-32S</t>
  </si>
  <si>
    <t>SVC-7050DX4-32S-1M-4H</t>
  </si>
  <si>
    <t>1-Month A-Care Software &amp; 24x7x4 Hour Hardware Replacement for 7050DX4-32S</t>
  </si>
  <si>
    <t>SVC-7050DX4-32S-1M-2H</t>
  </si>
  <si>
    <t>1-Month A-Care Software &amp; 24x7x2 Hour Hardware Replacement for 7050DX4-32S</t>
  </si>
  <si>
    <t>OSV-7050DX4-32S-1M-NB</t>
  </si>
  <si>
    <t>Onsite Service: 1 Month A-Care Software &amp; NBD Hardware Replacement/Same Day Ship for 7050DX4-32S</t>
  </si>
  <si>
    <t>OSV-7050DX4-32S-1M-4H</t>
  </si>
  <si>
    <t>Onsite Service: 1-Month A-Care Software &amp; 24x7x4 Hour Hardware Replacement for 7050DX4-32S</t>
  </si>
  <si>
    <t>SVC-7050DX4-32S-1M-SHR</t>
  </si>
  <si>
    <t>SVC-7050DX4-32S-1M-SH4</t>
  </si>
  <si>
    <t>SVC-7050PX4-32S-1M-NB</t>
  </si>
  <si>
    <t>1 Month A-Care Software &amp; NBD Hardware Replacement/Same Day Ship for 7050PX4-32S</t>
  </si>
  <si>
    <t>SVC-7050PX4-32S-1M-4H</t>
  </si>
  <si>
    <t>1-Month A-Care Software &amp; 24x7x4 Hour Hardware Replacement for 7050PX4-32S</t>
  </si>
  <si>
    <t>SVC-7050PX4-32S-1M-2H</t>
  </si>
  <si>
    <t>1-Month A-Care Software &amp; 24x7x2 Hour Hardware Replacement for 7050PX4-32S</t>
  </si>
  <si>
    <t>OSV-7050PX4-32S-1M-NB</t>
  </si>
  <si>
    <t>Onsite Service: 1 Month A-Care Software &amp; NBD Hardware Replacement/Same Day Ship for 7050PX4-32S</t>
  </si>
  <si>
    <t>OSV-7050PX4-32S-1M-4H</t>
  </si>
  <si>
    <t>Onsite Service: 1-Month A-Care Software &amp; 24x7x4 Hour Hardware Replacement for 7050PX4-32S</t>
  </si>
  <si>
    <t>SVC-7050PX4-32S-1M-SHR</t>
  </si>
  <si>
    <t>SVC-7050PX4-32S-1M-SH4</t>
  </si>
  <si>
    <t>SVC-7280SR3E-40YC6-1M-NB</t>
  </si>
  <si>
    <t>1 Month A-Care Software &amp; NBD Hardware Replacement/Same Day Ship for 7280SR3E-40YC6</t>
  </si>
  <si>
    <t>SVC-7280SR3E-40YC6-1M-4H</t>
  </si>
  <si>
    <t>1-Month A-Care Software &amp; 24x7x4 Hour Hardware Replacement for 7280SR3E-40YC6</t>
  </si>
  <si>
    <t>SVC-7280SR3E-40YC6-1M-2H</t>
  </si>
  <si>
    <t>1-Month A-Care Software &amp; 24x7x2 Hour Hardware Replacement for 7280SR3E-40YC6</t>
  </si>
  <si>
    <t>OSV-7280SR3E-40YC6-1M-NB</t>
  </si>
  <si>
    <t>Onsite Service: 1 Month A-Care Software &amp; NBD Hardware Replacement/Same Day Ship for 7280SR3E-40YC6</t>
  </si>
  <si>
    <t>OSV-7280SR3E-40YC6-1M-4H</t>
  </si>
  <si>
    <t>Onsite Service: 1-Month A-Care Software &amp; 24x7x4 Hour Hardware Replacement for 7280SR3E-40YC6</t>
  </si>
  <si>
    <t>SVC-7280SR3E-40YC6-1M-SHR</t>
  </si>
  <si>
    <t>SVC-7280SR3E-40YC6-1M-SH4</t>
  </si>
  <si>
    <t>5 요약</t>
  </si>
  <si>
    <t>DCS-7280SR3K-48YC8A-F</t>
  </si>
  <si>
    <t>DCS-7280SR3K-48YC8A-R</t>
  </si>
  <si>
    <t>DCS-7280SR3K-48YC8A#</t>
  </si>
  <si>
    <t>DCS-7280SR3K-48YC8A-FLX-F</t>
  </si>
  <si>
    <t>DCS-7280SR3K-48YC8A-FLX-R</t>
  </si>
  <si>
    <t>DCS-7280SR3K-48YC8A-FLX-#</t>
  </si>
  <si>
    <t>DCS-7280CR3K-32D4A-F</t>
  </si>
  <si>
    <t>DCS-7280CR3K-32D4A-R</t>
  </si>
  <si>
    <t>DCS-7280CR3K-32D4A#</t>
  </si>
  <si>
    <t>DCS-7280CR3K-32D4A-FLX-F</t>
  </si>
  <si>
    <t>DCS-7280CR3K-32D4A-FLX-R</t>
  </si>
  <si>
    <t>DCS-7280CR3K-32D4A-FLX#</t>
  </si>
  <si>
    <t>DCS-7280CR3K-32P4A-F</t>
  </si>
  <si>
    <t>DCS-7280CR3K-32P4A-R</t>
  </si>
  <si>
    <t>DCS-7280CR3K-32P4A#</t>
  </si>
  <si>
    <t>DCS-7280CR3K-32P4A-FLX-F</t>
  </si>
  <si>
    <t>DCS-7280CR3K-32P4A-FLX-R</t>
  </si>
  <si>
    <t>DCS-7280CR3K-32P4A-FLX#</t>
  </si>
  <si>
    <t>DCS-7280CR3K-36A-F</t>
  </si>
  <si>
    <t>DCS-7280CR3K-36A#</t>
  </si>
  <si>
    <t>DCS-7280CR3K-36A-FLX-F</t>
  </si>
  <si>
    <t>DCS-7280CR3K-36A-FLX#</t>
  </si>
  <si>
    <t>DCS-7060DX5-64S-F</t>
  </si>
  <si>
    <t>DCS-7804R3-BNDS</t>
  </si>
  <si>
    <t>DCS-7808R3-BNDS-DC</t>
  </si>
  <si>
    <t>DCS-7808R3-BNDS</t>
  </si>
  <si>
    <t>DCS-7812R3-BNDS-DC</t>
  </si>
  <si>
    <t>DCS-7812R3-BNDS</t>
  </si>
  <si>
    <t>DCS-7816R3-BNDS-DC</t>
  </si>
  <si>
    <t>DCS-7816R3-BNDS</t>
  </si>
  <si>
    <t>DCS-7800-SUP1S</t>
  </si>
  <si>
    <t>Supervisor1S module for 7800 series chassis (Spare)</t>
  </si>
  <si>
    <t>DCS-7800-SUP1S#</t>
  </si>
  <si>
    <t>Supervisor1S module for 7800 series chassis (Ships in chassis)</t>
  </si>
  <si>
    <t>DCS-7816-SUP1S</t>
  </si>
  <si>
    <t>Supervisor1S module for 7800 series 7816 chassis (Spare)</t>
  </si>
  <si>
    <t>DCS-7816-SUP1S#</t>
  </si>
  <si>
    <t>Supervisor1S module for 7800 series 7816 chassis (Ships in chassis)</t>
  </si>
  <si>
    <t>LIC-FIX-3-ENCR</t>
  </si>
  <si>
    <t xml:space="preserve">Enhanced Security Encryption License for Arista Group 3 Fixed switches, Encryption capable ports, TunnelSec and MACsec
</t>
  </si>
  <si>
    <t>DCS-7130LBR-48S6QD-F</t>
  </si>
  <si>
    <t>DCS-7130LBR-48S6QD-R</t>
  </si>
  <si>
    <t>DCS-7130LBR-48S6QD#</t>
  </si>
  <si>
    <t>SS-NDR-G-SWITCH-1M</t>
  </si>
  <si>
    <t>SVC-7280CR3K-36A-1M-NB</t>
  </si>
  <si>
    <t>1 Month A-Care Software &amp; NBD Hardware Replacement/Same Day Ship for 7280CR3K-36A</t>
  </si>
  <si>
    <t>SVC-7280CR3K-36A-1M-4H</t>
  </si>
  <si>
    <t>1-Month A-Care Software &amp; 24x7x4 Hour Hardware Replacement for 7280CR3K-36A</t>
  </si>
  <si>
    <t>SVC-7280CR3K-36A-1M-2H</t>
  </si>
  <si>
    <t>1-Month A-Care Software &amp; 24x7x2 Hour Hardware Replacement for 7280CR3K-36A</t>
  </si>
  <si>
    <t>OSV-7280CR3K-36A-1M-NB</t>
  </si>
  <si>
    <t>Onsite Service: 1 Month A-Care Software &amp; NBD Hardware Replacement/Same Day Ship for 7280CR3K-36A</t>
  </si>
  <si>
    <t>OSV-7280CR3K-36A-1M-4H</t>
  </si>
  <si>
    <t>Onsite Service: 1-Month A-Care Software &amp; 24x7x4 Hour Hardware Replacement for 7280CR3K-36A</t>
  </si>
  <si>
    <t>SVC-7280CR3K-36A-1M-SHR</t>
  </si>
  <si>
    <t>SVC-7280CR3K-36A-1M-SH4</t>
  </si>
  <si>
    <t>SVC-7280SR3K-48YC8A-1M-NB</t>
  </si>
  <si>
    <t>1 Month A-Care Software &amp; NBD Hardware Replacement/Same Day Ship for 7280SR3K-48YC8A</t>
  </si>
  <si>
    <t>SVC-7280SR3K-48YC8A-1M-4H</t>
  </si>
  <si>
    <t>1-Month A-Care Software &amp; 24x7x4 Hour Hardware Replacement for 7280SR3K-48YC8A</t>
  </si>
  <si>
    <t>SVC-7280SR3K-48YC8A-1M-2H</t>
  </si>
  <si>
    <t>1-Month A-Care Software &amp; 24x7x2 Hour Hardware Replacement for 7280SR3K-48YC8A</t>
  </si>
  <si>
    <t>OSV-7280SR3K-48YC8A-1M-NB</t>
  </si>
  <si>
    <t>Onsite Service: 1 Month A-Care Software &amp; NBD Hardware Replacement/Same Day Ship for 7280SR3K-48YC8A</t>
  </si>
  <si>
    <t>OSV-7280SR3K-48YC8A-1M-4H</t>
  </si>
  <si>
    <t>Onsite Service: 1-Month A-Care Software &amp; 24x7x4 Hour Hardware Replacement for 7280SR3K-48YC8A</t>
  </si>
  <si>
    <t>SVC-7280SR3K-48YC8A-1M-SHR</t>
  </si>
  <si>
    <t>SVC-7280SR3K-48YC8A-1M-SH4</t>
  </si>
  <si>
    <t>SVC-7280CR3K-32D4A-1M-NB</t>
  </si>
  <si>
    <t>1 Month A-Care Software &amp; NBD Hardware Replacement/Same Day Ship for 7280CR3K-32D4A</t>
  </si>
  <si>
    <t>SVC-7280CR3K-32D4A-1M-4H</t>
  </si>
  <si>
    <t>1-Month A-Care Software &amp; 24x7x4 Hour Hardware Replacement for 7280CR3K-32D4A</t>
  </si>
  <si>
    <t>SVC-7280CR3K-32D4A-1M-2H</t>
  </si>
  <si>
    <t>1-Month A-Care Software &amp; 24x7x2 Hour Hardware Replacement for 7280CR3K-32D4A</t>
  </si>
  <si>
    <t>OSV-7280CR3K-32D4A-1M-NB</t>
  </si>
  <si>
    <t>Onsite Service: 1 Month A-Care Software &amp; NBD Hardware Replacement/Same Day Ship for 7280CR3K-32D4A</t>
  </si>
  <si>
    <t>OSV-7280CR3K-32D4A-1M-4H</t>
  </si>
  <si>
    <t>Onsite Service: 1-Month A-Care Software &amp; 24x7x4 Hour Hardware Replacement for 7280CR3K-32D4A</t>
  </si>
  <si>
    <t>SVC-7280CR3K-32D4A-1M-SHR</t>
  </si>
  <si>
    <t>SVC-7280CR3K-32D4A-1M-SH4</t>
  </si>
  <si>
    <t>SVC-7280CR3K-32P4A-1M-NB</t>
  </si>
  <si>
    <t>1-Month A-Care Software &amp; NBD Hardware Replacement/Same Day Ship for 7280CR3K-32P4A</t>
  </si>
  <si>
    <t>SVC-7280CR3K-32P4A-1M-4H</t>
  </si>
  <si>
    <t>1-Month A-Care Software &amp; 24x7x4 Hour Hardware Replacement for 7280CR3K-32P4A</t>
  </si>
  <si>
    <t>SVC-7280CR3K-32P4A-1M-2H</t>
  </si>
  <si>
    <t>1-Month A-Care Software &amp; 24x7x2 Hour Hardware Replacement for 7280CR3K-32P4A</t>
  </si>
  <si>
    <t>OSV-7280CR3K-32P4A-1M-NB</t>
  </si>
  <si>
    <t>Onsite Service: 1 Month A-Care Software &amp; NBD Hardware Replacement/Same Day Ship for 7280CR3K-32P4A</t>
  </si>
  <si>
    <t>OSV-7280CR3K-32P4A-1M-4H</t>
  </si>
  <si>
    <t>Onsite Service: 1-Month A-Care Software &amp; 24x7x4 Hour Hardware Replacement for 7280CR3K-32P4A</t>
  </si>
  <si>
    <t>SVC-7280CR3K-32P4A-1M-SHR</t>
  </si>
  <si>
    <t>SVC-7280CR3K-32P4A-1M-SH4</t>
  </si>
  <si>
    <t>SVC-7060DX5-64S-1M-NB</t>
  </si>
  <si>
    <t>1 Month A-Care Software &amp; NBD Hardware Replacement/Same Day Ship for 7060DX5-64S</t>
  </si>
  <si>
    <t>SVC-7060DX5-64S-1M-4H</t>
  </si>
  <si>
    <t>1-Month A-Care Software &amp; 24x7x4 Hour Hardware Replacement for 7060DX5-64S</t>
  </si>
  <si>
    <t>SVC-7060DX5-64S-1M-2H</t>
  </si>
  <si>
    <t>1-Month A-Care Software &amp; 24x7x2 Hour Hardware Replacement for 7060DX5-64S</t>
  </si>
  <si>
    <t>OSV-7060DX5-64S-1M-NB</t>
  </si>
  <si>
    <t>Onsite Service: 1 Month A-Care Software &amp; NBD Hardware Replacement/Same Day Ship for 7060DX5-64S</t>
  </si>
  <si>
    <t>OSV-7060DX5-64S-1M-4H</t>
  </si>
  <si>
    <t>Onsite Service: 1-Month A-Care Software &amp; 24x7x4 Hour Hardware Replacement for 7060DX5-64S</t>
  </si>
  <si>
    <t>SVC-7060DX5-64S-1M-SHR</t>
  </si>
  <si>
    <t>SVC-7060DX5-64S-1M-SH4</t>
  </si>
  <si>
    <t>SVC-7130LBR-48S6QD-1M-NB</t>
  </si>
  <si>
    <t>1-Month A-Care Software &amp; NBD Hardware Replacement/Same Day Ship for 7130LBR-48S6QD</t>
  </si>
  <si>
    <t>SVC-7130LBR-48S6QD-1M-4H</t>
  </si>
  <si>
    <t>1-Month A-Care Software &amp; 24x7x4 Hour Hardware Replacement for 7130LBR-48S6QD</t>
  </si>
  <si>
    <t>SVC-7130LBR-48S6QD-1M-2H</t>
  </si>
  <si>
    <t>Edge Threat Management Q6E/Q6EWL Rackmount</t>
  </si>
  <si>
    <t>KIT-ETM-NGQ8</t>
  </si>
  <si>
    <t>Edge Threat Management Q8/Q8W Rackmount</t>
  </si>
  <si>
    <t>CCA-ETM-Q12</t>
  </si>
  <si>
    <t>Edge Threat Management, NG Firewall for mid-to-large sized offices</t>
  </si>
  <si>
    <t>CCA-ETM-Q20</t>
  </si>
  <si>
    <t>CCA-ETM-Q8</t>
  </si>
  <si>
    <t>CCA-ETM-Q8W</t>
  </si>
  <si>
    <t>Edge Threat Management, NG Firewall for small or medium offices, or retail locations with integrated WiFi</t>
  </si>
  <si>
    <t>CCS-750X-48THP-LC</t>
  </si>
  <si>
    <t>Arista 750 Series 48 port 1G PoE (90W) linecard</t>
  </si>
  <si>
    <t>PWR-3K3T-RET</t>
  </si>
  <si>
    <t>Power Cord retention for PWR-3351-AC power supplies (Spare)</t>
  </si>
  <si>
    <t>DCS-7280SR3K-48YC8-FLX#</t>
  </si>
  <si>
    <t>DCS-7280SR3M-48YC8-FLX#</t>
  </si>
  <si>
    <t>DCS-7060DX5-64S#</t>
  </si>
  <si>
    <t>DCS-7280DR3A-54-F</t>
  </si>
  <si>
    <t>Arista 7280R3A, 54x400GbE QSFP-DD switch router, front to rear air, 2 x AC</t>
  </si>
  <si>
    <t>DCS-7280DR3A-54#</t>
  </si>
  <si>
    <t>Arista 7280R3A, 54x400GbE QSFP-DD switch router, configurable fans and psu</t>
  </si>
  <si>
    <t>DCS-7280DR3A-54-FLX-F</t>
  </si>
  <si>
    <t>Arista 7280R3A, 54x400GbE QSFP-DD switch router, front to rear air, 2 x AC, Over 256K Routes, MPLS and VXLAN</t>
  </si>
  <si>
    <t>DCS-7280DR3AM-54-F</t>
  </si>
  <si>
    <t>Arista 7280R3A, 54x400GbE QSFP-DD switch router, Enh MACsec, front to rear air, 2 x AC</t>
  </si>
  <si>
    <t>DCS-7280DR3AM-54#</t>
  </si>
  <si>
    <t>Arista 7280R3A, 54x400GbE QSFP-DD switch router, Enh MACsec, configurable fans and psu</t>
  </si>
  <si>
    <t>DCS-7280DR3AM-54-FLX-F</t>
  </si>
  <si>
    <t>Arista 7280R3A, 54x400GbE QSFP-DD switch router, Enh MACsec, front to rear air, 2 x AC, Over 256K Routes, MPLS and VXLAN</t>
  </si>
  <si>
    <t>DCS-7280DR3AK-54-F</t>
  </si>
  <si>
    <t>Arista 7280R3A, 54x400GbE QSFP-DD switch router, large routes and Enh MACsec, front to rear air, 2 x AC</t>
  </si>
  <si>
    <t>DCS-7280DR3AK-54#</t>
  </si>
  <si>
    <t>Arista 7280R3A, 54x400GbE QSFP-DD switch router, large routes and Enh MACsec, configurable fans and psu</t>
  </si>
  <si>
    <t>DCS-7280DR3AK-54-FLX-F</t>
  </si>
  <si>
    <t>Arista 7280R3A, 54x400GbE QSFP-DD switch router, large routes and Enh MACsec, front to rear air, 2 x AC, Over 256K Routes, MPLS and VXLAN</t>
  </si>
  <si>
    <t>DCS-7800R3-48CQMS-LC</t>
  </si>
  <si>
    <t>7800R3 Series 48 port 100GbE QSFP with Enh MACSec line card (spare)</t>
  </si>
  <si>
    <t>DCS-7800R3-48CQMS-LC#</t>
  </si>
  <si>
    <t>7800R3 Series 48 port 100GbE QSFP with Enh MACSec line card (Ships in chassis)</t>
  </si>
  <si>
    <t>KIT-7812</t>
  </si>
  <si>
    <t>QSFP-100G-PLRL4</t>
  </si>
  <si>
    <t>100GBASE-PLRL4 QSFP100 transceiver, up to 2km over parallel single mode fiber, 100G/40G dual rate</t>
  </si>
  <si>
    <t>PWR-1511-AC-BLUE#</t>
  </si>
  <si>
    <t>PWR-1511-DC-BLUE#</t>
  </si>
  <si>
    <t>PWR-1511-DC-RED#</t>
  </si>
  <si>
    <t>SFP-10G-MRA-T</t>
  </si>
  <si>
    <t>10G/1G/100M BASE-T Copper (RJ45) SFP Transceiver with Active Rate Adaptation, up to 30m over Cat6a Cable</t>
  </si>
  <si>
    <t>SVE-EOS-CNT</t>
  </si>
  <si>
    <t>Custom PS Network Consulting Services (Requires scoping by PS)</t>
  </si>
  <si>
    <t>DCA-350E-CV</t>
  </si>
  <si>
    <t xml:space="preserve">1 unit CloudVision Physical Appliance, Model 350E. Extended Resources. Encrypted Disks. 10G. Incl server sw. No device licenses.
</t>
  </si>
  <si>
    <t>AP-C200-SS-PREM-3Y</t>
  </si>
  <si>
    <t>C-200 2x2:2 dual radio Wi-Fi 6 access point with internal antennas with a 3 year on-premises cognitive management subscription</t>
  </si>
  <si>
    <t>AP-C200-SS-PREM-5Y</t>
  </si>
  <si>
    <t>SS-ETM-NG100-1M</t>
  </si>
  <si>
    <t>Edge Threat Management NG Firewall Subscription License for 1-Month, Up to 100 devices</t>
  </si>
  <si>
    <t>SS-ETM-NG150-1M</t>
  </si>
  <si>
    <t>Edge Threat Management NG Firewall Subscription License for 1-Month, Up to 150 devices</t>
  </si>
  <si>
    <t>SS-ETM-NG250-1M</t>
  </si>
  <si>
    <t>Edge Threat Management NG Firewall Subscription License for 1-Month, Up to 250 devices</t>
  </si>
  <si>
    <t>SS-ETM-NG25-1M</t>
  </si>
  <si>
    <t>Edge Threat Management NG Firewall Subscription License for 1-Month, Up to 25 devices</t>
  </si>
  <si>
    <t>SS-ETM-NG50-1M</t>
  </si>
  <si>
    <t>Edge Threat Management NG Firewall Subscription License for 1-Month, Up to 50 devices</t>
  </si>
  <si>
    <t>SS-ETM-NG75-1M</t>
  </si>
  <si>
    <t>Edge Threat Management NG Firewall Subscription License for 1-Month, Up to 75 devices</t>
  </si>
  <si>
    <t>SS-ETM-NGQ12U-1M</t>
  </si>
  <si>
    <t>Edge Threat Management NG Firewall Subscription License for 1-Month, for Q12 Unlimited</t>
  </si>
  <si>
    <t>SS-ETM-NGQ8U-1M</t>
  </si>
  <si>
    <t>Edge Threat Management NG Firewall Subscription License for 1-Month, for Q8 &amp; Q8W Unlimited</t>
  </si>
  <si>
    <t>SS-ETM-NGUL-1M</t>
  </si>
  <si>
    <t>Edge Threat Management NG Firewall Subscription License for 1-Month, for Unlimited devices</t>
  </si>
  <si>
    <t>SVC-Q12-1M-NB</t>
  </si>
  <si>
    <t>1-Month A-Care 10 x 5 Software &amp; NBD Hardware Replacement/Same Day Ship for Q12</t>
  </si>
  <si>
    <t>SVC-Q12-1M-RB</t>
  </si>
  <si>
    <t>1-Month A-Care 10 x 5 Software Support and HW Replacement for Q12</t>
  </si>
  <si>
    <t>SVC-Q12-1M-SHR</t>
  </si>
  <si>
    <t>SVC-Q20-1M-NB</t>
  </si>
  <si>
    <t>1-Month A-Care 10 x 5 Software &amp; NBD Hardware Replacement/Same Day Ship for Q20</t>
  </si>
  <si>
    <t>SVC-Q20-1M-RB</t>
  </si>
  <si>
    <t>1-Month A-Care 10 x 5 Software Support and HW Replacement for Q20</t>
  </si>
  <si>
    <t>SVC-Q20-1M-SHR</t>
  </si>
  <si>
    <t>SVC-Q6E-1M-SHR</t>
  </si>
  <si>
    <t>SVC-Q6EWL-1M-SHR</t>
  </si>
  <si>
    <t>SVC-Q8-1M-NB</t>
  </si>
  <si>
    <t>1-Month A-Care 10 x 5 Software &amp; NBD Hardware Replacement/Same Day Ship for Q8</t>
  </si>
  <si>
    <t>SVC-Q8-1M-RB</t>
  </si>
  <si>
    <t>1-Month A-Care 10 x 5 Software Support and HW Replacement for Q8</t>
  </si>
  <si>
    <t>SVC-Q8-1M-SHR</t>
  </si>
  <si>
    <t>SVC-Q8W-1M-NB</t>
  </si>
  <si>
    <t>1-Month A-Care 10 x 5 Software &amp; NBD Hardware Replacement/Same Day Ship for Q8W</t>
  </si>
  <si>
    <t>SVC-Q8W-1M-RB</t>
  </si>
  <si>
    <t>1-Month A-Care 10 x 5 Software Support and HW Replacement for Q8W</t>
  </si>
  <si>
    <t>SVC-Q8W-1M-SHR</t>
  </si>
  <si>
    <t>SVC-7280DR3A-54-1M-NB</t>
  </si>
  <si>
    <t>1 Month A-Care Software &amp; NBD Hardware Replacement/Same Day Ship for 7280DR3A-54</t>
  </si>
  <si>
    <t>SVC-7280DR3A-54-1M-4H</t>
  </si>
  <si>
    <t>1-Month A-Care Software &amp; 24x7x4 Hour Hardware Replacement for 7280DR3A-54</t>
  </si>
  <si>
    <t>SVC-7280DR3A-54-1M-2H</t>
  </si>
  <si>
    <t>1-Month A-Care Software &amp; 24x7x2 Hour Hardware Replacement for 7280DR3A-54</t>
  </si>
  <si>
    <t>OSV-7280DR3A-54-1M-NB</t>
  </si>
  <si>
    <t>Onsite Service: 1 Month A-Care Software &amp; NBD Hardware Replacement/Same Day Ship for 7280DR3A-54</t>
  </si>
  <si>
    <t>OSV-7280DR3A-54-1M-4H</t>
  </si>
  <si>
    <t>Onsite Service: 1-Month A-Care Software &amp; 24x7x4 Hour Hardware Replacement for 7280DR3A-54</t>
  </si>
  <si>
    <t>SVC-7280DR3A-54-1M-SHR</t>
  </si>
  <si>
    <t>SVC-7280DR3A-54-1M-SH4</t>
  </si>
  <si>
    <t>SVC-7280DR3AM-54-1M-NB</t>
  </si>
  <si>
    <t>1 Month A-Care Software &amp; NBD Hardware Replacement/Same Day Ship for 7280DR3AM-54</t>
  </si>
  <si>
    <t>SVC-7280DR3AM-54-1M-4H</t>
  </si>
  <si>
    <t>1-Month A-Care Software &amp; 24x7x4 Hour Hardware Replacement for 7280DR3AM-54</t>
  </si>
  <si>
    <t>SVC-7280DR3AM-54-1M-2H</t>
  </si>
  <si>
    <t>1-Month A-Care Software &amp; 24x7x2 Hour Hardware Replacement for 7280DR3AM-54</t>
  </si>
  <si>
    <t>OSV-7280DR3AM-54-1M-NB</t>
  </si>
  <si>
    <t>Onsite Service: 1 Month A-Care Software &amp; NBD Hardware Replacement/Same Day Ship for 7280DR3AM-54</t>
  </si>
  <si>
    <t>OSV-7280DR3AM-54-1M-4H</t>
  </si>
  <si>
    <t>Onsite Service: 1-Month A-Care Software &amp; 24x7x4 Hour Hardware Replacement for 7280DR3AM-54</t>
  </si>
  <si>
    <t>SVC-7280DR3AM-54-1M-SHR</t>
  </si>
  <si>
    <t>SVC-7280DR3AM-54-1M-SH4</t>
  </si>
  <si>
    <t>SVC-7280DR3AK-54-1M-NB</t>
  </si>
  <si>
    <t>1 Month A-Care Software &amp; NBD Hardware Replacement/Same Day Ship for 7280DR3AK-54</t>
  </si>
  <si>
    <t>SVC-7280DR3AK-54-1M-4H</t>
  </si>
  <si>
    <t>1-Month A-Care Software &amp; 24x7x4 Hour Hardware Replacement for 7280DR3AK-54</t>
  </si>
  <si>
    <t>SVC-7280DR3AK-54-1M-2H</t>
  </si>
  <si>
    <t>1-Month A-Care Software &amp; 24x7x2 Hour Hardware Replacement for 7280DR3AK-54</t>
  </si>
  <si>
    <t>OSV-7280DR3AK-54-1M-NB</t>
  </si>
  <si>
    <t>Onsite Service: 1 Month A-Care Software &amp; NBD Hardware Replacement/Same Day Ship for 7280DR3AK-54</t>
  </si>
  <si>
    <t>OSV-7280DR3AK-54-1M-4H</t>
  </si>
  <si>
    <t>Onsite Service: 1-Month A-Care Software &amp; 24x7x4 Hour Hardware Replacement for 7280DR3AK-54</t>
  </si>
  <si>
    <t>SVC-7280DR3AK-54-1M-SHR</t>
  </si>
  <si>
    <t>SVC-7280DR3AK-54-1M-SH4</t>
  </si>
  <si>
    <t>OSV-7358X4-1M-NB</t>
  </si>
  <si>
    <t>Onsite Service: 1-Month A-Care Software &amp; NBD Hardware Replacement/Same Day Ship for 7358X4</t>
  </si>
  <si>
    <t>OSV-7358X4-1M-4H</t>
  </si>
  <si>
    <t>Onsite Service: 1-Month A-Care Software &amp; 24x7x4 Hour Hardware Replacement for 7358X4</t>
  </si>
  <si>
    <t>Edge Threat Management, NG Firewall for large offices or campus deployments</t>
  </si>
  <si>
    <t>Edge Threat Management, NG Firewall for small or medium offices or retail locations</t>
  </si>
  <si>
    <t>DCA-NDR-S100MB</t>
  </si>
  <si>
    <t>ASP Sensor Physical Appliance, up to 100 Mb/sec BW, requires HW support. No license</t>
  </si>
  <si>
    <t>PWR-2021-AC-RED</t>
  </si>
  <si>
    <t>DCS-7308X3-BND2-D-F</t>
  </si>
  <si>
    <t>Arista 7308X3 chassis bundle. Includes 7308 chassis, 4x3KW PS, 4x 7300X3 Fabrics/fans, 1x Supervisor2 &amp; SSD (F-R)</t>
  </si>
  <si>
    <t>DCS-7308X3-BND2-DC-D-F</t>
  </si>
  <si>
    <t>Arista 7308X3 chassis bundle. Includes 7308 chassis, 4xDC PS, 4x 7300X3 Fabrics/fans, 1x Supervisor2 &amp; SSD (F-R)</t>
  </si>
  <si>
    <t>DCS-7304X3-BND2-D-F</t>
  </si>
  <si>
    <t>Arista 7304X3 chassis bundle. Includes 7304 chassis, 2x3KW PS, 4x 7300X3 Fabrics/fans, 1x Supervisor2 &amp; SSD (F-R)</t>
  </si>
  <si>
    <t>DCS-7304X3-BND2-DC-D-F</t>
  </si>
  <si>
    <t>Arista 7304X3 chassis bundle. Includes 7304 chassis, 2xDC PS, 4x 7300X3 Fabrics/fans, 1x Supervisor2 &amp; SSD (F-R)</t>
  </si>
  <si>
    <t>DCS-7300-SUP2-D</t>
  </si>
  <si>
    <t>Supervisor-2 for 7300 Series chassis, with SSD</t>
  </si>
  <si>
    <t>Arista 7130 Series, with 48 SFP+, 6 QSFP-DD, Layer 1 X-point, 2x VU9P-3 FPGA, R series switch, front-to-rear air, 2xAC</t>
  </si>
  <si>
    <t>Arista 7130 Series, with 48 SFP+, 6 QSFP-DD, Layer 1 X-point, 2x VU9P-3 FPGA, R series switch, rear-to-front air, 2xAC</t>
  </si>
  <si>
    <t>Arista 7130 Series, with 48 SFP+, 6 QSFP-DD, Layer 1 X-point, 2x VU9P-3 FPGA, R series switch, configurable fans &amp; psu</t>
  </si>
  <si>
    <t>SS-NDR-S100MB-1M</t>
  </si>
  <si>
    <t>ASP Sensor Subscription License for 1-Month, up to 100Mb/sec BW, A-Care Support</t>
  </si>
  <si>
    <t>SVC-DCA-NDR-S100MB-1M-NB</t>
  </si>
  <si>
    <t>ASP: NBD Hardware Replacement/Same Day Ship for 100Mb Sensor</t>
  </si>
  <si>
    <t>1-Month A-Care Software &amp; 24x7x2 Hour Hardware Replacement for 7130LBR-48S6QD</t>
  </si>
  <si>
    <t>SS-CC-MCD-1M</t>
  </si>
  <si>
    <t>OSV-7060DX5-64-1M-4H</t>
  </si>
  <si>
    <t>OSV-7060DX5-64-1M-NB</t>
  </si>
  <si>
    <t>OSV-7060DX5-64E-1M-4H</t>
  </si>
  <si>
    <t>OSV-7060DX5-64E-1M-NB</t>
  </si>
  <si>
    <t>SS-DM-MCD-1M</t>
  </si>
  <si>
    <t>CAB-SYNCE-RJ</t>
  </si>
  <si>
    <t>OSV-7289R3A-1M-4H</t>
  </si>
  <si>
    <t>OSV-7289R3A-1M-NB</t>
  </si>
  <si>
    <t>OSV-7289R3AK-1M-4H</t>
  </si>
  <si>
    <t>OSV-7289R3AK-1M-NB</t>
  </si>
  <si>
    <t>OSV-7289R3AM-1M-4H</t>
  </si>
  <si>
    <t>OSV-7289R3AM-1M-NB</t>
  </si>
  <si>
    <t>DCS-7060DX5-64#</t>
  </si>
  <si>
    <t>DCS-7060DX5-64-F</t>
  </si>
  <si>
    <t>SVC-7060DX5-64-1M-2H</t>
  </si>
  <si>
    <t>SVC-7060DX5-64-1M-4H</t>
  </si>
  <si>
    <t>SVC-7060DX5-64-1M-NB</t>
  </si>
  <si>
    <t>SVC-7060DX5-64-1M-SH4</t>
  </si>
  <si>
    <t>SVC-7060DX5-64-1M-SHR</t>
  </si>
  <si>
    <t>SVC-7060DX5-64E-1M-2H</t>
  </si>
  <si>
    <t>SVC-7060DX5-64E-1M-4H</t>
  </si>
  <si>
    <t>SVC-7060DX5-64E-1M-NB</t>
  </si>
  <si>
    <t>SVC-7060DX5-64E-1M-SH4</t>
  </si>
  <si>
    <t>SVC-7060DX5-64E-1M-SHR</t>
  </si>
  <si>
    <t>DCS-7289-CH</t>
  </si>
  <si>
    <t>DCS-7289R3A-BND-D-DC-F</t>
  </si>
  <si>
    <t>DCS-7289R3A-BND-D-F</t>
  </si>
  <si>
    <t>DCS-7289R3AK-BND-D-DC-F</t>
  </si>
  <si>
    <t>DCS-7289R3AK-BND-D-F</t>
  </si>
  <si>
    <t>DCS-7289R3AK-SC</t>
  </si>
  <si>
    <t>DCS-7289R3AM-BND-D-DC-F</t>
  </si>
  <si>
    <t>DCS-7289R3AM-BND-D-F</t>
  </si>
  <si>
    <t>DCS-7289R3AM-SC</t>
  </si>
  <si>
    <t>DCS-7289R3A-SC</t>
  </si>
  <si>
    <t>DCS-7289-SUP-D</t>
  </si>
  <si>
    <t>DCS-7289-SUP-D#</t>
  </si>
  <si>
    <t>DCS-7300X3-48TC4-LC</t>
  </si>
  <si>
    <t>DCS-7300X3-48TC4-LC#</t>
  </si>
  <si>
    <t>DCS-7388-16CD2</t>
  </si>
  <si>
    <t>DCS-7388-16CD2#</t>
  </si>
  <si>
    <t>DCS-7388-8D#</t>
  </si>
  <si>
    <t>DCS-7388-8DR</t>
  </si>
  <si>
    <t>DCS-7388-8DR#</t>
  </si>
  <si>
    <t>DCS-7388-SUP</t>
  </si>
  <si>
    <t>DCS-7388X5-128-BND-F</t>
  </si>
  <si>
    <t>DCS-7388X5-32C-48DR-F</t>
  </si>
  <si>
    <t>DCS-7388X5-64DR-F</t>
  </si>
  <si>
    <t>DCS-7388X5-80C-24DR-F</t>
  </si>
  <si>
    <t>DCS-7388X5-BND-F</t>
  </si>
  <si>
    <t>DCS-7388X5-SC</t>
  </si>
  <si>
    <t>DCS-7388X5-SC#</t>
  </si>
  <si>
    <t>DCS-7388X5-SC-SPARE</t>
  </si>
  <si>
    <t>FAN-7012H-BLUE</t>
  </si>
  <si>
    <t>FAN-7012H-BLUE#</t>
  </si>
  <si>
    <t>SVC-7289R3A-1M-2H</t>
  </si>
  <si>
    <t>SVC-7289R3A-1M-4H</t>
  </si>
  <si>
    <t>SVC-7289R3A-1M-SH4</t>
  </si>
  <si>
    <t>SVC-7289R3A-1M-SHR</t>
  </si>
  <si>
    <t>SVC-7289R3AK-1M-2H</t>
  </si>
  <si>
    <t>SVC-7289R3AK-1M-4H</t>
  </si>
  <si>
    <t>SVC-7289R3AK-1M-SH4</t>
  </si>
  <si>
    <t>SVC-7289R3AK-1M-SHR</t>
  </si>
  <si>
    <t>SVC-7289R3AM-1M-2H</t>
  </si>
  <si>
    <t>SVC-7289R3AM-1M-4H</t>
  </si>
  <si>
    <t>SVC-7289R3AM-1M-SH4</t>
  </si>
  <si>
    <t>SVC-7289R3AM-1M-SHR</t>
  </si>
  <si>
    <t>SVC-7304X3-2-1M-NB</t>
  </si>
  <si>
    <t>PWR-2411-AC-BLUE</t>
  </si>
  <si>
    <t>PWR-2411-DC-BLUE</t>
  </si>
  <si>
    <t>PWR-3001-AC-RED</t>
  </si>
  <si>
    <t>PWR-3001-DC-RED</t>
  </si>
  <si>
    <t>SVC-7308X3-2-1M-NB</t>
  </si>
  <si>
    <t>Arista 7060X5, 32 x 2x400GbE QSFP-DD switch, no fans, no psu</t>
  </si>
  <si>
    <t>Arista 7289R3 System bundle. Includes 7289 chassis, AC PS, Fans, Supervisor and R3A Switch Card (front to rear air)</t>
  </si>
  <si>
    <t>Arista 7289R3 System bundle. Includes 7289 chassis, AC PS, Fans, Supervisor and R3AM Switch Card (front to rear air)</t>
  </si>
  <si>
    <t>Arista 7289R3 System bundle. Includes 7289 chassis, AC PS, Fans, Supervisor and R3AK Switch Card (front to rear air)</t>
  </si>
  <si>
    <t>7289R3A Switch Card for 7289 chassis, R3A-SC, includes Fans, Spare</t>
  </si>
  <si>
    <t>7289R3A Switch Card with Enh MACsec for 7289 chassis, R3AM-SC, includes Fans, Spare</t>
  </si>
  <si>
    <t>7289R3A Switch Card with Route Scale and Enh MACsec for 7289 chassis, R3AK-SC, includes Fans, Spare</t>
  </si>
  <si>
    <t>Arista 7289 empty chassis, 1 supervisor slot, 9 module slots</t>
  </si>
  <si>
    <t>Supervisor module for 7289 Series, with SSD, Spare</t>
  </si>
  <si>
    <t>Supervisor module for 7289 Series, with SSD (Ships in chassis)</t>
  </si>
  <si>
    <t>Arista 7289R3 System bundle. Includes 7289 chassis, DC PS, Fans, Supervisor and R3A Switch Card (front to rear air)</t>
  </si>
  <si>
    <t>Arista 7289R3 System bundle. Includes 7289 chassis, DC PS, Fans, Supervisor and R3AM Switch Card (front to rear air)</t>
  </si>
  <si>
    <t>Arista 7289R3 System bundle. Includes 7289 chassis, DC PS, Fans, Supervisor and R3AK Switch Card (front to rear air)</t>
  </si>
  <si>
    <t>Arista 7388X System bundle. Includes 7388, 2 x AC PS, Supervisor, 7388X5-SC and Fans (front-to-rear air)</t>
  </si>
  <si>
    <t>Arista 7388X System bundle. Includes 7388X5-BND Bundle and 128 x 200G QSFP-DD ports (front-to-rear air)</t>
  </si>
  <si>
    <t>Arista 7388X System bundle. Includes 7388X5-BND Bundle and 80 x 200G, 24 x 400G QSFP-DD (front-to-rear air)</t>
  </si>
  <si>
    <t>Arista 7388X System bundle. Includes 7388X5-BND Bundle and 32 x 200G, 48 x 400G QSFP-DD (front-to-rear air)</t>
  </si>
  <si>
    <t>Arista 7388X System bundle. Includes 7388X5-BND Bundle and 64 x 400G QSFP-DD (front-to-rear air)</t>
  </si>
  <si>
    <t>Supervisor module for 7388 Series</t>
  </si>
  <si>
    <t>Arista 7388X5 Switch Card for 7388 chassis, includes Fans and PSU (front-to-rear air) Spare</t>
  </si>
  <si>
    <t>Arista 7388X5 Switch Card for 7388 chassis, No Fans and PSU (Spare)</t>
  </si>
  <si>
    <t>Arista 7388X-16CD module for 7388X Series, 16 port 200GbE QSFP100-DD Enhanced (Spare)</t>
  </si>
  <si>
    <t>Arista 7388X-8DR module for 7388X Series, 8 port 400GbE QSFP-DD (Spare)</t>
  </si>
  <si>
    <t>Arista 7388X5 Switch Card for 7388 chassis, includes Fans and PSU (front-to-rear air) Ships in chassis</t>
  </si>
  <si>
    <t>Arista 7388X-16CD module for 7388X Series, 16 port 200GbE QSFP100-DD Enhanced (Ships in chassis)</t>
  </si>
  <si>
    <t>Arista 7388X-8DR module for 7388X Series, 8 port 400GbE QSFP-DD (Ships in chassis)</t>
  </si>
  <si>
    <t>Arista 7388X-8D module for 7388X Series, 8 port 400GbE QSFP-DD with MACsec (Ships in chassis)</t>
  </si>
  <si>
    <t>Arista 7300X3 48 port RJ45 10GBase-T &amp; 4 port 100GbE QSFP linecard for 7300X3 Series (Spare)</t>
  </si>
  <si>
    <t>Arista 7300X3 48 port RJ45 10GBase-T &amp; 4 port 100GbE QSFP linecard for 7300X3 Series (Ships in chassis)</t>
  </si>
  <si>
    <t>Arista PSU, 1RU, AC/DC, 3000W, FORWARD, 80.6MM</t>
  </si>
  <si>
    <t>Arista PSU, 1RU, DC/DC, 3000W, FORWARD, 80.6MM</t>
  </si>
  <si>
    <t>Spare SyncE to RJ45 adapater cable</t>
  </si>
  <si>
    <t>Arista PSU, AC TO DC, 2400W, REVERSE, BLUE</t>
  </si>
  <si>
    <t>Arista PSU, 1RU, DC/DC, 2400W, REVERSE, 73.5MM</t>
  </si>
  <si>
    <t>Spare fan module for Arista 7000 Series 2RU High Speed Fan (rear-to-front airflow)</t>
  </si>
  <si>
    <t>Configurable fan module for Arista 7000 Series 2RU High Speed Fan (rear-to-front airflow)</t>
  </si>
  <si>
    <t>Arista MCD: MCD VM SW subscription for 1 DMF Controller HA pair; 1 Month; includes A-Care SW</t>
  </si>
  <si>
    <t>Arista MCD: MCD VM SW subscription for 1 CCF Controller HA pair; 1 Month, includes A-Care SW</t>
  </si>
  <si>
    <t>1 Month A-Care Software &amp; NBD Hardware Replacement/Same Day Ship for 7289R3A</t>
  </si>
  <si>
    <t>1-Month A-Care Software &amp; 24x7x4 Hour Hardware Replacement for 7289R3A</t>
  </si>
  <si>
    <t>1-Month A-Care Software &amp; 24x7x2 Hour Hardware Replacement for 7289R3A</t>
  </si>
  <si>
    <t>Onsite Service: 1-Month A-Care Software &amp; NBD Hardware Replacement/Same Day Ship for 7289R3A</t>
  </si>
  <si>
    <t>Onsite Service: 1-Month A-Care Software &amp; 24x7x4 Hour Hardware Replacement for 7289R3A</t>
  </si>
  <si>
    <t>1 Month A-Care Software &amp; NBD Hardware Replacement/Same Day Ship for 7289R3AM</t>
  </si>
  <si>
    <t>1-Month A-Care Software &amp; 24x7x4 Hour Hardware Replacement for 7289R3AM</t>
  </si>
  <si>
    <t>1-Month A-Care Software &amp; 24x7x2 Hour Hardware Replacement for 7289R3AM</t>
  </si>
  <si>
    <t>Onsite Service: 1-Month A-Care Software &amp; NBD Hardware Replacement/Same Day Ship for 7289R3AM</t>
  </si>
  <si>
    <t>Onsite Service: 1-Month A-Care Software &amp; 24x7x4 Hour Hardware Replacement for 7289R3AM</t>
  </si>
  <si>
    <t>1 Month A-Care Software &amp; NBD Hardware Replacement/Same Day Ship for 7289R3AK</t>
  </si>
  <si>
    <t>1-Month A-Care Software &amp; 24x7x4 Hour Hardware Replacement for 7289R3AK</t>
  </si>
  <si>
    <t>1-Month A-Care Software &amp; 24x7x2 Hour Hardware Replacement for 7289R3AK</t>
  </si>
  <si>
    <t>Onsite Service: 1-Month A-Care Software &amp; NBD Hardware Replacement/Same Day Ship for 7289R3AK</t>
  </si>
  <si>
    <t>Onsite Service: 1-Month A-Care Software &amp; 24x7x4 Hour Hardware Replacement for 7289R3AK</t>
  </si>
  <si>
    <t>1-Month A-Care Software &amp; NBD Hardware Replacement/Same Day Ship for 7060DX5-64</t>
  </si>
  <si>
    <t>1-Month A-Care Software &amp; 24x7x4 Hour Hardware Replacement for 7060DX5-64</t>
  </si>
  <si>
    <t>1-Month A-Care Software &amp; 24x7x2 Hour Hardware Replacement for 7060DX5-64</t>
  </si>
  <si>
    <t>Onsite Service: 1 Month A-Care Software &amp; NBD Hardware Replacement/Same Day Ship for 7060DX5-64</t>
  </si>
  <si>
    <t>Onsite Service: 1-Month A-Care Software &amp; 24x7x4 Hour Hardware Replacement for 7060DX5-64</t>
  </si>
  <si>
    <t>1-Month A-Care Software &amp; NBD Hardware Replacement/Same Day Ship for 7060DX5-64E</t>
  </si>
  <si>
    <t>1-Month A-Care Software &amp; 24x7x4 Hour Hardware Replacement for 7060DX5-64E</t>
  </si>
  <si>
    <t>1-Month A-Care Software &amp; 24x7x2 Hour Hardware Replacement for 7060DX5-64E</t>
  </si>
  <si>
    <t>Onsite Service: 1 Month A-Care Software &amp; NBD Hardware Replacement/Same Day Ship for 7060DX5-64E</t>
  </si>
  <si>
    <t>Onsite Service: 1-Month A-Care Software &amp; 24x7x4 Hour Hardware Replacement for 7060DX5-64E</t>
  </si>
  <si>
    <t>CCS-720DP-24S-2F</t>
  </si>
  <si>
    <t>Arista 720DP, 24 x 1G POE, 4x10G SFP switch, front to rear air, 2 460W AC</t>
  </si>
  <si>
    <t>CCS-720DP-24S-2F-C14</t>
  </si>
  <si>
    <t>Arista 720DP, 24 x 1G POE, 4x10G SFP switch, front to rear air, 2 460W AC, C14 Power Cord</t>
  </si>
  <si>
    <t>CCS-720DP-24S-2F-EU</t>
  </si>
  <si>
    <t>Arista 720DP, 24 x 1G POE, 4x10G SFP switch, front to rear air, 2 460W AC, EU Power Cord</t>
  </si>
  <si>
    <t>CCS-720DP-24S-2F-JPN</t>
  </si>
  <si>
    <t>Arista 720DP, 24 x 1G POE, 4x10G SFP switch, front to rear air, 2 460W AC, JPN Power Cord</t>
  </si>
  <si>
    <t>CCS-720DP-24S-2F-NA</t>
  </si>
  <si>
    <t>Arista 720DP, 24 x 1G POE, 4x10G SFP switch, front to rear air, 2 460W AC, NA Power Cord</t>
  </si>
  <si>
    <t>CCS-720DP-24S-2F-UK</t>
  </si>
  <si>
    <t>Arista 720DP, 24 x 1G POE, 4x10G SFP switch, front to rear air, 2 460W AC, UK Power Cord</t>
  </si>
  <si>
    <t>CCS-720DT-24S-2F</t>
  </si>
  <si>
    <t>Arista 720DT, 24 x 1G, 4x10G SFP switch, front to rear air, 2 100W AC</t>
  </si>
  <si>
    <t>CCS-720DT-24S-2F-C14</t>
  </si>
  <si>
    <t>Arista 720DT, 24 x 1G, 4x10G SFP switch, front to rear air, 2 100W AC, C14 Power Cord</t>
  </si>
  <si>
    <t>CCS-720DT-24S-2F-EU</t>
  </si>
  <si>
    <t>Arista 720DT, 24 x 1G, 4x10G SFP switch, front to rear air, 2 100W AC, EU Power Cord</t>
  </si>
  <si>
    <t>CCS-720DT-24S-2F-JPN</t>
  </si>
  <si>
    <t>Arista 720DT, 24 x 1G, 4x10G SFP switch, front to rear air, 2 100W AC, JPN Power Cord</t>
  </si>
  <si>
    <t>CCS-720DT-24S-2F-NA</t>
  </si>
  <si>
    <t>Arista 720DT, 24 x 1G, 4x10G SFP switch, front to rear air, 2 100W AC, NA Power Cord</t>
  </si>
  <si>
    <t>CCS-720DT-24S-2F-UK</t>
  </si>
  <si>
    <t>Arista 720DT, 24 x 1G, 4x10G SFP switch, front to rear air, 2 100W AC, UK Power Cord</t>
  </si>
  <si>
    <t>CCS-720DP-48S-2F</t>
  </si>
  <si>
    <t>Arista 720DP, 48 x 1G POE, 4x10G SFP switch, front to rear air, 2 950W AC</t>
  </si>
  <si>
    <t>CCS-720DP-48S-2F-C14</t>
  </si>
  <si>
    <t>Arista 720DP, 48 x 1G POE, 4x10G SFP switch, front to rear air, 2 950W AC, C14 Power Cord</t>
  </si>
  <si>
    <t>CCS-720DP-48S-2F-EU</t>
  </si>
  <si>
    <t>Arista 720DP, 48 x 1G POE, 4x10G SFP switch, front to rear air, 2 950W AC, EU Power Cord</t>
  </si>
  <si>
    <t>CCS-720DP-48S-2F-JPN</t>
  </si>
  <si>
    <t>Arista 720DP, 48 x 1G POE, 4x10G SFP switch, front to rear air, 2 950W AC, JPN Power Cord</t>
  </si>
  <si>
    <t>CCS-720DP-48S-2F-NA</t>
  </si>
  <si>
    <t>Arista 720DP, 48 x 1G POE, 4x10G SFP switch, front to rear air, 2 950W AC, NA Power Cord</t>
  </si>
  <si>
    <t>CCS-720DP-48S-2F-UK</t>
  </si>
  <si>
    <t>CCS-720DT-48S-2F</t>
  </si>
  <si>
    <t>Arista 720DT, 48 x 1G, 4x10G SFP switch, front to rear air, 2 100W AC</t>
  </si>
  <si>
    <t>CCS-720DT-48S-2F-C14</t>
  </si>
  <si>
    <t>Arista 720DT, 48 x 1G, 4x10G SFP switch, front to rear air, 2 100W AC, C14 Power Cord</t>
  </si>
  <si>
    <t>CCS-720DT-48S-2F-EU</t>
  </si>
  <si>
    <t>Arista 720DT, 48 x 1G, 4x10G SFP switch, front to rear air, 2 100W AC, EU Power Cord</t>
  </si>
  <si>
    <t>CCS-720DT-48S-2F-JPN</t>
  </si>
  <si>
    <t>Arista 720DT, 48 x 1G, 4x10G SFP switch, front to rear air, 2 100W AC, JPN Power Cord</t>
  </si>
  <si>
    <t>CCS-720DT-48S-2F-NA</t>
  </si>
  <si>
    <t>Arista 720DT, 48 x 1G, 4x10G SFP switch, front to rear air, 2 100W AC, NA Power Cord</t>
  </si>
  <si>
    <t>CCS-720DT-48S-2F-UK</t>
  </si>
  <si>
    <t>Arista 720DT, 48 x 1G, 4x10G SFP switch, front to rear air, 2 100W AC, UK Power Cord</t>
  </si>
  <si>
    <t>Power Cord, NA, C19 - NEMA 5-20, 20A/125V, 2.5M, cUL</t>
  </si>
  <si>
    <t>DCS-7060DX5-64E-F</t>
  </si>
  <si>
    <t>Arista 7060X5, 32 x 2x400GbE OSFP switch, front-to-rear air, 2x2400W AC</t>
  </si>
  <si>
    <t>DCS-7060DX5-64E#</t>
  </si>
  <si>
    <t>DCS-7060PX5-64E-F</t>
  </si>
  <si>
    <t>DCS-7060PX5-64E#</t>
  </si>
  <si>
    <t>Arista 7060X5, 32 x 2x400GbE OSFP switch, no fans, no psu</t>
  </si>
  <si>
    <t>Arista 7060X5, 32 x 2x400GbE QSFP-DD switch, front-to-rear air, 2x1500W AC</t>
  </si>
  <si>
    <t>Arista 7280R3, 36x100GbE QSFP/2x400G switch router, large routes, configurable fans and psu. Over 256K Routes, MPLS and VXLAN</t>
  </si>
  <si>
    <t>DCS-7289R3A-BNDS-D-F</t>
  </si>
  <si>
    <t>Arista 7289R3 System bundle. Includes 7289 chassis, AC PS, Fans, Supervisor-S and R3A Switch Card (front to rear air)</t>
  </si>
  <si>
    <t>DCS-7289R3AM-BNDS-D-F</t>
  </si>
  <si>
    <t>Arista 7289R3 System bundle. Includes 7289 chassis, AC PS, Fans, Supervisor-S and R3AM Switch Card (front to rear air)</t>
  </si>
  <si>
    <t>DCS-7289R3AK-BNDS-D-F</t>
  </si>
  <si>
    <t>Arista 7289R3 System bundle. Includes 7289 chassis, AC PS, Fans, Supervisor-S and R3AK Switch Card (front to rear air)</t>
  </si>
  <si>
    <t>DCS-7289R3A-BNDS-D-DC-F</t>
  </si>
  <si>
    <t>Arista 7289R3 System bundle. Includes 7289 chassis, DC PS, Fans, Supervisor-S and R3A Switch Card (front to rear air)</t>
  </si>
  <si>
    <t>DCS-7289R3AM-BNDS-D-DC-F</t>
  </si>
  <si>
    <t>Arista 7289R3 System bundle. Includes 7289 chassis, DC PS, Fans, Supervisor-S and R3AM Switch Card (front to rear air)</t>
  </si>
  <si>
    <t>DCS-7289R3AK-BNDS-D-DC-F</t>
  </si>
  <si>
    <t>Arista 7289R3 System bundle. Includes 7289 chassis, DC PS, Fans, Supervisor-S and R3AK Switch Card (front to rear air)</t>
  </si>
  <si>
    <t>DCS-7289-SUPS-D</t>
  </si>
  <si>
    <t>Supervisor-S module for 7289 Series, with SSD, Spare</t>
  </si>
  <si>
    <t>DCS-7289-SUPS-D#</t>
  </si>
  <si>
    <t>Supervisor-S module for 7289 Series, with SSD (Ships in chassis)</t>
  </si>
  <si>
    <t>LIC-MOD-G-MACSEC</t>
  </si>
  <si>
    <t>MACSEC Encryption License for Arista 5 and 8 slot Modular 1G/mG switches - Encryption with MACSEC capable Linecard</t>
  </si>
  <si>
    <t>C-Z100-Z100-1M</t>
  </si>
  <si>
    <t>100GBASE-CR2 SFP-DD to SFP-DD Twinax Copper Cable, 1 meter</t>
  </si>
  <si>
    <t>C-Z100-Z100-2M</t>
  </si>
  <si>
    <t>100GBASE-CR2 SFP-DD to SFP-DD Twinax Copper Cable, 2 meter</t>
  </si>
  <si>
    <t>C-Z100-Z100-3M</t>
  </si>
  <si>
    <t>100GBASE-CR2 SFP-DD to SFP-DD Twinax Copper Cable, 3 meter</t>
  </si>
  <si>
    <t>C-Z100-2S50-1M</t>
  </si>
  <si>
    <t>100GBASE-CR2 SFP-DD to 2x 50GBASE-CR SFP Twinax Copper Cable, 1 meter</t>
  </si>
  <si>
    <t>C-Z100-2S50-2M</t>
  </si>
  <si>
    <t>100GBASE-CR2 SFP-DD to 2x 50GBASE-CR SFP Twinax Copper Cable, 2 meter</t>
  </si>
  <si>
    <t>C-Z100-2S50-3M</t>
  </si>
  <si>
    <t>100GBASE-CR2 SFP-DD to 2x 50GBASE-CR SFP Twinax Copper Cable, 3 meter</t>
  </si>
  <si>
    <t>C-Z100-Q100-1M</t>
  </si>
  <si>
    <t>100GBASE-CR2 SFP-DD to 100GBASE-CR2 QSFP Twinax Copper Cable, 1 meter</t>
  </si>
  <si>
    <t>C-Z100-Q100-2M</t>
  </si>
  <si>
    <t>100GBASE-CR2 SFP-DD to 100GBASE-CR2 QSFP Twinax Copper Cable, 2 meter</t>
  </si>
  <si>
    <t>C-Z100-Q100-3M</t>
  </si>
  <si>
    <t>100GBASE-CR2 SFP-DD to 100GBASE-CR2 QSFP Twinax Copper Cable, 3 meter</t>
  </si>
  <si>
    <t>C-Y100-Y100-1M</t>
  </si>
  <si>
    <t>100GBASE-CR2 DSFP to DSFP Twinax Copper Cable, 1 meter</t>
  </si>
  <si>
    <t>C-Y100-Y100-2M</t>
  </si>
  <si>
    <t>100GBASE-CR2 DSFP to DSFP Twinax Copper Cable, 2 meter</t>
  </si>
  <si>
    <t>C-Y100-Y100-3M</t>
  </si>
  <si>
    <t>100GBASE-CR2 DSFP to DSFP Twinax Copper Cable, 3 meter</t>
  </si>
  <si>
    <t>C-Y100-2S50-1M</t>
  </si>
  <si>
    <t>100GBASE-CR2 DSFP to 2x 50GBASE-CR SFP Twinax Copper Cable, 1 meter</t>
  </si>
  <si>
    <t>C-Y100-2S50-2M</t>
  </si>
  <si>
    <t>100GBASE-CR2 DSFP to 2x 50GBASE-CR SFP Twinax Copper Cable, 2 meter</t>
  </si>
  <si>
    <t>C-Y100-2S50-3M</t>
  </si>
  <si>
    <t>100GBASE-CR2 DSFP to 2x 50GBASE-CR SFP Twinax Copper Cable, 3 meter</t>
  </si>
  <si>
    <t>C-Y100-Q100-1M</t>
  </si>
  <si>
    <t>100GBASE-CR2 DSFP to 100GBASE-CR2 QSFP Twinax Copper Cable, 1 meter</t>
  </si>
  <si>
    <t>C-Y100-Q100-2M</t>
  </si>
  <si>
    <t>100GBASE-CR2 DSFP to 100GBASE-CR2 QSFP Twinax Copper Cable, 2 meter</t>
  </si>
  <si>
    <t>C-Y100-Q100-3M</t>
  </si>
  <si>
    <t>100GBASE-CR2 DSFP to 100GBASE-CR2 QSFP Twinax Copper Cable, 3 meter</t>
  </si>
  <si>
    <t>C-S50-S50-1M</t>
  </si>
  <si>
    <t>50GBASE-CR SFP to SFP twinxax copper cable, 1M</t>
  </si>
  <si>
    <t>C-S50-S50-2M</t>
  </si>
  <si>
    <t>50GBASE-CR SFP to SFP twinxax copper cable, 2M</t>
  </si>
  <si>
    <t>C-S50-S50-3M</t>
  </si>
  <si>
    <t>50GBASE-CR SFP to SFP twinxax copper cable, 3M</t>
  </si>
  <si>
    <t>OSFP-400G-SR8-C</t>
  </si>
  <si>
    <t>400GBASE-SR8 and 8x 50G-SR / 25G-SR OSFP transceiver, up to 100m over parallel OM4 multi-mode fiber</t>
  </si>
  <si>
    <t>QDD-400G-SR8-C</t>
  </si>
  <si>
    <t>400GBASE-SR8 and 8x 50G-SR / 25G-SR QSFP-DD Transceiver, up to 100m over parallel multi-mode fiber</t>
  </si>
  <si>
    <t>QDD-400G-ZR</t>
  </si>
  <si>
    <t>400GBASE-ZR QSFP-DD Digital Coherent Tunable Transceiver, up to 120km over duplex SMF</t>
  </si>
  <si>
    <t>A-D800-D800-1M</t>
  </si>
  <si>
    <t>800G QSFP-DD to QSFP-DD Active Optical Cable, 1 meter</t>
  </si>
  <si>
    <t>A-D800-D800-3M</t>
  </si>
  <si>
    <t>800G QSFP-DD to QSFP-DD Active Optical Cable, 3 meter</t>
  </si>
  <si>
    <t>A-D800-D800-5M</t>
  </si>
  <si>
    <t>800G QSFP-DD to QSFP-DD Active Optical Cable, 5 meter</t>
  </si>
  <si>
    <t>A-D800-D800-7M</t>
  </si>
  <si>
    <t>800G QSFP-DD to QSFP-DD Active Optical Cable, 7 meter</t>
  </si>
  <si>
    <t>A-D800-D800-10M</t>
  </si>
  <si>
    <t>800G QSFP-DD to QSFP-DD Active Optical Cable, 10 meter</t>
  </si>
  <si>
    <t>A-D800-D800-15M</t>
  </si>
  <si>
    <t>800G QSFP-DD to QSFP-DD Active Optical Cable, 15 meter</t>
  </si>
  <si>
    <t>A-D800-D800-20M</t>
  </si>
  <si>
    <t>800G QSFP-DD to QSFP-DD Active Optical Cable, 20 meter</t>
  </si>
  <si>
    <t>A-D800-D800-25M</t>
  </si>
  <si>
    <t>800G QSFP-DD to QSFP-DD Active Optical Cable, 25 meter</t>
  </si>
  <si>
    <t>A-D800-D800-30M</t>
  </si>
  <si>
    <t>800G QSFP-DD to QSFP-DD Active Optical Cable, 30 meter</t>
  </si>
  <si>
    <t>QSFP-200G-SR4</t>
  </si>
  <si>
    <t>200GBASE-SR4 QSFP200 Transceiver with MPO-12 UPC connector, up to 100m over parallel OM4 multi-mode Fiber</t>
  </si>
  <si>
    <t>PWR-521-DC-RED</t>
  </si>
  <si>
    <t>Arista PSU, 500W POE, DC, Front to Rear</t>
  </si>
  <si>
    <t>DCA-300-CV</t>
  </si>
  <si>
    <t xml:space="preserve">1 unit CloudVision Physical Appliance, Model 300. Standard Compute Resource. 10G. Includes server sw. No device licenses.
</t>
  </si>
  <si>
    <t>1 Month A-Care Software &amp; NBD Hardware Replacement/Same Day Ship for DCA-300-CV Appliance</t>
  </si>
  <si>
    <t>SS-SEC-MNDR-STDA-5GB-1M</t>
  </si>
  <si>
    <t>SS-SEC-MNDR-STDN-5GB-1M</t>
  </si>
  <si>
    <t>SS-SEC-MNDR-STDN-10GB-1M</t>
  </si>
  <si>
    <t>SS-SEC-MNDR-STDNI-10GB-1M</t>
  </si>
  <si>
    <t>SS-SEC-MNDR-24X7A-5GB-1M</t>
  </si>
  <si>
    <t>SS-SEC-MNDR-24X7N-5GB-1M</t>
  </si>
  <si>
    <t>SS-SEC-MNDR-24X7N-10GB-1M</t>
  </si>
  <si>
    <t>SS-SEC-MNDR-24X7NI-10GB-1M</t>
  </si>
  <si>
    <t>SS-NDR-G-T1-1M</t>
  </si>
  <si>
    <t>AVA Sensor SW Subscription License for 1-Month for 150 to 499 device count of 1G/mG Platforms</t>
  </si>
  <si>
    <t>AVA Sensor SW Subscription License for 1-Month for 500 or more device count of 1G/mG Platforms</t>
  </si>
  <si>
    <t>SS-NDR-NCA2-1M</t>
  </si>
  <si>
    <t>ASP Nucleus SAAS AWS Subscription License for 1-Month, up to 2 Gb/sec BW, A-Care Support</t>
  </si>
  <si>
    <t>SS-DM-A-SXP3-1M</t>
  </si>
  <si>
    <t>SVC-DCA-CC-CB-1M-NB</t>
  </si>
  <si>
    <t>Arista CCF: 1 Month A-Care Software &amp; NBD Hardware Replacement/Same Day Ship for Controller Appliance HWB</t>
  </si>
  <si>
    <t>SVC-DCA-CC-CBL-1M-NB</t>
  </si>
  <si>
    <t>Arista CCF: 1 Month A-Care Software &amp; NBD Hardware Replacement/Same Day Ship for Controller Appliance HWBL</t>
  </si>
  <si>
    <t>SVC-720DP-48S-1M-RB</t>
  </si>
  <si>
    <t>1-Month A-Care Software Support and HW Replacement for CCS-720DP-48S series</t>
  </si>
  <si>
    <t>SVC-720DP-48S-1M-NB</t>
  </si>
  <si>
    <t>1-Month A-Care Software &amp; NBD Hardware Replacement/Same Day Ship for CCS-720DP-48S series</t>
  </si>
  <si>
    <t>SVC-720DP-48S-1M-4H</t>
  </si>
  <si>
    <t>1-Month A-Care Software &amp; 24x7x4 Hour Hardware Replacement for CCS-720DP-48S series</t>
  </si>
  <si>
    <t>SVC-720DP-48S-1M-2H</t>
  </si>
  <si>
    <t>1-Month A-Care Software &amp; 24x7x2 Hour Hardware Replacement for CCS-720DP-48S series</t>
  </si>
  <si>
    <t>OSV-720DP-48S-1M-NB</t>
  </si>
  <si>
    <t>Onsite Service: 1 Month A-Care Software &amp; NBD Hardware Replacement/Same Day Ship for CCS-720DP-48S series</t>
  </si>
  <si>
    <t>OSV-720DP-48S-1M-4H</t>
  </si>
  <si>
    <t>Onsite Service: 1-Month A-Care Software &amp; 24x7x4 Hour Hardware Replacement for CCS-720DP-48S series</t>
  </si>
  <si>
    <t>SVC-720DP-48S-1M-SHR</t>
  </si>
  <si>
    <t>SVC-720DP-48S-1M-SH4</t>
  </si>
  <si>
    <t>SVC-720DT-48S-1M-RB</t>
  </si>
  <si>
    <t>1-Month A-Care Software Support and HW Replacement for CCS-720DT-48S series</t>
  </si>
  <si>
    <t>SVC-720DT-48S-1M-NB</t>
  </si>
  <si>
    <t>1-Month A-Care Software &amp; NBD Hardware Replacement/Same Day Ship for CCS-720DT-48S series</t>
  </si>
  <si>
    <t>SVC-720DT-48S-1M-4H</t>
  </si>
  <si>
    <t>1-Month A-Care Software &amp; 24x7x4 Hour Hardware Replacement for CCS-720DT-48S series</t>
  </si>
  <si>
    <t>SVC-720DT-48S-1M-2H</t>
  </si>
  <si>
    <t>1-Month A-Care Software &amp; 24x7x2 Hour Hardware Replacement for CCS-720DT-48S series</t>
  </si>
  <si>
    <t>OSV-720DT-48S-1M-NB</t>
  </si>
  <si>
    <t>Onsite Service: 1 Month A-Care Software &amp; NBD Hardware Replacement/Same Day Ship for CCS-720DT-48S series</t>
  </si>
  <si>
    <t>OSV-720DT-48S-1M-4H</t>
  </si>
  <si>
    <t>Onsite Service: 1-Month A-Care Software &amp; 24x7x4 Hour Hardware Replacement for CCS-720DT-48S series</t>
  </si>
  <si>
    <t>SVC-720DT-48S-1M-SHR</t>
  </si>
  <si>
    <t>SVC-720DT-48S-1M-SH4</t>
  </si>
  <si>
    <t>SVC-720DP-24S-1M-RB</t>
  </si>
  <si>
    <t>1-Month A-Care Software Support and HW Replacement for CCS-720DP-24S series</t>
  </si>
  <si>
    <t>SVC-720DP-24S-1M-NB</t>
  </si>
  <si>
    <t>1-Month A-Care Software &amp; NBD Hardware Replacement/Same Day Ship for CCS-720DP-24S series</t>
  </si>
  <si>
    <t>SVC-720DP-24S-1M-4H</t>
  </si>
  <si>
    <t>1-Month A-Care Software &amp; 24x7x4 Hour Hardware Replacement for CCS-720DP-24S series</t>
  </si>
  <si>
    <t>SVC-720DP-24S-1M-2H</t>
  </si>
  <si>
    <t>1-Month A-Care Software &amp; 24x7x2 Hour Hardware Replacement for CCS-720DP-24S series</t>
  </si>
  <si>
    <t>OSV-720DP-24S-1M-NB</t>
  </si>
  <si>
    <t>Onsite Service: 1 Month A-Care Software &amp; NBD Hardware Replacement/Same Day Ship for CCS-720DP-24S series</t>
  </si>
  <si>
    <t>OSV-720DP-24S-1M-4H</t>
  </si>
  <si>
    <t>Onsite Service: 1-Month A-Care Software &amp; 24x7x4 Hour Hardware Replacement for CCS-720DP-24S series</t>
  </si>
  <si>
    <t>SVC-720DP-24S-1M-SHR</t>
  </si>
  <si>
    <t>SVC-720DP-24S-1M-SH4</t>
  </si>
  <si>
    <t>SVC-720DT-24S-1M-RB</t>
  </si>
  <si>
    <t>1-Month A-Care Software Support and HW Replacement for CCS-720DT-24S series</t>
  </si>
  <si>
    <t>SVC-720DT-24S-1M-NB</t>
  </si>
  <si>
    <t>1-Month A-Care Software &amp; NBD Hardware Replacement/Same Day Ship for CCS-720DT-24S series</t>
  </si>
  <si>
    <t>SVC-720DT-24S-1M-4H</t>
  </si>
  <si>
    <t>1-Month A-Care Software &amp; 24x7x4 Hour Hardware Replacement for CCS-720DT-24S series</t>
  </si>
  <si>
    <t>SVC-720DT-24S-1M-2H</t>
  </si>
  <si>
    <t>1-Month A-Care Software &amp; 24x7x2 Hour Hardware Replacement for CCS-720DT-24S series</t>
  </si>
  <si>
    <t>OSV-720DT-24S-1M-NB</t>
  </si>
  <si>
    <t>Onsite Service: 1 Month A-Care Software &amp; NBD Hardware Replacement/Same Day Ship for CCS-720DT-24S series</t>
  </si>
  <si>
    <t>OSV-720DT-24S-1M-4H</t>
  </si>
  <si>
    <t>Onsite Service: 1-Month A-Care Software &amp; 24x7x4 Hour Hardware Replacement for CCS-720DT-24S series</t>
  </si>
  <si>
    <t>SVC-720DT-24S-1M-SHR</t>
  </si>
  <si>
    <t>SVC-720DT-24S-1M-SH4</t>
  </si>
  <si>
    <t>CCS-720DF-48Y-2F</t>
  </si>
  <si>
    <t>CCS-720DF-48Y-2F-C14</t>
  </si>
  <si>
    <t>CCS-720DF-48Y-2F-EU</t>
  </si>
  <si>
    <t>CCS-720DF-48Y-2F-JPN</t>
  </si>
  <si>
    <t>CCS-720DF-48Y-2F-NA</t>
  </si>
  <si>
    <t>CCS-720DF-48Y-2F-UK</t>
  </si>
  <si>
    <t>KIT-7001-RK-R</t>
  </si>
  <si>
    <t>Mounting kit for opposite-side device installation (27-33.5"). Selected 1 and 2 RU systems</t>
  </si>
  <si>
    <t>KIT-7001-RK-R-5PK</t>
  </si>
  <si>
    <t>5-Pack Mounting kit for opposite-side device installation (27-33.5"). Selected 1 and 2 RU systems</t>
  </si>
  <si>
    <t>DCS-7280DR3A-54-DC-F</t>
  </si>
  <si>
    <t>Arista 7280R3A, 54x400GbE QSFP-DD switch router, front to rear air, 2 x DC</t>
  </si>
  <si>
    <t>DCS-7280DR3AM-54-DC-F</t>
  </si>
  <si>
    <t>Arista 7280R3A, 54x400GbE QSFP-DD switch router, Enh MACsec, front to rear air, 2 x DC</t>
  </si>
  <si>
    <t>DCS-7280DR3AK-54-DC-F</t>
  </si>
  <si>
    <t>Arista 7280R3A, 54x400GbE QSFP-DD switch router, large routes and Enh MACsec, front to rear air, 2 x DC</t>
  </si>
  <si>
    <t>DCS-7280DR3A-36-F</t>
  </si>
  <si>
    <t>Arista 7280R3A, 36x400GbE QSFP-DD switch router, front to rear air, 2 x AC</t>
  </si>
  <si>
    <t>DCS-7280DR3A-36#</t>
  </si>
  <si>
    <t>Arista 7280R3A, 36x400GbE QSFP-DD switch router, configurable fans and psu</t>
  </si>
  <si>
    <t>DCS-7280DR3A-36-DC-F</t>
  </si>
  <si>
    <t>Arista 7280R3A, 36x400GbE QSFP-DD switch router, front to rear air, 2 x DC</t>
  </si>
  <si>
    <t>DCS-7280DR3A-36-FLX-F</t>
  </si>
  <si>
    <t>Arista 7280R3A, 36x400GbE QSFP-DD switch router, front to rear air, 2 x AC, Over 256K Routes, MPLS and VXLAN</t>
  </si>
  <si>
    <t>DCS-7280DR3AM-36-F</t>
  </si>
  <si>
    <t>Arista 7280R3A, 36x400GbE QSFP-DD switch router, Enh MACsec, front to rear air, 2 x AC</t>
  </si>
  <si>
    <t>DCS-7280DR3AM-36#</t>
  </si>
  <si>
    <t>Arista 7280R3A, 36x400GbE QSFP-DD switch router, Enh MACsec, configurable fans and psu</t>
  </si>
  <si>
    <t>DCS-7280DR3AM-36-DC-F</t>
  </si>
  <si>
    <t>Arista 7280R3A, 36x400GbE QSFP-DD switch router, Enh MACsec, front to rear air, 2 x DC</t>
  </si>
  <si>
    <t>DCS-7280DR3AM-36-FLX-F</t>
  </si>
  <si>
    <t>Arista 7280R3A, 36x400GbE QSFP-DD switch router, Enh MACsec, front to rear air, 2 x AC, Over 256K Routes, MPLS and VXLAN</t>
  </si>
  <si>
    <t>DCS-7280DR3AK-36-F</t>
  </si>
  <si>
    <t>Arista 7280R3A, 36x400GbE QSFP-DD switch router, large routes and Enh MACsec, front to rear air, 2 x AC</t>
  </si>
  <si>
    <t>DCS-7280DR3AK-36#</t>
  </si>
  <si>
    <t>Arista 7280R3A, 36x400GbE QSFP-DD switch router, large routes and Enh MACsec, configurable fans and psu</t>
  </si>
  <si>
    <t>DCS-7280DR3AK-36-DC-F</t>
  </si>
  <si>
    <t>Arista 7280R3A, 36x400GbE QSFP-DD switch router, large routes and Enh MACsec, front to rear air, 2 x DC</t>
  </si>
  <si>
    <t>AP-W318</t>
  </si>
  <si>
    <t>W-318 2x2:2 tri radio Wi-Fi 6E wall plate access point with internal antennas</t>
  </si>
  <si>
    <t>AP-W318-SS-3Y</t>
  </si>
  <si>
    <t>W-318 2x2:2 tri radio Wi-Fi 6E wall plate access point with internal antennas and 3 year Cognitive Cloud SW Subscription</t>
  </si>
  <si>
    <t>AP-W318-SS-5Y</t>
  </si>
  <si>
    <t>W-318 2x2:2 tri radio Wi-Fi 6E wall plate access point with internal antennas and 5 year Cognitive Cloud SW Subscription</t>
  </si>
  <si>
    <t>AP-W318-SS-PREM-3Y</t>
  </si>
  <si>
    <t>W-318 2x2:2 tri radio Wi-Fi 6E wall plate access point with internal antennas and 3 year on-premises Cognitive Management Subscription</t>
  </si>
  <si>
    <t>AP-W318-SS-PREM-5Y</t>
  </si>
  <si>
    <t>W-318 2x2:2 tri radio Wi-Fi 6E wall plate access point with internal antennas and 5 year on-premises Cognitive Management Subscription</t>
  </si>
  <si>
    <t>AP-W318-RW</t>
  </si>
  <si>
    <t>Remote Workspaces hardware with W-318 2x2 Wi-Fi 6E wall plate AP, desktop stand, power supply and ethernet cable</t>
  </si>
  <si>
    <t>AP-W318-RW-SS-3Y</t>
  </si>
  <si>
    <t>Remote Workspaces bundle with W-318 2x2 Wi-Fi 6E wall plate AP, desktop stand, power supply, ethernet cable and 3 year cloud service</t>
  </si>
  <si>
    <t>AP-W318-RW-SS-5Y</t>
  </si>
  <si>
    <t>Remote Workspaces bundle with W-318 2x2 Wi-Fi 6E wall plate AP, desktop stand, power supply, ethernet cable and 5 year cloud service</t>
  </si>
  <si>
    <t>AP-W318-RW-SS-PREM-3Y</t>
  </si>
  <si>
    <t>Remote Workspaces hardware with W-318 2x2:2 tri radio Wi-Fi 6E wall plate access point with internal antennas and 3 year on-premises Cognitive Management Subscription</t>
  </si>
  <si>
    <t>AP-W318-RW-SS-PREM-5Y</t>
  </si>
  <si>
    <t>Remote Workspaces hardware with W-318 2x2:2 tri radio Wi-Fi 6E wall plate access point with internal antennas and 5 year on-premises Cognitive Management Subscription</t>
  </si>
  <si>
    <t>FLX License for Arista 4-Slot Modular - Full Routing upto 3.5M Routes, &gt;24K ACL, EVPN, VXLAN, SR, Adv MPLS-LER/LSR, with TE &amp; link/node protection</t>
  </si>
  <si>
    <t>FLX License for Arista 8-Slot Modular - Full Routing upto 3.5M Routes, &gt;24K ACL, EVPN, VXLAN, SR, Adv MPLS-LER/LSR, with TE &amp; link/node protection</t>
  </si>
  <si>
    <t>FLX License for Arista 12-Slot Modular - Full Routing upto 3.5M Routes, &gt;24K ACL, EVPN, VXLAN, SR, Adv MPLS-LER/LSR, with TE &amp; link/node protection</t>
  </si>
  <si>
    <t>FLX License for Arista 16-Slot Modular - Full Routing upto 3.5M Routes, &gt;24K ACL, EVPN, VXLAN, SR, Adv MPLS-LER/LSR, with TE &amp; link/node protection</t>
  </si>
  <si>
    <t>Monitoring &amp; provisioning license for Arista Modular switches - 4 slots (ZTP, LANZ, API, SDK, TapAgg, PTP)</t>
  </si>
  <si>
    <t>Monitoring &amp; provisioning license for Arista Modular switches - 8 slots (ZTP, LANZ, API, SDK, TapAgg, PTP)</t>
  </si>
  <si>
    <t>Monitoring &amp; provisioning license for Arista Modular switches - 12 slot (ZTP, LANZ, API, SDK, TapAgg, PTP)</t>
  </si>
  <si>
    <t>Monitoring &amp; provisioning license for Arista Modular switches - 16 slots (ZTP, LANZ, API, SDK, TapAgg, PTP)</t>
  </si>
  <si>
    <t>FLX License for Arista Fixed Group 5 - Full Routing upto 3.5M Routes, &gt;24K ACL, EVPN, VXLAN, SR, Adv MPLS-LER/LSR, with TE &amp; link/node protection</t>
  </si>
  <si>
    <t>Monitoring &amp; Automation license for Arista Group 5 Fixed switches (ZTP, LANZ, TapAgg, API, SDK, PTP, Time-stamping, OpenFlow)</t>
  </si>
  <si>
    <t>FLX License for Arista Fixed Group 2 - Full Routing upto 3.5M Routes, &gt;24K ACL, EVPN, VXLAN, SR, Adv MPLS-LER/LSR, with TE &amp; link/node protection</t>
  </si>
  <si>
    <t>FLX License for Arista Fixed Group 3 - Full Routing upto 3.5M Routes, &gt;24K ACL, EVPN, VXLAN, SR, Adv MPLS-LER/LSR, with TE &amp; link/node protection</t>
  </si>
  <si>
    <t>FLX License for Arista Fixed Group 4 - Full Routing upto 3.5M Routes, &gt;24K ACL, EVPN, VXLAN, SR, Adv MPLS-LER/LSR, with TE &amp; link/node protection</t>
  </si>
  <si>
    <t>Monitoring &amp; Automation license for Arista Group 1 Fixed switches (ZTP, LANZ, TapAgg, API, SDK, PTP, Time-stamping, OpenFlow)</t>
  </si>
  <si>
    <t>Monitoring &amp; Automation license for Arista Group 2 Fixed switches (ZTP, LANZ, TapAgg, API, SDK, PTP, Time-stamping, OpenFlow)</t>
  </si>
  <si>
    <t>Monitoring &amp; Automation license for Arista Group 3 Fixed switches (ZTP, LANZ, TapAgg, API, SDK, PTP, Time-stamping, OpenFlow)</t>
  </si>
  <si>
    <t>Monitoring &amp; Automation license for Arista Group 4 Fixed switches (ZTP, LANZ, TapAgg, API, SDK, PTP, Time-stamping, OpenFlow)</t>
  </si>
  <si>
    <t>OSFP to QSFP100 Adapter. List price is non-discountable.</t>
  </si>
  <si>
    <t>QSFP-AMP-ZR</t>
  </si>
  <si>
    <t>QSFP Optical amplifier line system for coherent ZR</t>
  </si>
  <si>
    <t>CAB-LC-CS-0.2M</t>
  </si>
  <si>
    <t>AVA Sensor SW Subscription License for 1-Month for 1 Switch. 1G/mG Platforms</t>
  </si>
  <si>
    <t>1 Month A-Care Software &amp; NBD Hardware Replacement/Same Day Ship for DCA-350E-CV Appliance</t>
  </si>
  <si>
    <t>SVC-720DF-48Y-1M-RB</t>
  </si>
  <si>
    <t>1-Month A-Care Software Support and HW Replacement for CCS-720DF-48Y series</t>
  </si>
  <si>
    <t>SVC-720DF-48Y-1M-NB</t>
  </si>
  <si>
    <t>1-Month A-Care Software &amp; NBD Hardware Replacement/Same Day Ship for CCS-720DF-48Y series</t>
  </si>
  <si>
    <t>SVC-720DF-48Y-1M-4H</t>
  </si>
  <si>
    <t>1-Month A-Care Software &amp; 24x7x4 Hour Hardware Replacement for CCS-720DF-48Y series</t>
  </si>
  <si>
    <t>SVC-720DF-48Y-1M-2H</t>
  </si>
  <si>
    <t>1-Month A-Care Software &amp; 24x7x2 Hour Hardware Replacement for CCS-720DF-48Y series</t>
  </si>
  <si>
    <t>OSV-720DF-48Y-1M-NB</t>
  </si>
  <si>
    <t>Onsite Service: 1 Month A-Care Software &amp; NBD Hardware Replacement/Same Day Ship for CCS-720DF-48Y series</t>
  </si>
  <si>
    <t>OSV-720DF-48Y-1M-4H</t>
  </si>
  <si>
    <t>Onsite Service: 1-Month A-Care Software &amp; 24x7x4 Hour Hardware Replacement for CCS-720DF-48Y series</t>
  </si>
  <si>
    <t>SVC-720DF-48Y-1M-SHR</t>
  </si>
  <si>
    <t>SVC-720DF-48Y-1M-SH4</t>
  </si>
  <si>
    <t>SVC-7060PX5-64E-1M-NB</t>
  </si>
  <si>
    <t>1-Month A-Care Software &amp; NBD Hardware Replacement/Same Day Ship for 7060PX5-64E</t>
  </si>
  <si>
    <t>SVC-7060PX5-64E-1M-4H</t>
  </si>
  <si>
    <t>1-Month A-Care Software &amp; 24x7x4 Hour Hardware Replacement for 7060PX5-64E</t>
  </si>
  <si>
    <t>SVC-7060PX5-64E-1M-2H</t>
  </si>
  <si>
    <t>1-Month A-Care Software &amp; 24x7x2 Hour Hardware Replacement for 7060PX5-64E</t>
  </si>
  <si>
    <t>SVC-7060PX5-64E-1M-SHR</t>
  </si>
  <si>
    <t>SVC-7060PX5-64E-1M-SH4</t>
  </si>
  <si>
    <t>SVC-7280DR3A-36-1M-NB</t>
  </si>
  <si>
    <t>1 Month A-Care Software &amp; NBD Hardware Replacement/Same Day Ship for 7280DR3A-36</t>
  </si>
  <si>
    <t>SVC-7280DR3A-36-1M-4H</t>
  </si>
  <si>
    <t>1-Month A-Care Software &amp; 24x7x4 Hour Hardware Replacement for 7280DR3A-36</t>
  </si>
  <si>
    <t>SVC-7280DR3A-36-1M-2H</t>
  </si>
  <si>
    <t>1-Month A-Care Software &amp; 24x7x2 Hour Hardware Replacement for 7280DR3A-36</t>
  </si>
  <si>
    <t>OSV-7280DR3A-36-1M-NB</t>
  </si>
  <si>
    <t>Onsite Service: 1 Month A-Care Software &amp; NBD Hardware Replacement/Same Day Ship for 7280DR3A-36</t>
  </si>
  <si>
    <t>OSV-7280DR3A-36-1M-4H</t>
  </si>
  <si>
    <t>Onsite Service: 1-Month A-Care Software &amp; 24x7x4 Hour Hardware Replacement for 7280DR3A-36</t>
  </si>
  <si>
    <t>SVC-7280DR3A-36-1M-SHR</t>
  </si>
  <si>
    <t>SVC-7280DR3A-36-1M-SH4</t>
  </si>
  <si>
    <t>SVC-7280DR3AM-36-1M-NB</t>
  </si>
  <si>
    <t>1 Month A-Care Software &amp; NBD Hardware Replacement/Same Day Ship for 7280DR3AM-36</t>
  </si>
  <si>
    <t>SVC-7280DR3AM-36-1M-4H</t>
  </si>
  <si>
    <t>1-Month A-Care Software &amp; 24x7x4 Hour Hardware Replacement for 7280DR3AM-36</t>
  </si>
  <si>
    <t>SVC-7280DR3AM-36-1M-2H</t>
  </si>
  <si>
    <t>1-Month A-Care Software &amp; 24x7x2 Hour Hardware Replacement for 7280DR3AM-36</t>
  </si>
  <si>
    <t>OSV-7280DR3AM-36-1M-NB</t>
  </si>
  <si>
    <t>Onsite Service: 1 Month A-Care Software &amp; NBD Hardware Replacement/Same Day Ship for 7280DR3AM-36</t>
  </si>
  <si>
    <t>OSV-7280DR3AM-36-1M-4H</t>
  </si>
  <si>
    <t>Onsite Service: 1-Month A-Care Software &amp; 24x7x4 Hour Hardware Replacement for 7280DR3AM-36</t>
  </si>
  <si>
    <t>SVC-7280DR3AM-36-1M-SHR</t>
  </si>
  <si>
    <t>SVC-7280DR3AM-36-1M-SH4</t>
  </si>
  <si>
    <t>SVC-7280DR3AK-36-1M-NB</t>
  </si>
  <si>
    <t>1 Month A-Care Software &amp; NBD Hardware Replacement/Same Day Ship for 7280DR3AK-36</t>
  </si>
  <si>
    <t>SVC-7280DR3AK-36-1M-4H</t>
  </si>
  <si>
    <t>1-Month A-Care Software &amp; 24x7x4 Hour Hardware Replacement for 7280DR3AK-36</t>
  </si>
  <si>
    <t>SVC-7280DR3AK-36-1M-2H</t>
  </si>
  <si>
    <t>1-Month A-Care Software &amp; 24x7x2 Hour Hardware Replacement for 7280DR3AK-36</t>
  </si>
  <si>
    <t>OSV-7280DR3AK-36-1M-NB</t>
  </si>
  <si>
    <t>Onsite Service: 1 Month A-Care Software &amp; NBD Hardware Replacement/Same Day Ship for 7280DR3AK-36</t>
  </si>
  <si>
    <t>OSV-7280DR3AK-36-1M-4H</t>
  </si>
  <si>
    <t>Onsite Service: 1-Month A-Care Software &amp; 24x7x4 Hour Hardware Replacement for 7280DR3AK-36</t>
  </si>
  <si>
    <t>SVC-7280DR3AK-36-1M-SHR</t>
  </si>
  <si>
    <t>SVC-7280DR3AK-36-1M-SH4</t>
  </si>
  <si>
    <t>CCS-722XPM-48Y4-2R</t>
  </si>
  <si>
    <t>Arista 722XPM, 48x1G 30W POE, 4x25G, 4x10G SFP switch, rear to front air, MACSec, AC</t>
  </si>
  <si>
    <t>CCS-722XPM-48Y4-2R-C14</t>
  </si>
  <si>
    <t>Arista 722XPM, 48x1G 30W POE, 4x25G, 4x10G SFP switch, rear to front air, MACSec, AC (2), C14 Power Cords</t>
  </si>
  <si>
    <t>CCS-722XPM-48Y4-2R-EU</t>
  </si>
  <si>
    <t>Arista 722XPM, 48x1G 30W POE, 4x25G, 4x10G SFP switch, rear to front air, MACSec, AC (2), EU Power Cords</t>
  </si>
  <si>
    <t>CCS-722XPM-48Y4-2R-JPN</t>
  </si>
  <si>
    <t>Arista 722XPM, 48x1G 30W POE, 4x25G, 4x10G SFP switch, rear to front air, MACSec, AC (2), JPN Power Cords</t>
  </si>
  <si>
    <t>CCS-722XPM-48Y4-2R-NA</t>
  </si>
  <si>
    <t>Arista 722XPM, 48x1G 30W POE, 4x25G, 4x10G SFP switch, rear to front air, MACSec, AC (2), NA Power Cords</t>
  </si>
  <si>
    <t>CCS-722XPM-48Y4-2R-UK</t>
  </si>
  <si>
    <t>Arista 722XPM, 48x1G 30W POE, 4x25G, 4x10G SFP switch, rear to front air, MACSec, AC (2), UK Power Cords</t>
  </si>
  <si>
    <t>CCS-722XPM-48Y4-R</t>
  </si>
  <si>
    <t>CCS-722XPM-48Y4-R-C14</t>
  </si>
  <si>
    <t>CCS-722XPM-48Y4-R-EU</t>
  </si>
  <si>
    <t>CCS-722XPM-48Y4-R-JPN</t>
  </si>
  <si>
    <t>CCS-722XPM-48Y4-R-NA</t>
  </si>
  <si>
    <t>CCS-722XPM-48Y4-R-UK</t>
  </si>
  <si>
    <t>CCS-720DP-24ZS-2F</t>
  </si>
  <si>
    <t>CCS-720DP-24ZS-2F-C14</t>
  </si>
  <si>
    <t>CCS-720DP-24ZS-2F-EU</t>
  </si>
  <si>
    <t>CCS-720DP-24ZS-2F-JPN</t>
  </si>
  <si>
    <t>CCS-720DP-24ZS-2F-NA</t>
  </si>
  <si>
    <t>CCS-720DP-24ZS-2F-UK</t>
  </si>
  <si>
    <t>CCS-720DP-48ZS-2F</t>
  </si>
  <si>
    <t>Arista 720DP, 48 x 2.5G POE, 4x10G SFP switch, front to rear air, 2 x 1800W AC</t>
  </si>
  <si>
    <t>CCS-720DP-48ZS-2F-C14</t>
  </si>
  <si>
    <t>Arista 720DP, 48 x 2.5G POE, 4x10G SFP switch, front to rear air, 2 x 1800W AC, C14 Power Cord</t>
  </si>
  <si>
    <t>CCS-720DP-48ZS-2F-EU</t>
  </si>
  <si>
    <t>Arista 720DP, 48 x 2.5G POE, 4x10G SFP switch, front to rear air, 2 x 1800W AC, EU Power Cord</t>
  </si>
  <si>
    <t>CCS-720DP-48ZS-2F-JPN</t>
  </si>
  <si>
    <t>Arista 720DP, 48 x 2.5G POE, 4x10G SFP switch, front to rear air, 2 x 1800W AC, JPN Power Cord</t>
  </si>
  <si>
    <t>CCS-720DP-48ZS-2F-NA</t>
  </si>
  <si>
    <t>Arista 720DP, 48 x 2.5G POE, 4x10G SFP switch, front to rear air, 2 x 1800W AC, NA Power Cord</t>
  </si>
  <si>
    <t>CCS-720DP-48ZS-2F-UK</t>
  </si>
  <si>
    <t>Arista 720DP, 48 x 2.5G POE, 4x10G SFP switch, front to rear air, 2 x 1800W AC, UK Power Cord</t>
  </si>
  <si>
    <t>PWR-D4-3041-AC-BLUE</t>
  </si>
  <si>
    <t>Arista PSU, ATS-HVAC-HVDC, 1RU, AC, 3KW, BLUE (Worldwide with 277VAC/380VDC support)</t>
  </si>
  <si>
    <t>DCS-7050SDX4-48D8#</t>
  </si>
  <si>
    <t>Arista 7050X4, 48x100GbE SFP-DD &amp; 8 x 400GbE QSFP-DD switch, no fans, no psu</t>
  </si>
  <si>
    <t>DCS-7050SDX4-48D8-F</t>
  </si>
  <si>
    <t>Arista 7050X4, 48x100GbE SFP-DD &amp; 8 x 400GbE QSFP-DD switch, front-to-rear air, 2xAC</t>
  </si>
  <si>
    <t>DCS-7050SDX4-48D8-R</t>
  </si>
  <si>
    <t>Arista 7050X4, 48x100GbE SFP-DD &amp; 8 x 400GbE QSFP-DD switch, rear-to-front air, 2xAC</t>
  </si>
  <si>
    <t>DCS-7050SPX4-48D8#</t>
  </si>
  <si>
    <t>Arista 7050X4, 48x100GbE DSFP &amp; 8 x 400GbE QSFP-DD switch, no fans, no psu</t>
  </si>
  <si>
    <t>DCS-7050SPX4-48D8-F</t>
  </si>
  <si>
    <t>Arista 7050X4, 48x100GbE DSFP &amp; 8 x 400GbE QSFP-DD switch, front-to-rear air, 2xAC</t>
  </si>
  <si>
    <t>DCS-7050SPX4-48D8-R</t>
  </si>
  <si>
    <t>Arista 7050X4, 48x100GbE DSFP &amp; 8 x 400GbE QSFP-DD switch, rear-to-front air, 2xAC</t>
  </si>
  <si>
    <t>DCS-7050CX4-24D8#</t>
  </si>
  <si>
    <t>Arista 7050X4, 24x200GbE QSFP56 and 8 x 400GbE QSFP-DD switch, no fans, no psu</t>
  </si>
  <si>
    <t>DCS-7050CX4-24D8-F</t>
  </si>
  <si>
    <t>Arista 7050X4, 24x200GbE QSFP56 and 8 x 400GbE QSFP-DD switch, front-to-rear air, 2xAC</t>
  </si>
  <si>
    <t>DCS-7050CX4-24D8-R</t>
  </si>
  <si>
    <t>Arista 7050X4, 24x200GbE QSFP56 and 8 x 400GbE QSFP-DD switch, rear-to-front air, 2xAC</t>
  </si>
  <si>
    <t>DCS-7280CR3-36S-FLX-R</t>
  </si>
  <si>
    <t>Arista 7280R3, 36x100GbE QSFP/2x400G switch router, rear to front air, 2 x AC. Over 256K Routes, MPLS and VXLAN</t>
  </si>
  <si>
    <t>DCS-7280CR3-36S-R</t>
  </si>
  <si>
    <t>Arista 7280R3, 36x100GbE QSFP/2x400G switch router, rear to front air, 2 x AC.</t>
  </si>
  <si>
    <t>DCS-7280CR3K-36A-FLX-R</t>
  </si>
  <si>
    <t>Arista 7280R3, 36x100GbE QSFP/2x400G switch router, large routes, rear to front air, 2 x AC. Over 256K Routes, MPLS and VXLAN</t>
  </si>
  <si>
    <t>DCS-7280CR3K-36A-R</t>
  </si>
  <si>
    <t>Arista 7280R3, 36x100GbE QSFP/2x400G switch router, large routes, rear to front air, 2 x AC.</t>
  </si>
  <si>
    <t>CloudVision SW Subscription License for 1-Month for 1 Switch. Arista 5 and 8 slot Modular 1G/mG Ethernet Switches. Delivered via download only.</t>
  </si>
  <si>
    <t>CloudVision Lite SW Subscription License for 1-Month for 1 Switch. Arista 5 and 8 slot Modular 1G/mG Ethernet Switches. Delivered via download only.</t>
  </si>
  <si>
    <t>SS-DM-A-SBPP-1M</t>
  </si>
  <si>
    <t>Arista DMF OOB: 1 Arista switch SW license subscription for 1 Month, includes A-Care SW, max 1080G BW</t>
  </si>
  <si>
    <t>SS-DM-A-SSPP-1M</t>
  </si>
  <si>
    <t>SS-DM-A-SXP4-1M</t>
  </si>
  <si>
    <t>SS-DM-A-SXP5-1M</t>
  </si>
  <si>
    <t>SVC-720DP-24ZS-1M-2H</t>
  </si>
  <si>
    <t>1-Month A-Care Software &amp; 24x7x2 Hour Hardware Replacement for CCS-720DP-24ZS series</t>
  </si>
  <si>
    <t>SVC-720DP-24ZS-1M-4H</t>
  </si>
  <si>
    <t>1-Month A-Care Software &amp; 24x7x4 Hour Hardware Replacement for CCS-720DP-24ZS series</t>
  </si>
  <si>
    <t>SVC-720DP-24ZS-1M-NB</t>
  </si>
  <si>
    <t>1-Month A-Care Software &amp; NBD Hardware Replacement/Same Day Ship for CCS-720DP-24ZS series</t>
  </si>
  <si>
    <t>SVC-720DP-24ZS-1M-RB</t>
  </si>
  <si>
    <t>1-Month A-Care Software Support and HW Replacement for CCS-720DP-24ZS series</t>
  </si>
  <si>
    <t>SVC-720DP-24ZS-1M-SH4</t>
  </si>
  <si>
    <t>SVC-720DP-24ZS-1M-SHR</t>
  </si>
  <si>
    <t>SVC-720DP-48ZS-1M-2H</t>
  </si>
  <si>
    <t>1-Month A-Care Software &amp; 24x7x2 Hour Hardware Replacement for CCS-720DP-48ZS series</t>
  </si>
  <si>
    <t>SVC-720DP-48ZS-1M-4H</t>
  </si>
  <si>
    <t>1-Month A-Care Software &amp; 24x7x4 Hour Hardware Replacement for CCS-720DP-48ZS series</t>
  </si>
  <si>
    <t>SVC-720DP-48ZS-1M-NB</t>
  </si>
  <si>
    <t>1-Month A-Care Software &amp; NBD Hardware Replacement/Same Day Ship for CCS-720DP-48ZS series</t>
  </si>
  <si>
    <t>SVC-720DP-48ZS-1M-RB</t>
  </si>
  <si>
    <t>1-Month A-Care Software Support and HW Replacement for CCS-720DP-48ZS series</t>
  </si>
  <si>
    <t>SVC-720DP-48ZS-1M-SH4</t>
  </si>
  <si>
    <t>SVC-720DP-48ZS-1M-SHR</t>
  </si>
  <si>
    <t>OSV-720DP-24ZS-1M-4H</t>
  </si>
  <si>
    <t>Onsite Service: 1-Month A-Care Software &amp; 24x7x4 Hour Hardware Replacement for CCS-720DP-24ZS series</t>
  </si>
  <si>
    <t>OSV-720DP-24ZS-1M-NB</t>
  </si>
  <si>
    <t>Onsite Service: 1 Month A-Care Software &amp; NBD Hardware Replacement/Same Day Ship for CCS-720DP-24ZS series</t>
  </si>
  <si>
    <t>OSV-720DP-48ZS-1M-4H</t>
  </si>
  <si>
    <t>Onsite Service: 1-Month A-Care Software &amp; 24x7x4 Hour Hardware Replacement for CCS-720DP-48ZS series</t>
  </si>
  <si>
    <t>OSV-720DP-48ZS-1M-NB</t>
  </si>
  <si>
    <t>Onsite Service: 1 Month A-Care Software &amp; NBD Hardware Replacement/Same Day Ship for CCS-720DP-48ZS series</t>
  </si>
  <si>
    <t>OSV-7050CX4-24D8-1M-4H</t>
  </si>
  <si>
    <t>Onsite Service: 1-Month A-Care Software &amp; 24x7x4 Hour Hardware Replacement for 7050CX4-24D8</t>
  </si>
  <si>
    <t>OSV-7050CX4-24D8-1M-NB</t>
  </si>
  <si>
    <t>Onsite Service: 1 Month A-Care Software &amp; NBD Hardware Replacement/Same Day Ship for 7050CX4-24D8</t>
  </si>
  <si>
    <t>OSV-7050SDX4-48D8-1M-4H</t>
  </si>
  <si>
    <t>Onsite Service: 1-Month A-Care Software &amp; 24x7x4 Hour Hardware Replacement for 7050SDX4-48D8</t>
  </si>
  <si>
    <t>OSV-7050SDX4-48D8-1M-NB</t>
  </si>
  <si>
    <t>Onsite Service: 1 Month A-Care Software &amp; NBD Hardware Replacement/Same Day Ship for 7050SDX4-48D8</t>
  </si>
  <si>
    <t>OSV-7050SPX4-48D8-1M-4H</t>
  </si>
  <si>
    <t>Onsite Service: 1-Month A-Care Software &amp; 24x7x4 Hour Hardware Replacement for 7050SPX4-48D8</t>
  </si>
  <si>
    <t>OSV-7050SPX4-48D8-1M-NB</t>
  </si>
  <si>
    <t>Onsite Service: 1 Month A-Care Software &amp; NBD Hardware Replacement/Same Day Ship for 7050SPX4-48D8</t>
  </si>
  <si>
    <t>SVC-7050CX4-24D8-1M-2H</t>
  </si>
  <si>
    <t>1-Month A-Care Software &amp; 24x7x2 Hour Hardware Replacement for 7050CX4-24D8</t>
  </si>
  <si>
    <t>SVC-7050CX4-24D8-1M-4H</t>
  </si>
  <si>
    <t>1-Month A-Care Software &amp; 24x7x4 Hour Hardware Replacement for 7050CX4-24D8</t>
  </si>
  <si>
    <t>SVC-7050CX4-24D8-1M-NB</t>
  </si>
  <si>
    <t>1 Month A-Care Software &amp; NBD Hardware Replacement/Same Day Ship for 7050CX4-24D8</t>
  </si>
  <si>
    <t>SVC-7050CX4-24D8-1M-SH4</t>
  </si>
  <si>
    <t>SVC-7050CX4-24D8-1M-SHR</t>
  </si>
  <si>
    <t>SVC-7050SDX4-48D8-1M-2H</t>
  </si>
  <si>
    <t>1-Month A-Care Software &amp; 24x7x2 Hour Hardware Replacement for 7050SDX4-48D8</t>
  </si>
  <si>
    <t>SVC-7050SDX4-48D8-1M-4H</t>
  </si>
  <si>
    <t>1-Month A-Care Software &amp; 24x7x4 Hour Hardware Replacement for 7050SDX4-48D8</t>
  </si>
  <si>
    <t>SVC-7050SDX4-48D8-1M-NB</t>
  </si>
  <si>
    <t>1 Month A-Care Software &amp; NBD Hardware Replacement/Same Day Ship for 7050SDX4-48D8</t>
  </si>
  <si>
    <t>SVC-7050SDX4-48D8-1M-SH4</t>
  </si>
  <si>
    <t>SVC-7050SDX4-48D8-1M-SHR</t>
  </si>
  <si>
    <t>SVC-7050SPX4-48D8-1M-2H</t>
  </si>
  <si>
    <t>1-Month A-Care Software &amp; 24x7x2 Hour Hardware Replacement for 7050SPX4-48D8</t>
  </si>
  <si>
    <t>SVC-7050SPX4-48D8-1M-4H</t>
  </si>
  <si>
    <t>1-Month A-Care Software &amp; 24x7x4 Hour Hardware Replacement for 7050SPX4-48D8</t>
  </si>
  <si>
    <t>SVC-7050SPX4-48D8-1M-NB</t>
  </si>
  <si>
    <t>1 Month A-Care Software &amp; NBD Hardware Replacement/Same Day Ship for 7050SPX4-48D8</t>
  </si>
  <si>
    <t>SVC-7050SPX4-48D8-1M-SH4</t>
  </si>
  <si>
    <t>SVC-7050SPX4-48D8-1M-SHR</t>
  </si>
  <si>
    <t>OSV-7060PX5-64E-1M-4H</t>
  </si>
  <si>
    <t>Onsite Service: 1-Month A-Care Software &amp; 24x7x4 Hour Hardware Replacement for 7060PX5-64E</t>
  </si>
  <si>
    <t>OSV-7060PX5-64E-1M-NB</t>
  </si>
  <si>
    <t>Onsite Service: 1 Month A-Care Software &amp; NBD Hardware Replacement/Same Day Ship for 7060PX5-64E</t>
  </si>
  <si>
    <r>
      <t xml:space="preserve">VAT </t>
    </r>
    <r>
      <rPr>
        <b/>
        <sz val="10"/>
        <color rgb="FFC00000"/>
        <rFont val="맑은 고딕"/>
        <family val="2"/>
        <charset val="129"/>
      </rPr>
      <t>별도</t>
    </r>
    <phoneticPr fontId="27" type="noConversion"/>
  </si>
  <si>
    <r>
      <t xml:space="preserve">VAT </t>
    </r>
    <r>
      <rPr>
        <b/>
        <sz val="10"/>
        <color rgb="FFC00000"/>
        <rFont val="맑은 고딕"/>
        <family val="2"/>
        <charset val="129"/>
      </rPr>
      <t>포함</t>
    </r>
    <phoneticPr fontId="27" type="noConversion"/>
  </si>
  <si>
    <t>CCA-ETM-Q4</t>
  </si>
  <si>
    <t>Edge Threat Management, NG Firewall for small networks or branch offices</t>
  </si>
  <si>
    <t>SS-ETM-NGQ4U-1M</t>
  </si>
  <si>
    <t>Edge Threat Management NG Firewall Subscription License for 1-Month, for Q4 Unlimited</t>
  </si>
  <si>
    <t>DCA-NDR-S10</t>
  </si>
  <si>
    <t>ASP Sensor Physical Appliance, up to 10Gb/sec BW, requires HW support. No license</t>
  </si>
  <si>
    <t>Spare accessory kit for Arista 710P Series switches. (Power cords available separately)</t>
  </si>
  <si>
    <t>Arista 720DP, 24 x 2.5G POE, 4x10G SFP switch, front to rear air, 2 x 950W AC</t>
  </si>
  <si>
    <t>Arista 720DP, 24 x 2.5G POE, 4x10G SFP switch, front to rear air, 2 x 950W AC, C14 Power Cord</t>
  </si>
  <si>
    <t>Arista 720DP, 24 x 2.5G POE, 4x10G SFP switch, front to rear air, 2 x 950W AC, EU Power Cord</t>
  </si>
  <si>
    <t>Arista 720DP, 24 x 2.5G POE, 4x10G SFP switch, front to rear air, 2 x 950W AC, JPN Power Cord</t>
  </si>
  <si>
    <t>Arista 720DP, 24 x 2.5G POE, 4x10G SFP switch, front to rear air, 2 x 950W AC, NA Power Cord</t>
  </si>
  <si>
    <t>Arista 720DP, 24 x 2.5G POE, 4x10G SFP switch, front to rear air, 2 x 950W AC, UK Power Cord</t>
  </si>
  <si>
    <t>CCS-750X-48SX-LC</t>
  </si>
  <si>
    <t>Arista 750 Series 48 port 10G SFP linecard</t>
  </si>
  <si>
    <t>Spare accessory kit for Arista CCS-750 switches. 2-post mount. (Power cords available separately)</t>
  </si>
  <si>
    <t>Spare accessory kit for Arista 720XP 2RU Series switches. 2-post mount. (Power cords available separately)</t>
  </si>
  <si>
    <t>Spare accessory kit for Arista 7010T switches. 2-post mount. (2x C13-C14, 2m)</t>
  </si>
  <si>
    <t>PWR-2421-HV-RED#</t>
  </si>
  <si>
    <t>Configurable 2400W HV AC and DC Power Supply for 7388 Series (Red Handle)</t>
  </si>
  <si>
    <t>DCS-7050SX3-96YC8#</t>
  </si>
  <si>
    <t>KIT-7800-RK</t>
  </si>
  <si>
    <t>KIT-7800-RK-L</t>
  </si>
  <si>
    <t>Spare tool-free accessory kit (v3) for Arista switches. 4-post mount. (2 x C13-C14, 2m)</t>
  </si>
  <si>
    <t>Spare tool-free accessory kit (v3) for Arista switches. 4-post mount with deep chassis adapters. (2 x C13-C14, 2m)</t>
  </si>
  <si>
    <t>Spare extended tool-free 4-post mount kit (v3), includes deep chassis adapters. (82 - 107cm / 32 - 42")</t>
  </si>
  <si>
    <t>Spare tool-free 4-post mount kit (v3). (Compatible with KIT-ADJ-RLR)</t>
  </si>
  <si>
    <t>Spare tool-free accessory kit (v3) for Arista switches. 4-post mount. (2 x C19-C20, 2m)</t>
  </si>
  <si>
    <t>Spare tool-free accessory kit (v3) for Arista switches. 4-post mount with deep chassis adapters. (2 x C19-C20, 2m)</t>
  </si>
  <si>
    <t>Arista 7000 Series 2RU Ground Extender Kit for NEBS compliance. Refer to Datasheet for Compatibility</t>
  </si>
  <si>
    <t>Spare tool-free 2-post mount kit (v2) for 1RU Arista tool-free switches</t>
  </si>
  <si>
    <t>Spare tool-free accessory kit (v2) for 2RU Arista switches. 2-post &amp; 4-post mount. (2x C19-C20, 2m)</t>
  </si>
  <si>
    <t>Spare accessory kit for Arista 7020SR-32C2 switch. 2-post mount. (2x C13-C14, 2m)</t>
  </si>
  <si>
    <t>Spare tool-free accessory kit (v2) for 1RU Arista switches. 2-post &amp; 4-post mount. (2x C13-C14, 2m)</t>
  </si>
  <si>
    <t>Spare tool-free accessory kit (v2) for 2RU Arista switches. 2-post &amp; 4-post mount. (2x C13-C14, 2m)</t>
  </si>
  <si>
    <t>Spare extended tool-free 4-post mount kit (v2) for 1RU Arista tool-free switches. (82 - 107cm / 32 - 42")</t>
  </si>
  <si>
    <t>Arista 7358X-16C module for 7358X, 7368X and 7289R Series, 16 port 100GbE QSFP (Spare)</t>
  </si>
  <si>
    <t>Arista 7358X-16C module for 7358X, 7368X and 7289R Series, 16 port 100GbE QSFP (Ships in chassis)</t>
  </si>
  <si>
    <t>Arista 7368X-4P module for 7358X, 7368X and 7289R Series, 4 port 400GbE OSFP (Spare)</t>
  </si>
  <si>
    <t>Arista 7368X-4P module for 7358X, 7368X and 7289R Series, 4 port 400GbE OSFP (Ships in chassis)</t>
  </si>
  <si>
    <t>Arista 7368X-16S module for 7358X, 7368X and 7289R Series, 16 port 25GbE SFP (Spare)</t>
  </si>
  <si>
    <t>Arista 7368X-16S module for 7358X, 7368X and 7289R Series, 16 port 25GbE SFP (Ships in chassis)</t>
  </si>
  <si>
    <t>Arista 7368X-16C module for 7368X Series Only, 16 port 100GbE QSFP (Spare)</t>
  </si>
  <si>
    <t>Arista 7368X-16C module for 7368X Series Only, 16 port 100GbE QSFP (Ships in chassis)</t>
  </si>
  <si>
    <t>Arista 7368X-4D module for 7358X, 7368X and 7289R Series, 4 port 400GbE QSFP-DD (Spare)</t>
  </si>
  <si>
    <t>Arista 7368X-4D module for 7358X, 7368X and 7289R Series, 4 port 400GbE QSFP-DD (Ships in chassis)</t>
  </si>
  <si>
    <t>Spare tool-free 4-post mount kit (v2) for 2-4RU Arista tool-free switches</t>
  </si>
  <si>
    <t>Spare extended tool-free 4-post mount kit (v2) for 2-4RU Arista tool-free switches</t>
  </si>
  <si>
    <t>Spare accessory kit for Arista 7358X, 7368X and 7289R Series 4U switches. 4-post mount. (2x C19-C20, 2m)</t>
  </si>
  <si>
    <t>LIC-FIX-2-ENCR</t>
  </si>
  <si>
    <t>Enhanced Security Encryption License for Arista Group 2 Fixed switches, Encryption capable ports, TunnelSec and MACsec</t>
  </si>
  <si>
    <t>LIC-FIX-4-ENCR</t>
  </si>
  <si>
    <t>Enhanced Security Encryption License for Arista Group 4 Fixed switches, Encryption capable ports, TunnelSec and MACsec</t>
  </si>
  <si>
    <t>LIC-FIX-5-ENCR</t>
  </si>
  <si>
    <t>Enhanced Security Encryption License for Arista Group 5 Fixed switches, Encryption capable ports, TunnelSec and MACsec</t>
  </si>
  <si>
    <t>LIC-MOD-1-ENCR</t>
  </si>
  <si>
    <t>Enhanced Security Encryption License for Arista 4-Slot Modular - Encryption capable Linecards, TunnelSec and MACsec</t>
  </si>
  <si>
    <t>LIC-MOD-2-ENCR</t>
  </si>
  <si>
    <t>Enhanced Security Encryption License for Arista 8-Slot Modular - Encryption capable Linecards, TunnelSec and MACsec</t>
  </si>
  <si>
    <t>LIC-MOD-2-MACSEC</t>
  </si>
  <si>
    <t>MACSEC Encryption License for Arista 8-Slot Modular - Encryption with MACSEC capable Linecards</t>
  </si>
  <si>
    <t>LIC-MOD-3-ENCR</t>
  </si>
  <si>
    <t>Enhanced Security Encryption License for Arista 12-Slot Modular - Encryption capable Linecards, TunnelSec and MACsec</t>
  </si>
  <si>
    <t>LIC-MOD-3-MACSEC</t>
  </si>
  <si>
    <t>MACSEC Encryption License for Arista 12-Slot Modular - Encryption with MACSEC capable Linecards</t>
  </si>
  <si>
    <t>LIC-MOD-4-ENCR</t>
  </si>
  <si>
    <t>Enhanced Security Encryption License for Arista 16-Slot Modular - Encryption capable Linecards, TunnelSec and MACsec</t>
  </si>
  <si>
    <t>LIC-MOD-4-MACSEC</t>
  </si>
  <si>
    <t>MACSEC Encryption License for Arista 16-Slot Modular - Encryption with MACSEC capable Linecards</t>
  </si>
  <si>
    <t>LIC-WAN2-ENCR</t>
  </si>
  <si>
    <t>Encryption License for Arista WAN platform Band 2, AES256, IPsec</t>
  </si>
  <si>
    <t>MACSEC Encryption License for Arista 4-Slot Modular - Encryption with MACSEC capable Linecards</t>
  </si>
  <si>
    <t>C-Q200-Q200-1M</t>
  </si>
  <si>
    <t>200GbE QSFP200 to QSFP200 twinax copper cable, 1M</t>
  </si>
  <si>
    <t>C-Q200-Q200-2M</t>
  </si>
  <si>
    <t>200GbE QSFP200 to QSFP200 twinax copper cable, 2M</t>
  </si>
  <si>
    <t>C-Q200-Q200-3M</t>
  </si>
  <si>
    <t>200GbE QSFP200 to QSFP200 twinax copper cable, 3M</t>
  </si>
  <si>
    <t>OSFP-800G-2FR4</t>
  </si>
  <si>
    <t>2x 400GBASE-FR4 / 200GBASE-FR4 Dual-Rate  OSFP Transceiver, dual LC connectors, up to 2km over dual duplex SMF</t>
  </si>
  <si>
    <t>OSFP-800G-2LR4</t>
  </si>
  <si>
    <t>OSFP-800G-2XDR4</t>
  </si>
  <si>
    <t>2x 400GBASE-XDR4 OSFP Transceiver, Dual MPO-12 connector, up to 2km over parallel SMF</t>
  </si>
  <si>
    <t>QDD-800G-2FR4</t>
  </si>
  <si>
    <t>QDD-800G-2LR4</t>
  </si>
  <si>
    <t>QDD-800G-2XDR4</t>
  </si>
  <si>
    <t>SFP-10G-RA-1G-LX</t>
  </si>
  <si>
    <t>1000BASE-LX SFP Transceiver with Rate Adaptation, up to 10km over SMF</t>
  </si>
  <si>
    <t>SFP-10G-RA-1G-SX</t>
  </si>
  <si>
    <t>1000BASE-SX SFP Transceiver with Rate Adaptation, up to 550m over MMF</t>
  </si>
  <si>
    <t>100GBASE-BIDI QSFP transceiver, up to 70m over Duplex OM3 or 100m over OM4 multi-mode fiber</t>
  </si>
  <si>
    <t>Spare accessory kit for Arista 7516N switches. 4-post mount. (12x C19-C20, 2m)</t>
  </si>
  <si>
    <t>Spare accessory kit for Arista 7512N switches. 4-post mount. (8x C19-C20, 2m)</t>
  </si>
  <si>
    <t>Spare accessory kit for Arista 7508N switches. 2-post &amp; 4-post mount. (6x C19-C20, 2m)</t>
  </si>
  <si>
    <t>Spare accessory kit for Arista 7304 switches. 4-post mount. (2x C19-C20, 2m)</t>
  </si>
  <si>
    <t>Spare accessory kit for Arista 7308 switches. 4-post mount. (2x C19-C20, 2m)</t>
  </si>
  <si>
    <t>Arista 7000 Series 1RU Ground Extender Kit for NEBS compliance. Refer to Datasheet for Compatibility</t>
  </si>
  <si>
    <t>Spare tool-free accessory kit (v2) for Arista 2RU switches. 4-post mount. (2x C13-C14, 2m)</t>
  </si>
  <si>
    <t>KIT-7202</t>
  </si>
  <si>
    <t>Spare tool-free accessory kit (v2) for Arista 2RU switches. 4-post mount. (2x C19-C20, 2m)</t>
  </si>
  <si>
    <t>KIT-7203</t>
  </si>
  <si>
    <t>Spare tool-free accessory kit (v2) for Arista 2RU switches. 4-post mount. (2x SAF-D-C20, 2m)</t>
  </si>
  <si>
    <t>KIT-720</t>
  </si>
  <si>
    <t>Spare accessory kit for Arista 720XP 1RU Series switches. 2-post mount. (Power cords available separately)</t>
  </si>
  <si>
    <t>Spare screw-mounted accessory kit for Arista 1st gen. switches (7124, 7148, 7150, 7050X, 7048T) (2x C13-C14, 2m)</t>
  </si>
  <si>
    <t>Spare accessory kit for Arista 7508 switches. 2-post &amp; 4-post mount. (6x C19-C20, 2m)</t>
  </si>
  <si>
    <t>Spare accessory kit for Arista 7504 and 7504N switches. 2-post &amp; 4-post mount. (4x C19-C20, 2m)</t>
  </si>
  <si>
    <t>Spare tool-free 4-post mount kit (v2) for 1RU Arista tool-free switches</t>
  </si>
  <si>
    <t>Spare accessory kit for Arista 7130S Series. (2x C13-14, 2m)</t>
  </si>
  <si>
    <t>SS-CLOUDEOS-VR-CV-100M-B-1M</t>
  </si>
  <si>
    <t>CloudEOS Router for VM/Cloud SW Sub Lic for 1-Month for up to 100M throughput, includes routing, IPSec, A-care Support, and 1-Month CloudVision for single instance</t>
  </si>
  <si>
    <t>SS-CLOUDEOS-VR-CVS-100M-B-1M</t>
  </si>
  <si>
    <t>CloudEOS Router for VM/Cloud SW Sub Lic for 1-Month up to 100M throughput, includes routing, IPSec, and Support, 1-Month CloudVision as-a-Service for single instance</t>
  </si>
  <si>
    <t>SS-CVS-WAN2-1M</t>
  </si>
  <si>
    <t>CloudVision as-a-Service Subscription License for 1-Month for Arista WAN platform Band 2</t>
  </si>
  <si>
    <t>SS-CV-WAN2-1M</t>
  </si>
  <si>
    <t>CloudVision SW Subscription License for 1-Month for Arista WAN platform Band 2. Delivered via download only.</t>
  </si>
  <si>
    <t>SS-NDR-S10-1M</t>
  </si>
  <si>
    <t>ASP Sensor Subscription License for 1-Month, up to 5Gb/sec BW, A-Care Support</t>
  </si>
  <si>
    <t>SS-NDR-SVV5-1M</t>
  </si>
  <si>
    <t>ASP Virtual ESXI Sensor Subscription License for 1-Month, up to 5Gb/sec BW, A-Care Support</t>
  </si>
  <si>
    <t>SVC-AVD-G-SWITCH-1M</t>
  </si>
  <si>
    <t>1-Month A-Care Ansible AVD support for 1 Arista EOS-based Switch. 1G/mG Fixed and Modular Platforms.</t>
  </si>
  <si>
    <t>SVC-AVD-SWITCH-1M</t>
  </si>
  <si>
    <t>1-Month A-Care Ansible AVD support for 1 Arista EOS-based Switch. 10G+ Fixed and Modular Platforms.</t>
  </si>
  <si>
    <t>SVC-AWE-5310-2F-1M-2H</t>
  </si>
  <si>
    <t>1-Month A-Care 24x7x2 Software &amp; Hardware Replacement for AWE-5310-2F</t>
  </si>
  <si>
    <t>SVC-AWE-5310-2F-1M-4H</t>
  </si>
  <si>
    <t>1-Month A-Care 24x7x4 Software &amp; Hardware Replacement for AWE-5310-2F</t>
  </si>
  <si>
    <t>SVC-AWE-5310-2F-1M-NB</t>
  </si>
  <si>
    <t>1-Month A-Care Software &amp; 8x5xNBD Hardware Replacement/Same Day Ship for AWE-5310-2F</t>
  </si>
  <si>
    <t>SVC-AWE-5510-2F-1M-2H</t>
  </si>
  <si>
    <t>1-Month A-Care 24x7x2 Software &amp; Hardware Replacement for AWE-5510-2F</t>
  </si>
  <si>
    <t>SVC-AWE-5510-2F-1M-4H</t>
  </si>
  <si>
    <t>1-Month A-Care 24x7x4 Software &amp; Hardware Replacement for AWE-5510-2F</t>
  </si>
  <si>
    <t>SVC-AWE-5510-2F-1M-NB</t>
  </si>
  <si>
    <t>1-Month A-Care Software &amp; 8x5xNBD Hardware Replacement/Same Day Ship for AWE-5510-2F</t>
  </si>
  <si>
    <t>SVC-DCA-NDR-S10-1M-NB</t>
  </si>
  <si>
    <t>ASP: NBD Hardware Replacement/Same Day Ship for 10Gb Sensor</t>
  </si>
  <si>
    <t>SVC-DCA-250-CV-1M-NB</t>
  </si>
  <si>
    <t>SVC-DCA-300-CV-1M-NB</t>
  </si>
  <si>
    <t>SS-NDR-G-T2-1M</t>
  </si>
  <si>
    <t>SVC-Q4-1M-4H</t>
  </si>
  <si>
    <t>1-Month A-Care Software &amp; 24x7x4 Hour Hardware Replacement for Q4</t>
  </si>
  <si>
    <t>SVC-Q4-1M-NB</t>
  </si>
  <si>
    <t>1-Month A-Care Software &amp; NBD Hardware Replacement/Same Day Ship for Q4</t>
  </si>
  <si>
    <t>SVC-Q4-1M-RB</t>
  </si>
  <si>
    <t>1-Month A-Care Software Support and HW Replacement for Q4</t>
  </si>
  <si>
    <t>SVC-7358X4-1M-SHR</t>
  </si>
  <si>
    <t>SVC-7358X4-1M-SH4</t>
  </si>
  <si>
    <t>SVC-7358X4D-1M-SHR</t>
  </si>
  <si>
    <t>SVC-7358X4D-1M-SH4</t>
  </si>
  <si>
    <t>Arista PSU, 2000W, POE, AC Front to Rear (Spare)</t>
  </si>
  <si>
    <t>PWR-2021-AC-RED#</t>
  </si>
  <si>
    <t>Arista PSU, 2000W, POE, AC Front to Rear (Ship in chassis)</t>
  </si>
  <si>
    <t>Arista 7060X5, 32 x 2x400GbE QSFP-DD switch, front-to-rear air, 2x2400W AC</t>
  </si>
  <si>
    <t>DCS-7050DX4M-32S#</t>
  </si>
  <si>
    <t>Arista 7050X4, 32x400GbE QSFP-DD &amp; 2xSFP+ MACsec switch, no fans, no psu</t>
  </si>
  <si>
    <t>DCS-7050DX4M-32S-F</t>
  </si>
  <si>
    <t>Arista 7050X4, 32x400GbE QSFP-DD &amp; 2xSFP+ MACsec switch, front-to-rear air, 2xAC</t>
  </si>
  <si>
    <t>DCS-7280CR3A-24D12#</t>
  </si>
  <si>
    <t>Arista 7280R3A, 24x100GbE QSFP and 12x400GbE QSFP-DD switch router, configurable fans and psu</t>
  </si>
  <si>
    <t>DCS-7280CR3A-24D12-F</t>
  </si>
  <si>
    <t>Arista 7280R3A, 24x100GbE QSFP and 12x400GbE QSFP-DD switch router, front to rear air, 2 x AC</t>
  </si>
  <si>
    <t>DCS-7280CR3A-24D12-FLX-F</t>
  </si>
  <si>
    <t>Arista 7280R3A, 24x100GbE QSFP and 12x400GbE QSFP-DD switch router, front to rear air, 2 x AC, Over 256K Routes, MPLS and VXLAN</t>
  </si>
  <si>
    <t>DCS-7280CR3A-72#</t>
  </si>
  <si>
    <t>Arista 7280R3A, 72xx100GbE QSFP switch router, configurable fans and psu</t>
  </si>
  <si>
    <t>DCS-7280CR3A-72-F</t>
  </si>
  <si>
    <t>Arista 7280R3A, 72x100GbE QSFP switch router, front to rear air, 2 x AC</t>
  </si>
  <si>
    <t>DCS-7280CR3A-72-FLX-F</t>
  </si>
  <si>
    <t>Arista 7280R3A, 72x100GbE QSFP switch router, front to rear air, 2 x AC, Over 256K Routes, MPLS and VXLAN</t>
  </si>
  <si>
    <t>DCS-7280CR3A-72-FLX-R</t>
  </si>
  <si>
    <t>Arista 7280R3A, 72x100GbE QSFP switch router, rear to front air, 2 x AC, Over 256K Routes, MPLS and VXLAN</t>
  </si>
  <si>
    <t>DCS-7280CR3A-72-R</t>
  </si>
  <si>
    <t>Arista 7280R3A, 72x100GbE QSFP switch router, rear to front air, 2 x AC</t>
  </si>
  <si>
    <t>DCS-7280CR3AK-24D12#</t>
  </si>
  <si>
    <t>Arista 7280R3A, 24x100GbE QSFP and 12x400GbE QSFP-DD switch router, large routes and Enh MACsec, configurable fans and psu</t>
  </si>
  <si>
    <t>DCS-7280CR3AK-24D12-F</t>
  </si>
  <si>
    <t>Arista 7280R3A, 24x100GbE QSFP and 12x400GbE QSFP-DD switch router, large routes and Enh MACsec, front to rear air, 2 x AC</t>
  </si>
  <si>
    <t>DCS-7280CR3AK-24D12-FLX-F</t>
  </si>
  <si>
    <t>Arista 7280R3A, 24x100GbE QSFP and 12x400GbE QSFP-DD switch router, large routes and Enh MACsec, front to rear air, 2 x AC, Over 256K Routes, MPLS and VXLAN</t>
  </si>
  <si>
    <t>DCS-7280CR3AK-72#</t>
  </si>
  <si>
    <t>Arista 7280R3A, 72xx100GbE QSFP switch router, large routes and Enh MACsec, configurable fans and psu</t>
  </si>
  <si>
    <t>DCS-7280CR3AK-72-F</t>
  </si>
  <si>
    <t>Arista 7280R3A, 72x100GbE QSFP switch router, large routes and Enh MACsec, front to rear air, 2 x AC</t>
  </si>
  <si>
    <t>DCS-7280CR3AK-72-FLX-F</t>
  </si>
  <si>
    <t>Arista 7280R3A, 72x100GbE QSFP switch router, large routes and Enh MACsec, front to rear air, 2 x AC, Over 256K Routes, MPLS and VXLAN</t>
  </si>
  <si>
    <t>DCS-7280CR3AK-72-FLX-R</t>
  </si>
  <si>
    <t>Arista 7280R3A, 72x100GbE QSFP switch router, large routes and Enh MACsec, rear to front air, 2 x AC, Over 256K Routes, MPLS and VXLAN</t>
  </si>
  <si>
    <t>DCS-7280CR3AK-72-R</t>
  </si>
  <si>
    <t>Arista 7280R3A, 72x100GbE QSFP switch router, large routes and Enh MACsec, rear to front air, 2 x AC</t>
  </si>
  <si>
    <t>DCS-7280CR3AM-24D12#</t>
  </si>
  <si>
    <t>Arista 7280R3A, 24x100GbE QSFP and 12x400GbE QSFP-DD switch router, Enh MACsec, configurable fans and psu</t>
  </si>
  <si>
    <t>DCS-7280CR3AM-24D12-F</t>
  </si>
  <si>
    <t>Arista 7280R3A, 24x100GbE QSFP and 12x400GbE QSFP-DD switch router, Enh MACsec, front to rear air, 2 x AC</t>
  </si>
  <si>
    <t>DCS-7280CR3AM-24D12-FLX-F</t>
  </si>
  <si>
    <t>Arista 7280R3A, 24x100GbE QSFP and 12x400GbE QSFP-DD switch router, Enh MACsec, front to rear air, 2 x AC, Over 256K Routes, MPLS and VXLAN</t>
  </si>
  <si>
    <t>DCS-7280CR3AM-72#</t>
  </si>
  <si>
    <t>Arista 7280R3A, 72xx100GbE QSFP switch router, Enh MACsec, configurable fans and psu</t>
  </si>
  <si>
    <t>DCS-7280CR3AM-72-F</t>
  </si>
  <si>
    <t>Arista 7280R3A, 72x100GbE QSFP switch router, Enh MACsec, front to rear air, 2 x AC</t>
  </si>
  <si>
    <t>DCS-7280CR3AM-72-FLX-F</t>
  </si>
  <si>
    <t>Arista 7280R3A, 72x100GbE QSFP switch router, Enh MACsec, front to rear air, 2 x AC, Over 256K Routes, MPLS and VXLAN</t>
  </si>
  <si>
    <t>DCS-7280CR3AM-72-FLX-R</t>
  </si>
  <si>
    <t>Arista 7280R3A, 72x100GbE QSFP switch router, Enh MACsec, rear to front air, 2 x AC, Over 256K Routes, MPLS and VXLAN</t>
  </si>
  <si>
    <t>DCS-7280CR3AM-72-R</t>
  </si>
  <si>
    <t>Arista 7280R3A, 72x100GbE QSFP switch router, Enh MACsec, rear to front air, 2 x AC</t>
  </si>
  <si>
    <t>DCS-7280SR3MK-48YC8A-S#</t>
  </si>
  <si>
    <t>Arista 7280R3, 48x25GbE SFP and 8x100G QSFP switch router, large routes, MACsec, configurable fans and psu</t>
  </si>
  <si>
    <t>DCS-7280SR3MK-48YC8A-S-F</t>
  </si>
  <si>
    <t>Arista 7280R3, 48x25GbE SFP and 8x100G QSFP switch router, large routes, MACsec, front to rear air, 2 x AC</t>
  </si>
  <si>
    <t>Arista 7280R3, 48x25GbE SFP and 8x100G QSFP switch router, large routes, MACsec, front to rear air, 2 x DC</t>
  </si>
  <si>
    <t>DCS-7280SR3MK-48YC8A-S-FLX#</t>
  </si>
  <si>
    <t>Arista 7280R3, 48x25GbE SFP and 8x100G QSFP switch router, large routes, MACsec, configurable fans and psu. Over 256K Routes, MPLS and VXLAN</t>
  </si>
  <si>
    <t>DCS-7280SR3MK-48YC8A-S-FLX-F</t>
  </si>
  <si>
    <t>Arista 7280R3, 48x25GbE SFP and 8x100G QSFP switch router, large routes, MACsec, front to rear air, 2 x AC. Over 256K Routes, MPLS and VXLAN</t>
  </si>
  <si>
    <t>DCS-7280SR3MK-48YC8A-S-FLX-R</t>
  </si>
  <si>
    <t>Arista 7280R3, 48x25GbE SFP and 8x100G QSFP switch router, large routes, MACsec, rear to front air, 2 x AC. Over 256K Routes, MPLS and VXLAN</t>
  </si>
  <si>
    <t>DCS-7280SR3MK-48YC8A-S-R</t>
  </si>
  <si>
    <t>Arista 7280R3, 48x25GbE SFP and 8x100G QSFP switch router, large routes, MACsec, rear to front air, 2 x AC</t>
  </si>
  <si>
    <t>AP-C330</t>
  </si>
  <si>
    <t>AP-C330-SS-3Y</t>
  </si>
  <si>
    <t>AP-C330-SS-5Y</t>
  </si>
  <si>
    <t>AP-C330-SS-PREM-3Y</t>
  </si>
  <si>
    <t>AP-C330-SS-PREM-5Y</t>
  </si>
  <si>
    <t>OSV-7050DX4M-32S-1M-4H</t>
  </si>
  <si>
    <t>Onsite Service: 1-Month A-Care Software &amp; 24x7x4 Hour Hardware Replacement for 7050DX4M-32S</t>
  </si>
  <si>
    <t>OSV-7050DX4M-32S-1M-NB</t>
  </si>
  <si>
    <t>Onsite Service: 1 Month A-Care Software &amp; NBD Hardware Replacement/Same Day Ship for 7050DX4M-32S</t>
  </si>
  <si>
    <t>OSV-7280CR3A-24D12-1M-4H</t>
  </si>
  <si>
    <t>Onsite Service: 1-Month A-Care Software &amp; 24x7x4 Hour Hardware Replacement for 7280CR3A-24D12</t>
  </si>
  <si>
    <t>OSV-7280CR3A-24D12-1M-NB</t>
  </si>
  <si>
    <t>Onsite Service: 1 Month A-Care Software &amp; NBD Hardware Replacement/Same Day Ship for 7280CR3A-24D12</t>
  </si>
  <si>
    <t>OSV-7280CR3A-72-1M-4H</t>
  </si>
  <si>
    <t>Onsite Service: 1-Month A-Care Software &amp; 24x7x4 Hour Hardware Replacement for 7280CR3A-72</t>
  </si>
  <si>
    <t>OSV-7280CR3A-72-1M-NB</t>
  </si>
  <si>
    <t>Onsite Service: 1 Month A-Care Software &amp; NBD Hardware Replacement/Same Day Ship for 7280CR3A-72</t>
  </si>
  <si>
    <t>OSV-7280CR3AK-24D12-1M-4H</t>
  </si>
  <si>
    <t>Onsite Service: 1-Month A-Care Software &amp; 24x7x4 Hour Hardware Replacement for 7280CR3AK-24D12</t>
  </si>
  <si>
    <t>OSV-7280CR3AK-24D12-1M-NB</t>
  </si>
  <si>
    <t>Onsite Service: 1 Month A-Care Software &amp; NBD Hardware Replacement/Same Day Ship for 7280CR3AK-24D12</t>
  </si>
  <si>
    <t>OSV-7280CR3AK-72-1M-4H</t>
  </si>
  <si>
    <t>Onsite Service: 1-Month A-Care Software &amp; 24x7x4 Hour Hardware Replacement for 7280CR3AK-72</t>
  </si>
  <si>
    <t>OSV-7280CR3AK-72-1M-NB</t>
  </si>
  <si>
    <t>Onsite Service: 1 Month A-Care Software &amp; NBD Hardware Replacement/Same Day Ship for 7280CR3AK-72</t>
  </si>
  <si>
    <t>OSV-7280CR3AM-24D12-1M-4H</t>
  </si>
  <si>
    <t>Onsite Service: 1-Month A-Care Software &amp; 24x7x4 Hour Hardware Replacement for 7280CR3AM-24D12</t>
  </si>
  <si>
    <t>OSV-7280CR3AM-24D12-1M-NB</t>
  </si>
  <si>
    <t>Onsite Service: 1 Month A-Care Software &amp; NBD Hardware Replacement/Same Day Ship for 7280CR3AM-24D12</t>
  </si>
  <si>
    <t>OSV-7280CR3AM-72-1M-4H</t>
  </si>
  <si>
    <t>Onsite Service: 1-Month A-Care Software &amp; 24x7x4 Hour Hardware Replacement for 7280CR3AM-72</t>
  </si>
  <si>
    <t>OSV-7280CR3AM-72-1M-NB</t>
  </si>
  <si>
    <t>Onsite Service: 1 Month A-Care Software &amp; NBD Hardware Replacement/Same Day Ship for 7280CR3AM-72</t>
  </si>
  <si>
    <t>OSV-7280SR3MK-48YC8A-1M-4H</t>
  </si>
  <si>
    <t>Onsite Service: 1-Month A-Care Software &amp; 24x7x4 Hour Hardware Replacement for 7280SR3MK-48YC8A</t>
  </si>
  <si>
    <t>OSV-7280SR3MK-48YC8A-1M-NB</t>
  </si>
  <si>
    <t>Onsite Service: 1 Month A-Care Software &amp; NBD Hardware Replacement/Same Day Ship for 7280SR3MK-48YC8A</t>
  </si>
  <si>
    <t>SVC-7050DX4M-32S-1M-2H</t>
  </si>
  <si>
    <t>1-Month A-Care Software &amp; 24x7x2 Hour Hardware Replacement for 7050DX4M-32S</t>
  </si>
  <si>
    <t>SVC-7050DX4M-32S-1M-4H</t>
  </si>
  <si>
    <t>1-Month A-Care Software &amp; 24x7x4 Hour Hardware Replacement for 7050DX4M-32S</t>
  </si>
  <si>
    <t>SVC-7050DX4M-32S-1M-NB</t>
  </si>
  <si>
    <t>1 Month A-Care Software &amp; NBD Hardware Replacement/Same Day Ship for 7050DX4M-32S</t>
  </si>
  <si>
    <t>SVC-7050DX4M-32S-1M-SH4</t>
  </si>
  <si>
    <t>SVC-7050DX4M-32S-1M-SHR</t>
  </si>
  <si>
    <t>SVC-7280CR3A-24D12-1M-2H</t>
  </si>
  <si>
    <t>1-Month A-Care Software &amp; 24x7x2 Hour Hardware Replacement for 7280CR3A-24D12</t>
  </si>
  <si>
    <t>SVC-7280CR3A-24D12-1M-4H</t>
  </si>
  <si>
    <t>1-Month A-Care Software &amp; 24x7x4 Hour Hardware Replacement for 7280CR3A-24D12</t>
  </si>
  <si>
    <t>SVC-7280CR3A-24D12-1M-NB</t>
  </si>
  <si>
    <t>1 Month A-Care Software &amp; NBD Hardware Replacement/Same Day Ship for 7280CR3A-24D12</t>
  </si>
  <si>
    <t>SVC-7280CR3A-24D12-1M-SH4</t>
  </si>
  <si>
    <t>SVC-7280CR3A-24D12-1M-SHR</t>
  </si>
  <si>
    <t>SVC-7280CR3A-72-1M-2H</t>
  </si>
  <si>
    <t>1-Month A-Care Software &amp; 24x7x2 Hour Hardware Replacement for 7280CR3A-72</t>
  </si>
  <si>
    <t>SVC-7280CR3A-72-1M-4H</t>
  </si>
  <si>
    <t>1-Month A-Care Software &amp; 24x7x4 Hour Hardware Replacement for 7280CR3A-72</t>
  </si>
  <si>
    <t>SVC-7280CR3A-72-1M-NB</t>
  </si>
  <si>
    <t>1 Month A-Care Software &amp; NBD Hardware Replacement/Same Day Ship for 7280CR3A-72</t>
  </si>
  <si>
    <t>SVC-7280CR3A-72-1M-SH4</t>
  </si>
  <si>
    <t>SVC-7280CR3A-72-1M-SHR</t>
  </si>
  <si>
    <t>SVC-7280CR3AK-24D12-1M-2H</t>
  </si>
  <si>
    <t>1-Month A-Care Software &amp; 24x7x2 Hour Hardware Replacement for 7280CR3AK-24D12</t>
  </si>
  <si>
    <t>SVC-7280CR3AK-24D12-1M-4H</t>
  </si>
  <si>
    <t>1-Month A-Care Software &amp; 24x7x4 Hour Hardware Replacement for 7280CR3AK-24D12</t>
  </si>
  <si>
    <t>SVC-7280CR3AK-24D12-1M-NB</t>
  </si>
  <si>
    <t>1 Month A-Care Software &amp; NBD Hardware Replacement/Same Day Ship for 7280CR3AK-24D12</t>
  </si>
  <si>
    <t>SVC-7280CR3AK-24D12-1M-SH4</t>
  </si>
  <si>
    <t>SVC-7280CR3AK-24D12-1M-SHR</t>
  </si>
  <si>
    <t>SVC-7280CR3AK-72-1M-2H</t>
  </si>
  <si>
    <t>1-Month A-Care Software &amp; 24x7x2 Hour Hardware Replacement for 7280CR3AK-72</t>
  </si>
  <si>
    <t>SVC-7280CR3AK-72-1M-4H</t>
  </si>
  <si>
    <t>1-Month A-Care Software &amp; 24x7x4 Hour Hardware Replacement for 7280CR3AK-72</t>
  </si>
  <si>
    <t>SVC-7280CR3AK-72-1M-NB</t>
  </si>
  <si>
    <t>1 Month A-Care Software &amp; NBD Hardware Replacement/Same Day Ship for 7280CR3AK-72</t>
  </si>
  <si>
    <t>SVC-7280CR3AK-72-1M-SH4</t>
  </si>
  <si>
    <t>SVC-7280CR3AK-72-1M-SHR</t>
  </si>
  <si>
    <t>SVC-7280CR3AM-24D12-1M-2H</t>
  </si>
  <si>
    <t>1-Month A-Care Software &amp; 24x7x2 Hour Hardware Replacement for 7280CR3AM-24D12</t>
  </si>
  <si>
    <t>SVC-7280CR3AM-24D12-1M-4H</t>
  </si>
  <si>
    <t>1-Month A-Care Software &amp; 24x7x4 Hour Hardware Replacement for 7280CR3AM-24D12</t>
  </si>
  <si>
    <t>SVC-7280CR3AM-24D12-1M-NB</t>
  </si>
  <si>
    <t>1 Month A-Care Software &amp; NBD Hardware Replacement/Same Day Ship for 7280CR3AM-24D12</t>
  </si>
  <si>
    <t>SVC-7280CR3AM-24D12-1M-SH4</t>
  </si>
  <si>
    <t>SVC-7280CR3AM-24D12-1M-SHR</t>
  </si>
  <si>
    <t>SVC-7280CR3AM-72-1M-2H</t>
  </si>
  <si>
    <t>1-Month A-Care Software &amp; 24x7x2 Hour Hardware Replacement for 7280CR3AM-72</t>
  </si>
  <si>
    <t>SVC-7280CR3AM-72-1M-4H</t>
  </si>
  <si>
    <t>1-Month A-Care Software &amp; 24x7x4 Hour Hardware Replacement for 7280CR3AM-72</t>
  </si>
  <si>
    <t>SVC-7280CR3AM-72-1M-NB</t>
  </si>
  <si>
    <t>1 Month A-Care Software &amp; NBD Hardware Replacement/Same Day Ship for 7280CR3AM-72</t>
  </si>
  <si>
    <t>SVC-7280CR3AM-72-1M-SH4</t>
  </si>
  <si>
    <t>SVC-7280CR3AM-72-1M-SHR</t>
  </si>
  <si>
    <t>SVC-7280SR3MK-48YC8A-1M-2H</t>
  </si>
  <si>
    <t>1-Month A-Care Software &amp; 24x7x2 Hour Hardware Replacement for 7280SR3MK-48YC8A</t>
  </si>
  <si>
    <t>SVC-7280SR3MK-48YC8A-1M-4H</t>
  </si>
  <si>
    <t>1-Month A-Care Software &amp; 24x7x4 Hour Hardware Replacement for 7280SR3MK-48YC8A</t>
  </si>
  <si>
    <t>SVC-7280SR3MK-48YC8A-1M-NB</t>
  </si>
  <si>
    <t>1 Month A-Care Software &amp; NBD Hardware Replacement/Same Day Ship for 7280SR3MK-48YC8A</t>
  </si>
  <si>
    <t>SVC-7280SR3MK-48YC8A-1M-SH4</t>
  </si>
  <si>
    <t>SVC-7280SR3MK-48YC8A-1M-SHR</t>
  </si>
  <si>
    <t>CCS-720DF-48Y-DC-2F</t>
  </si>
  <si>
    <t>CCS-720XP-48TXH-2C-S-2F</t>
  </si>
  <si>
    <t>Arista 720XP, 48 x 10G, 90W POE, 4x25G SFP28, 2x100G QSFP switch, front to rear air, AC</t>
  </si>
  <si>
    <t>CCS-720XP-48TXH-2C-S-2F-C14</t>
  </si>
  <si>
    <t>Arista 720XP, 48 x 10G, 90W POE, 4x25G SFP28, 2x100G QSFP switch, front to rear air, AC, C14 Power Cord</t>
  </si>
  <si>
    <t>CCS-720XP-48TXH-2C-S-2F-EU</t>
  </si>
  <si>
    <t>Arista 720XP, 48 x 10G, 90W POE, 4x25G SFP28, 2x100G QSFP switch, front to rear air, AC, EU Power Cord</t>
  </si>
  <si>
    <t>CCS-720XP-48TXH-2C-S-2F-JPN</t>
  </si>
  <si>
    <t>Arista 720XP, 48 x 10G, 90W POE, 4x25G SFP28, 2x100G QSFP switch, front to rear air, AC, JPN Power Cord</t>
  </si>
  <si>
    <t>CCS-720XP-48TXH-2C-S-2F-NA</t>
  </si>
  <si>
    <t>Arista 720XP, 48 x 10G, 90W POE, 4x25G SFP28, 2x100G QSFP switch, front to rear air, AC, NA Power Cord</t>
  </si>
  <si>
    <t>CCS-720XP-48TXH-2C-S-2F-UK</t>
  </si>
  <si>
    <t>Arista 720XP, 48 x 10G, 90W POE, 4x25G SFP28, 2x100G QSFP switch, front to rear air, AC, UK Power Cord</t>
  </si>
  <si>
    <t>DCA-DM-SC2</t>
  </si>
  <si>
    <t>Arista DMF: 4-Port 10G SFP+ Service Node HWC2 perpetual; requires A-Care support</t>
  </si>
  <si>
    <t>DCS-7816L-CH</t>
  </si>
  <si>
    <t>DCS-7816LR3-BND</t>
  </si>
  <si>
    <t>DCS-7816LR3-BND-DC</t>
  </si>
  <si>
    <t>DCS-7816LR3-BND-DC-S2</t>
  </si>
  <si>
    <t>DCS-7816LR3-BND-FLX</t>
  </si>
  <si>
    <t>DCS-7816LR3-BNDS</t>
  </si>
  <si>
    <t>DCS-7816LR3-BND-S2</t>
  </si>
  <si>
    <t>DCS-7816LR3-BNDS-DC</t>
  </si>
  <si>
    <t>DCS-7816LR3-FM</t>
  </si>
  <si>
    <t>7800R3 Series Fabric Module for 7816L Chassis, required for fabric slots 1-6</t>
  </si>
  <si>
    <t>Arista 7060X5, 32x400GbE QSFP-DD switch, front-to-rear air, 2xAC</t>
  </si>
  <si>
    <t>DCS-7060DX5-32-F</t>
  </si>
  <si>
    <t>DCS-7060DX5-32-R</t>
  </si>
  <si>
    <t>Arista 7060X5, 32x400GbE QSFP-DD switch, rear-to-front air, 2xAC</t>
  </si>
  <si>
    <t>DCS-7280CR3A-48D6#</t>
  </si>
  <si>
    <t>Arista 7280R3A, 48x100GbE QSFP and 6x400GbE QSFP-DD switch router, configurable fans and psu</t>
  </si>
  <si>
    <t>DCS-7280CR3A-48D6-F</t>
  </si>
  <si>
    <t>Arista 7280R3A, 48x100GbE QSFP and 6x400GbE QSFP-DD switch router, front to rear air, 2 x AC</t>
  </si>
  <si>
    <t>DCS-7280CR3A-48D6-FLX-F</t>
  </si>
  <si>
    <t>Arista 7280R3A, 48x100GbE QSFP and 6x400GbE QSFP-DD switch router, front to rear air, 2 x AC, Over 256K Routes, MPLS and VXLAN</t>
  </si>
  <si>
    <t>DCS-7280CR3A-48D6-FLX-R</t>
  </si>
  <si>
    <t>Arista 7280R3A, 48x100GbE QSFP and 6x400GbE QSFP-DD switch router, rear to front air, 2 x AC, Over 256K Routes, MPLS and VXLAN</t>
  </si>
  <si>
    <t>DCS-7280CR3A-48D6-R</t>
  </si>
  <si>
    <t>Arista 7280R3A, 48x100GbE QSFP and 6x400GbE QSFP-DD switch router, rear to front air, 2 x AC</t>
  </si>
  <si>
    <t>DCS-7280CR3AK-48D6#</t>
  </si>
  <si>
    <t>Arista 7280R3A, 48x100GbE QSFP and 6x400GbE QSFP-DD switch router, large routes and Enh MACsec, configurable fans and psu</t>
  </si>
  <si>
    <t>DCS-7280CR3AK-48D6-F</t>
  </si>
  <si>
    <t>Arista 7280R3A, 48x100GbE QSFP and 6x400GbE QSFP-DD switch router, large routes and Enh MACsec, front to rear air, 2 x AC</t>
  </si>
  <si>
    <t>DCS-7280CR3AK-48D6-FLX-F</t>
  </si>
  <si>
    <t>Arista 7280R3A, 48x100GbE QSFP and 6x400GbE QSFP-DD switch router, large routes and Enh MACsec, front to rear air, 2 x AC, Over 256K Routes, MPLS and VXLAN</t>
  </si>
  <si>
    <t>DCS-7280CR3AK-48D6-FLX-R</t>
  </si>
  <si>
    <t>Arista 7280R3A, 48x100GbE QSFP and 6x400GbE QSFP-DD switch router, large routes and Enh MACsec, rear to front air, 2 x AC, Over 256K Routes, MPLS and VXLAN</t>
  </si>
  <si>
    <t>DCS-7280CR3AK-48D6-R</t>
  </si>
  <si>
    <t>Arista 7280R3A, 48x100GbE QSFP and 6x400GbE QSFP-DD switch router, large routes and Enh MACsec, rear to front air, 2 x AC</t>
  </si>
  <si>
    <t>DCS-7280CR3AM-48D6#</t>
  </si>
  <si>
    <t>Arista 7280R3A, 48x100GbE QSFP and 6x400GbE QSFP-DD switch router, Enh MACsec, configurable fans and psu</t>
  </si>
  <si>
    <t>DCS-7280CR3AM-48D6-F</t>
  </si>
  <si>
    <t>Arista 7280R3A, 48x100GbE QSFP and 6x400GbE QSFP-DD switch router, Enh MACsec, front to rear air, 2 x AC</t>
  </si>
  <si>
    <t>DCS-7280CR3AM-48D6-FLX-F</t>
  </si>
  <si>
    <t>DCS-7280CR3AM-48D6-FLX-R</t>
  </si>
  <si>
    <t>Arista 7280R3A, 48x100GbE QSFP and 6x400GbE QSFP-DD switch router, Enh MACsec, rear to front air, 2 x AC</t>
  </si>
  <si>
    <t>DCS-7280CR3AM-48D6-R</t>
  </si>
  <si>
    <t>DCS-7280DR3AK-36-FLX-F</t>
  </si>
  <si>
    <t>Arista 7280R3A, 36x400GbE QSFP-DD switch router, large routes and Enh MACsec, front to rear air, 2 x AC, Over 256K Routes, MPLS and VXLAN</t>
  </si>
  <si>
    <t>QDD-800G-2PLR4</t>
  </si>
  <si>
    <t>2x 400GBASE-PLR4 QSFP-DD Transceiver, Dual MPO-12 connector, up to 10km over parallel SMF</t>
  </si>
  <si>
    <t>OSFP-800G-2PLR4</t>
  </si>
  <si>
    <t>2x 400GBASE-PLR4 OSFP Transceiver, Dual MPO-12 connector, up to 10km over parallel SMF</t>
  </si>
  <si>
    <t>C-D800-D800-1M</t>
  </si>
  <si>
    <t>800GBASE-CR8 QSFP-DD TO QSFP-DD Twinax Copper Cable, 1 meter</t>
  </si>
  <si>
    <t>C-O800-O800-1M</t>
  </si>
  <si>
    <t>800GBASE-CR8 OSFP TO OSFP Twinax Copper Cable, 1 meter</t>
  </si>
  <si>
    <t>OSFP-400G-SRBD</t>
  </si>
  <si>
    <t>400GBASE-SR4.2 and 4x 100GBASE-BIDI / SR1.2 OSFP Transceiver, MPO-12 connector, up to 100m over parallel MMF.</t>
  </si>
  <si>
    <t>QDD-400G-SRBD</t>
  </si>
  <si>
    <t>400GBASE-SR4.2 and 4x 100GBASE-BIDI / SR1.2 QSFP-DD Transceiver, MPO-12 connector, up to 100m over parallel MMF.</t>
  </si>
  <si>
    <t>QDD-400G-ZRP</t>
  </si>
  <si>
    <t>400G OpenZR+ QSFP-DD Digital Coherent Tunable Transceiver</t>
  </si>
  <si>
    <t>OSV-720DF-48Y-DC-1M-4H</t>
  </si>
  <si>
    <t>Onsite Service: 1-Month A-Care Software &amp; 24x7x4 Hour Hardware Replacement for CCS-720DF-48Y-DC series</t>
  </si>
  <si>
    <t>OSV-720DF-48Y-DC-1M-NB</t>
  </si>
  <si>
    <t>Onsite Service: 1 Month A-Care Software &amp; NBD Hardware Replacement/Same Day Ship for CCS-720DF-48Y-DC series</t>
  </si>
  <si>
    <t>OSV-720XP-48TXH-2C-S-1M-4H</t>
  </si>
  <si>
    <t>Onsite Service: 1-Month A-Care Software &amp; 24x7x4 Hour Hardware Replacement for CCS-720XP-48TXH-2C-S</t>
  </si>
  <si>
    <t>OSV-720XP-48TXH-2C-S-1M-NB</t>
  </si>
  <si>
    <t>Onsite Service: 1 Month A-Care Software &amp; NBD Hardware Replacement/Same Day Ship for CCS-720XP-48TXH-2C-S</t>
  </si>
  <si>
    <t>OSV-7816LR3-1M-4H</t>
  </si>
  <si>
    <t>Onsite Service: 1-Month A-Care Software &amp; 24x7x4 Hour Hardware Replacement for 7816LR3</t>
  </si>
  <si>
    <t>OSV-7816LR3-1M-NB</t>
  </si>
  <si>
    <t>Onsite Service: 1 Month A-Care Software &amp; NBD Hardware Replacement/Same Day Ship for 7816LR3</t>
  </si>
  <si>
    <t>SVC-7132LB-48Y4C-1M-2H</t>
  </si>
  <si>
    <t>1-Month A-Care Software &amp; 24x7x2 Hour Hardware Replacement for 7132LB-48Y4C</t>
  </si>
  <si>
    <t>SVC-7132LB-48Y4C-1M-4H</t>
  </si>
  <si>
    <t>1-Month A-Care Software &amp; 24x7x4 Hour Hardware Replacement for 7132LB-48Y4C</t>
  </si>
  <si>
    <t>SVC-7132LB-48Y4C-1M-NB</t>
  </si>
  <si>
    <t>1-Month A-Care Software &amp; NBD Hardware Replacement/Same Day Ship for 7132LB-48Y4C</t>
  </si>
  <si>
    <t>SVC-7135LB-48Y4C-1M-2H</t>
  </si>
  <si>
    <t>SVC-7135LB-48Y4C-1M-4H</t>
  </si>
  <si>
    <t>SVC-7135LB-48Y4C-1M-NB</t>
  </si>
  <si>
    <t>SVC-720DF-48Y-DC-1M-2H</t>
  </si>
  <si>
    <t>1-Month A-Care Software &amp; 24x7x2 Hour Hardware Replacement for CCS-720DF-48Y-DC series</t>
  </si>
  <si>
    <t>SVC-720DF-48Y-DC-1M-4H</t>
  </si>
  <si>
    <t>1-Month A-Care Software &amp; 24x7x4 Hour Hardware Replacement for CCS-720DF-48Y-DC series</t>
  </si>
  <si>
    <t>SVC-720DF-48Y-DC-1M-NB</t>
  </si>
  <si>
    <t>1-Month A-Care Software &amp; NBD Hardware Replacement/Same Day Ship for CCS-720DF-48Y-DC series</t>
  </si>
  <si>
    <t>SVC-720DF-48Y-DC-1M-RB</t>
  </si>
  <si>
    <t>1-Month A-Care Software Support and HW Replacement for CCS-720DF-48Y-DC series</t>
  </si>
  <si>
    <t>SVC-720DF-48Y-DC-1M-SH4</t>
  </si>
  <si>
    <t>SVC-720DF-48Y-DC-1M-SHR</t>
  </si>
  <si>
    <t>SVC-720XP-48TXH-2C-S-1M-2H</t>
  </si>
  <si>
    <t>1-Month A-Care Software &amp; 24x7x2 Hour Hardware Replacement for CCS-720XP-48TXH-2C-S</t>
  </si>
  <si>
    <t>SVC-720XP-48TXH-2C-S-1M-4H</t>
  </si>
  <si>
    <t>1-Month A-Care Software &amp; 24x7x4 Hour Hardware Replacement for CCS-720XP-48TXH-2C-S</t>
  </si>
  <si>
    <t>SVC-720XP-48TXH-2C-S-1M-NB</t>
  </si>
  <si>
    <t>1 Month A-Care Software &amp; NBD Hardware Replacement/Same Day Ship for CCS-720XP-48TXH-2C-S</t>
  </si>
  <si>
    <t>SVC-720XP-48TXH-2C-S-1M-RB</t>
  </si>
  <si>
    <t>1 Month A-Care Software Support and HW Replacement for CCS-720XP-48TXH-2C-S</t>
  </si>
  <si>
    <t>SVC-7816LR3-1M-2H</t>
  </si>
  <si>
    <t>1-Month A-Care 24x7x2 Software &amp; Hardware Replacement for 7816LR3</t>
  </si>
  <si>
    <t>SVC-7816LR3-1M-4H</t>
  </si>
  <si>
    <t>1-Month A-Care 24x7x4 Software &amp; Hardware Replacement for 7816LR3</t>
  </si>
  <si>
    <t>SVC-7816LR3-1M-NB</t>
  </si>
  <si>
    <t>1-Month A-Care Software &amp; 8x5xNBD Hardware Replacement/Same Day Ship for 7816LR3</t>
  </si>
  <si>
    <t>SVC-7816LR3-1M-SH4</t>
  </si>
  <si>
    <t>SVC-7816LR3-1M-SHR</t>
  </si>
  <si>
    <t>SVC-DCA-DM-SC2-1M-NB</t>
  </si>
  <si>
    <t>Arista DMF: 1 Month A-Care Software &amp; NBD Hardware Replacement/Same Day Ship for Service Node HWC2 support</t>
  </si>
  <si>
    <t>OSV-7280CR3A-48D6-1M-4H</t>
  </si>
  <si>
    <t>Onsite Service: 1-Month A-Care Software &amp; 24x7x4 Hour Hardware Replacement for 7280CR3A-48D6</t>
  </si>
  <si>
    <t>OSV-7280CR3A-48D6-1M-NB</t>
  </si>
  <si>
    <t>Onsite Service: 1 Month A-Care Software &amp; NBD Hardware Replacement/Same Day Ship for 7280CR3A-48D6</t>
  </si>
  <si>
    <t>OSV-7280CR3AK-48D6-1M-4H</t>
  </si>
  <si>
    <t>Onsite Service: 1-Month A-Care Software &amp; 24x7x4 Hour Hardware Replacement for 7280CR3AK-48D6</t>
  </si>
  <si>
    <t>OSV-7280CR3AK-48D6-1M-NB</t>
  </si>
  <si>
    <t>Onsite Service: 1 Month A-Care Software &amp; NBD Hardware Replacement/Same Day Ship for 7280CR3AK-48D6</t>
  </si>
  <si>
    <t>OSV-7280CR3AM-48D6-1M-4H</t>
  </si>
  <si>
    <t>Onsite Service: 1-Month A-Care Software &amp; 24x7x4 Hour Hardware Replacement for 7280CR3AM-48D6</t>
  </si>
  <si>
    <t>OSV-7280CR3AM-48D6-1M-NB</t>
  </si>
  <si>
    <t>Onsite Service: 1 Month A-Care Software &amp; NBD Hardware Replacement/Same Day Ship for 7280CR3AM-48D6</t>
  </si>
  <si>
    <t>SVC-7280CR3A-48D6-1M-2H</t>
  </si>
  <si>
    <t>1-Month A-Care Software &amp; 24x7x2 Hour Hardware Replacement for 7280CR3A-48D6</t>
  </si>
  <si>
    <t>SVC-7280CR3A-48D6-1M-4H</t>
  </si>
  <si>
    <t>1-Month A-Care Software &amp; 24x7x4 Hour Hardware Replacement for 7280CR3A-48D6</t>
  </si>
  <si>
    <t>SVC-7280CR3A-48D6-1M-NB</t>
  </si>
  <si>
    <t>1 Month A-Care Software &amp; NBD Hardware Replacement/Same Day Ship for 7280CR3A-48D6</t>
  </si>
  <si>
    <t>SVC-7280CR3A-48D6-1M-SH4</t>
  </si>
  <si>
    <t>SVC-7280CR3A-48D6-1M-SHR</t>
  </si>
  <si>
    <t>SVC-7280CR3AK-48D6-1M-2H</t>
  </si>
  <si>
    <t>1-Month A-Care Software &amp; 24x7x2 Hour Hardware Replacement for 7280CR3AK-48D6</t>
  </si>
  <si>
    <t>SVC-7280CR3AK-48D6-1M-4H</t>
  </si>
  <si>
    <t>1-Month A-Care Software &amp; 24x7x4 Hour Hardware Replacement for 7280CR3AK-48D6</t>
  </si>
  <si>
    <t>SVC-7280CR3AK-48D6-1M-NB</t>
  </si>
  <si>
    <t>1 Month A-Care Software &amp; NBD Hardware Replacement/Same Day Ship for 7280CR3AK-48D6</t>
  </si>
  <si>
    <t>SVC-7280CR3AK-48D6-1M-SH4</t>
  </si>
  <si>
    <t>SVC-7280CR3AK-48D6-1M-SHR</t>
  </si>
  <si>
    <t>SVC-7280CR3AM-48D6-1M-2H</t>
  </si>
  <si>
    <t>1-Month A-Care Software &amp; 24x7x2 Hour Hardware Replacement for 7280CR3AM-48D6</t>
  </si>
  <si>
    <t>SVC-7280CR3AM-48D6-1M-4H</t>
  </si>
  <si>
    <t>1-Month A-Care Software &amp; 24x7x4 Hour Hardware Replacement for 7280CR3AM-48D6</t>
  </si>
  <si>
    <t>SVC-7280CR3AM-48D6-1M-NB</t>
  </si>
  <si>
    <t>1 Month A-Care Software &amp; NBD Hardware Replacement/Same Day Ship for 7280CR3AM-48D6</t>
  </si>
  <si>
    <t>SVC-7280CR3AM-48D6-1M-SH4</t>
  </si>
  <si>
    <t>SVC-7280CR3AM-48D6-1M-SHR</t>
  </si>
  <si>
    <t>SVC-7060DX5-32-1M-2H</t>
  </si>
  <si>
    <t>1-Month A-Care Software &amp; 24x7x2 Hour Hardware Replacement for 7060DX5-32</t>
  </si>
  <si>
    <t>SVC-7060DX5-32-1M-4H</t>
  </si>
  <si>
    <t>1-Month A-Care Software &amp; 24x7x4 Hour Hardware Replacement for 7060DX5-32</t>
  </si>
  <si>
    <t>SVC-7060DX5-32-1M-NB</t>
  </si>
  <si>
    <t>1 Month A-Care Software &amp; NBD Hardware Replacement/Same Day Ship for 7060DX5-32</t>
  </si>
  <si>
    <t>SVC-7060DX5-32-1M-SH4</t>
  </si>
  <si>
    <t>SVC-7060DX5-32-1M-SHR</t>
  </si>
  <si>
    <t>OSV-7060DX5-32-1M-4H</t>
  </si>
  <si>
    <t>Onsite Service: 1-Month A-Care Software &amp; 24x7x4 Hour Hardware Replacement for 7060DX5-32</t>
  </si>
  <si>
    <t>OSV-7060DX5-32-1M-NB</t>
  </si>
  <si>
    <t>Onsite Service: 1 Month A-Care Software &amp; NBD Hardware Replacement/Same Day Ship for 7060DX5-32</t>
  </si>
  <si>
    <r>
      <t xml:space="preserve">1. </t>
    </r>
    <r>
      <rPr>
        <sz val="11"/>
        <rFont val="맑은 고딕"/>
        <family val="3"/>
        <charset val="129"/>
      </rPr>
      <t>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견적서는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당사의</t>
    </r>
    <r>
      <rPr>
        <sz val="11"/>
        <rFont val="Arial"/>
        <family val="2"/>
      </rPr>
      <t xml:space="preserve"> </t>
    </r>
    <r>
      <rPr>
        <sz val="11"/>
        <rFont val="Arial Unicode MS"/>
        <family val="2"/>
        <charset val="129"/>
      </rPr>
      <t>총판사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조건으로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산출되었습니다</t>
    </r>
    <r>
      <rPr>
        <sz val="11"/>
        <rFont val="Arial"/>
        <family val="2"/>
      </rPr>
      <t>.</t>
    </r>
    <phoneticPr fontId="29" type="noConversion"/>
  </si>
  <si>
    <t>DCS-7010TX-48C-F</t>
  </si>
  <si>
    <t>DCS-7010TX-48C-R</t>
  </si>
  <si>
    <t>DCS-7050CX3-32C#</t>
  </si>
  <si>
    <t>DCS-7050CX3-32C-DC-F</t>
  </si>
  <si>
    <t>DCS-7050CX3-32C-DC-R</t>
  </si>
  <si>
    <t>DCS-7050CX3-32C-F</t>
  </si>
  <si>
    <t>DCS-7050CX3-32C-R</t>
  </si>
  <si>
    <t>DCS-7050CX4M-48D8#</t>
  </si>
  <si>
    <t>Arista 7050X4, 48x100GbE QSFP &amp; 8 x 400GbE QSFP-DD switch, MACsec, no fans, no psu</t>
  </si>
  <si>
    <t>DCS-7050CX4M-48D8-F</t>
  </si>
  <si>
    <t>Arista 7050X4, 48x100GbE QSFP &amp; 8 x 400GbE QSFP-DD switch, MACsec, front-to-rear air, 2xAC</t>
  </si>
  <si>
    <t>DCS-7050SX3-48C8C#</t>
  </si>
  <si>
    <t>DCS-7050SX3-48C8C-DC-F</t>
  </si>
  <si>
    <t>DCS-7050SX3-48C8C-DC-R</t>
  </si>
  <si>
    <t>DCS-7050SX3-48C8C-F</t>
  </si>
  <si>
    <t>DCS-7050SX3-48C8C-R</t>
  </si>
  <si>
    <t>DCS-7050SX3-48YC8C#</t>
  </si>
  <si>
    <t>DCS-7050SX3-48YC8C-DC-F</t>
  </si>
  <si>
    <t>DCS-7050SX3-48YC8C-DC-R</t>
  </si>
  <si>
    <t>DCS-7050SX3-48YC8C-F</t>
  </si>
  <si>
    <t>DCS-7050SX3-48YC8C-R</t>
  </si>
  <si>
    <t>DCS-7132LB-48Y4C#</t>
  </si>
  <si>
    <t>Arista 7132 Series with 48 SFP28, 4 QSFP28, VU9P-3 FPGA, configurable fans &amp; psu</t>
  </si>
  <si>
    <t>DCS-7132LB-48Y4C-F</t>
  </si>
  <si>
    <t>Arista 7132 Series with 48 SFP28, 4 QSFP28, VU9P-3 FPGA, front-to-rear air, 2xAC</t>
  </si>
  <si>
    <t>DCS-7132LB-48Y4C-R</t>
  </si>
  <si>
    <t>Arista 7132 Series with 48 SFP28, 4 QSFP28, VU9P-3 FPGA, rear-to-front air, 2xAC</t>
  </si>
  <si>
    <t>DCS-7388-LCVR</t>
  </si>
  <si>
    <t>Blank cover for 7388 module slot</t>
  </si>
  <si>
    <t>SS-SEC-AMNDR-SWITCH-1M</t>
  </si>
  <si>
    <t>AVA MNDR with threat hunting 24X7 for 1 switch,1G/mG Platforms</t>
  </si>
  <si>
    <t>DCA-NDR-NCC10</t>
  </si>
  <si>
    <t>Campus Edition Nucleus Physical Appliance, up to 10Gb/sec BW, requires HW support. No license</t>
  </si>
  <si>
    <t>SVC-DCA-NDR-NCC-10-1M</t>
  </si>
  <si>
    <t>NBD Hardware Replacement/Same Day Ship for 10Gb Campus Edition Nucleus</t>
  </si>
  <si>
    <t>OSV-7010TX-48C-1M-4H</t>
  </si>
  <si>
    <t>OSV-7010TX-48C-1M-NB</t>
  </si>
  <si>
    <t>OSV-7050CX3-32C-1M-4H</t>
  </si>
  <si>
    <t>OSV-7050CX3-32C-1M-NB</t>
  </si>
  <si>
    <t>OSV-7050CX4M-48D8-1M-4H</t>
  </si>
  <si>
    <t>Onsite Service: 1-Month A-Care Software &amp; 24x7x4 Hour Hardware Replacement for 7050CX4M-48D8</t>
  </si>
  <si>
    <t>OSV-7050CX4M-48D8-1M-NB</t>
  </si>
  <si>
    <t>Onsite Service: 1 Month A-Care Software &amp; NBD Hardware Replacement/Same Day Ship for 7050CX4M-48D8</t>
  </si>
  <si>
    <t>OSV-7050SX3-48C8C-1M-4H</t>
  </si>
  <si>
    <t>OSV-7050SX3-48C8C-1M-NB</t>
  </si>
  <si>
    <t>OSV-7050SX3-48YC8C-1M-4H</t>
  </si>
  <si>
    <t>OSV-7050SX3-48YC8C-1M-NB</t>
  </si>
  <si>
    <t>SVC-7010TX-48C-1M-2H</t>
  </si>
  <si>
    <t>SVC-7010TX-48C-1M-4H</t>
  </si>
  <si>
    <t>SVC-7010TX-48C-1M-NB</t>
  </si>
  <si>
    <t>SVC-7010TX-48C-1M-SH4</t>
  </si>
  <si>
    <t>SVC-7010TX-48C-1M-SHR</t>
  </si>
  <si>
    <t>SVC-7050CX3-32C-1M-2H</t>
  </si>
  <si>
    <t>SVC-7050CX3-32C-1M-4H</t>
  </si>
  <si>
    <t>SVC-7050CX3-32C-1M-NB</t>
  </si>
  <si>
    <t>SVC-7050CX3-32C-1M-SH4</t>
  </si>
  <si>
    <t>SVC-7050CX3-32C-1M-SHR</t>
  </si>
  <si>
    <t>SVC-7050CX4M-48D8-1M-2H</t>
  </si>
  <si>
    <t>1-Month A-Care Software &amp; 24x7x2 Hour Hardware Replacement for 7050CX4M-48D8</t>
  </si>
  <si>
    <t>SVC-7050CX4M-48D8-1M-4H</t>
  </si>
  <si>
    <t>1-Month A-Care Software &amp; 24x7x4 Hour Hardware Replacement for 7050CX4M-48D8</t>
  </si>
  <si>
    <t>SVC-7050CX4M-48D8-1M-NB</t>
  </si>
  <si>
    <t>1 Month A-Care Software &amp; NBD Hardware Replacement/Same Day Ship for 7050CX4M-48D8</t>
  </si>
  <si>
    <t>SVC-7050CX4M-48D8-1M-SH4</t>
  </si>
  <si>
    <t>SVC-7050CX4M-48D8-1M-SHR</t>
  </si>
  <si>
    <t>SVC-7050SX3-48C8C-1M-2H</t>
  </si>
  <si>
    <t>SVC-7050SX3-48C8C-1M-4H</t>
  </si>
  <si>
    <t>SVC-7050SX3-48C8C-1M-NB</t>
  </si>
  <si>
    <t>SVC-7050SX3-48C8C-1M-SH4</t>
  </si>
  <si>
    <t>SVC-7050SX3-48C8C-1M-SHR</t>
  </si>
  <si>
    <t>SVC-7050SX3-48YC8C-1M-2H</t>
  </si>
  <si>
    <t>SVC-7050SX3-48YC8C-1M-4H</t>
  </si>
  <si>
    <t>SVC-7050SX3-48YC8C-1M-NB</t>
  </si>
  <si>
    <t>SVC-7050SX3-48YC8C-1M-SH4</t>
  </si>
  <si>
    <t>SVC-7050SX3-48YC8C-1M-SHR</t>
  </si>
  <si>
    <t>KIT-ETM-MEQ6E</t>
  </si>
  <si>
    <t>CCS-720DF-48Y-M-S-2F</t>
  </si>
  <si>
    <t>CCS-720DF-48Y-M-S-2F-C14</t>
  </si>
  <si>
    <t>CCS-720DF-48Y-M-S-2F-EU</t>
  </si>
  <si>
    <t>CCS-720DF-48Y-M-S-2F-JPN</t>
  </si>
  <si>
    <t>CCS-720DF-48Y-M-S-2F-NA</t>
  </si>
  <si>
    <t>CCS-720DP-24S-M-S-2F</t>
  </si>
  <si>
    <t>CCS-720DP-24S-M-S-2F-C14</t>
  </si>
  <si>
    <t>CCS-720DP-24S-M-S-2F-EU</t>
  </si>
  <si>
    <t>CCS-720DP-24S-M-S-2F-JPN</t>
  </si>
  <si>
    <t>CCS-720DP-24S-M-S-2F-NA</t>
  </si>
  <si>
    <t>CCS-720DP-24S-M-S-2F-UK</t>
  </si>
  <si>
    <t>CCS-720DP-48S-M-S-2F</t>
  </si>
  <si>
    <t>CCS-720DP-48S-M-S-2F-C14</t>
  </si>
  <si>
    <t>CCS-720DP-48S-M-S-2F-EU</t>
  </si>
  <si>
    <t>CCS-720DP-48S-M-S-2F-JPN</t>
  </si>
  <si>
    <t>CCS-720DP-48S-M-S-2F-NA</t>
  </si>
  <si>
    <t>CCS-720DP-48S-M-S-2F-UK</t>
  </si>
  <si>
    <t>CCS-720DT-24S-2R</t>
  </si>
  <si>
    <t>CCS-720DT-24S-2R-C14</t>
  </si>
  <si>
    <t>CCS-720DT-24S-2R-EU</t>
  </si>
  <si>
    <t>CCS-720DT-24S-2R-JPN</t>
  </si>
  <si>
    <t>CCS-720DT-24S-2R-NA</t>
  </si>
  <si>
    <t>CCS-720DT-24S-2R-UK</t>
  </si>
  <si>
    <t>CCS-720DT-24S-M-S-2F</t>
  </si>
  <si>
    <t>CCS-720DT-24S-M-S-2F-EU</t>
  </si>
  <si>
    <t>CCS-720DT-24S-M-S-2F-JPN</t>
  </si>
  <si>
    <t>CCS-720DT-24S-M-S-2F-NA</t>
  </si>
  <si>
    <t>CCS-720DT-24S-M-S-2F-UK</t>
  </si>
  <si>
    <t>CCS-720DT-48S-2R</t>
  </si>
  <si>
    <t>CCS-720DT-48S-2R-C14</t>
  </si>
  <si>
    <t>CCS-720DT-48S-2R-EU</t>
  </si>
  <si>
    <t>CCS-720DT-48S-2R-JPN</t>
  </si>
  <si>
    <t>CCS-720DT-48S-2R-NA</t>
  </si>
  <si>
    <t>CCS-720DT-48S-2R-UK</t>
  </si>
  <si>
    <t>CCS-720XP-48TXH-2C-S#</t>
  </si>
  <si>
    <t>DCS-7060DX5-32#</t>
  </si>
  <si>
    <t>DCS-7060DX5-64S-R</t>
  </si>
  <si>
    <t>DCS-7130LBR-48S6YD#</t>
  </si>
  <si>
    <t>DCS-7130LBR-48S6YD-F</t>
  </si>
  <si>
    <t>DCS-7130LBR-48S6YD-R</t>
  </si>
  <si>
    <t>KIT-7010-2P-OS-RK</t>
  </si>
  <si>
    <t>FAN-7802-H</t>
  </si>
  <si>
    <t>Spare High Speed Fan Module for 7800R Series Fabric</t>
  </si>
  <si>
    <t>DCS-7280CR3AK-24D12-S-F</t>
  </si>
  <si>
    <t>Arista 7280R3A, 24x100GbE QSFP and 12x400GbE QSFP-DD switch router, large routes and Enh MACsec, secure boot enabled, front to rear air, 2 x AC</t>
  </si>
  <si>
    <t>DCS-7280CR3AK-24D12-S#</t>
  </si>
  <si>
    <t>Arista 7280R3A, 24x100GbE QSFP and 12x400GbE QSFP-DD switch router, large routes and Enh MACsec, secure boot enabled, configurable fans and psu</t>
  </si>
  <si>
    <t>DCS-7280CR3MK-32D4A-S-F</t>
  </si>
  <si>
    <t>Arista 7280R3, 32x100GbE QSFP and 4x400GbE QSFP-DD switch router, MACsec, large route, front to rear air, 2 x AC</t>
  </si>
  <si>
    <t>DCS-7280CR3MK-32D4A-S-R</t>
  </si>
  <si>
    <t>Arista 7280R3, 32x100GbE QSFP and 4x400GbE QSFP-DD switch router, MACsec, large route, rear to front air, 2 x AC</t>
  </si>
  <si>
    <t>DCS-7280CR3MK-32D4A-S#</t>
  </si>
  <si>
    <t>Arista 7280R3, 32x100GbE QSFP and 4x400GbE QSFP-DD switch router, MACsec large route, configurable fans and psu</t>
  </si>
  <si>
    <t>DCS-7280CR3MK-32D4A-S-FLX-F</t>
  </si>
  <si>
    <t>DCS-7280CR3MK-32D4A-S-FLX-R</t>
  </si>
  <si>
    <t>DCS-7280CR3MK-32D4A-S-FLX#</t>
  </si>
  <si>
    <t>DCS-7280SR3K-48YC8A-DC-F</t>
  </si>
  <si>
    <t>DCS-7280SR3K-48YC8-DC-F</t>
  </si>
  <si>
    <t>DCS-7808R3-BNDS-S2</t>
  </si>
  <si>
    <t>DCS-7816LR3-BNDS-S2</t>
  </si>
  <si>
    <t>CAB-AC-20A-SG-C20-2M</t>
  </si>
  <si>
    <t>Power Cord AC 20A SAF-D-GRID to C20 (2m)</t>
  </si>
  <si>
    <t>KIT-7300-RCK-800</t>
  </si>
  <si>
    <t>Spare screw mount 4 post rack mount installation kit for Arista 7304 and 7308 switches up to 23 - 33" deep</t>
  </si>
  <si>
    <t>KIT-7300-RCK-1000</t>
  </si>
  <si>
    <t>Spare screw mount 4 post rack mount installation kit for Arista 7304 and 7308 switches up to 43" deep</t>
  </si>
  <si>
    <t>C-330 Tri band 2x2:2 802.11ax (WiFi 6E) access point with internal antennas, dual 2.5 GbE interface and dedicated Wi-Fi 6E multi-function radio</t>
  </si>
  <si>
    <t>C-330 Tri band 2x2:2 802.11ax (WiFi 6E) access point with internal antennas, dual 2.5 GbE interface and dedicated Wi-Fi 6E multi-function radio with a 3 year cognitive cloud management subscription</t>
  </si>
  <si>
    <t>C-330 Tri band 2x2:2 802.11ax (WiFi 6E) access point with internal antennas, dual 2.5 GbE interface and dedicated Wi-Fi 6E multi-function radio with a 5 year cognitive cloud management subscription</t>
  </si>
  <si>
    <t>C-330 Tri band 2x2:2 802.11ax (WiFi 6E) access point with internal antennas, dual 2.5 GbE interface and dedicated Wi-Fi 6E multi-function radio with a 3 year on-premises cognitive management subscription</t>
  </si>
  <si>
    <t>C-330 Tri band 2x2:2 802.11ax (WiFi 6E) access point with internal antennas, dual 2.5 GbE interface and dedicated Wi-Fi 6E multi-function radio with a 5 year on-premises cognitive management subscription</t>
  </si>
  <si>
    <t>LIC-WAN4-ENCR</t>
  </si>
  <si>
    <t>Encryption License for Arista WAN platform Band 4, IPsec</t>
  </si>
  <si>
    <t>EOS Segmentation and 3rd Party Integration Services license for Arista Modular switches - 4 slots</t>
  </si>
  <si>
    <t>EOS Segmentation and 3rd Party Integration Services license for Arista Modular switches - 8 slots</t>
  </si>
  <si>
    <t>EOS Segmentation and 3rd Party Integration Services license for Arista Modular switches - 12 slots</t>
  </si>
  <si>
    <t>EOS Segmentation and 3rd Party Integration Services license for Arista Modular switches - 16 slots</t>
  </si>
  <si>
    <t>EOS Segmentation and 3rd Party Integration Services license for Arista Group 5 Fixed switches</t>
  </si>
  <si>
    <t>EOS Segmentation and 3rd Party Integration Services license for Arista Group 1 Fixed switches</t>
  </si>
  <si>
    <t>EOS Segmentation and 3rd Party Integration Services license for Arista Group 2 Fixed switches</t>
  </si>
  <si>
    <t>EOS Segmentation and 3rd Party Integration Services license for Arista Group 3 Fixed switches</t>
  </si>
  <si>
    <t>EOS Segmentation and 3rd Party Integration Services license for Arista Group 4 Fixed switches</t>
  </si>
  <si>
    <t>EOS Segmentation and 3rd Party Integration Services license for Arista Fixed 1G/mG switches</t>
  </si>
  <si>
    <t>EOS Segmentation and 3rd Party Integration Services license for Arista 5 and 8 slot Modular 1G/mG switches</t>
  </si>
  <si>
    <t>CAB-C15-ITY</t>
  </si>
  <si>
    <t>SFP-25G-SR-E</t>
  </si>
  <si>
    <t>SFP-25G-LR-E</t>
  </si>
  <si>
    <t>QDD-8X25-MR-SR-E</t>
  </si>
  <si>
    <t>A-Q200-Q200-1M</t>
  </si>
  <si>
    <t>200GbE QSFP200 to QSFP200 Active Optical Cable, 1m</t>
  </si>
  <si>
    <t>A-Q200-Q200-3M</t>
  </si>
  <si>
    <t>200GbE QSFP200 to QSFP200 Active Optical Cable, 3m</t>
  </si>
  <si>
    <t>A-Q200-Q200-5M</t>
  </si>
  <si>
    <t>200GbE QSFP200 to QSFP200 Active Optical Cable, 5m</t>
  </si>
  <si>
    <t>A-Q200-Q200-7M</t>
  </si>
  <si>
    <t>200GbE QSFP200 to QSFP200 Active Optical Cable, 7m</t>
  </si>
  <si>
    <t>A-Q200-Q200-10M</t>
  </si>
  <si>
    <t>200GbE QSFP200 to QSFP200 Active Optical Cable, 10m</t>
  </si>
  <si>
    <t>A-Q200-Q200-15M</t>
  </si>
  <si>
    <t>200GbE QSFP200 to QSFP200 Active Optical Cable, 15m</t>
  </si>
  <si>
    <t>A-Q200-Q200-20M</t>
  </si>
  <si>
    <t>200GbE QSFP200 to QSFP200 Active Optical Cable, 20m</t>
  </si>
  <si>
    <t>A-Q200-Q200-25M</t>
  </si>
  <si>
    <t>200GbE QSFP200 to QSFP200 Active Optical Cable, 25m</t>
  </si>
  <si>
    <t>A-Q200-Q200-30M</t>
  </si>
  <si>
    <t>200GbE QSFP200 to QSFP200 Active Optical Cable, 30m</t>
  </si>
  <si>
    <t>QDD-400G-VSR4</t>
  </si>
  <si>
    <t>400GBASE-VSR4 QSFP-DD transceiver, MPO-12 APC connector, up to 50m over parallel OM4 MMF</t>
  </si>
  <si>
    <t>OSFP-400G-VSR4</t>
  </si>
  <si>
    <t>400GBASE-VSR4 OSFP transceiver, MPO-12 APC connector, up to 50m over parallel OM4 MMF</t>
  </si>
  <si>
    <t>QSFP-100G-SR4-E</t>
  </si>
  <si>
    <t>100GBASE-SR4-Enhanced QSFP100 transceiver, MPO-12 UPC connector, up to 30m/50m over OM3/OM4 MMF without FEC (for low latency)</t>
  </si>
  <si>
    <t>QDD-200G-2LR4</t>
  </si>
  <si>
    <t>OSFP-200G-2LR4</t>
  </si>
  <si>
    <t>QSFP-100G-ER</t>
  </si>
  <si>
    <t>100GBASE-ER QSFP Transceiver, up to 40km over duplex SMF</t>
  </si>
  <si>
    <t>PWR-1512-AC-RED</t>
  </si>
  <si>
    <t>Arista PSU, 1RU, AC, 1500W v2, FORWARD, 73.5MM</t>
  </si>
  <si>
    <t>PWR-1512-AC-BLUE</t>
  </si>
  <si>
    <t>Arista PSU, 1RU, AC, 1500W v2, REVERSE, 73.5MM</t>
  </si>
  <si>
    <t>PWR-1512-AC-RED#</t>
  </si>
  <si>
    <t>Arista PSU, 1RU, AC, 1500W v2, FORWARD, 73.5MM (Configurable)</t>
  </si>
  <si>
    <t>PWR-1512-AC-BLUE#</t>
  </si>
  <si>
    <t>Arista PSU, 1RU, AC, 1500W v2, REVERSE, 73.5MM (Configurable)</t>
  </si>
  <si>
    <t>10G/1G/100M BASE-T Copper (RJ45) SFP Transceiver, up to 30m over Cat6a Cable</t>
  </si>
  <si>
    <t>SFP-100M-FX</t>
  </si>
  <si>
    <t>100BASE-FX SFP Transceiver, up to 2km over duplex MMF.</t>
  </si>
  <si>
    <t>DCS-7280DR3AK-36S-F</t>
  </si>
  <si>
    <t>DCS-7280DR3AK-36S#</t>
  </si>
  <si>
    <t>DCS-7135LB-48Y4C-R</t>
  </si>
  <si>
    <t>DCS-7135LB-48Y4C-F</t>
  </si>
  <si>
    <t>DCS-7135LB-48Y4C#</t>
  </si>
  <si>
    <t>DCS-7280DR3AK-36-SK-F</t>
  </si>
  <si>
    <t>DCS-7280CR3AK-24D12-S-R</t>
  </si>
  <si>
    <t>Arista 7280R3A, 24x100GbE QSFP and 12x400GbE QSFP-DD switch router, large routes and Enh MACsec, rear to front air, 2 x AC</t>
  </si>
  <si>
    <t>DCS-7280CR3A-24D12-R</t>
  </si>
  <si>
    <t>Arista 7280R3A, 24x100GbE QSFP and 12x400GbE QSFP-DD switch router, rear to front air, 2 x AC</t>
  </si>
  <si>
    <t>DCS-7280CR3AK-24D12-R</t>
  </si>
  <si>
    <t>DCS-7280CR3AM-24D12-R</t>
  </si>
  <si>
    <t>Arista 7280R3A, 24x100GbE QSFP and 12x400GbE QSFP-DD switch router, Enh MACsec, rear to front air, 2 x AC</t>
  </si>
  <si>
    <t>SS-CLOUDTEST-T1-1M</t>
  </si>
  <si>
    <t>CloudTest Subscription for 1000 Units per month. Units expire at the end of the term</t>
  </si>
  <si>
    <t>SS-CLOUDTEST-T2-1M</t>
  </si>
  <si>
    <t>CloudTest Subscription for 5000 Units per month. Units expire at the end of the term</t>
  </si>
  <si>
    <t>SS-CVS-AGNI-100-D-1M</t>
  </si>
  <si>
    <t>CloudVision AGNI Cloud Service SW Subscription License for 1-Month for 100 devices.</t>
  </si>
  <si>
    <t>SS-CVS-AGNI-500-D-1M</t>
  </si>
  <si>
    <t>CloudVision AGNI Cloud Service SW Subscription License for 1-Month for 500 devices</t>
  </si>
  <si>
    <t>SS-CVS-AGNI-1000-D-1M</t>
  </si>
  <si>
    <t>CloudVision AGNI Cloud Service SW Subscription License for 1-Month for 1000 devices</t>
  </si>
  <si>
    <t>SS-CVS-AGNI-5000-D-1M</t>
  </si>
  <si>
    <t>CloudVision AGNI Cloud Service SW Subscription License for 1-Month for 5000 devices</t>
  </si>
  <si>
    <t>SS-CVS-AGNI-10K-D-1M</t>
  </si>
  <si>
    <t>CloudVision AGNI Cloud Service SW Subscription License for 1-Month for 10000 devices</t>
  </si>
  <si>
    <t>SS-CVS-WAN4-1M</t>
  </si>
  <si>
    <t>CloudVision as-a-Service Subscription License for 1-Month for Arista WAN platform Band 4</t>
  </si>
  <si>
    <t>SS-CV-WAN4-1M</t>
  </si>
  <si>
    <t>CloudVision SW Subscription License for 1-Month for Arista WAN platform Band 4. Delivered via download only</t>
  </si>
  <si>
    <t>SS-CVPATH-WAN2-E-CVS-B-1M</t>
  </si>
  <si>
    <t>CV Pathfinder Enterprise SW Subscription License for 1-Month for Arista WAN platform Band 2, including AVT/Pathfinder enforcement, IPsec encryption, CloudVision-As-A-Service.</t>
  </si>
  <si>
    <t>SS-CVPATH-WAN4-E-CVS-B-1M</t>
  </si>
  <si>
    <t>On-premises SW Subscription License for 1-month for 1 x wireless access point. Applies to both appliance and VM based deployments.</t>
  </si>
  <si>
    <t>SS-DM-A-SBP-1M</t>
  </si>
  <si>
    <t>Arista DMF OOB: 1 Arista switch SW license subscription for 1 Month, includes A-Care SW, max 600G BW</t>
  </si>
  <si>
    <t>Arista DMF OOB: 1 Arista switch/linecard SW license subscription for 1 Month, includes A-Care SW, max 2400G BW</t>
  </si>
  <si>
    <t>Arista DMF OOB: 1 Arista switch/linecard SW license subscription for 1 Month, includes A-Care SW, max 14400G BW</t>
  </si>
  <si>
    <t>Arista DMF OOB: 1 Arista switch/linecard SW license subscription for 1 Month, includes A-Care SW, max 21600G BW</t>
  </si>
  <si>
    <t>Arista DMF OOB: 1 Arista switch/linecard SW license subscription for 1 Month, includes A-Care SW, max 9600G BW</t>
  </si>
  <si>
    <t>Arista DMF OOB: 1 Arista switch/linecard SW license subscription for 1 Month, includes A-Care SW, max 2000G BW</t>
  </si>
  <si>
    <t>Arista DMF OOB: 1 Arista switch/linecard SW license subscription for 1 Month, includes A-Care SW, max 3600G BW</t>
  </si>
  <si>
    <t>Arista DMF OOB: 1 Arista switch/linecard SW license subscription for 1 Month, includes A-Care SW, max 4800G BW</t>
  </si>
  <si>
    <t>Arista DMF OOB: 1 Arista switch/linecard SW license subscription for 1 Month, includes A-Care SW, max 6420G BW</t>
  </si>
  <si>
    <t>OSV-720DF-48Y-M-S-1M-4H</t>
  </si>
  <si>
    <t>OSV-720DF-48Y-M-S-1M-NB</t>
  </si>
  <si>
    <t>OSV-720DP-24S-M-S-1M-4H</t>
  </si>
  <si>
    <t>OSV-720DP-24S-M-S-1M-NB</t>
  </si>
  <si>
    <t>OSV-720DP-48S-M-S-1M-4H</t>
  </si>
  <si>
    <t>OSV-720DP-48S-M-S-1M-NB</t>
  </si>
  <si>
    <t>OSV-720DT-24S-M-S-1M-4H</t>
  </si>
  <si>
    <t>OSV-720DT-24S-M-S-1M-NB</t>
  </si>
  <si>
    <t>OSV-720XP-96ZC2-M-S-1M-4H</t>
  </si>
  <si>
    <t>OSV-720XP-96ZC2-M-S-1M-NB</t>
  </si>
  <si>
    <t>SVC-720DF-48Y-M-S-1M-2H</t>
  </si>
  <si>
    <t>SVC-720DF-48Y-M-S-1M-4H</t>
  </si>
  <si>
    <t>SVC-720DF-48Y-M-S-1M-NB</t>
  </si>
  <si>
    <t>SVC-720DF-48Y-M-S-1M-RB</t>
  </si>
  <si>
    <t>SVC-720DF-48Y-M-S-1M-SH4</t>
  </si>
  <si>
    <t>SVC-720DF-48Y-M-S-1M-SHR</t>
  </si>
  <si>
    <t>SVC-720DP-24S-M-S-1M-2H</t>
  </si>
  <si>
    <t>SVC-720DP-24S-M-S-1M-4H</t>
  </si>
  <si>
    <t>SVC-720DP-24S-M-S-1M-NB</t>
  </si>
  <si>
    <t>SVC-720DP-24S-M-S-1M-RB</t>
  </si>
  <si>
    <t>SVC-720DP-24S-M-S-1M-SH4</t>
  </si>
  <si>
    <t>SVC-720DP-24S-M-S-1M-SHR</t>
  </si>
  <si>
    <t>SVC-720DP-48S-M-S-1M-2H</t>
  </si>
  <si>
    <t>SVC-720DP-48S-M-S-1M-4H</t>
  </si>
  <si>
    <t>SVC-720DP-48S-M-S-1M-NB</t>
  </si>
  <si>
    <t>SVC-720DP-48S-M-S-1M-RB</t>
  </si>
  <si>
    <t>SVC-720DP-48S-M-S-1M-SH4</t>
  </si>
  <si>
    <t>SVC-720DP-48S-M-S-1M-SHR</t>
  </si>
  <si>
    <t>SVC-720DT-24S-M-S-1M-2H</t>
  </si>
  <si>
    <t>SVC-720DT-24S-M-S-1M-4H</t>
  </si>
  <si>
    <t>SVC-720DT-24S-M-S-1M-NB</t>
  </si>
  <si>
    <t>SVC-720DT-24S-M-S-1M-RB</t>
  </si>
  <si>
    <t>SVC-720DT-24S-M-S-1M-SH4</t>
  </si>
  <si>
    <t>SVC-720DT-24S-M-S-1M-SHR</t>
  </si>
  <si>
    <t>SVC-720XP-48TXH-2C-S-1M-SH4</t>
  </si>
  <si>
    <t>SVC-720XP-48TXH-2C-S-1M-SHR</t>
  </si>
  <si>
    <t>SVC-720XP-96ZC2-M-S-1M-2H</t>
  </si>
  <si>
    <t>SVC-720XP-96ZC2-M-S-1M-NB</t>
  </si>
  <si>
    <t>SVC-720XP-96ZC2-M-S-1M-RB</t>
  </si>
  <si>
    <t>1-Month A-Care Software Support and HW Replacement for CCS-720DF-48Y-DC</t>
  </si>
  <si>
    <t>1-Month A-Care Software &amp; NBD Hardware Replacement/Same Day Ship for CCS-720DF-48Y-DC</t>
  </si>
  <si>
    <t>1-Month A-Care Software &amp; 24x7x4 Hour Hardware Replacement for CCS-720DF-48Y-DC</t>
  </si>
  <si>
    <t>1-Month A-Care Software &amp; 24x7x2 Hour Hardware Replacement for CCS-720DF-48Y-DC</t>
  </si>
  <si>
    <t>Onsite Service: 1 Month A-Care Software &amp; NBD Hardware Replacement/Same Day Ship for CCS-720DF-48Y-DC</t>
  </si>
  <si>
    <t>Onsite Service: 1-Month A-Care Software &amp; 24x7x4 Hour Hardware Replacement for CCS-720DF-48Y-DC</t>
  </si>
  <si>
    <t>SVC-7280CR3AK-24D12S-1M-NB</t>
  </si>
  <si>
    <t>1 Month A-Care Software &amp; NBD Hardware Replacement/Same Day Ship for 7280CR3AK-24D12S</t>
  </si>
  <si>
    <t>SVC-7280CR3AK-24D12S-1M-4H</t>
  </si>
  <si>
    <t>1-Month A-Care Software &amp; 24x7x4 Hour Hardware Replacement for 7280CR3AK-24D12S</t>
  </si>
  <si>
    <t>SVC-7280CR3AK-24D12S-1M-2H</t>
  </si>
  <si>
    <t>1-Month A-Care Software &amp; 24x7x2 Hour Hardware Replacement for 7280CR3AK-24D12S</t>
  </si>
  <si>
    <t>OSV-7280CR3AK-24D12S-1M-NB</t>
  </si>
  <si>
    <t>Onsite Service: 1 Month A-Care Software &amp; NBD Hardware Replacement/Same Day Ship for 7280CR3AK-24D12S</t>
  </si>
  <si>
    <t>OSV-7280CR3AK-24D12S-1M-4H</t>
  </si>
  <si>
    <t>Onsite Service: 1-Month A-Care Software &amp; 24x7x4 Hour Hardware Replacement for 7280CR3AK-24D12S</t>
  </si>
  <si>
    <t>SVC-7280CR3AK-24D12S-1M-SHR</t>
  </si>
  <si>
    <t>SVC-7280CR3AK-24D12S-1M-SH4</t>
  </si>
  <si>
    <t>SVC-7280CR3MK-32D4A-1M-NB</t>
  </si>
  <si>
    <t>1 Month A-Care Software &amp; NBD Hardware Replacement/Same Day Ship for 7280CR3MK-32D4A-S</t>
  </si>
  <si>
    <t>SVC-7280CR3MK-32D4A-1M-4H</t>
  </si>
  <si>
    <t>1-Month A-Care Software &amp; 24x7x4 Hour Hardware Replacement for 7280CR3MK-32D4A-S</t>
  </si>
  <si>
    <t>SVC-7280CR3MK-32D4A-1M-2H</t>
  </si>
  <si>
    <t>1-Month A-Care Software &amp; 24x7x2 Hour Hardware Replacement for 7280CR3MK-32D4A-S</t>
  </si>
  <si>
    <t>OSV-7280CR3MK-32D4A-1M-NB</t>
  </si>
  <si>
    <t>Onsite Service: 1 Month A-Care Software &amp; NBD Hardware Replacement/Same Day Ship for 7280CR3MK-32D4A-S</t>
  </si>
  <si>
    <t>OSV-7280CR3MK-32D4A-1M-4H</t>
  </si>
  <si>
    <t>Onsite Service: 1-Month A-Care Software &amp; 24x7x4 Hour Hardware Replacement for 7280CR3MK-32D4A-S</t>
  </si>
  <si>
    <t>SVC-7280CR3MK-32D4A-1M-SHR</t>
  </si>
  <si>
    <t>SVC-7280CR3MK-32D4A-1M-SH4</t>
  </si>
  <si>
    <t>Switches, APs, Appliances &amp; Perpetual Licenses</t>
  </si>
  <si>
    <t>EOS Subscription for 1-Month includes EOS E/V/Z/FLX-LITE and CloudVison with ACare SW for 2RU systems</t>
  </si>
  <si>
    <t>EOS Subscription for 1-Month includes EOS E/V/Z/FLX-LITE and CloudVison with ACare SW for 1RU systems</t>
  </si>
  <si>
    <t>CloudEOS Router for VM/Cloud SW Sub Lic for 1-Month for up to 10G throughput, includes routing, IPSec, A-care Support, and 1-Month CloudVision SVC for single instance</t>
  </si>
  <si>
    <t>CloudEOS Router for VM/Cloud SW Sub Lic for 1-Month for up to 1G throughput, includes routing, IPSec, A-care Support, and 1-Month CloudVision for single instance</t>
  </si>
  <si>
    <t>SVC-DCA-350E-CV-1M-NB</t>
  </si>
  <si>
    <t>Supervisor module for 7800 series 7816 chassis (Spare)</t>
  </si>
  <si>
    <t>Supervisor1A module for 7800 series chassis ((Ships in chassis))</t>
  </si>
  <si>
    <t>Power Cord AC 20A SAF-D-GRID to C20 (1m)</t>
  </si>
  <si>
    <t>Power Cord AC 20A SAF-D-GRID to C20 (3m)</t>
  </si>
  <si>
    <t>Power Cord AC 20A SAF-D-GRID to C20 (4m)</t>
  </si>
  <si>
    <t>Supervisor-2 module for 7500 Series, with SSD (ships in chassis)</t>
  </si>
  <si>
    <t xml:space="preserve">Arista 7504N Empty Chassis, 2 Supervisor Slots, 4 Linecard Slots, 6 Fabric Module Slots, AC or DC option </t>
  </si>
  <si>
    <t>Arista 7512N empty chassis, 2 Supervisor slots, 12 line card slots, 6 Fabric Module slots, AC or DC option</t>
  </si>
  <si>
    <t>Virtualization license for Arista Modular switches - 16 slots (VM Tracer and VXLAN)</t>
  </si>
  <si>
    <t>Enhanced Software License for Arista Modular switches - 16 slots (OSPF, BGP, ISIS, PIM)</t>
  </si>
  <si>
    <t>Arista 7388X System bundle. Includes 7388X5-BND Bundle and 64 x 400G QSFP-DD MS (front-to-rear air)</t>
  </si>
  <si>
    <t>Arista 7280R3, 32x100GbE QSFP and 4x400GbE QSFP-DD switch router, MACsec, large route, front to rear air, 2 x AC. Over 256K Routes, MPLS and VXLAN</t>
  </si>
  <si>
    <t>Arista 7280R3, 32x100GbE QSFP and 4x400GbE QSFP-DD switch router, MACsec, large route, rear to front air, 2 x AC. Over 256K Routes, MPLS and VXLAN</t>
  </si>
  <si>
    <t>Arista 7280R3, 32x100GbE QSFP and 4x400GbE QSFP-DD switch router, MACsec large route, configurable fans and psu. Over 256K Routes, MPLS and VXLAN</t>
  </si>
  <si>
    <t>Arista 7060X, 32x100GbE QSFP &amp; 2xSFP+ switch, front-to-rear air, 2xAC, 2xC13-C14 cords</t>
  </si>
  <si>
    <t>Arista 722XPM, 48x1G 30W POE, 4x25G, 4x10G SFP+ switch, rear to front air, MACSec, AC, C14 Power Cord</t>
  </si>
  <si>
    <t>Arista 722XPM, 48x1G 30W POE, 4x25G, 4x10G SFP+ switch, rear to front air, MACSec, AC, EU Power Cord</t>
  </si>
  <si>
    <t>Arista 722XPM, 48x1G 30W POE, 4x25G, 4x10G SFP+ switch, rear to front air, MACSec, AC, JPN Power Cord</t>
  </si>
  <si>
    <t>Arista 722XPM, 48x1G 30W POE, 4x25G, 4x10G SFP+ switch, rear to front air, MACSec, AC, NA Power Cord</t>
  </si>
  <si>
    <t>Arista 722XPM, 48x1G 30W POE, 4x25G, 4x10G SFP+ switch, rear to front air, MACSec, AC, UK Power Cord</t>
  </si>
  <si>
    <t>Arista 722XPM, 48x1G 30W POE, 4x25G, 4x10G SFP+ switch, rear to front air, MACSec, AC</t>
  </si>
  <si>
    <t>Arista 720DF, 48 x 1G SFP, 4 x 25G SFP switch, front to rear air, 2 x 200W AC, C14 Power Cord</t>
  </si>
  <si>
    <t>Arista 720DF, 48 x 1G SFP, 4 x 25G SFP switch, front to rear air, 2 x 200W AC, EU Power Cord</t>
  </si>
  <si>
    <t>Arista 720DF, 48 x 1G SFP, 4 x 25G SFP switch, front to rear air, 2 x 200W AC, JPN Power Cord</t>
  </si>
  <si>
    <t>Arista 720DF, 48 x 1G SFP, 4 x 25G SFP switch, front to rear air, 2 x 200W AC, NA Power Cord</t>
  </si>
  <si>
    <t>Arista 720DF, 48 x 1G SFP, 4 x 25G SFP switch, front to rear air, 2 x 200W AC, UK Power Cord</t>
  </si>
  <si>
    <t>Arista 720DF, 48 x 1G SFP, 4 x 25G SFP switch, front to rear air, 2 x 200W AC</t>
  </si>
  <si>
    <t>Arista 720DF, 48 x 1G SFP, 4 x 25G SFP switch, front to rear air, 2 x DC</t>
  </si>
  <si>
    <t>Arista 720DP, 48 x 1G POE, 4x10G SFP switch, front to rear air, 2 950W AC,  UK Power Cord</t>
  </si>
  <si>
    <t>Spare 500 Watt AC power supply for Arista 7050X and 7280 Switches (front-to-rear airflow)</t>
  </si>
  <si>
    <t>Spare 500 Watt AC power supply for Arista 7050X and 7280 Switches (rear-to-front airflow)</t>
  </si>
  <si>
    <t>Configurable 500 Watt AC power supply for Arista 7050X and 7280 Switches (front-to-rear airflow)</t>
  </si>
  <si>
    <t>Configurable 500 Watt AC power supply for Arista 7050X and 7280 Switches (rear-to-front airflow)</t>
  </si>
  <si>
    <t>Spare 500W DC Power Supply for 7050X and 7280 series (front to rear airflow switch)</t>
  </si>
  <si>
    <t>Configurable 500W DC Power Supply for 7050X and 7280 series (front to rear airflow switch)</t>
  </si>
  <si>
    <t>Spare 500W DC Power Supply for 7050X and 7280 series (rear to front airflow switch)</t>
  </si>
  <si>
    <t>Configurable 500W DC Power Supply for 7050X and 7280 series (rear to front airflow switch)</t>
  </si>
  <si>
    <t>Spare 750 Watt AC power supply for Arista 7050TX-128, 7060X and 7280QR Switches (front-to-rear airflow)</t>
  </si>
  <si>
    <t>Configurable 750 Watt AC power supply for Arista 7050TX-128, 7060X and 7280QR Switches (front-to-rear airflow)</t>
  </si>
  <si>
    <t>Spare 750 Watt AC power supply for Arista 7050TX-128, 7060X and 7280QR Switches (rear-to-front airflow)</t>
  </si>
  <si>
    <t>Configurable 750 Watt AC power supply for Arista 7050TX-128, 7060X and 7280QR Switches (rear-to-front airflow)</t>
  </si>
  <si>
    <t>Spare 1900W DC power supply for Arista 7000 Series 2U switches (rear to front airflow)</t>
  </si>
  <si>
    <t>Configurable 1900W DC power supply for Arista 7000 Series 2U switches (rear to front airflow)</t>
  </si>
  <si>
    <t>Configurable Arista PSU, 1RU, AC, 1500W, REVERSE, 73.5MM</t>
  </si>
  <si>
    <t>Configurable Arista PSU, 1RU, DC, 1500W, FORWARD, 73.5MM</t>
  </si>
  <si>
    <t>Configurable Arista PSU, 1RU, DC, 1500W, REVERSE, 73.5MM</t>
  </si>
  <si>
    <t>Spare fan module for Arista 7150, 7124SX(FX), 7050, 7050X 1U, 7280 &amp; 7048-A switches (front-to-rear airflow)</t>
  </si>
  <si>
    <t>Spare fan module for Arista 7150, 7124SX(FX), 7050, 7050X 1U, 7280 &amp; 7048-A switches (rear-to-front airflow)</t>
  </si>
  <si>
    <t>Configurable fan module for Arista 7150, 7124SX(FX), 7050, 7050X 1U, 7280 &amp; 7048-A switches (front-to-rear airflow)</t>
  </si>
  <si>
    <t>Configurable fan module for Arista 7150, 7124SX(FX), 7050, 7050X 1U, 7280 &amp; 7048-A switches (rear-to-front airflow)</t>
  </si>
  <si>
    <t>FLX License for Arista Fixed Group 1 - Full Routing up to 256K Routes, EVPN, VXLAN, SR, Adv MPLS LSR and Pseudowires</t>
  </si>
  <si>
    <t>FLX-Lite License for Arista Fixed Group 5 - Full Routing Up to 256K Routes, EVPN, VXLAN, SR, base MPLS LSR (no TE or link/node protection)</t>
  </si>
  <si>
    <t>MACSEC Encryption License for Arista Fixed 1G/mG Ethernet Switches, MACSEC capable ports</t>
  </si>
  <si>
    <t>2x 400GBASE-LR4-10 QSFP-DD Transceiver dual CS Connectors, up to 10km over dual duplex SMF</t>
  </si>
  <si>
    <t>2x 400GBASE-FR4 QSFP-DD Transceiver with dual CS connectors, up to 2km over dual duplex SMF</t>
  </si>
  <si>
    <t>2x 400GBASE-LR4 OSFP Transceiver, dual LC Connectors, up to 10km over dual duplex SMF</t>
  </si>
  <si>
    <t>400GBASE-FR4 OSFP Optics Module, up to 2km over duplex SMF</t>
  </si>
  <si>
    <t>400GBASE-XDR4 OSFP Optics Module, up to 2km over parallel SMF</t>
  </si>
  <si>
    <t>400GBASE-FR4 QSFP-DD Optics Module, up to 2km over duplex SMF</t>
  </si>
  <si>
    <t>400GBASE-XDR4 QSFP-DD Optics Module, up to 2km over parallel SMF</t>
  </si>
  <si>
    <t>400GBASE-DR4 QSFP-DD Optics Module, up to 500m over parallel SMF</t>
  </si>
  <si>
    <t>400GBASE-CR8 OSFP to 2 x 200GBASE-CR4 QSFP Twinax Copper Cable, 3 meter</t>
  </si>
  <si>
    <t>400GBASE-CR8 OSFP to 2 x 200GBASE-CR4 QSFP Twinax Copper Cable, 2 meter</t>
  </si>
  <si>
    <t>400GBASE-CR8 OSFP to 2 x 200GBASE-CR4 QSFP Twinax Copper Cable, 1 meter</t>
  </si>
  <si>
    <t>40GBASE-XSR4 QSFP+ transceiver, up to 300m over parallel OM3 or 400m over OM4 multi-mode fiber</t>
  </si>
  <si>
    <t>40GBASE-SR4 QSFP+ transceiver, up to 100m over parallel OM3 or 150m over OM4 multi-mode fiber</t>
  </si>
  <si>
    <t>40GbE QSFP+to QSFP+ twinax copper cable,0.5M</t>
  </si>
  <si>
    <t>40GbE QSFP+to QSFP+ twinax copper cable, 1M</t>
  </si>
  <si>
    <t>25GBASE-SR SFP25 transceiver up to 70m over OM3 or 100m over OM4 multi-mode fiber</t>
  </si>
  <si>
    <t>10GBASE-ZR SFP+ (Extended Reach to 80km)</t>
  </si>
  <si>
    <t>10GBASE-ER SFP+ (Extended Reach to 40km)</t>
  </si>
  <si>
    <t>10GBASE-LR SFP+ (Long Reach)</t>
  </si>
  <si>
    <t>10GBASE-LRL SFP+ (Long Reach Lite)</t>
  </si>
  <si>
    <t>4 x 10GbEQSFP+ to 4 x SFP+ twinax copper cable, 2M</t>
  </si>
  <si>
    <t>4 x 10GbEQSFP+ to 4 x SFP+ twinax copper cable, 3M</t>
  </si>
  <si>
    <t>Expedite-Fee-Modular</t>
  </si>
  <si>
    <t>Modular Switch 60 Business Day Expedite Fee (Per unit)</t>
  </si>
  <si>
    <t>Arista CCF: 1 Month A-Care Software &amp; NBD Hardware Replacement/Same Day Ship for Controller Appliance HWDL</t>
  </si>
  <si>
    <t>C-200 2x2:2 dual radio Wi-Fi 6 access point with internal antennas with a 5 year on-premises cognitive management subscription</t>
  </si>
  <si>
    <t>Custom Onsite Training (up to 20 students per class)</t>
  </si>
  <si>
    <t>1 Month A-Care NBD Hardware Replacement/Same Day Ship for 7368X4-SSD</t>
  </si>
  <si>
    <t>1 Month A-Care Software &amp; NBD Hardware Replacement/Same Day Ship for 7368X4-SSD</t>
  </si>
  <si>
    <t>1-Month A-Care Software &amp; 24x7x4 Hour Hardware Replacement for 7368X4-SSD</t>
  </si>
  <si>
    <t>SVC-7289R3A-1M-NB</t>
  </si>
  <si>
    <t>SVC-7289R3AM-1M-NB</t>
  </si>
  <si>
    <t>SVC-7289R3AK-1M-NB</t>
  </si>
  <si>
    <t>1-Month A-Care Software &amp; 24x7x2 Hour Hardware Replacement for 7280SRA-48C6-M</t>
  </si>
  <si>
    <t>1-Month A-Care Software &amp; 24x7x4 Hour Hardware Replacement for 7280SRA-48C6-M</t>
  </si>
  <si>
    <t>1 Month A-Care Software &amp; NBD Hardware Replacement/Same Day Ship for 7280SRA-48C6-M</t>
  </si>
  <si>
    <t>1-Month A-Care Software &amp; 24x7x2 Hour Hardware Replacement for 720XP-24ZY4</t>
  </si>
  <si>
    <t>1-Month A-Care Software &amp; 24x7x4 Hour Hardware Replacement for 720XP-24ZY4</t>
  </si>
  <si>
    <t>1 Month A-Care Software &amp; NBD Hardware Replacement/Same Day Ship for CCS-720XP-24ZY4</t>
  </si>
  <si>
    <t>1 Month A-Care Software Support and HW Replacement for CCS-720XP-24ZY4</t>
  </si>
  <si>
    <t>Onsite Service: 1 Month A-Care Software &amp; NBD Hardware Replacement/Same Day Ship for 7280CR-48</t>
  </si>
  <si>
    <t>Onsite Service: 1-Month A-Care Software &amp; 24x7x4 Hour Hardware Replacement for 7280SRA-48C6-M</t>
  </si>
  <si>
    <t>Onsite Service: 1 Month A-Care Software &amp; NBD Hardware Replacement/Same Day Ship for 7280SRA-48C6-M</t>
  </si>
  <si>
    <t>Onsite Service: 1-Month A-Care Software &amp; 24x7x4 Hour Hardware Replacement for 720XP-24ZY4</t>
  </si>
  <si>
    <t>Onsite Service: 1 Month A-Care Software &amp; NBD Hardware Replacement/Same Day Ship for 720XP-24ZY4</t>
  </si>
  <si>
    <t>총판 List Price 가격</t>
    <phoneticPr fontId="9" type="noConversion"/>
  </si>
  <si>
    <t>구분</t>
    <phoneticPr fontId="9" type="noConversion"/>
  </si>
  <si>
    <t>License</t>
    <phoneticPr fontId="9" type="noConversion"/>
  </si>
  <si>
    <t>Service</t>
    <phoneticPr fontId="9" type="noConversion"/>
  </si>
  <si>
    <t>AP-O435</t>
  </si>
  <si>
    <t>AP-O435E</t>
  </si>
  <si>
    <t>AP-O435E-SS-3Y</t>
  </si>
  <si>
    <t>AP-O435E-SS-5Y</t>
  </si>
  <si>
    <t>AP-O435E-SS-PREM-3Y</t>
  </si>
  <si>
    <t>AP-O435E-SS-PREM-5Y</t>
  </si>
  <si>
    <t>AP-O435-SS-3Y</t>
  </si>
  <si>
    <t>AP-O435-SS-5Y</t>
  </si>
  <si>
    <t>AP-O435-SS-PREM-3Y</t>
  </si>
  <si>
    <t>AP-O435-SS-PREM-5Y</t>
  </si>
  <si>
    <t>CCS-710XP-12TH-2S</t>
  </si>
  <si>
    <t>KIT-CCS-710XP-12-RM</t>
  </si>
  <si>
    <t>DCS-7050CX4M-48D8-R</t>
  </si>
  <si>
    <t>DCS-7804R4-BNDS-U</t>
  </si>
  <si>
    <t>DCS-7808R4-BNDS-U</t>
  </si>
  <si>
    <t>DCS-7812R4-BNDS-U</t>
  </si>
  <si>
    <t>AP-C460E</t>
  </si>
  <si>
    <t>AP-C460E-SS-3Y</t>
  </si>
  <si>
    <t>AP-C460E-SS-5Y</t>
  </si>
  <si>
    <t>AP-C460E-SS-PREM-3Y</t>
  </si>
  <si>
    <t>AP-C460E-SS-PREM-5Y</t>
  </si>
  <si>
    <t>AP-C460</t>
  </si>
  <si>
    <t>AP-C460-SS-3Y</t>
  </si>
  <si>
    <t>AP-C460-SS-5Y</t>
  </si>
  <si>
    <t>AP-C460-SS-PREM-3Y</t>
  </si>
  <si>
    <t>AP-C460-SS-PREM-5Y</t>
  </si>
  <si>
    <t>DCS-7800R4C-36PE-LC</t>
  </si>
  <si>
    <t>DCS-7800R4C-36PE-LC#</t>
  </si>
  <si>
    <t>DCS-7812R4-BND-U</t>
  </si>
  <si>
    <t>DCS-7808R4-BND-U</t>
  </si>
  <si>
    <t>DCS-7808-FCM</t>
  </si>
  <si>
    <t>DCS-7812-FCM</t>
  </si>
  <si>
    <t>DCS-7808R4-FM</t>
  </si>
  <si>
    <t>DCS-7812R4-FM</t>
  </si>
  <si>
    <t>DCS-7280CR3A-32S#</t>
  </si>
  <si>
    <t>DCS-7280CR3A-32S-F</t>
  </si>
  <si>
    <t>DCS-7280CR3A-32S-FLX#</t>
  </si>
  <si>
    <t>DCS-7280CR3A-32S-FLX-F</t>
  </si>
  <si>
    <t>DCS-7280CR3A-32S-FLX-R</t>
  </si>
  <si>
    <t>DCS-7280CR3A-32S-R</t>
  </si>
  <si>
    <t>DCS-7280CR3AK-32S#</t>
  </si>
  <si>
    <t>DCS-7280CR3AK-32S-F</t>
  </si>
  <si>
    <t>DCS-7280CR3AK-32S-FLX#</t>
  </si>
  <si>
    <t>DCS-7280CR3AK-32S-FLX-F</t>
  </si>
  <si>
    <t>DCS-7280CR3AK-32S-FLX-R</t>
  </si>
  <si>
    <t>DCS-7280CR3AK-32S-R</t>
  </si>
  <si>
    <t>DCS-7280CR3AM-32S#</t>
  </si>
  <si>
    <t>DCS-7280CR3AM-32S-F</t>
  </si>
  <si>
    <t>DCS-7280CR3AM-32S-FLX#</t>
  </si>
  <si>
    <t>DCS-7280CR3AM-32S-FLX-F</t>
  </si>
  <si>
    <t>DCS-7280CR3AM-32S-FLX-R</t>
  </si>
  <si>
    <t>DCS-7280CR3AM-32S-R</t>
  </si>
  <si>
    <t>DCS-7280SR3A-48YC8#</t>
  </si>
  <si>
    <t>DCS-7280SR3A-48YC8-F</t>
  </si>
  <si>
    <t>DCS-7280SR3A-48YC8-FLX#</t>
  </si>
  <si>
    <t>DCS-7280SR3A-48YC8-FLX-F</t>
  </si>
  <si>
    <t>DCS-7280SR3A-48YC8-FLX-R</t>
  </si>
  <si>
    <t>DCS-7280SR3A-48YC8-R</t>
  </si>
  <si>
    <t>DCS-7280SR3AK-48YC8#</t>
  </si>
  <si>
    <t>DCS-7280SR3AK-48YC8-F</t>
  </si>
  <si>
    <t>DCS-7280SR3AK-48YC8-FLX#</t>
  </si>
  <si>
    <t>DCS-7280SR3AK-48YC8-FLX-F</t>
  </si>
  <si>
    <t>DCS-7280SR3AK-48YC8-FLX-R</t>
  </si>
  <si>
    <t>DCS-7280SR3AK-48YC8-R</t>
  </si>
  <si>
    <t>DCS-7280SR3AM-48YC8#</t>
  </si>
  <si>
    <t>DCS-7280SR3AM-48YC8-F</t>
  </si>
  <si>
    <t>DCS-7280SR3AM-48YC8-FLX#</t>
  </si>
  <si>
    <t>DCS-7280SR3AM-48YC8-FLX-F</t>
  </si>
  <si>
    <t>DCS-7280SR3AM-48YC8-FLX-R</t>
  </si>
  <si>
    <t>DCS-7280SR3AM-48YC8-R</t>
  </si>
  <si>
    <t>DCS-7010TX-48C-DC-RV3-F</t>
  </si>
  <si>
    <t>DCS-7060DX4-32C-RV3-F</t>
  </si>
  <si>
    <t>DCS-7010TX-48C-DC-F</t>
  </si>
  <si>
    <t>DCS-7010TX-48C-DC-R</t>
  </si>
  <si>
    <t>DCS-7010TX-48C-DC-RV3A-F</t>
  </si>
  <si>
    <t>DCS-7050SX3-24YC4C-S#</t>
  </si>
  <si>
    <t>DCS-7050SX3-24YC4C-S-F</t>
  </si>
  <si>
    <t>DCS-7050SX3-24YC4C-S-R</t>
  </si>
  <si>
    <t>DCS-7060CX5-56D8#</t>
  </si>
  <si>
    <t>DCS-7060CX5-56D8-F</t>
  </si>
  <si>
    <t>DCS-7060CX5-56D8-R</t>
  </si>
  <si>
    <t>DCS-7060X6-32PE#</t>
  </si>
  <si>
    <t>DCS-7060X6-32PE-F</t>
  </si>
  <si>
    <t>ZTX-7250S-16S-F</t>
  </si>
  <si>
    <t>AWE-7220RP-5TH-2S-FLX-F</t>
  </si>
  <si>
    <t>AWE-7230R-4TX-4S-FLX-F</t>
  </si>
  <si>
    <t>AWE-7250R-16S-F</t>
  </si>
  <si>
    <t>AWE-7250R-16S-FLX-F</t>
  </si>
  <si>
    <t>DCA-AGNI-100</t>
  </si>
  <si>
    <t>DCA-CC-C450</t>
  </si>
  <si>
    <t>DCA-DM-AN450</t>
  </si>
  <si>
    <t>DCA-DM-C450</t>
  </si>
  <si>
    <t>PWR-2011-AC-RED</t>
  </si>
  <si>
    <t>FAN-7800-HS</t>
  </si>
  <si>
    <t>KIT-7816L</t>
  </si>
  <si>
    <t>DCS-7001-SUP-A</t>
  </si>
  <si>
    <t>DCS-7001-SUP-A-N</t>
  </si>
  <si>
    <t>Korea List Price</t>
    <phoneticPr fontId="9" type="noConversion"/>
  </si>
  <si>
    <t>1 요약</t>
  </si>
  <si>
    <t>3 요약</t>
  </si>
  <si>
    <t>4 요약</t>
  </si>
  <si>
    <t>DCS-7060X6-64PE#</t>
  </si>
  <si>
    <t>DCS-7060X6-64PE-F</t>
  </si>
  <si>
    <t>PWR-AP-W5</t>
  </si>
  <si>
    <t>MNT-AP-15MM-ADAPTER</t>
  </si>
  <si>
    <t>MNT-AP-U-ADAPTER-1</t>
  </si>
  <si>
    <t>MNT-AP-24MM-ADAPTER</t>
  </si>
  <si>
    <t>LIC-FIX-2-E-EDU2</t>
  </si>
  <si>
    <t>LIC-FIX-2-FLX-L-EDU2</t>
  </si>
  <si>
    <t>LIC-MOD-7808R4-E</t>
  </si>
  <si>
    <t>LIC-MOD-7808R4-FLX-L</t>
  </si>
  <si>
    <t>LIC-MOD-7808R4-V</t>
  </si>
  <si>
    <t>LIC-MOD-7808R4-V2</t>
  </si>
  <si>
    <t>LIC-MOD-7808R4-Z</t>
  </si>
  <si>
    <t>LIC-MOD-7812R4-E</t>
  </si>
  <si>
    <t>LIC-MOD-7812R4-FLX-L</t>
  </si>
  <si>
    <t>LIC-MOD-7812R4-V</t>
  </si>
  <si>
    <t>LIC-MOD-7812R4-V2</t>
  </si>
  <si>
    <t>LIC-MOD-7812R4-Z</t>
  </si>
  <si>
    <t>LIC-DL-Z</t>
  </si>
  <si>
    <t>LIC-FIX-G1-FLX-L</t>
  </si>
  <si>
    <t>LIC-FIX-G2-FLX-L</t>
  </si>
  <si>
    <t>LIC-FIX-G2-E</t>
  </si>
  <si>
    <t>LIC-FIX-G2-V2</t>
  </si>
  <si>
    <t>LIC-FIX-G2-MACSEC</t>
  </si>
  <si>
    <t>LIC-FIX-G3-FLX</t>
  </si>
  <si>
    <t>LIC-FIX-G3-FLX-L</t>
  </si>
  <si>
    <t>LIC-FIX-G3-E</t>
  </si>
  <si>
    <t>LIC-FIX-G3-V2</t>
  </si>
  <si>
    <t>LIC-FIX-G3-MACSEC</t>
  </si>
  <si>
    <t>FAN-7021H-RED</t>
  </si>
  <si>
    <t>FAN-7021H-RED#</t>
  </si>
  <si>
    <t>FAN-7202-RED</t>
  </si>
  <si>
    <t>FAN-7202-RED#</t>
  </si>
  <si>
    <t>PWR-2411-MC-RED</t>
  </si>
  <si>
    <t>PWR-561-AC-RED</t>
  </si>
  <si>
    <t>PWR-861-AC-RED</t>
  </si>
  <si>
    <t>KIT-7800-RK#</t>
  </si>
  <si>
    <t>KIT-INST-7800-RTK</t>
  </si>
  <si>
    <t>KIT-INST-7800-RTK-ADPT-7812</t>
  </si>
  <si>
    <t>KIT-INST-7800-RTK-ADPT-7816</t>
  </si>
  <si>
    <t>KIT-INST-7800-RTK-ADPT-7816L</t>
  </si>
  <si>
    <t>CCS-720XP-48TXH-2C-5G-S#</t>
  </si>
  <si>
    <t>CCS-720XP-48TXH-2C-S-5G-2F</t>
  </si>
  <si>
    <t>CCS-720XP-48TXH-5G-10G-UPG</t>
  </si>
  <si>
    <t>DCS-7060DX4-32C-RV3-1F</t>
  </si>
  <si>
    <t>FB-7808R4-BND-DC-U-12PS-SK</t>
  </si>
  <si>
    <t>LIC-WAN1-Z</t>
  </si>
  <si>
    <t>LIC-WAN2-Z</t>
  </si>
  <si>
    <t>LIC-WAN4-Z</t>
  </si>
  <si>
    <t>DCS-7280SR3E-40YC6-M#</t>
  </si>
  <si>
    <t>DCS-7280SR3E-40YC6-M-F</t>
  </si>
  <si>
    <t>DCS-7280SR3E-40YC6-M-R</t>
  </si>
  <si>
    <t>SFP-25G-ER</t>
  </si>
  <si>
    <t>SFP-10G-T-RP</t>
  </si>
  <si>
    <t>A-O800-O800-1M</t>
  </si>
  <si>
    <t>A-O800-O800-3M</t>
  </si>
  <si>
    <t>A-O800-O800-5M</t>
  </si>
  <si>
    <t>A-O800-O800-7M</t>
  </si>
  <si>
    <t>A-O800-O800-10M</t>
  </si>
  <si>
    <t>A-O800-O800-15M</t>
  </si>
  <si>
    <t>A-O800-O800-20M</t>
  </si>
  <si>
    <t>A-O800-O800-25M</t>
  </si>
  <si>
    <t>A-O800-O800-30M</t>
  </si>
  <si>
    <t>C-O800-2Q400-1M</t>
  </si>
  <si>
    <t>C-O800-2Q400-2M</t>
  </si>
  <si>
    <t>C-O800-2Q400-3M</t>
  </si>
  <si>
    <t>A-D400-2Q200-10M</t>
  </si>
  <si>
    <t>A-D400-2Q200-15M</t>
  </si>
  <si>
    <t>A-D400-2Q200-1M</t>
  </si>
  <si>
    <t>A-D400-2Q200-20M</t>
  </si>
  <si>
    <t>A-D400-2Q200-25M</t>
  </si>
  <si>
    <t>A-D400-2Q200-30M</t>
  </si>
  <si>
    <t>A-D400-2Q200-3M</t>
  </si>
  <si>
    <t>A-D400-2Q200-5M</t>
  </si>
  <si>
    <t>A-D400-2Q200-7M</t>
  </si>
  <si>
    <t>A-D400-Q400-10M</t>
  </si>
  <si>
    <t>A-D400-Q400-15M</t>
  </si>
  <si>
    <t>A-D400-Q400-1M</t>
  </si>
  <si>
    <t>A-D400-Q400-20M</t>
  </si>
  <si>
    <t>A-D400-Q400-25M</t>
  </si>
  <si>
    <t>A-D400-Q400-30M</t>
  </si>
  <si>
    <t>A-D400-Q400-3M</t>
  </si>
  <si>
    <t>A-D400-Q400-5M</t>
  </si>
  <si>
    <t>A-D400-Q400-7M</t>
  </si>
  <si>
    <t>A-D800-2Q400-10M</t>
  </si>
  <si>
    <t>A-D800-2Q400-15M</t>
  </si>
  <si>
    <t>A-D800-2Q400-1M</t>
  </si>
  <si>
    <t>A-D800-2Q400-20M</t>
  </si>
  <si>
    <t>A-D800-2Q400-25M</t>
  </si>
  <si>
    <t>A-D800-2Q400-30M</t>
  </si>
  <si>
    <t>A-D800-2Q400-3M</t>
  </si>
  <si>
    <t>A-D800-2Q400-5M</t>
  </si>
  <si>
    <t>A-D800-2Q400-7M</t>
  </si>
  <si>
    <t>A-O400-2Q200-10M</t>
  </si>
  <si>
    <t>A-O400-2Q200-15M</t>
  </si>
  <si>
    <t>A-O400-2Q200-1M</t>
  </si>
  <si>
    <t>A-O400-2Q200-20M</t>
  </si>
  <si>
    <t>A-O400-2Q200-25M</t>
  </si>
  <si>
    <t>A-O400-2Q200-30M</t>
  </si>
  <si>
    <t>A-O400-2Q200-3M</t>
  </si>
  <si>
    <t>A-O400-2Q200-5M</t>
  </si>
  <si>
    <t>A-O400-2Q200-7M</t>
  </si>
  <si>
    <t>A-O400-Q400-10M</t>
  </si>
  <si>
    <t>A-O400-Q400-15M</t>
  </si>
  <si>
    <t>A-O400-Q400-1M</t>
  </si>
  <si>
    <t>A-O400-Q400-20M</t>
  </si>
  <si>
    <t>A-O400-Q400-25M</t>
  </si>
  <si>
    <t>A-O400-Q400-30M</t>
  </si>
  <si>
    <t>A-O400-Q400-3M</t>
  </si>
  <si>
    <t>A-O400-Q400-5M</t>
  </si>
  <si>
    <t>A-O400-Q400-7M</t>
  </si>
  <si>
    <t>A-O800-2Q400-10M</t>
  </si>
  <si>
    <t>A-O800-2Q400-15M</t>
  </si>
  <si>
    <t>A-O800-2Q400-1M</t>
  </si>
  <si>
    <t>A-O800-2Q400-20M</t>
  </si>
  <si>
    <t>A-O800-2Q400-25M</t>
  </si>
  <si>
    <t>A-O800-2Q400-30M</t>
  </si>
  <si>
    <t>A-O800-2Q400-3M</t>
  </si>
  <si>
    <t>A-O800-2Q400-5M</t>
  </si>
  <si>
    <t>A-O800-2Q400-7M</t>
  </si>
  <si>
    <t>CAB-S-S-25G-0.5M</t>
  </si>
  <si>
    <t>CAB-S-S-25G-1.5M</t>
  </si>
  <si>
    <t>CAB-S-S-25G-2.5M</t>
  </si>
  <si>
    <t>SS-CV-AGNI-1000-D-1M</t>
  </si>
  <si>
    <t>SS-CV-AGNI-10K-D-1M</t>
  </si>
  <si>
    <t>SS-CV-AGNI-30K-D-1M</t>
  </si>
  <si>
    <t>SS-CV-AGNI-5000-D-1M</t>
  </si>
  <si>
    <t>SS-CV-AGNI-500-D-1M</t>
  </si>
  <si>
    <t>SS-CVS-G1-SWITCH-1M</t>
  </si>
  <si>
    <t>SS-CVS-G1-T1-1M</t>
  </si>
  <si>
    <t>SS-CVS-G1-T2-1M</t>
  </si>
  <si>
    <t>SS-CVS-LT-G1-SWITCH-1M</t>
  </si>
  <si>
    <t>SS-CVS-LT-G1-T1-1M</t>
  </si>
  <si>
    <t>SS-CVS-LT-G1-T2-1M</t>
  </si>
  <si>
    <t>SS-CVS-G2-SWITCH-1M</t>
  </si>
  <si>
    <t>SS-CVS-G2-T1-1M</t>
  </si>
  <si>
    <t>SS-CVS-G2-T2-1M</t>
  </si>
  <si>
    <t>SS-CVS-LT-G2-SWITCH-1M</t>
  </si>
  <si>
    <t>SS-CVS-LT-G2-T1-1M</t>
  </si>
  <si>
    <t>SS-CVS-LT-G2-T2-1M</t>
  </si>
  <si>
    <t>SS-CVS-G3-SWITCH-1M</t>
  </si>
  <si>
    <t>SS-CVS-G3-T1-1M</t>
  </si>
  <si>
    <t>SS-CVS-G3-T2-1M</t>
  </si>
  <si>
    <t>SS-CVS-LT-G3-SWITCH-1M</t>
  </si>
  <si>
    <t>SS-CVS-LT-G3-T1-1M</t>
  </si>
  <si>
    <t>SS-CVS-LT-G3-T2-1M</t>
  </si>
  <si>
    <t>SS-CV-G1-SWITCH-1M</t>
  </si>
  <si>
    <t>SS-CV-G1-T1-1M</t>
  </si>
  <si>
    <t>SS-CV-G1-T2-1M</t>
  </si>
  <si>
    <t>SS-CV-LT-G1-SWITCH-1M</t>
  </si>
  <si>
    <t>SS-CV-LT-G1-T1-1M</t>
  </si>
  <si>
    <t>SS-CV-LT-G1-T2-1M</t>
  </si>
  <si>
    <t>SS-CV-G2-SWITCH-1M</t>
  </si>
  <si>
    <t>SS-CV-G2-T1-1M</t>
  </si>
  <si>
    <t>SS-CV-G2-T2-1M</t>
  </si>
  <si>
    <t>SS-CV-LT-G2-SWITCH-1M</t>
  </si>
  <si>
    <t>SS-CV-LT-G2-T1-1M</t>
  </si>
  <si>
    <t>SS-CV-LT-G2-T2-1M</t>
  </si>
  <si>
    <t>SS-CV-G3-SWITCH-1M</t>
  </si>
  <si>
    <t>SS-CV-G3-T1-1M</t>
  </si>
  <si>
    <t>SS-CV-G3-T2-1M</t>
  </si>
  <si>
    <t>SS-CV-LT-G3-SWITCH-1M</t>
  </si>
  <si>
    <t>SS-CV-LT-G3-T1-1M</t>
  </si>
  <si>
    <t>SS-CV-LT-G3-T2-1M</t>
  </si>
  <si>
    <t>SS-CVSC-G1-SWITCH-1M</t>
  </si>
  <si>
    <t>SS-CVSC-G2-SWITCH-1M</t>
  </si>
  <si>
    <t>SS-CVSC-G3-SWITCH-1M</t>
  </si>
  <si>
    <t>SS-CVS-UNO-3RDPARTY-1M</t>
  </si>
  <si>
    <t>SS-CLOUDEOS-VZTX-CV-10G-B-1M</t>
  </si>
  <si>
    <t>SS-CLOUDEOS-VZTX-CV-1G-B-1M</t>
  </si>
  <si>
    <t>SS-CLOUDEOS-VZTX-CVS-10G-B-1M</t>
  </si>
  <si>
    <t>SS-CLOUDEOS-VZTX-CVS-1G-B-1M</t>
  </si>
  <si>
    <t>SS-CVPATH-WAN1-E-CVS-B-1M</t>
  </si>
  <si>
    <t>SS-CVS-WAN1-1M</t>
  </si>
  <si>
    <t>SS-CV-WAN1-1M</t>
  </si>
  <si>
    <t>SS-NDR-SCA5-1M</t>
  </si>
  <si>
    <t>SS-NDR-NCG2-1M</t>
  </si>
  <si>
    <t>SS-NDR-NCG5-1M</t>
  </si>
  <si>
    <t>SS-NDR-NCG10-1M</t>
  </si>
  <si>
    <t>SS-NDR-NCCG10-1M</t>
  </si>
  <si>
    <t>SS-NDR-NCAMI10-1M</t>
  </si>
  <si>
    <t>SS-CVPATH-CloudEOS-100M-E-CVS-B-1M</t>
  </si>
  <si>
    <t>SS-CVPATH-CloudEOS-1G-E-CVS-B-1M</t>
  </si>
  <si>
    <t>SS-CVPATH-CloudEOS-10G-E-CVS-B-1M</t>
  </si>
  <si>
    <t>SS-CVS-UNO-3RDPARTY100-1M</t>
  </si>
  <si>
    <t>SS-CV-ZTX4-1M</t>
  </si>
  <si>
    <t>SS-CVS-ZTX4-1M</t>
  </si>
  <si>
    <t>OSV-7010TX-48C-O3A-1M-4H</t>
  </si>
  <si>
    <t>OSV-7010TX-48C-O3A-1M-NB</t>
  </si>
  <si>
    <t>OSV-7050SX3-24YC4CS-1M-4H</t>
  </si>
  <si>
    <t>OSV-7050SX3-24YC4CS-1M-NB</t>
  </si>
  <si>
    <t>OSV-7060CX5-56D8-1M-4H</t>
  </si>
  <si>
    <t>OSV-7060CX5-56D8-1M-NB</t>
  </si>
  <si>
    <t>OSV-7060X6-32PE-1M-4H</t>
  </si>
  <si>
    <t>OSV-7060X6-32PE-1M-NB</t>
  </si>
  <si>
    <t>SVC-7010TX-48C-O3A-1M-2H</t>
  </si>
  <si>
    <t>SVC-7010TX-48C-O3A-1M-4H</t>
  </si>
  <si>
    <t>SVC-7010TX-48C-O3A-1M-NB</t>
  </si>
  <si>
    <t>SVC-7010TX-48C-O3A-1M-SH4</t>
  </si>
  <si>
    <t>SVC-7010TX-48C-O3A-1M-SHR</t>
  </si>
  <si>
    <t>SVC-7050SX3-24YC4CS-1M-2H</t>
  </si>
  <si>
    <t>SVC-7050SX3-24YC4CS-1M-4H</t>
  </si>
  <si>
    <t>SVC-7050SX3-24YC4CS-1M-NB</t>
  </si>
  <si>
    <t>SVC-7050SX3-24YC4CS-1M-SH4</t>
  </si>
  <si>
    <t>SVC-7050SX3-24YC4CS-1M-SHR</t>
  </si>
  <si>
    <t>SVC-7060CX5-56D8-1M-2H</t>
  </si>
  <si>
    <t>SVC-7060CX5-56D8-1M-4H</t>
  </si>
  <si>
    <t>SVC-7060CX5-56D8-1M-NB</t>
  </si>
  <si>
    <t>SVC-7060CX5-56D8-1M-SH4</t>
  </si>
  <si>
    <t>SVC-7060CX5-56D8-1M-SHR</t>
  </si>
  <si>
    <t>SVC-7060X6-32PE-1M-2H</t>
  </si>
  <si>
    <t>SVC-7060X6-32PE-1M-4H</t>
  </si>
  <si>
    <t>SVC-7060X6-32PE-1M-NB</t>
  </si>
  <si>
    <t>SVC-7060X6-32PE-1M-SH4</t>
  </si>
  <si>
    <t>SVC-7060X6-32PE-1M-SHR</t>
  </si>
  <si>
    <t>SVC-DCA-AGNI-100-NB</t>
  </si>
  <si>
    <t>SVC-7010TX-48C-DC-1M-NB</t>
  </si>
  <si>
    <t>SVC-7010TX-48C-DC-1M-4H</t>
  </si>
  <si>
    <t>SVC-7010TX-48C-DC-1M-2H</t>
  </si>
  <si>
    <t>OSV-7010TX-48C-DC-1M-NB</t>
  </si>
  <si>
    <t>OSV-7010TX-48C-DC-1M-4H</t>
  </si>
  <si>
    <t>SVC-7010TX-48C-DC-1M-SHR</t>
  </si>
  <si>
    <t>SVC-7010TX-48C-DC-1M-SH4</t>
  </si>
  <si>
    <t>SVC-7010TX-48C-O3-1M-NB</t>
  </si>
  <si>
    <t>SVC-7010TX-48C-O3-1M-4H</t>
  </si>
  <si>
    <t>SVC-7010TX-48C-O3-1M-2H</t>
  </si>
  <si>
    <t>OSV-7010TX-48C-O3-1M-NB</t>
  </si>
  <si>
    <t>OSV-7010TX-48C-O3-1M-4H</t>
  </si>
  <si>
    <t>SVC-7010TX-48C-O3-1M-SHR</t>
  </si>
  <si>
    <t>SVC-7010TX-48C-O3-1M-SH4</t>
  </si>
  <si>
    <t>SVC-7060DX4-32C-1M-NB</t>
  </si>
  <si>
    <t>SVC-7060DX4-32C-1M-4H</t>
  </si>
  <si>
    <t>SVC-7060DX4-32C-1M-2H</t>
  </si>
  <si>
    <t>OSV-7060DX4-32C-1M-NB</t>
  </si>
  <si>
    <t>OSV-7060DX4-32C-1M-4H</t>
  </si>
  <si>
    <t>SVC-7060DX4-32C-1M-SHR</t>
  </si>
  <si>
    <t>SVC-7060DX4-32C-1M-SH4</t>
  </si>
  <si>
    <t>SVC-DS-7720R4-128-1M-NB</t>
  </si>
  <si>
    <t>SVC-DS-7720R4-128-DC-1M-NB</t>
  </si>
  <si>
    <t>SVC-DS-7720R4-128-1M-4H</t>
  </si>
  <si>
    <t>SVC-DS-7720R4-128-1M-2H</t>
  </si>
  <si>
    <t>OSV-DS-7720R4-128-1M-NB</t>
  </si>
  <si>
    <t>OSV-DS-7720R4-128-1M-4H</t>
  </si>
  <si>
    <t>SVC-DS-7720R4-128-1M-SHR</t>
  </si>
  <si>
    <t>SVC-DS-7720R4-128-1M-SH4</t>
  </si>
  <si>
    <t>SVC-DL-7700R4C-38PE-B-1M-NB</t>
  </si>
  <si>
    <t>SVC-AWE-7220RP-5TH-2S-1M-2H</t>
  </si>
  <si>
    <t>SVC-AWE-7220RP-5TH-2S-1M-4H</t>
  </si>
  <si>
    <t>SVC-AWE-7220RP-5TH-2S-1M-NB</t>
  </si>
  <si>
    <t>SVC-AWE-7230R-4TX-4S-1M-NB</t>
  </si>
  <si>
    <t>SVC-AWE-7230R-4TX-4S-1M-2H</t>
  </si>
  <si>
    <t>SVC-AWE-7230R-4TX-4S-1M-4H</t>
  </si>
  <si>
    <t>SVC-AWE-7250R-16S-1M-2H</t>
  </si>
  <si>
    <t>SVC-AWE-7250R-16S-1M-4H</t>
  </si>
  <si>
    <t>SVC-AWE-7250R-16S-1M-NB</t>
  </si>
  <si>
    <t>SVC-ZTX-7250S-1M-2H</t>
  </si>
  <si>
    <t>SVC-ZTX-7250S-1M-4H</t>
  </si>
  <si>
    <t>SVC-ZTX-7250S-1M-NB</t>
  </si>
  <si>
    <t>SVC-DCA-CC-C450-1M-NB</t>
  </si>
  <si>
    <t>SVC-DCA-DM-AN450-1M-NB</t>
  </si>
  <si>
    <t>SVC-DCA-DM-C450-1M-NB</t>
  </si>
  <si>
    <t>SVE-S-PF-GNR-MIG-LG-R1</t>
  </si>
  <si>
    <t>SVE-S-PF-GNR-MIG-MD-R1</t>
  </si>
  <si>
    <t>SVE-S-PF-GNR-MIG-SM-R1</t>
  </si>
  <si>
    <t>SVE-TAC-CUSTOM-TRAIN</t>
  </si>
  <si>
    <t>SVE-ENG-CON-R-1H</t>
  </si>
  <si>
    <t>SVE-ENG-CON-OS-1D</t>
  </si>
  <si>
    <t>OSV-710XP-12TH-1M-NB</t>
  </si>
  <si>
    <t>SVC-710XP-12TH-1M-2H</t>
  </si>
  <si>
    <t>SVC-710XP-12TH-1M-4H</t>
  </si>
  <si>
    <t>SVC-710XP-12TH-1M-NB</t>
  </si>
  <si>
    <t>SVC-710XP-12TH-1M-RB</t>
  </si>
  <si>
    <t>SVC-710XP-12TH-SH4</t>
  </si>
  <si>
    <t>SVC-710XP-12TH-SHR</t>
  </si>
  <si>
    <t>SVC-720XP-96ZC2-M-S-1M-4H</t>
  </si>
  <si>
    <t>SVC-7812R4U-1M-NB</t>
  </si>
  <si>
    <t>SVC-7812R4U-1M-4H</t>
  </si>
  <si>
    <t>SVC-7812R4U-1M-2H</t>
  </si>
  <si>
    <t>SVC-7812R4U-1M-SHR</t>
  </si>
  <si>
    <t>SVC-7812R4U-1M-SH4</t>
  </si>
  <si>
    <t>OSV-7812R4U-1M-NB</t>
  </si>
  <si>
    <t>OSV-7812R4U-1M-4H</t>
  </si>
  <si>
    <t>SVC-7808R4U-1M-NB</t>
  </si>
  <si>
    <t>SVC-7808R4U-1M-4H</t>
  </si>
  <si>
    <t>SVC-7808R4U-1M-2H</t>
  </si>
  <si>
    <t>SVC-7808R4U-1M-SHR</t>
  </si>
  <si>
    <t>SVC-7808R4U-1M-SH4</t>
  </si>
  <si>
    <t>OSV-7808R4U-1M-NB</t>
  </si>
  <si>
    <t>OSV-7808R4U-1M-4H</t>
  </si>
  <si>
    <t>OSV-7280CR3A-32S-1M-4H</t>
  </si>
  <si>
    <t>OSV-7280CR3A-32S-1M-NB</t>
  </si>
  <si>
    <t>OSV-7280CR3AK-32S-1M-4H</t>
  </si>
  <si>
    <t>OSV-7280CR3AK-32S-1M-NB</t>
  </si>
  <si>
    <t>OSV-7280CR3AM-32S-1M-4H</t>
  </si>
  <si>
    <t>OSV-7280CR3AM-32S-1M-NB</t>
  </si>
  <si>
    <t>OSV-7280SR3A-48YC8-1M-4H</t>
  </si>
  <si>
    <t>OSV-7280SR3A-48YC8-1M-NB</t>
  </si>
  <si>
    <t>OSV-7280SR3AK-48YC8-1M-4H</t>
  </si>
  <si>
    <t>OSV-7280SR3AK-48YC8-1M-NB</t>
  </si>
  <si>
    <t>OSV-7280SR3AM-48YC8-1M-4H</t>
  </si>
  <si>
    <t>OSV-7280SR3AM-48YC8-1M-NB</t>
  </si>
  <si>
    <t>SVC-7280CR3A-32S-1M-2H</t>
  </si>
  <si>
    <t>SVC-7280CR3A-32S-1M-4H</t>
  </si>
  <si>
    <t>SVC-7280CR3A-32S-1M-NB</t>
  </si>
  <si>
    <t>SVC-7280CR3A-32S-1M-SH4</t>
  </si>
  <si>
    <t>SVC-7280CR3A-32S-1M-SHR</t>
  </si>
  <si>
    <t>SVC-7280CR3AK-32S-1M-2H</t>
  </si>
  <si>
    <t>SVC-7280CR3AK-32S-1M-4H</t>
  </si>
  <si>
    <t>SVC-7280CR3AK-32S-1M-NB</t>
  </si>
  <si>
    <t>SVC-7280CR3AK-32S-1M-SH4</t>
  </si>
  <si>
    <t>SVC-7280CR3AK-32S-1M-SHR</t>
  </si>
  <si>
    <t>SVC-7280CR3AM-32S-1M-2H</t>
  </si>
  <si>
    <t>SVC-7280CR3AM-32S-1M-4H</t>
  </si>
  <si>
    <t>SVC-7280CR3AM-32S-1M-NB</t>
  </si>
  <si>
    <t>SVC-7280CR3AM-32S-1M-SH4</t>
  </si>
  <si>
    <t>SVC-7280CR3AM-32S-1M-SHR</t>
  </si>
  <si>
    <t>SVC-7280SR3A-48YC8-1M-2H</t>
  </si>
  <si>
    <t>SVC-7280SR3A-48YC8-1M-4H</t>
  </si>
  <si>
    <t>SVC-7280SR3A-48YC8-1M-NB</t>
  </si>
  <si>
    <t>SVC-7280SR3A-48YC8-1M-SH4</t>
  </si>
  <si>
    <t>SVC-7280SR3A-48YC8-1M-SHR</t>
  </si>
  <si>
    <t>SVC-7280SR3AK-48YC8-1M-2H</t>
  </si>
  <si>
    <t>SVC-7280SR3AK-48YC8-1M-4H</t>
  </si>
  <si>
    <t>SVC-7280SR3AK-48YC8-1M-NB</t>
  </si>
  <si>
    <t>SVC-7280SR3AK-48YC8-1M-SH4</t>
  </si>
  <si>
    <t>SVC-7280SR3AK-48YC8-1M-SHR</t>
  </si>
  <si>
    <t>SVC-7280SR3AM-48YC8-1M-2H</t>
  </si>
  <si>
    <t>SVC-7280SR3AM-48YC8-1M-4H</t>
  </si>
  <si>
    <t>SVC-7280SR3AM-48YC8-1M-NB</t>
  </si>
  <si>
    <t>SVC-7280SR3AM-48YC8-1M-SH4</t>
  </si>
  <si>
    <t>SVC-7280SR3AM-48YC8-1M-SHR</t>
  </si>
  <si>
    <t>SVC-7060X6-64PE-1M-2H</t>
  </si>
  <si>
    <t>SVC-7060X6-64PE-1M-4H</t>
  </si>
  <si>
    <t>SVC-7060X6-64PE-1M-NB</t>
  </si>
  <si>
    <t>SVC-7280SR3E-40YC6M-1M-NB</t>
  </si>
  <si>
    <t>SVC-7280SR3E-40YC6M-1M-4H</t>
  </si>
  <si>
    <t>SVC-7280SR3E-40YC6M-1M-2H</t>
  </si>
  <si>
    <t>OSV-7280SR3E-40YC6M-1M-NB</t>
  </si>
  <si>
    <t>OSV-7280SR3E-40YC6M-1M-4H</t>
  </si>
  <si>
    <t>SVC-7280SR3E-40YC6M-1M-SHR</t>
  </si>
  <si>
    <t>SVC-7280SR3E-40YC6M-1M-SH4</t>
  </si>
  <si>
    <t>SVC-7280DR3AK-36S-1M-NB</t>
  </si>
  <si>
    <t>SVC-7280DR3AK-36S-1M-4H</t>
  </si>
  <si>
    <t>SVC-7280DR3AK-36S-1M-2H</t>
  </si>
  <si>
    <t>OSV-7280DR3AK-36S-1M-NB</t>
  </si>
  <si>
    <t>OSV-7280DR3AK-36S-1M-4H</t>
  </si>
  <si>
    <t>SVC-7280DR3AK-36S-1M-SHR</t>
  </si>
  <si>
    <t>SVC-7280DR3AK-36S-1M-SH4</t>
  </si>
  <si>
    <t>SVC-7368X4-1M-2H</t>
  </si>
  <si>
    <t>SVC-7368X4-1M-4H</t>
  </si>
  <si>
    <t>SVC-7368X4-1M-NB</t>
  </si>
  <si>
    <t>SVC-7368X4D-1M-2H</t>
  </si>
  <si>
    <t>SVC-7368X4D-1M-4H</t>
  </si>
  <si>
    <t>SVC-7368X4D-1M-NB</t>
  </si>
  <si>
    <t>Software Subscriptions</t>
    <phoneticPr fontId="9" type="noConversion"/>
  </si>
  <si>
    <t>Service and Support</t>
    <phoneticPr fontId="9" type="noConversion"/>
  </si>
  <si>
    <t>Subscription</t>
    <phoneticPr fontId="27" type="noConversion"/>
  </si>
  <si>
    <t>SS-CVS-UNO-G1-SWITCH-1M</t>
  </si>
  <si>
    <t>SS-CVS-UNO-G1-SWITCH-B-1M</t>
  </si>
  <si>
    <t>SS-CVS-UNO-G1-T1-1M</t>
  </si>
  <si>
    <t>SS-CVS-UNO-G1-T1-B-1M</t>
  </si>
  <si>
    <t>SS-CVS-UNO-G1-T2-1M</t>
  </si>
  <si>
    <t>SS-CVS-UNO-G1-T2-B-1M</t>
  </si>
  <si>
    <t>SS-CVS-UNO-G2-SWITCH-1M</t>
  </si>
  <si>
    <t>SS-CVS-UNO-G2-SWITCH-B-1M</t>
  </si>
  <si>
    <t>SS-CVS-UNO-G2-T1-1M</t>
  </si>
  <si>
    <t>SS-CVS-UNO-G2-T1-B-1M</t>
  </si>
  <si>
    <t>SS-CVS-UNO-G2-T2-1M</t>
  </si>
  <si>
    <t>SS-CVS-UNO-G2-T2-B-1M</t>
  </si>
  <si>
    <t>SS-CVS-UNO-G3-SWITCH-1M</t>
  </si>
  <si>
    <t>SS-CVS-UNO-G3-SWITCH-B-1M</t>
  </si>
  <si>
    <t>SS-CVS-UNO-G3-T1-1M</t>
  </si>
  <si>
    <t>SS-CVS-UNO-G3-T1-B-1M</t>
  </si>
  <si>
    <t>SS-CVS-UNO-G3-T2-1M</t>
  </si>
  <si>
    <t>SS-CVS-UNO-G3-T2-B-1M</t>
  </si>
  <si>
    <t>SS-CVS-UNO-MOD-G-SWITCH-1M</t>
  </si>
  <si>
    <t>SS-CVS-UNO-MOD-G-SWITCH-B-1M</t>
  </si>
  <si>
    <t>SS-CVS-UNO-MOD-G-T1-1M</t>
  </si>
  <si>
    <t>SS-CVS-UNO-MOD-G-T1-B-1M</t>
  </si>
  <si>
    <t>SS-CVS-UNO-MOD-G-T2-1M</t>
  </si>
  <si>
    <t>SS-CVS-UNO-MOD-G-T2-B-1M</t>
  </si>
  <si>
    <t>SS-CV-UNO-3RDPARTY-1M</t>
  </si>
  <si>
    <t>SS-CV-UNO-3RDPARTY100-1M</t>
  </si>
  <si>
    <t>LIC-CV-REINS</t>
  </si>
  <si>
    <t>CloudVision On-premises Reinstatement Fee</t>
  </si>
  <si>
    <t>LIC-CVS-REINS</t>
  </si>
  <si>
    <t>CloudVision as-a-Service Reinstatement Fee</t>
  </si>
  <si>
    <t>DCS-7808R4-BNDA-U</t>
  </si>
  <si>
    <t>Arista 7808R Chassis bundle. Includes 7808 chassis, 8x3kW AC PS, 5xFM-R4, 1xFCM, 1x7800-Sup1A (Extended Rack Kit)</t>
  </si>
  <si>
    <t>DCS-7804R4-BNDA-U</t>
  </si>
  <si>
    <t>Arista 7804R Chassis bundle. Includes 7804 chassis, 6x3kW AC PS, 5xFM-R4, 1xFCM, 1x7800-Sup1A (Extended Rack Kit)</t>
  </si>
  <si>
    <t>DCS-7800R4K-36PE-LC</t>
  </si>
  <si>
    <t>7800R4 Series 36 port 800GbE OSFP line card with Enh. Encryption and Large Routes (spare)</t>
  </si>
  <si>
    <t>DCS-7800R4K-36PE-LC#</t>
  </si>
  <si>
    <t>7800R4 Series 36 port 800GbE OSFP line card with Enh. Encryption and Large Routes (ships in chassis)</t>
  </si>
  <si>
    <t>DCS-7800R4-36PE-LC</t>
  </si>
  <si>
    <t>7800R4 Series 36 port 800GbE OSFP line card (spare)</t>
  </si>
  <si>
    <t>DCS-7800R4-36PE-LC#</t>
  </si>
  <si>
    <t>7800R4 Series 36 port 800GbE OSFP line card (ships in chassis)</t>
  </si>
  <si>
    <t>DCS-7804-FCM</t>
  </si>
  <si>
    <t>7800 Series Fabric Cooling Module for 7804 Chassis, required for fabric slot 6</t>
  </si>
  <si>
    <t>DCS-7804R4-FM</t>
  </si>
  <si>
    <t>7800R4 Series Fabric Module for 7804 Chassis, required for fabric slots 1-5</t>
  </si>
  <si>
    <t>PWR-D4-3041-AC-BLUE#</t>
  </si>
  <si>
    <t>Configurable Arista PSU, ATS-HVAC-HVDC, 1RU, AC, 3KW, BLUE (Worldwide with 277VAC/380VDC support)</t>
  </si>
  <si>
    <t>KIT-7816L-RK-HD</t>
  </si>
  <si>
    <t>Configurable 4 post kit for in-rack shipment of Arista 7816L series (Std. Depth [24 to 35 in / 60.9 to 88.9 cm])</t>
  </si>
  <si>
    <t>LIC-MOD-7812R4-MACSEC</t>
  </si>
  <si>
    <t>MACSEC Encryption License for Arista 7812R4 Modular - Encryption with MACSEC capable Linecards</t>
  </si>
  <si>
    <t>LIC-MOD-7808R4-MACSEC</t>
  </si>
  <si>
    <t>MACSEC Encryption License for Arista 7808R4 Modular - Encryption with MACSEC capable Linecards</t>
  </si>
  <si>
    <t>LIC-MOD-7804R4-MACSEC</t>
  </si>
  <si>
    <t>MACSEC Encryption License for Arista 7804R4 Modular - Encryption with MACSEC capable Linecards</t>
  </si>
  <si>
    <t>LIC-MOD-7812R4-ENCR</t>
  </si>
  <si>
    <t>Enhanced Security Encryption License for Arista 7812R4 Modular - Encryption capable Linecards, TunnelSec and MACsec</t>
  </si>
  <si>
    <t>LIC-MOD-7808R4-ENCR</t>
  </si>
  <si>
    <t>Enhanced Security Encryption License for Arista 7808R4 Modular - Encryption capable Linecards, TunnelSec and MACsec</t>
  </si>
  <si>
    <t>LIC-MOD-7804R4-ENCR</t>
  </si>
  <si>
    <t>Enhanced Security Encryption License for Arista 7804R4 Modular - Encryption capable Linecards, TunnelSec and MACsec</t>
  </si>
  <si>
    <t>LIC-MOD-7812R4-FLX</t>
  </si>
  <si>
    <t>FLX License for Arista 7812R4 Modular - Full Routing upto 3.5M Routes, &gt;24K ACL, EVPN, VXLAN, SR, Adv MPLS-LER/LSR, with TE &amp; link/node protection</t>
  </si>
  <si>
    <t>LIC-MOD-7808R4-FLX</t>
  </si>
  <si>
    <t>FLX License for Arista 7808R4 Modular - Full Routing upto 3.5M Routes, &gt;24K ACL, EVPN, VXLAN, SR, Adv MPLS-LER/LSR, with TE &amp; link/node protection</t>
  </si>
  <si>
    <t>LIC-MOD-7804R4-FLX</t>
  </si>
  <si>
    <t>FLX License for Arista 7804R4 Modular - Full Routing upto 3.5M Routes, &gt;24K ACL, EVPN, VXLAN, SR, Adv MPLS-LER/LSR, with TE &amp; link/node protection</t>
  </si>
  <si>
    <t>LIC-MOD-7816R4-FLX-L</t>
  </si>
  <si>
    <t>FLX-Lite License for Arista 7816R4 Modular - Full Routing Up to 256K Routes, EVPN, VXLAN, SR, base MPLS LSR (no TE or link/node protection)</t>
  </si>
  <si>
    <t>LIC-MOD-7804R4-FLX-L</t>
  </si>
  <si>
    <t>FLX-Lite License for Arista 7804R4 Modular - Full Routing Up to 256K Routes, EVPN, VXLAN, SR, base MPLS LSR (no TE or link/node protection)</t>
  </si>
  <si>
    <t>LIC-MOD-7804R4-E</t>
  </si>
  <si>
    <t>Enhanced Software License for Arista 7804R4 Modular switches (OSPF, BGP, ISIS, PIM)</t>
  </si>
  <si>
    <t>LIC-MOD-7804R4-V</t>
  </si>
  <si>
    <t>Virtualization license for Arista 7804R4 Modular switches (VMTracer and VXLAN)</t>
  </si>
  <si>
    <t>LIC-MOD-7804R4-V2</t>
  </si>
  <si>
    <t>EOS Segmentation and 3rd Party Integration Services license for Arista 7804R4 Modular switches</t>
  </si>
  <si>
    <t>DCS-DS-7720R4-128PE</t>
  </si>
  <si>
    <t>7720 Series Distributed Spine Switch Bundle with 128 x 800G OSFP fabric ports, Sup-ELB, 4 x AC and 4 x SAF-D cords</t>
  </si>
  <si>
    <t>DCS-DL-7700R4C-38PE-B-F</t>
  </si>
  <si>
    <t>7700 Series Distributed Leaf Switch for HPC clusters with 18 x 800G OSFP ports and 20 x 800G OSFP fabric ports, Sup-ELB, front to rear air, 2 x AC and 2 x SAF-D cords</t>
  </si>
  <si>
    <t>DCS-DL-7700R4C-38PE-B-DC-F</t>
  </si>
  <si>
    <t>7700 Series Distributed Leaf Switch for HPC clusters with 18 x 800G OSFP ports and 20 x 800G OSFP fabric ports, Sup-ELB, front to rear air, 2 x DC power supplies</t>
  </si>
  <si>
    <t>DCS-DL-7700R4C-38PE-B#</t>
  </si>
  <si>
    <t>7700 Series Distributed Leaf Switch for HPC clusters with 18 x 800G OSFP ports and 20 x 800G OSFP fabric ports, configurable fans and PSU</t>
  </si>
  <si>
    <t>DCS-7280R4-32DE-FLX-F</t>
  </si>
  <si>
    <t>Arista 7280R4, 32x800GbE QSFP-DD switch router, front to rear air, 2 x AC, Over 256K Routes, MPLS and VXLAN</t>
  </si>
  <si>
    <t>DCS-7280R4-32PE-FLX-F</t>
  </si>
  <si>
    <t>Arista 7280R4, 32x800GbE OSFP switch router, front to rear air, 2 x AC, Over 256K Routes, MPLS and VXLAN</t>
  </si>
  <si>
    <t>DCS-7280R4-32DE-DC-F</t>
  </si>
  <si>
    <t>Arista 7280R4, 32x800GbE QSFP-DD switch router, front to rear air, 2 x DC</t>
  </si>
  <si>
    <t>DCS-7280R4-32DE-F</t>
  </si>
  <si>
    <t>Arista 7280R4, 32x800GbE QSFP-DD switch router, front to rear air, 2 x AC</t>
  </si>
  <si>
    <t>DCS-7280R4-32PE-DC-F</t>
  </si>
  <si>
    <t>Arista 7280R4, 32x800GbE OSFP switch router, front to rear air, 2 x DC</t>
  </si>
  <si>
    <t>DCS-7280R4-32PE-F</t>
  </si>
  <si>
    <t>Arista 7280R4, 32x800GbE OSFP switch router, front to rear air, 2 x AC</t>
  </si>
  <si>
    <t>DCS-7280R4-32DE#</t>
  </si>
  <si>
    <t>Arista 7280R4, 32x800GbE QSFP-DD switch router, configurable fans and psu (-F louver kit)</t>
  </si>
  <si>
    <t>DCS-7280R4-32PE#</t>
  </si>
  <si>
    <t>Arista 7280R4, 32x800GbE OSFP switch router, configurable fans and psu (-F louver kit)</t>
  </si>
  <si>
    <t>DCS-7280R4K-32DE-FLX-F</t>
  </si>
  <si>
    <t>Arista 7280R4, 32x800GbE QSFP-DD switch router, large routes and enh. encryption, front to rear air, 2 x AC, Over 256K Routes, MPLS and VXLAN</t>
  </si>
  <si>
    <t>DCS-7280R4K-32PE-FLX-F</t>
  </si>
  <si>
    <t>Arista 7280R4, 32x800GbE OSFP switch router, large routes and enh. encryption, front to rear air, 2 x AC, Over 256K Routes, MPLS and VXLAN</t>
  </si>
  <si>
    <t>DCS-7280R4K-32DE-DC-F</t>
  </si>
  <si>
    <t>Arista 7280R4, 32x800GbE QSFP-DD switch router, large routes and enh. encryption, front to rear air, 2 x DC</t>
  </si>
  <si>
    <t>DCS-7280R4K-32DE-F</t>
  </si>
  <si>
    <t>Arista 7280R4, 32x800GbE QSFP-DD switch router, large routes and enh. encryption, front to rear air, 2 x AC</t>
  </si>
  <si>
    <t>DCS-7280R4K-32PE-DC-F</t>
  </si>
  <si>
    <t>Arista 7280R4, 32x800GbE OSFP switch router, large routes and enh. encryption, front to rear air, 2 x DC</t>
  </si>
  <si>
    <t>DCS-7280R4K-32PE-F</t>
  </si>
  <si>
    <t>Arista 7280R4, 32x800GbE OSFP switch router, large routes and enh. encryption, front to rear air, 2 x AC</t>
  </si>
  <si>
    <t>DCS-7280R4K-32DE#</t>
  </si>
  <si>
    <t>Arista 7280R4, 32x800GbE QSFP-DD switch router, large routes and enh. encryption, configurable fans and psu (-F louver kit)</t>
  </si>
  <si>
    <t>DCS-7280R4K-32PE#</t>
  </si>
  <si>
    <t>Arista 7280R4, 32x800GbE OSFP switch router, large routes and enh. encryption, configurable fans and psu (-F louver kit)</t>
  </si>
  <si>
    <t>DCS-7280R4-64QC-10PE-FLX-F</t>
  </si>
  <si>
    <t>Arista 7280R4, 64x100GbE QSFP and 10x800GbE OSFP switch router, front to rear air, 2 x AC, Over 256K Routes, MPLS and VXLAN</t>
  </si>
  <si>
    <t>DCS-7280R4-64QC-10PE-FLX-R</t>
  </si>
  <si>
    <t>Arista 7280R4, 64x100GbE QSFP and 10x800GbE OSFP switch router, rear to front air, 2 x AC, Over 256K Routes, MPLS and VXLAN</t>
  </si>
  <si>
    <t>DCS-7280R4-64QC-10PE-DC-F</t>
  </si>
  <si>
    <t>Arista 7280R4, 64x100GbE QSFP and 10x800GbE OSFP switch router, front to rear air, 2 x DC</t>
  </si>
  <si>
    <t>DCS-7280R4-64QC-10PE-DC-R</t>
  </si>
  <si>
    <t>Arista 7280R4, 64x100GbE QSFP and 10x800GbE OSFP switch router, rear to front air, 2 x DC</t>
  </si>
  <si>
    <t>DCS-7280R4-64QC-10PE-F</t>
  </si>
  <si>
    <t>Arista 7280R4, 64x100GbE QSFP and 10x800GbE OSFP switch router, front to rear air, 2 x AC</t>
  </si>
  <si>
    <t>DCS-7280R4-64QC-10PE-R</t>
  </si>
  <si>
    <t>Arista 7280R4, 64x100GbE QSFP and 10x800GbE OSFP switch router, rear to front air, 2 x AC</t>
  </si>
  <si>
    <t>DCS-7280R4-64QC-10PE#</t>
  </si>
  <si>
    <t>Arista 7280R4, 64x100GbE QSFP and 10x800GbE OSFP switch router, configurable fans and psu (-F louver kit)</t>
  </si>
  <si>
    <t>DCS-7280R4K-64QC-10PE-FLX-F</t>
  </si>
  <si>
    <t>Arista 7280R4, 64x100GbE QSFP and 10x800GbE OSFP switch router, large routes and enh. encryption, front to rear air, 2 x AC, Over 256K Routes, MPLS and VXLAN</t>
  </si>
  <si>
    <t>DCS-7280R4K-64QC-10PE-FLX-R</t>
  </si>
  <si>
    <t>Arista 7280R4, 64x100GbE QSFP and 10x800GbE OSFP switch router, large routes and enh. encryption, rear to front air, 2 x AC, Over 256K Routes, MPLS and VXLAN</t>
  </si>
  <si>
    <t>DCS-7280R4K-64QC-10PE-DC-F</t>
  </si>
  <si>
    <t>Arista 7280R4, 64x100GbE QSFP and 10x800GbE OSFP switch router, large routes and enh. encryption, front to rear air, 2 x DC</t>
  </si>
  <si>
    <t>DCS-7280R4K-64QC-10PE-DC-R</t>
  </si>
  <si>
    <t>Arista 7280R4, 64x100GbE QSFP and 10x800GbE OSFP switch router, large routes and enh. encryption, rear to front air, 2 x DC</t>
  </si>
  <si>
    <t>DCS-7280R4K-64QC-10PE-F</t>
  </si>
  <si>
    <t>Arista 7280R4, 64x100GbE QSFP and 10x800GbE OSFP switch router, large routes and enh. encryption, front to rear air, 2 x AC</t>
  </si>
  <si>
    <t>DCS-7280R4K-64QC-10PE-R</t>
  </si>
  <si>
    <t>Arista 7280R4, 64x100GbE QSFP and 10x800GbE OSFP switch router, large routes and enh. encryption, rear to front air, 2 x AC</t>
  </si>
  <si>
    <t>DCS-7280R4K-64QC-10PE#</t>
  </si>
  <si>
    <t>Arista 7280R4, 64x100GbE QSFP and 10x800GbE OSFP switch router, large routes and enh. encryption, configurable fans and psu (-F louver kit)</t>
  </si>
  <si>
    <t>DCS-7280SR3MK-48YC8A-S-DC-F</t>
  </si>
  <si>
    <t>DCS-7060X6-64PE-B-F</t>
  </si>
  <si>
    <t>Arista 7060X6 B, 64 x 800GbE OSFP switch, front-to-rear air, 2xAC</t>
  </si>
  <si>
    <t>DCS-7060X6-64PE-B-N-F</t>
  </si>
  <si>
    <t>Arista 7060X6 B, 64 x 800GbE OSFP switch, front-to-rear air, 2xAC (Secure Boot Disabled)</t>
  </si>
  <si>
    <t>DCS-7060X6-64PE-B#</t>
  </si>
  <si>
    <t>Arista 7060X6 B, 64 x 800GbE OSFP switch, no fans, no psu</t>
  </si>
  <si>
    <t>DCS-7050X4-48Y-4DF-F</t>
  </si>
  <si>
    <t>Arista 7050X4, 48x25GbE SFP &amp; 4 x 400GbE QSFP-DD switch, front-to-rear air, 2xAC</t>
  </si>
  <si>
    <t>DCS-7050X4-48Y-4DF-R</t>
  </si>
  <si>
    <t>Arista 7050X4, 48x25GbE SFP &amp; 4 x 400GbE QSFP-DD switch, rear-to-front air, 2xAC</t>
  </si>
  <si>
    <t>DCS-7050X4-48Y-4DF#</t>
  </si>
  <si>
    <t>Arista 7050X4, 48x25GbE SFP &amp; 4 x 400GbE QSFP-DD switch, no fans, no psu</t>
  </si>
  <si>
    <t>CCS-720XPM-48TH-6SY-2F</t>
  </si>
  <si>
    <t>Arista 720XPM, 48x1G 90W POE, 4x25G SFP/2x10G SFP+ switch, front to rear air, AC (2)</t>
  </si>
  <si>
    <t>CCS-720XPM-48TH-6SY-F</t>
  </si>
  <si>
    <t>Arista 720XPM, 48x1G 90W POE, 4x25G SFP/2x10G SFP+ switch, front to rear air, AC</t>
  </si>
  <si>
    <t>CCS-720XDM-48T-6SY-2F</t>
  </si>
  <si>
    <t>Arista 720XDM, 48x1G, 4x 25G SFP28/2x10G SFP+ switch, front to rear air, AC (2)</t>
  </si>
  <si>
    <t>CCS-720XDM-48T-6SY-F</t>
  </si>
  <si>
    <t>Arista 720XDM, 48x1G, 4x 25G SFP28/2x10G SFP+ switch, front to rear air, AC</t>
  </si>
  <si>
    <t>CCS-720XPM-48TH-6SY#</t>
  </si>
  <si>
    <t>Arista 720XPM, 48x1G 90W POE, 4x25G SFP/2x10G SFP+ switch, requires PSU/fans</t>
  </si>
  <si>
    <t>CCS-720XDM-48T-6SY#</t>
  </si>
  <si>
    <t>Arista 720XDM, 48x1G, 4x 25G SFP28/2x10G SFP+ switch, requires PSU/fans</t>
  </si>
  <si>
    <t>CCS-720XP-96ZC2-M-S-4F-C14</t>
  </si>
  <si>
    <t>CCS-720XP-96ZC2-M-S-4F-EU</t>
  </si>
  <si>
    <t>CCS-720XP-96ZC2-M-S-4F-JPN</t>
  </si>
  <si>
    <t>CCS-720XP-96ZC2-M-S-4F-NA</t>
  </si>
  <si>
    <t>CCS-720XP-96ZC2-M-S-4F-UK</t>
  </si>
  <si>
    <t>CCS-720XP-96ZC2-M-S-4F</t>
  </si>
  <si>
    <t>CCS-720XP-96ZC2-M-S-2F-C14</t>
  </si>
  <si>
    <t>CCS-720XP-96ZC2-M-S-2F-EU</t>
  </si>
  <si>
    <t>CCS-720XP-96ZC2-M-S-2F-JPN</t>
  </si>
  <si>
    <t>CCS-720XP-96ZC2-M-S-2F-NA</t>
  </si>
  <si>
    <t>Arista 720XP, 80x2.5G, 16x5G POE, 4x25G SFP/2x100G QSFP switch, front to rear air, AC (2), NA power cord</t>
  </si>
  <si>
    <t>CCS-720XP-96ZC2-M-S-2F-UK</t>
  </si>
  <si>
    <t>CCS-720XP-96ZC2-M-S-2F</t>
  </si>
  <si>
    <t>CCS-720XP-96ZC2-M-S#</t>
  </si>
  <si>
    <t>CCS-720DF-48Y-M-S-2F-UK</t>
  </si>
  <si>
    <t>Arista 720DF, 48 x 1G SFP, 4 x 25G SFP switch, exp mem, front to rear air, 2 x 200W AC, UK Power Cord</t>
  </si>
  <si>
    <t>CCS-720DP-48S-M-S-2F-IND</t>
  </si>
  <si>
    <t>Arista 720DP, 48 x 1G POE, 4x10G SFP switch, exp mem, front to rear air, 2 950W AC</t>
  </si>
  <si>
    <t>CCS-720DP-24S-M-S-2F-IND</t>
  </si>
  <si>
    <t>Arista 720DP, 24 x 1G POE, 4x10G SFP switch, exp mem, front to rear air, 2 460W AC</t>
  </si>
  <si>
    <t>CCS-720DT-48S-2F-IND</t>
  </si>
  <si>
    <t>CCS-720DT-24S-M-S-2F-IND</t>
  </si>
  <si>
    <t>Arista 720DT, 24 x 1G, 4x10G SFP switch, exp mem, front to rear air, 2 100W AC</t>
  </si>
  <si>
    <t>PWR-322-AC-RED</t>
  </si>
  <si>
    <t>Arista PSU 300W v3, AC, Front to Rear</t>
  </si>
  <si>
    <t>PWR-322-AC-BLUE</t>
  </si>
  <si>
    <t>Arista PSU 300W v3, AC, Rear to Front</t>
  </si>
  <si>
    <t>PWR-322-DC-RED</t>
  </si>
  <si>
    <t>Arista PSU 300W v3, DC, Front to Rear</t>
  </si>
  <si>
    <t>PWR-322-DC-BLUE</t>
  </si>
  <si>
    <t>Arista PSU 300W v3, DC, Rear to Front</t>
  </si>
  <si>
    <t>PWR-1022-AC-RED</t>
  </si>
  <si>
    <t>Arista PSU 1050W POE v3, AC, Front to Rear</t>
  </si>
  <si>
    <t>PWR-1022-AC-BLUE</t>
  </si>
  <si>
    <t>Arista PSU 1050W POE v3, AC, Rear to Front.</t>
  </si>
  <si>
    <t>PWR-1022-AC-BLUE#</t>
  </si>
  <si>
    <t>Configurable. Arista PSU 1050W POE v3, AC, Rear to Front.</t>
  </si>
  <si>
    <t>PWR-2022-AC-RED</t>
  </si>
  <si>
    <t>Arista PSU 2000W POE v3, AC, Front to Rear</t>
  </si>
  <si>
    <t>FAN-7001S-RED</t>
  </si>
  <si>
    <t>Spare fan module for Arista 700 Series 1RU switches (front-to-rear airflow)</t>
  </si>
  <si>
    <t>FAN-7001S-BLUE</t>
  </si>
  <si>
    <t>Spare fan module for Arista 700 Series 1RU switches (rear-to-front airflow)</t>
  </si>
  <si>
    <t>CCS-720XPM-PCVR</t>
  </si>
  <si>
    <t>Blank Cover for 720XPM Series Power Supply Slot</t>
  </si>
  <si>
    <t>CCS-720XPM-PCVR#</t>
  </si>
  <si>
    <t>Configurable Blank Cover for 720XPM Series Power Supply Slot</t>
  </si>
  <si>
    <t>KIT-CCS-710XP-MGN</t>
  </si>
  <si>
    <t>Spare Magnet Mount Kit for Arista 710XP-12 Series switches</t>
  </si>
  <si>
    <t>KIT-720XPM</t>
  </si>
  <si>
    <t>Spare accessory kit for Arista 720XPM 1RU Series switches. 2-post mount. (Power cords available separately)</t>
  </si>
  <si>
    <t>CCS-750XM-48TX-LC</t>
  </si>
  <si>
    <t>Arista 750 Series 48 port 10G-T linecard</t>
  </si>
  <si>
    <t>CCS-750XPM-48NH-LC</t>
  </si>
  <si>
    <t>Arista 750 Series 48 port 100Meg/1G/2.5G/5G PoE (90W) linecard</t>
  </si>
  <si>
    <t>CCS-750XPM-48TXH-LC</t>
  </si>
  <si>
    <t>Arista 750 Series 48 port 100Meg/1G/2.5G/5G/10G PoE (90W) linecard</t>
  </si>
  <si>
    <t>PWR-1513-AC-RED</t>
  </si>
  <si>
    <t>Arista PSU, 1RU, AC, 1500W v3, FORWARD, 73.5MM, ITIC</t>
  </si>
  <si>
    <t>PWR-1513-AC-BLUE</t>
  </si>
  <si>
    <t>Arista PSU, 1RU, AC, 1500W v3, REVERSE, 73.5MM, ITIC</t>
  </si>
  <si>
    <t>PWR-1513-AC-RED#</t>
  </si>
  <si>
    <t>Arista PSU, 1RU, AC, 1500W v3, FORWARD, 73.5MM, ITIC (Configurable)</t>
  </si>
  <si>
    <t>PWR-1513-AC-BLUE#</t>
  </si>
  <si>
    <t>Arista PSU, 1RU, AC, 1500W v3, REVERSE, 73.5MM, ITIC (Configurable)</t>
  </si>
  <si>
    <t>PWR-3211-DC-RED</t>
  </si>
  <si>
    <t>PWR-3211-DC-RED#</t>
  </si>
  <si>
    <t>PWR-3211-HV-RED</t>
  </si>
  <si>
    <t>Spare Arista PSU, 1RU, HV AC and DC, 3200W, FORWARD, 73.5MM</t>
  </si>
  <si>
    <t>PWR-3211-HV-RED#</t>
  </si>
  <si>
    <t>Configurable Arista PSU, 1RU, HV AC and DC, 3200W, FORWARD, 73.5MM</t>
  </si>
  <si>
    <t>FAN-7022HQ-RED</t>
  </si>
  <si>
    <t>Spare fan module for Arista 7000 Series 2 and 3RU High Speed Fan (front-to-rear airflow)</t>
  </si>
  <si>
    <t>Rebated 2-post rack mount kit for 7010T switches and 720 series switches</t>
  </si>
  <si>
    <t>CAB-C13-SWZ</t>
  </si>
  <si>
    <t>POWER CORD, SWISS, C13-SN441011, 10A/250V, 2.5m</t>
  </si>
  <si>
    <t>LIC-DL-FLX-L</t>
  </si>
  <si>
    <t>FLX-Lite License for Arista Distributed Leaf</t>
  </si>
  <si>
    <t>LIC-DL-E</t>
  </si>
  <si>
    <t>Enhanced Software License for Arista Distributed Leaf</t>
  </si>
  <si>
    <t>LIC-DL-V2</t>
  </si>
  <si>
    <t>EOS Segmentation and 3rd Party Integration Services license for Arista Distributed Leaf</t>
  </si>
  <si>
    <t>OSFP-800G-2VSR4</t>
  </si>
  <si>
    <t>2x 400GBASE-VSR4 OSFP Transceiver, dual MPO-12 APC connectors, up to 50m over parallel MMF</t>
  </si>
  <si>
    <t>OSFP-800G-VSR8</t>
  </si>
  <si>
    <t>800G-SR8 OSFP Transceiver with MPO-16 APC connector, up to 50m over parallel MMF</t>
  </si>
  <si>
    <t>LPO-800G-2FR4</t>
  </si>
  <si>
    <t>2x 400GBASE-FR4 Linear Pluggable OSFP Transceiver, Dual LC, up to 2km over dual duplex SMF</t>
  </si>
  <si>
    <t>LPO-800G-2DR4</t>
  </si>
  <si>
    <t>2x 400GBASE-DR4 Linear Pluggable OSFP Transceiver, Dual MPO-12, up to 500m over parallel SMF</t>
  </si>
  <si>
    <t>QSFP-100G-SR1.2</t>
  </si>
  <si>
    <t>100GBASE-SR1.2 QSFP transceiver, up to 70m/100m over Duplex OM3 / OM4 MMF</t>
  </si>
  <si>
    <t>QSFP-100G-PLR4</t>
  </si>
  <si>
    <t>4x25GBASE-LR QSFP100 transceiver, up to 10km over parallel single-mode fiber, 100G/40G dual rate</t>
  </si>
  <si>
    <t>SFP-50G-MR-SR</t>
  </si>
  <si>
    <t>50G/25G BASE-SR SFP transceiver up to 100m over duplex OM4 MMF</t>
  </si>
  <si>
    <t>DCA-DM-RN760L</t>
  </si>
  <si>
    <t>Arista DMF: 192TB, 1-Port 25G SFP+ Recorder Node Model 760L perpetual; requires A-Care support</t>
  </si>
  <si>
    <t>DCA-DM-SN760L</t>
  </si>
  <si>
    <t>DCA-DM-RN760</t>
  </si>
  <si>
    <t>Arista DMF: 96TB, 1-Port 25G SFP+ Recorder Node Model 760 perpetual; requires A-Care support</t>
  </si>
  <si>
    <t>SVC-DCA-DM-RN760L-1M-NB</t>
  </si>
  <si>
    <t>Arista DMF: 1 Month A-Care Software &amp; NBD Hardware Replacement/Same Day Ship for Recorder Node Model 760L Appliance</t>
  </si>
  <si>
    <t>SVC-DCA-DM-SN760L-1M-NB</t>
  </si>
  <si>
    <t>SVC-DCA-DM-RN760-1M-NB</t>
  </si>
  <si>
    <t>Arista DMF: 1 Month A-Care Software &amp; NBD Hardware Replacement/Same Day Ship for Recorder Node Model 760 Appliance</t>
  </si>
  <si>
    <t>AP-C400-SS-5Y</t>
  </si>
  <si>
    <t>C-400 Tri band  2x2:2 802.11be (WiFi 7) access point with internal antennas and 5 GbE interface with a 5 year cognitive cloud management subscription.</t>
  </si>
  <si>
    <t>AP-C400-SS-PREM-5Y</t>
  </si>
  <si>
    <t>C-400 Tri band  2x2:2 802.11be (WiFi 7) access point with internal antennas and 5 GbE interface with a 5 year on-premises cognitive management subscription.</t>
  </si>
  <si>
    <t>AP-C400-SS-3Y</t>
  </si>
  <si>
    <t>C-400 Tri band  2x2:2  802.11be (WiFi 7) access point with internal antennas and 5 GbE interface with a 3 year cognitive cloud management subscription.</t>
  </si>
  <si>
    <t>AP-C400-SS-PREM-3Y</t>
  </si>
  <si>
    <t>C-400 Tri band  2x2:2 802.11be (WiFi 7) access point with internal antennas and 5 GbE interface with a 3 year on-premises cognitive management subscription.</t>
  </si>
  <si>
    <t>AP-C400</t>
  </si>
  <si>
    <t>C-400 Tri band 2x2:2 802.11be (WiFi 7) access point with internal antennas and 5 GbE interface.</t>
  </si>
  <si>
    <t>SS-MSS-ZTX-G3-1M</t>
  </si>
  <si>
    <t>MSS Subscription License for 1-Month for 1 Switch. Arista Fixed 1G/mG Group 3 Platforms. ZTX appliance purchase required.</t>
  </si>
  <si>
    <t>SS-MSS-ZTX-G2-1M</t>
  </si>
  <si>
    <t>MSS Subscription License for 1-Month for 1 Switch. Arista Fixed 1G/mG Group 2 Platforms. ZTX appliance purchase required.</t>
  </si>
  <si>
    <t>LIC-WAN1-ENCR</t>
  </si>
  <si>
    <t>Encryption License for Arista WAN platform Band 1, IPsec</t>
  </si>
  <si>
    <t>OSV-AWE-7250R-16S-1M-4H</t>
  </si>
  <si>
    <t>Onsite Service: 1-Month A-Care Software &amp; 24x7x4 Hour Hardware Replacement for AWE-7250R-16S-1M</t>
  </si>
  <si>
    <t>OSV-AWE-7250R-16S-1M-NB</t>
  </si>
  <si>
    <t>Onsite Service: 1 Month A-Care Software &amp; NBD Hardware Replacement/Same Day Ship for AWE-7250R-16S-1M</t>
  </si>
  <si>
    <t>OSV-AWE-7230R-4TX-4S-1M-4H</t>
  </si>
  <si>
    <t>Onsite Service: 1-Month A-Care Software &amp; 24x7x4 Hour Hardware Replacement for AWE-7230R-4TX-4S</t>
  </si>
  <si>
    <t>OSV-AWE-7230R-4TX-4S-1M-NB</t>
  </si>
  <si>
    <t>Onsite Service: 1 Month A-Care Software &amp; NBD Hardware Replacement/Same Day Ship for AWE-7230R-4TX-4S</t>
  </si>
  <si>
    <t>OSV-AWE-7220RP-5TH-2S-1M-4H</t>
  </si>
  <si>
    <t>Onsite Service: 1-Month A-Care Software &amp; 24x7x4 Hour Hardware Replacement for AWE-7220RP-5TH-2S</t>
  </si>
  <si>
    <t>OSV-AWE-7220RP-5TH-2S-1M-NB</t>
  </si>
  <si>
    <t>Onsite Service: 1 Month A-Care Software &amp; NBD Hardware Replacement/Same Day Ship for AWE-7220RP-5TH-2S</t>
  </si>
  <si>
    <t>SVE-S-TM-ENG-REM-1D-R1</t>
  </si>
  <si>
    <t>SVE-S-TM-ENG-REM-5D-R1</t>
  </si>
  <si>
    <t>SVC-7804R4U-1M-2H</t>
  </si>
  <si>
    <t>1-Month A-Care 24x7x2 Software &amp; Hardware Replacement for 7804R4U</t>
  </si>
  <si>
    <t>SVC-7804R4U-1M-4H</t>
  </si>
  <si>
    <t>1-Month A-Care 24x7x4 Software &amp; Hardware Replacement for 7804R4U</t>
  </si>
  <si>
    <t>SVC-7804R4U-1M-NB</t>
  </si>
  <si>
    <t>1-Month A-Care Software &amp; 8x5xNBD Hardware Replacement/Same Day Ship for 7804R4U</t>
  </si>
  <si>
    <t>SVC-DL-7700R4C-38PE-B-1M-2H</t>
  </si>
  <si>
    <t>1-Month A-Care Software &amp; 24x7x2 Hour Hardware Replacement for DL-7700R4C-38PE-B</t>
  </si>
  <si>
    <t>SVC-DL-7700R4C-38PE-B-1M-4H</t>
  </si>
  <si>
    <t>1-Month A-Care Software &amp; 24x7x4 Hour Hardware Replacement for DL-7700R4C-38PE-B</t>
  </si>
  <si>
    <t>SVC-DL-7700R4C-38PE-DC-B-1M-NB</t>
  </si>
  <si>
    <t>1-Month A-Care Software &amp; NBD Hardware Replacement/Same Day Ship for DL-7700R4C-38PE-B</t>
  </si>
  <si>
    <t>SVC-7280R4-32PE-1M-NB</t>
  </si>
  <si>
    <t>1 Month A-Care Software &amp; NBD Hardware Replacement/Same Day Ship for 7280R4-32PE</t>
  </si>
  <si>
    <t>SVC-7280R4-32PE-1M-4H</t>
  </si>
  <si>
    <t>1-Month A-Care Software &amp; 24x7x4 Hour Hardware Replacement for 7280R4-32PE</t>
  </si>
  <si>
    <t>SVC-7280R4-32PE-1M-2H</t>
  </si>
  <si>
    <t>1-Month A-Care Software &amp; 24x7x2 Hour Hardware Replacement for 7280R4-32PE</t>
  </si>
  <si>
    <t>SVC-7280R4K-32PE-1M-NB</t>
  </si>
  <si>
    <t>1 Month A-Care Software &amp; NBD Hardware Replacement/Same Day Ship for 7280R4K-32PE</t>
  </si>
  <si>
    <t>SVC-7280R4K-32PE-1M-4H</t>
  </si>
  <si>
    <t>1-Month A-Care Software &amp; 24x7x4 Hour Hardware Replacement for 7280R4K-32PE</t>
  </si>
  <si>
    <t>SVC-7280R4K-32PE-1M-2H</t>
  </si>
  <si>
    <t>1-Month A-Care Software &amp; 24x7x2 Hour Hardware Replacement for 7280R4K-32PE</t>
  </si>
  <si>
    <t>SVC-7280R4-32DE-1M-NB</t>
  </si>
  <si>
    <t>1 Month A-Care Software &amp; NBD Hardware Replacement/Same Day Ship for 7280R4-32DE</t>
  </si>
  <si>
    <t>SVC-7280R4-32DE-1M-4H</t>
  </si>
  <si>
    <t>1-Month A-Care Software &amp; 24x7x4 Hour Hardware Replacement for 7280R4-32DE</t>
  </si>
  <si>
    <t>SVC-7280R4-32DE-1M-2H</t>
  </si>
  <si>
    <t>1-Month A-Care Software &amp; 24x7x2 Hour Hardware Replacement for 7280R4-32DE</t>
  </si>
  <si>
    <t>SVC-7280R4K-32DE-1M-NB</t>
  </si>
  <si>
    <t>1 Month A-Care Software &amp; NBD Hardware Replacement/Same Day Ship for 7280R4K-32DE</t>
  </si>
  <si>
    <t>SVC-7280R4K-32DE-1M-4H</t>
  </si>
  <si>
    <t>1-Month A-Care Software &amp; 24x7x4 Hour Hardware Replacement for 7280R4K-32DE</t>
  </si>
  <si>
    <t>SVC-7280R4K-32DE-1M-2H</t>
  </si>
  <si>
    <t>1-Month A-Care Software &amp; 24x7x2 Hour Hardware Replacement for 7280R4K-32DE</t>
  </si>
  <si>
    <t>SVC-7280R4-64QC-10PE-1M-NB</t>
  </si>
  <si>
    <t>1 Month A-Care Software &amp; NBD Hardware Replacement/Same Day Ship for 7280R4-64QC-10PE</t>
  </si>
  <si>
    <t>SVC-7280R4-64QC-10PE-1M-4H</t>
  </si>
  <si>
    <t>1-Month A-Care Software &amp; 24x7x4 Hour Hardware Replacement for 7280R4-64QC-10PE</t>
  </si>
  <si>
    <t>SVC-7280R4-64QC-10PE-1M-2H</t>
  </si>
  <si>
    <t>1-Month A-Care Software &amp; 24x7x2 Hour Hardware Replacement for 7280R4-64QC-10PE</t>
  </si>
  <si>
    <t>SVC-7280R4K-64QC-10PE-1M-NB</t>
  </si>
  <si>
    <t>1 Month A-Care Software &amp; NBD Hardware Replacement/Same Day Ship for 7280R4K-64QC-10PE</t>
  </si>
  <si>
    <t>SVC-7280R4K-64QC-10PE-1M-4H</t>
  </si>
  <si>
    <t>1-Month A-Care Software &amp; 24x7x4 Hour Hardware Replacement for 7280R4K-64QC-10PE</t>
  </si>
  <si>
    <t>SVC-7280R4K-64QC-10PE-1M-2H</t>
  </si>
  <si>
    <t>1-Month A-Care Software &amp; 24x7x2 Hour Hardware Replacement for 7280R4K-64QC-10PE</t>
  </si>
  <si>
    <t>SVC-7060X6-64PE-B-1M-2H</t>
  </si>
  <si>
    <t>1-Month A-Care Software &amp; 24x7x2 Hour Hardware Replacement for 7060X6-64PE-B</t>
  </si>
  <si>
    <t>SVC-7060X6-64PE-B-1M-4H</t>
  </si>
  <si>
    <t>1-Month A-Care Software &amp; 24x7x4 Hour Hardware Replacement for 7060X6-64PE-B</t>
  </si>
  <si>
    <t>SVC-7060X6-64PE-B-1M-NB</t>
  </si>
  <si>
    <t>1-Month A-Care Software &amp; NBD Hardware Replacement/Same Day Ship for 7060X6-64PE-B</t>
  </si>
  <si>
    <t>SVC-7050X4-48Y-4DF-1M-2H</t>
  </si>
  <si>
    <t>1-Month A-Care Software &amp; 24x7x2 Hour Hardware Replacement for 7050X4-48Y-4DF</t>
  </si>
  <si>
    <t>SVC-7050X4-48Y-4DF-1M-4H</t>
  </si>
  <si>
    <t>1-Month A-Care Software &amp; 24x7x4 Hour Hardware Replacement for 7050X4-48Y-4DF</t>
  </si>
  <si>
    <t>SVC-7050X4-48Y-4DF-1M-NB</t>
  </si>
  <si>
    <t>1 Month A-Care Software &amp; NBD Hardware Replacement/Same Day Ship for 7050X4-48Y-4DF</t>
  </si>
  <si>
    <t>SVC-720XPM-48TH-1M-2H</t>
  </si>
  <si>
    <t>1-Month A-Care Software &amp; 24x7x2 Hour Hardware Replacement for 720XPM-48TH</t>
  </si>
  <si>
    <t>SVC-720XPM-48TH-1M-4H</t>
  </si>
  <si>
    <t>1-Month A-Care Software &amp; 24x7x4 Hour Hardware Replacement for 720XPM-48TH</t>
  </si>
  <si>
    <t>SVC-720XPM-48TH-1M-NB</t>
  </si>
  <si>
    <t>1 Month A-Care Software &amp; NBD Hardware Replacement/Same Day Ship for 720XPM-48TH</t>
  </si>
  <si>
    <t>SVC-720XPM-48TH-1M-RB</t>
  </si>
  <si>
    <t>1 Month A-Care Software Support and HW Replacement for 720XPM-48TH</t>
  </si>
  <si>
    <t>SVC-720XDM-48T-1M-2H</t>
  </si>
  <si>
    <t>1-Month A-Care Software &amp; 24x7x2 Hour Hardware Replacement for 720XDM-48T</t>
  </si>
  <si>
    <t>SVC-720XDM-48T-1M-4H</t>
  </si>
  <si>
    <t>1-Month A-Care Software &amp; 24x7x4 Hour Hardware Replacement for 720XDM-48T</t>
  </si>
  <si>
    <t>SVC-720XDM-48T-1M-NB</t>
  </si>
  <si>
    <t>1 Month A-Care Software &amp; NBD Hardware Replacement/Same Day Ship for 720XDM-48T</t>
  </si>
  <si>
    <t>SVC-720XDM-48T-1M-RB</t>
  </si>
  <si>
    <t>1 Month A-Care Software Support and HW Replacement for 720XDM-48T</t>
  </si>
  <si>
    <t>OSV-7804R4U-1M-4H</t>
  </si>
  <si>
    <t>Onsite Service: 1-Month A-Care Software &amp; 24x7x4 Hour Hardware Replacement for 7804R4U</t>
  </si>
  <si>
    <t>OSV-7804R4U-1M-NB</t>
  </si>
  <si>
    <t>Onsite Service: 1 Month A-Care Software &amp; NBD Hardware Replacement/Same Day Ship for 7804R4U</t>
  </si>
  <si>
    <t>OSV-DL-7700R4C-38PE-B-1M-4H</t>
  </si>
  <si>
    <t>Onsite Service: 1-Month A-Care Software &amp; 24x7x4 Hour Hardware Replacement for DL-7700R4C-38PE-B</t>
  </si>
  <si>
    <t>OSV-DL-7700R4C-38PE-B-1M-NB</t>
  </si>
  <si>
    <t>Onsite Service: 1 Month A-Care Software &amp; NBD Hardware Replacement/Same Day Ship for DL-7700R4C-38PE-B</t>
  </si>
  <si>
    <t>OSV-7280R4-32PE-1M-4H</t>
  </si>
  <si>
    <t>Onsite Service: 1-Month A-Care Software &amp; 24x7x4 Hour Hardware Replacement for 7280R4-32PE</t>
  </si>
  <si>
    <t>OSV-7280R4-32PE-1M-NB</t>
  </si>
  <si>
    <t>Onsite Service: 1 Month A-Care Software &amp; NBD Hardware Replacement/Same Day Ship for 7280R4-32PE</t>
  </si>
  <si>
    <t>OSV-7280R4K-32PE-1M-4H</t>
  </si>
  <si>
    <t>Onsite Service: 1-Month A-Care Software &amp; 24x7x4 Hour Hardware Replacement for 7280R4K-32PE</t>
  </si>
  <si>
    <t>OSV-7280R4K-32PE-1M-NB</t>
  </si>
  <si>
    <t>Onsite Service: 1 Month A-Care Software &amp; NBD Hardware Replacement/Same Day Ship for 7280R4K-32PE</t>
  </si>
  <si>
    <t>OSV-7280R4-32DE-1M-4H</t>
  </si>
  <si>
    <t>Onsite Service: 1-Month A-Care Software &amp; 24x7x4 Hour Hardware Replacement for 7280R4-32DE</t>
  </si>
  <si>
    <t>OSV-7280R4-32DE-1M-NB</t>
  </si>
  <si>
    <t>Onsite Service: 1 Month A-Care Software &amp; NBD Hardware Replacement/Same Day Ship for 7280R4-32DE</t>
  </si>
  <si>
    <t>OSV-7280R4K-32DE-1M-4H</t>
  </si>
  <si>
    <t>Onsite Service: 1-Month A-Care Software &amp; 24x7x4 Hour Hardware Replacement for 7280R4K-32DE</t>
  </si>
  <si>
    <t>OSV-7280R4K-32DE-1M-NB</t>
  </si>
  <si>
    <t>Onsite Service: 1 Month A-Care Software &amp; NBD Hardware Replacement/Same Day Ship for 7280R4K-32DE</t>
  </si>
  <si>
    <t>OSV-7280R4-64QC-10PE-1M-4H</t>
  </si>
  <si>
    <t>Onsite Service: 1-Month A-Care Software &amp; 24x7x4 Hour Hardware Replacement for 7280R4-64QC-10PE</t>
  </si>
  <si>
    <t>OSV-7280R4-64QC-10PE-1M-NB</t>
  </si>
  <si>
    <t>Onsite Service: 1 Month A-Care Software &amp; NBD Hardware Replacement/Same Day Ship for 7280R4-64QC-10PE</t>
  </si>
  <si>
    <t>OSV-7280R4K-64QC-10PE-1M-4H</t>
  </si>
  <si>
    <t>Onsite Service: 1-Month A-Care Software &amp; 24x7x4 Hour Hardware Replacement for 7280R4K-64QC-10PE</t>
  </si>
  <si>
    <t>OSV-7280R4K-64QC-10PE-1M-NB</t>
  </si>
  <si>
    <t>Onsite Service: 1 Month A-Care Software &amp; NBD Hardware Replacement/Same Day Ship for 7280R4K-64QC-10PE</t>
  </si>
  <si>
    <t>OSV-7060X6-64PE-B-1M-4H</t>
  </si>
  <si>
    <t>Onsite Service: 1-Month A-Care Software &amp; 24x7x4 Hour Hardware Replacement for 7060X6-64PE-B</t>
  </si>
  <si>
    <t>OSV-7060X6-64PE-B-1M-NB</t>
  </si>
  <si>
    <t>Onsite Service: 1 Month A-Care Software &amp; NBD Hardware Replacement/Same Day Ship for 7060X6-64PE-B</t>
  </si>
  <si>
    <t>OSV-7060X6-64PE-1M-4H</t>
  </si>
  <si>
    <t>Onsite Service: 1-Month A-Care Software &amp; 24x7x4 Hour Hardware Replacement for 7060X6-64PE</t>
  </si>
  <si>
    <t>OSV-7060X6-64PE-1M-NB</t>
  </si>
  <si>
    <t>Onsite Service: 1 Month A-Care Software &amp; NBD Hardware Replacement/Same Day Ship for 7060X6-64PE</t>
  </si>
  <si>
    <t>OSV-7050X4-48Y-4DF-1M-4H</t>
  </si>
  <si>
    <t>Onsite Service: 1-Month A-Care Software &amp; 24x7x4 Hour Hardware Replacement for 7050X4-48Y-4DF</t>
  </si>
  <si>
    <t>OSV-7050X4-48Y-4DF-1M-NB</t>
  </si>
  <si>
    <t>Onsite Service: 1 Month A-Care Software &amp; NBD Hardware Replacement/Same Day Ship for 7050X4-48Y-4DF</t>
  </si>
  <si>
    <t>OSV-720XPM-48TH-1M-NB</t>
  </si>
  <si>
    <t>Onsite Service: 1-Month A-Care Software &amp; NBD Hardware Replacement/Same Day Ship for 720XPM-48TH series</t>
  </si>
  <si>
    <t>OSV-720XPM-48TH-1M-4H</t>
  </si>
  <si>
    <t>Onsite Service: 1-Month A-Care Software &amp; 24x7x4 Hour Hardware Replacement for 720XPM-48TH series</t>
  </si>
  <si>
    <t>OSV-720XDM-48T-1M-NB</t>
  </si>
  <si>
    <t>Onsite Service: 1-Month A-Care Software &amp; NBD Hardware Replacement/Same Day Ship for 720XDM-48T series</t>
  </si>
  <si>
    <t>OSV-720XDM-48T-1M-4H</t>
  </si>
  <si>
    <t>Onsite Service: 1-Month A-Care Software &amp; 24x7x4 Hour Hardware Replacement for 720XDM-48T series</t>
  </si>
  <si>
    <t>OSV-710XP-12TH-1M-4H</t>
  </si>
  <si>
    <t>Onsite Service: 1-Month A-Care Software &amp; 24x7x4 Hour Hardware Replacement for 710XP-12TH series</t>
  </si>
  <si>
    <t>SDE-EDG-5100</t>
  </si>
  <si>
    <t>Arista Edge 5100 VeloCloud Edge OS appliance</t>
  </si>
  <si>
    <t>SDE-EDG-4100</t>
  </si>
  <si>
    <t>Arista Edge 4100 VeloCloud Edge OS appliance</t>
  </si>
  <si>
    <t>SDE-EDG-740</t>
  </si>
  <si>
    <t>Arista Edge 740 VeloCloud Edge OS appliance</t>
  </si>
  <si>
    <t>SDE-EDG-720</t>
  </si>
  <si>
    <t>Arista Edge 720 VeloCloud Edge OS appliance</t>
  </si>
  <si>
    <t>SDE-EDG-7105G</t>
  </si>
  <si>
    <t>Arista Edge 710 VeloCloud Edge OS appliance, 5G</t>
  </si>
  <si>
    <t>SDE-EDG-710W</t>
  </si>
  <si>
    <t>Arista Edge 710 VeloCloud Edge OS appliance, WiFi</t>
  </si>
  <si>
    <t>SDE-ENT-HO-100G-1M</t>
  </si>
  <si>
    <t>Arista VeloCloud SD-WAN Enterprise Edition (Hosted Orchestrator+Controller) - 100 Gbps</t>
  </si>
  <si>
    <t>SDE-ENT-HO-40G-1M</t>
  </si>
  <si>
    <t>Arista VeloCloud SD-WAN Enterprise Edition (Hosted Orchestrator+Controller) - 40 Gbps</t>
  </si>
  <si>
    <t>SDE-ENT-HO-10G-1M</t>
  </si>
  <si>
    <t>Arista VeloCloud SD-WAN Enterprise Edition (Hosted Orchestrator+Controller) - 10 Gbps</t>
  </si>
  <si>
    <t>SDE-ENT-HO-2G-1M</t>
  </si>
  <si>
    <t>Arista VeloCloud SD-WAN Enterprise Edition (Hosted Orchestrator+Controller) - 2 Gbps</t>
  </si>
  <si>
    <t>SDE-ENT-HO-1G-1M</t>
  </si>
  <si>
    <t>Arista VeloCloud SD-WAN Enterprise Edition (Hosted Orchestrator+Controller) - 1 Gbps</t>
  </si>
  <si>
    <t>SDE-ENT-HO-500M-1M</t>
  </si>
  <si>
    <t>Arista VeloCloud SD-WAN Enterprise Edition (Hosted Orchestrator+Controller) - 500 Mbps</t>
  </si>
  <si>
    <t>SDE-ENT-HO-200M-1M</t>
  </si>
  <si>
    <t>Arista VeloCloud SD-WAN Enterprise Edition (Hosted Orchestrator+Controller) - 200 Mbps</t>
  </si>
  <si>
    <t>SDE-ENT-HO-100M-1M</t>
  </si>
  <si>
    <t>Arista VeloCloud SD-WAN Enterprise Edition (Hosted Orchestrator+Controller) - 100 Mbps</t>
  </si>
  <si>
    <t>SDE-ENT-HO-50M-1M</t>
  </si>
  <si>
    <t>Arista VeloCloud SD-WAN Enterprise Edition (Hosted Orchestrator+Controller) - 50 Mbps</t>
  </si>
  <si>
    <t>SDE-ENT-HO-30M-1M</t>
  </si>
  <si>
    <t>Arista VeloCloud SD-WAN Enterprise Edition (Hosted Orchestrator+Controller) - 30 Mbps</t>
  </si>
  <si>
    <t>SDE-ENT-HO-10M-1M</t>
  </si>
  <si>
    <t>Arista VeloCloud SD-WAN Enterprise Edition (Hosted Orchestrator+Controller) - 10 Mbps</t>
  </si>
  <si>
    <t>SDE-ENT-HO-SG-10G-1M</t>
  </si>
  <si>
    <t>Arista VeloCloud SD-WAN Enterprise Edition (Hosted Orchestrator+Controller;Software Gateway) - 10 Gbps</t>
  </si>
  <si>
    <t>SDE-ENT-HO-SG-2G-1M</t>
  </si>
  <si>
    <t>Arista VeloCloud SD-WAN Enterprise Edition (Hosted Orchestrator+Controller;Software Gateway) - 2 Gbps</t>
  </si>
  <si>
    <t>SDE-ENT-HO-SG-1G-1M</t>
  </si>
  <si>
    <t>Arista VeloCloud SD-WAN Enterprise Edition (Hosted Orchestrator+Controller;Software Gateway) - 1 Gbps</t>
  </si>
  <si>
    <t>SDE-ENT-HO-SG-500M-1M</t>
  </si>
  <si>
    <t>Arista VeloCloud SD-WAN Enterprise Edition (Hosted Orchestrator+Controller;Software Gateway) - 500 Mbps</t>
  </si>
  <si>
    <t>SDE-ENT-HO-SG-200M-1M</t>
  </si>
  <si>
    <t>Arista VeloCloud SD-WAN Enterprise Edition (Hosted Orchestrator+Controller;Software Gateway) - 200 Mbps</t>
  </si>
  <si>
    <t>SDE-ENT-HO-SG-100M-1M</t>
  </si>
  <si>
    <t>Arista VeloCloud SD-WAN Enterprise Edition (Hosted Orchestrator+Controller;Software Gateway) - 100 Mbps</t>
  </si>
  <si>
    <t>SDE-ENT-HO-SG-50M-1M</t>
  </si>
  <si>
    <t>Arista VeloCloud SD-WAN Enterprise Edition (Hosted Orchestrator+Controller;Software Gateway) - 50 Mbps</t>
  </si>
  <si>
    <t>SDE-ENT-HO-SG-30M-1M</t>
  </si>
  <si>
    <t>Arista VeloCloud SD-WAN Enterprise Edition (Hosted Orchestrator+Controller;Software Gateway) - 30 Mbps</t>
  </si>
  <si>
    <t>SDE-ENT-HO-SG-10M-1M</t>
  </si>
  <si>
    <t>Arista VeloCloud SD-WAN Enterprise Edition (Hosted Orchestrator+Controller;Software Gateway) - 10 Mbps</t>
  </si>
  <si>
    <t>SDE-ENT-SO-SG-10G-1M</t>
  </si>
  <si>
    <t>Arista VeloCloud SD-WAN Enterprise Edition (Software Orchestrator+Controller;Software Gateway) - 10 Gbps</t>
  </si>
  <si>
    <t>SDE-ENT-SO-SG-2G-1M</t>
  </si>
  <si>
    <t>Arista VeloCloud SD-WAN Enterprise Edition (Software Orchestrator+Controller;Software Gateway) - 2 Gbps</t>
  </si>
  <si>
    <t>SDE-ENT-SO-SG-1G-1M</t>
  </si>
  <si>
    <t>Arista VeloCloud SD-WAN Enterprise Edition (Software Orchestrator+Controller;Software Gateway) - 1 Gbps</t>
  </si>
  <si>
    <t>SDE-ENT-SO-SG-500M-1M</t>
  </si>
  <si>
    <t>Arista VeloCloud SD-WAN Enterprise Edition (Software Orchestrator+Controller;Software Gateway) - 500 Mbps</t>
  </si>
  <si>
    <t>SDE-ENT-SO-SG-200M-1M</t>
  </si>
  <si>
    <t>Arista VeloCloud SD-WAN Enterprise Edition (Software Orchestrator+Controller;Software Gateway) - 200 Mbps</t>
  </si>
  <si>
    <t>SDE-ENT-SO-SG-100M-1M</t>
  </si>
  <si>
    <t>Arista VeloCloud SD-WAN Enterprise Edition (Software Orchestrator+Controller;Software Gateway) - 100 Mbps</t>
  </si>
  <si>
    <t>SDE-ENT-SO-SG-50M-1M</t>
  </si>
  <si>
    <t>Arista VeloCloud SD-WAN Enterprise Edition (Software Orchestrator+Controller;Software Gateway) - 50 Mbps</t>
  </si>
  <si>
    <t>SDE-ENT-SO-SG-30M-1M</t>
  </si>
  <si>
    <t>Arista VeloCloud SD-WAN Enterprise Edition (Software Orchestrator+Controller;Software Gateway) - 30 Mbps</t>
  </si>
  <si>
    <t>SDE-ENT-SO-SG-10M-1M</t>
  </si>
  <si>
    <t>Arista VeloCloud SD-WAN Enterprise Edition (Software Orchestrator+Controller;Software Gateway) - 10 Mbps</t>
  </si>
  <si>
    <t>SDE-PRE2-HO-HG-10G-1M</t>
  </si>
  <si>
    <t>Arista VeloCloud SD-WAN Premium Edition V2 (Hosted Orchestrator+Controller;Hosted Gateway) - 10 Gbps</t>
  </si>
  <si>
    <t>SDE-PRE2-HO-HG-2G-1M</t>
  </si>
  <si>
    <t>Arista VeloCloud SD-WAN Premium Edition V2 (Hosted Orchestrator+Controller;Hosted Gateway) - 2 Gbps</t>
  </si>
  <si>
    <t>SDE-PRE2-HO-HG-1G-1M</t>
  </si>
  <si>
    <t>Arista VeloCloud SD-WAN Premium Edition V2 (Hosted Orchestrator+Controller;Hosted Gateway) - 1 Gbps</t>
  </si>
  <si>
    <t>SDE-PRE2-HO-HG-500M-1M</t>
  </si>
  <si>
    <t>Arista VeloCloud SD-WAN Premium Edition V2 (Hosted Orchestrator+Controller;Hosted Gateway) - 500 Mbps</t>
  </si>
  <si>
    <t>SDE-PRE2-HO-HG-200M-1M</t>
  </si>
  <si>
    <t>Arista VeloCloud SD-WAN Premium Edition V2 (Hosted Orchestrator+Controller;Hosted Gateway) - 200 Mbps</t>
  </si>
  <si>
    <t>SDE-PRE2-HO-HG-100M-1M</t>
  </si>
  <si>
    <t>Arista VeloCloud SD-WAN Premium Edition V2 (Hosted Orchestrator+Controller;Hosted Gateway) - 100 Mbps</t>
  </si>
  <si>
    <t>SDE-PRE2-HO-HG-50M-1M</t>
  </si>
  <si>
    <t>Arista VeloCloud SD-WAN Premium Edition V2 (Hosted Orchestrator+Controller;Hosted Gateway) - 50 Mbps</t>
  </si>
  <si>
    <t>SDE-PRE2-HO-HG-30M-1M</t>
  </si>
  <si>
    <t>Arista VeloCloud SD-WAN Premium Edition V2 (Hosted Orchestrator+Controller;Hosted Gateway) - 30 Mbps</t>
  </si>
  <si>
    <t>SDE-PRE2-HO-HG-10M-1M</t>
  </si>
  <si>
    <t>Arista VeloCloud SD-WAN Premium Edition V2 (Hosted Orchestrator+Controller;Hosted Gateway) - 10 Mbps</t>
  </si>
  <si>
    <t>SDE-PRE2-HO-SG-10G-1M</t>
  </si>
  <si>
    <t>Arista VeloCloud SD-WAN Premium Edition V2 (Hosted Orchestrator+Controller;Software Gateway) - 10 Gbps</t>
  </si>
  <si>
    <t>SDE-PRE2-HO-SG-2G-1M</t>
  </si>
  <si>
    <t>Arista VeloCloud SD-WAN Premium Edition V2 (Hosted Orchestrator+Controller;Software Gateway) - 2 Gbps</t>
  </si>
  <si>
    <t>SDE-PRE2-HO-SG-1G-1M</t>
  </si>
  <si>
    <t>Arista VeloCloud SD-WAN Premium Edition V2 (Hosted Orchestrator+Controller;Software Gateway) - 1 Gbps</t>
  </si>
  <si>
    <t>SDE-PRE2-HO-SG-500M-1M</t>
  </si>
  <si>
    <t>Arista VeloCloud SD-WAN Premium Edition V2 (Hosted Orchestrator+Controller;Software Gateway) - 500 Mbps</t>
  </si>
  <si>
    <t>SDE-PRE2-HO-SG-200M-1M</t>
  </si>
  <si>
    <t>Arista VeloCloud SD-WAN Premium Edition V2 (Hosted Orchestrator+Controller;Software Gateway) - 200 Mbps</t>
  </si>
  <si>
    <t>SDE-PRE2-HO-SG-100M-1M</t>
  </si>
  <si>
    <t>Arista VeloCloud SD-WAN Premium Edition V2 (Hosted Orchestrator+Controller;Software Gateway) - 100 Mbps</t>
  </si>
  <si>
    <t>SDE-PRE2-HO-SG-50M-1M</t>
  </si>
  <si>
    <t>Arista VeloCloud SD-WAN Premium Edition V2 (Hosted Orchestrator+Controller;Software Gateway) - 50 Mbps</t>
  </si>
  <si>
    <t>SDE-PRE2-HO-SG-30M-1M</t>
  </si>
  <si>
    <t>Arista VeloCloud SD-WAN Premium Edition V2 (Hosted Orchestrator+Controller;Software Gateway) - 30 Mbps</t>
  </si>
  <si>
    <t>SDE-PRE2-HO-SG-10M-1M</t>
  </si>
  <si>
    <t>Arista VeloCloud SD-WAN Premium Edition V2 (Hosted Orchestrator+Controller;Software Gateway) - 10 Mbps</t>
  </si>
  <si>
    <t>SDE-PRE2-SO-SG-10G-1M</t>
  </si>
  <si>
    <t>Arista VeloCloud SD-WAN Premium Edition V2 (Software Orchestrator+Controller;Software Gateway) - 10 Gbps</t>
  </si>
  <si>
    <t>SDE-PRE2-SO-SG-2G-1M</t>
  </si>
  <si>
    <t>Arista VeloCloud SD-WAN Premium Edition V2 (Software Orchestrator+Controller;Software Gateway) - 2 Gbps</t>
  </si>
  <si>
    <t>SDE-PRE2-SO-SG-1G-1M</t>
  </si>
  <si>
    <t>Arista VeloCloud SD-WAN Premium Edition V2 (Software Orchestrator+Controller;Software Gateway) - 1 Gbps</t>
  </si>
  <si>
    <t>SDE-PRE2-SO-SG-500M-1M</t>
  </si>
  <si>
    <t>Arista VeloCloud SD-WAN Premium Edition V2 (Software Orchestrator+Controller;Software Gateway) - 500 Mbps</t>
  </si>
  <si>
    <t>SDE-PRE2-SO-SG-200M-1M</t>
  </si>
  <si>
    <t>Arista VeloCloud SD-WAN Premium Edition V2 (Software Orchestrator+Controller;Software Gateway) - 200 Mbps</t>
  </si>
  <si>
    <t>SDE-PRE2-SO-SG-100M-1M</t>
  </si>
  <si>
    <t>Arista VeloCloud SD-WAN Premium Edition V2 (Software Orchestrator+Controller;Software Gateway) - 100 Mbps</t>
  </si>
  <si>
    <t>SDE-PRE2-SO-SG-50M-1M</t>
  </si>
  <si>
    <t>Arista VeloCloud SD-WAN Premium Edition V2 (Software Orchestrator+Controller;Software Gateway) - 50 Mbps</t>
  </si>
  <si>
    <t>SDE-PRE2-SO-SG-30M-1M</t>
  </si>
  <si>
    <t>Arista VeloCloud SD-WAN Premium Edition V2 (Software Orchestrator+Controller;Software Gateway) - 30 Mbps</t>
  </si>
  <si>
    <t>SDE-PRE2-SO-SG-10M-1M</t>
  </si>
  <si>
    <t>Arista VeloCloud SD-WAN Premium Edition V2 (Software Orchestrator+Controller;Software Gateway) - 10 Mbps</t>
  </si>
  <si>
    <t>SDE-STD-HO-10G-1M</t>
  </si>
  <si>
    <t>Arista VeloCloud SD-WAN Standard Edition (Hosted Orchestrator+Controller) - 10 Gbps</t>
  </si>
  <si>
    <t>SDE-STD-HO-2G-1M</t>
  </si>
  <si>
    <t>Arista VeloCloud SD-WAN Standard Edition (Hosted Orchestrator+Controller) - 2 Gbps</t>
  </si>
  <si>
    <t>SDE-STD-HO-1G-1M</t>
  </si>
  <si>
    <t>Arista VeloCloud SD-WAN Standard Edition (Hosted Orchestrator+Controller) - 1 Gbps</t>
  </si>
  <si>
    <t>SDE-STD-HO-500M-1M</t>
  </si>
  <si>
    <t>Arista VeloCloud SD-WAN Standard Edition (Hosted Orchestrator+Controller) - 500 Mbps</t>
  </si>
  <si>
    <t>SDE-STD-HO-200M-1M</t>
  </si>
  <si>
    <t>Arista VeloCloud SD-WAN Standard Edition (Hosted Orchestrator+Controller) - 200 Mbps</t>
  </si>
  <si>
    <t>SDE-STD-HO-100M-1M</t>
  </si>
  <si>
    <t>Arista VeloCloud SD-WAN Standard Edition (Hosted Orchestrator+Controller) - 100 Mbps</t>
  </si>
  <si>
    <t>SDE-STD-HO-SG-10G-1M</t>
  </si>
  <si>
    <t>Arista VeloCloud SD-WAN Standard Edition (Hosted Orchestrator+Controller;Software Gateway) - 10 Gbps</t>
  </si>
  <si>
    <t>SDE-STD-HO-SG-2G-1M</t>
  </si>
  <si>
    <t>Arista VeloCloud SD-WAN Standard Edition (Hosted Orchestrator+Controller;Software Gateway) - 2 Gbps</t>
  </si>
  <si>
    <t>SDE-STD-HO-SG-1G-1M</t>
  </si>
  <si>
    <t>Arista VeloCloud SD-WAN Standard Edition (Hosted Orchestrator+Controller;Software Gateway) - 1 Gbps</t>
  </si>
  <si>
    <t>SDE-STD-HO-SG-500M-1M</t>
  </si>
  <si>
    <t>Arista VeloCloud SD-WAN Standard Edition (Hosted Orchestrator+Controller;Software Gateway) - 500 Mbps</t>
  </si>
  <si>
    <t>SDE-STD-HO-SG-200M-1M</t>
  </si>
  <si>
    <t>Arista VeloCloud SD-WAN Standard Edition (Hosted Orchestrator+Controller;Software Gateway) - 200 Mbps</t>
  </si>
  <si>
    <t>SDE-STD-HO-SG-100M-1M</t>
  </si>
  <si>
    <t>Arista VeloCloud SD-WAN Standard Edition (Hosted Orchestrator+Controller;Software Gateway) - 100 Mbps</t>
  </si>
  <si>
    <t>SDE-STD-SO-SG-10G-1M</t>
  </si>
  <si>
    <t>Arista VeloCloud SD-WAN Standard Edition (Software Orchestrator+Controller;Software Gateway) - 10 Gbps</t>
  </si>
  <si>
    <t>SDE-STD-SO-SG-2G-1M</t>
  </si>
  <si>
    <t>Arista VeloCloud SD-WAN Standard Edition (Software Orchestrator+Controller;Software Gateway) - 2 Gbps</t>
  </si>
  <si>
    <t>SDE-STD-SO-SG-1G-1M</t>
  </si>
  <si>
    <t>Arista VeloCloud SD-WAN Standard Edition (Software Orchestrator+Controller;Software Gateway) - 1 Gbps</t>
  </si>
  <si>
    <t>SDE-STD-SO-SG-500M-1M</t>
  </si>
  <si>
    <t>Arista VeloCloud SD-WAN Standard Edition (Software Orchestrator+Controller;Software Gateway) - 500 Mbps</t>
  </si>
  <si>
    <t>SDE-STD-SO-SG-200M-1M</t>
  </si>
  <si>
    <t>Arista VeloCloud SD-WAN Standard Edition (Software Orchestrator+Controller;Software Gateway) - 200 Mbps</t>
  </si>
  <si>
    <t>SDE-STD-SO-SG-100M-1M</t>
  </si>
  <si>
    <t>Arista VeloCloud SD-WAN Standard Edition (Software Orchestrator+Controller;Software Gateway) - 100 Mbps</t>
  </si>
  <si>
    <t>SDEX-DHG-1M</t>
  </si>
  <si>
    <t>Arista VeloCloud SD-WAN Add-on: Dedicated Hosted VCG, must be purchased initially along with VECO</t>
  </si>
  <si>
    <t>SDEX-DHO-1M</t>
  </si>
  <si>
    <t>Arista VeloCloud SD-WAN Add-on: Dedicated Hosted VECO with VCC, must be purchased per customer initially along with VECO</t>
  </si>
  <si>
    <t>SDEX-DHVCC-DHO-1M</t>
  </si>
  <si>
    <t>Arista VeloCloud SD-WAN Add-On: Additional Dedicated Hosted VeloCloud Controller (VCC) Pair</t>
  </si>
  <si>
    <t>SDEX-NVSVPN-HG-1G-1M</t>
  </si>
  <si>
    <t>Arista VeloCloud SD-WAN Add-on: 1Gbps Hosted Gateway Service for Cloud VPN Connect to NVS</t>
  </si>
  <si>
    <t>SDEX-NVSVPN-HG-200M-1M</t>
  </si>
  <si>
    <t>Arista VeloCloud SD-WAN Add-on: 200Mbps Hosted Gateway Service for Cloud VPN Connect to NVS</t>
  </si>
  <si>
    <t>SDEX-NVSVPN-HG-2G-1M</t>
  </si>
  <si>
    <t>Arista VeloCloud SD-WAN Add-on: 2Gbps Hosted Gateway Service for Cloud VPN Connect to NVS</t>
  </si>
  <si>
    <t>SDEX-PCI-SHO-1M</t>
  </si>
  <si>
    <t>Arista VeloCloud SD-WAN Add-on: PCI Compliance AOC per VECO Account</t>
  </si>
  <si>
    <t>SDEX-AP-LA-HD-10G-1M</t>
  </si>
  <si>
    <t>Arista VeloCloud APAC and LATAM Regional Add-On; 10 Gbps; Requires Initial Purchase of a SD-WAN 10 Gbps Subscription</t>
  </si>
  <si>
    <t>SDEX-AP-LA-HD-2G-1M</t>
  </si>
  <si>
    <t>Arista VeloCloud APAC and LATAM Regional Add-On; 2 Gbps; Requires Initial Purchase of a SD-WAN 2 Gbps Subscription</t>
  </si>
  <si>
    <t>SDEX-AP-LA-HD-1G-1M</t>
  </si>
  <si>
    <t>Arista VeloCloud APAC and LATAM Regional Add-On; 1 Gbps; Requires Initial Purchase of a SD-WAN 1 Gbps Subscription</t>
  </si>
  <si>
    <t>SDEX-AP-LA-HD-500M-1M</t>
  </si>
  <si>
    <t>Arista VeloCloud APAC and LATAM Regional Add-On; 500 Mbps; Requires Initial Purchase of a SD-WAN 500 Mbps Subscription</t>
  </si>
  <si>
    <t>SDEX-AP-LA-HD-200M-1M</t>
  </si>
  <si>
    <t>Arista VeloCloud APAC and LATAM Regional Add-On; 200 Mbps; Requires Initial Purchase of a SD-WAN 200 Mbps Subscription</t>
  </si>
  <si>
    <t>SDEX-AP-LA-HD-100M-1M</t>
  </si>
  <si>
    <t>Arista VeloCloud APAC and LATAM Regional Add-On; 100 Mbps; Requires Initial Purchase of a SD-WAN 100 Mbps Subscription</t>
  </si>
  <si>
    <t>SDEX-AP-LA-HD-50M-1M</t>
  </si>
  <si>
    <t>Arista VeloCloud APAC and LATAM Regional Add-On; 50 Mbps; Requires Initial Purchase of a SD-WAN 50 Mbps Subscription</t>
  </si>
  <si>
    <t>SDEX-AP-LA-HD-30M-1M</t>
  </si>
  <si>
    <t>Arista VeloCloud APAC and LATAM Regional Add-On; 30 Mbps; Requires Initial Purchase of a SD-WAN 30 Mbps Subscription</t>
  </si>
  <si>
    <t>SDEX-AP-LA-HD-10M-1M</t>
  </si>
  <si>
    <t>Arista VeloCloud APAC and LATAM Regional Add-On; 10 Mbps; Requires Initial Purchase of a SD-WAN 10 Mbps Subscription</t>
  </si>
  <si>
    <t>SDEX-EFS-10G-1M</t>
  </si>
  <si>
    <t>Arista VeloCloud SD-WAN Edge Enhanced Firewall Service Add-On; 10 Gbps; Requires Purchase of a SD-WAN 10 Gbps Subscription</t>
  </si>
  <si>
    <t>SDEX-EFS-2G-1M</t>
  </si>
  <si>
    <t>Arista VeloCloud SD-WAN Edge Enhanced Firewall Service Add-On; 2 Gbps; Requires Purchase of a SD-WAN 2 Gbps Subscription</t>
  </si>
  <si>
    <t>SDEX-EFS-1G-1M</t>
  </si>
  <si>
    <t>Arista VeloCloud SD-WAN Edge Enhanced Firewall Service Add-On; 1 Gbps; Requires Purchase of a SD-WAN 1 Gbps Subscription</t>
  </si>
  <si>
    <t>SDEX-EFS-500M-1M</t>
  </si>
  <si>
    <t>Arista VeloCloud SD-WAN Edge Enhanced Firewall Service Add-On; 500 Mbps; Requires Purchase of a SD-WAN 500 Mbps Subscription</t>
  </si>
  <si>
    <t>SDEX-EFS-200M-1M</t>
  </si>
  <si>
    <t>Arista VeloCloud SD-WAN Edge Enhanced Firewall Service Add-On; 200 Mbps; Requires Purchase of a SD-WAN 200 Mbps Subscription</t>
  </si>
  <si>
    <t>SDEX-EFS-100M-1M</t>
  </si>
  <si>
    <t>Arista VeloCloud SD-WAN Edge Enhanced Firewall Service Add-On; 100 Mbps; Requires Purchase of a SD-WAN 100 Mbps Subscription</t>
  </si>
  <si>
    <t>SDEX-EFS-50M-1M</t>
  </si>
  <si>
    <t>Arista VeloCloud SD-WAN Edge Enhanced Firewall Service Add-On; 50 Mbps; Requires Purchase of a SD-WAN 50 Mbps Subscription</t>
  </si>
  <si>
    <t>SDEX-EFS-30M-1M</t>
  </si>
  <si>
    <t>Arista VeloCloud SD-WAN Edge Enhanced Firewall Service Add-On; 30 Mbps; Requires Purchase of a SD-WAN 30 Mbps Subscription</t>
  </si>
  <si>
    <t>SDEX-EFS-10M-1M</t>
  </si>
  <si>
    <t>Arista VeloCloud SD-WAN Edge Enhanced Firewall Service Add-On; 10 Mbps; Requires Purchase of a SD-WAN 10 Mbps Subscription</t>
  </si>
  <si>
    <t>SVC-SDE-EDG-5100-1M-2H</t>
  </si>
  <si>
    <t>1-Month A-Care 24x7x2 Software &amp; Hardware Replacement for SDE-EDG-5100</t>
  </si>
  <si>
    <t>SVC-SDE-EDG-5100-1M-4H</t>
  </si>
  <si>
    <t>1-Month A-Care 24x7x4 Software &amp; Hardware Replacement for SDE-EDG-5100</t>
  </si>
  <si>
    <t>SVC-SDE-EDG-5100-1M-NB</t>
  </si>
  <si>
    <t>1 Month A-Care Software &amp; NBD Hardware Replacement/Same Day Ship for SDE-EDG-5100</t>
  </si>
  <si>
    <t>SVC-SDE-EDG-4100-1M-2H</t>
  </si>
  <si>
    <t>1-Month A-Care 24x7x2 Software &amp; Hardware Replacement for SDE-EDG-4100</t>
  </si>
  <si>
    <t>SVC-SDE-EDG-4100-1M-4H</t>
  </si>
  <si>
    <t>1-Month A-Care 24x7x4 Software &amp; Hardware Replacement for SDE-EDG-4100</t>
  </si>
  <si>
    <t>SVC-SDE-EDG-4100-1M-NB</t>
  </si>
  <si>
    <t>1 Month A-Care Software &amp; NBD Hardware Replacement/Same Day Ship for SDE-EDG-4100</t>
  </si>
  <si>
    <t>SVC-SDE-EDG-740-1M-2H</t>
  </si>
  <si>
    <t>1-Month A-Care 24x7x2 Software &amp; Hardware Replacement for SDE-EDG-740</t>
  </si>
  <si>
    <t>SVC-SDE-EDG-740-1M-4H</t>
  </si>
  <si>
    <t>1-Month A-Care 24x7x4 Software &amp; Hardware Replacement for SDE-EDG-740</t>
  </si>
  <si>
    <t>SVC-SDE-EDG-740-1M-NB</t>
  </si>
  <si>
    <t>1 Month A-Care Software &amp; NBD Hardware Replacement/Same Day Ship for SDE-EDG-740</t>
  </si>
  <si>
    <t>SVC-SDE-EDG-720-1M-2H</t>
  </si>
  <si>
    <t>1-Month A-Care 24x7x2 Software &amp; Hardware Replacement for SDE-EDG-720</t>
  </si>
  <si>
    <t>SVC-SDE-EDG-720-1M-4H</t>
  </si>
  <si>
    <t>1-Month A-Care 24x7x4 Software &amp; Hardware Replacement for SDE-EDG-720</t>
  </si>
  <si>
    <t>SVC-SDE-EDG-720-1M-NB</t>
  </si>
  <si>
    <t>1 Month A-Care Software &amp; NBD Hardware Replacement/Same Day Ship for SDE-EDG-720</t>
  </si>
  <si>
    <t>SVC-SDE-EDG-7105G-1M-2H</t>
  </si>
  <si>
    <t>1-Month A-Care 24x7x2 Software &amp; Hardware Replacement for SDE-EDG-7105G</t>
  </si>
  <si>
    <t>SVC-SDE-EDG-7105G-1M-4H</t>
  </si>
  <si>
    <t>1-Month A-Care 24x7x4 Software &amp; Hardware Replacement for SDE-EDG-7105G</t>
  </si>
  <si>
    <t>SVC-SDE-EDG-7105G-1M-NB</t>
  </si>
  <si>
    <t>1 Month A-Care Software &amp; NBD Hardware Replacement/Same Day Ship for SDE-EDG-7105G</t>
  </si>
  <si>
    <t>SVC-SDE-EDG-710W-1M-2H</t>
  </si>
  <si>
    <t>1-Month A-Care 24x7x2 Software &amp; Hardware Replacement for SDE-EDG-710W</t>
  </si>
  <si>
    <t>SVC-SDE-EDG-710W-1M-4H</t>
  </si>
  <si>
    <t>1-Month A-Care 24x7x4 Software &amp; Hardware Replacement for SDE-EDG-710W</t>
  </si>
  <si>
    <t>SVC-SDE-EDG-710W-1M-NB</t>
  </si>
  <si>
    <t>1 Month A-Care Software &amp; NBD Hardware Replacement/Same Day Ship for SDE-EDG-710W</t>
  </si>
  <si>
    <t>OSV-SDE-EDG-5100-1M-4H</t>
  </si>
  <si>
    <t>Onsite Service: 1-Month A-Care Software &amp; 24x7x4 Hour Hardware Replacement for SDE-EDG-5100</t>
  </si>
  <si>
    <t>OSV-SDE-EDG-5100-1M-NB</t>
  </si>
  <si>
    <t>Onsite Service: 1 Month A-Care Software &amp; NBD Hardware Replacement/Same Day Ship for SDE-EDG-5100</t>
  </si>
  <si>
    <t>OSV-SDE-EDG-4100-1M-4H</t>
  </si>
  <si>
    <t>Onsite Service: 1-Month A-Care Software &amp; 24x7x4 Hour Hardware Replacement for SDE-EDG-4100</t>
  </si>
  <si>
    <t>OSV-SDE-EDG-4100-1M-NB</t>
  </si>
  <si>
    <t>Onsite Service: 1 Month A-Care Software &amp; NBD Hardware Replacement/Same Day Ship for SDE-EDG-4100</t>
  </si>
  <si>
    <t>OSV-SDE-EDG-740-1M-4H</t>
  </si>
  <si>
    <t>Onsite Service: 1-Month A-Care Software &amp; 24x7x4 Hour Hardware Replacement for SDE-EDG-740</t>
  </si>
  <si>
    <t>OSV-SDE-EDG-740-1M-NB</t>
  </si>
  <si>
    <t>Onsite Service: 1 Month A-Care Software &amp; NBD Hardware Replacement/Same Day Ship for SDE-EDG-740</t>
  </si>
  <si>
    <t>OSV-SDE-EDG-720-1M-4H</t>
  </si>
  <si>
    <t>Onsite Service: 1-Month A-Care Software &amp; 24x7x4 Hour Hardware Replacement for SDE-EDG-720</t>
  </si>
  <si>
    <t>OSV-SDE-EDG-720-1M-NB</t>
  </si>
  <si>
    <t>Onsite Service: 1 Month A-Care Software &amp; NBD Hardware Replacement/Same Day Ship for SDE-EDG-720</t>
  </si>
  <si>
    <t>OSV-SDE-EDG-7105G-1M-4H</t>
  </si>
  <si>
    <t>Onsite Service: 1-Month A-Care Software &amp; 24x7x4 Hour Hardware Replacement for SDE-EDG-7105G</t>
  </si>
  <si>
    <t>OSV-SDE-EDG-7105G-1M-NB</t>
  </si>
  <si>
    <t>Onsite Service: 1 Month A-Care Software &amp; NBD Hardware Replacement/Same Day SDE-EDG-7105G</t>
  </si>
  <si>
    <t>OSV-SDE-EDG-710W-1M-4H</t>
  </si>
  <si>
    <t>Onsite Service: 1-Month A-Care Software &amp; 24x7x4 Hour Hardware Replacement for SDE-EDG-710W</t>
  </si>
  <si>
    <t>OSV-SDE-EDG-710W-1M-NB</t>
  </si>
  <si>
    <t>Onsite Service: 1 Month A-Care Software &amp; NBD Hardware Replacement/Same Day Ship for SDE-EDG-710W</t>
  </si>
  <si>
    <t>VC-AC-710-PWR</t>
  </si>
  <si>
    <t>Arista Edge 710 Power Supply</t>
  </si>
  <si>
    <t>VC-AC-PWRC-B-NA</t>
  </si>
  <si>
    <t>Arista Edge Type B Power Cable (NA)</t>
  </si>
  <si>
    <t>VC-AC-PWRC-C-EU</t>
  </si>
  <si>
    <t>Arista Edge Type C Power Cable (EU)</t>
  </si>
  <si>
    <t>VC-AC-PWRC-G-UK-SG</t>
  </si>
  <si>
    <t>Arista Edge Type G Power Cable (UK/SING)</t>
  </si>
  <si>
    <t>VC-AC-PWRC-I-AU</t>
  </si>
  <si>
    <t>Arista Edge Type I Power Cable (Australia)</t>
  </si>
  <si>
    <t>VC-AC-PWRC-I-CH</t>
  </si>
  <si>
    <t>Arista Edge Type I Power Cable (China)</t>
  </si>
  <si>
    <t>VC-AC-PWRC-M-IN</t>
  </si>
  <si>
    <t>Arista Edge Type M Power Cable (IN)</t>
  </si>
  <si>
    <t>VC-AC-PWRC-M-ZA</t>
  </si>
  <si>
    <t>Arista Edge Type M Power Cable (ZA)</t>
  </si>
  <si>
    <t>VC-AC-RMB</t>
  </si>
  <si>
    <t>Arista Edge Rack Mount Bracket</t>
  </si>
  <si>
    <t>VC-AC-WMB</t>
  </si>
  <si>
    <t>Arista Edge Wall Mount Bracket</t>
  </si>
  <si>
    <t>AP-C430-SS-5Y</t>
  </si>
  <si>
    <t>AP-C430-SS-PREM-5Y</t>
  </si>
  <si>
    <t>AP-C430-SS-3Y</t>
  </si>
  <si>
    <t>AP-C430-SS-PREM-3Y</t>
  </si>
  <si>
    <t>AP-C430</t>
  </si>
  <si>
    <t>MNT-AP-A-ADAPTER-1</t>
  </si>
  <si>
    <t>LIC-MOD-7816R4-MACSEC</t>
  </si>
  <si>
    <t>LIC-MOD-7816R4-ENCR</t>
  </si>
  <si>
    <t>LIC-MOD-7816R4-FLX</t>
  </si>
  <si>
    <t>LIC-MOD-7816R4-E</t>
  </si>
  <si>
    <t>LIC-MOD-7816R4-V</t>
  </si>
  <si>
    <t>LIC-MOD-7816R4-V2</t>
  </si>
  <si>
    <t>LIC-MOD-7816R4-Z</t>
  </si>
  <si>
    <t>LIC-DL-FLX</t>
  </si>
  <si>
    <t>LIC-DL-ENCR</t>
  </si>
  <si>
    <t>LIC-DL-MACSEC</t>
  </si>
  <si>
    <t>LIC-FIX-G0-FLX-L</t>
  </si>
  <si>
    <t>DCA-DM-SNR660</t>
  </si>
  <si>
    <t>DCS-7816LR4-BND-FLX</t>
  </si>
  <si>
    <t>DCS-7816LR4-BND-DC-S2</t>
  </si>
  <si>
    <t>DCS-7816LR4-BND-S2</t>
  </si>
  <si>
    <t>DCS-7816LR4-BND-N-S2</t>
  </si>
  <si>
    <t>DCS-7816LR4-BND-DC</t>
  </si>
  <si>
    <t>DCS-7816LR4-BND-N-DC</t>
  </si>
  <si>
    <t>DCS-7816LR4-BND</t>
  </si>
  <si>
    <t>DCS-7816LR4-BND-N</t>
  </si>
  <si>
    <t>DCS-7812R4-BND-FLX</t>
  </si>
  <si>
    <t>DCS-7812R4-BND-DC-S2</t>
  </si>
  <si>
    <t>DCS-7812R4-BND-S2</t>
  </si>
  <si>
    <t>DCS-7812R4-BND-DC</t>
  </si>
  <si>
    <t>DCS-7812R4-BND</t>
  </si>
  <si>
    <t>DCS-7812R4-BND-N-DC</t>
  </si>
  <si>
    <t>DCS-7812R4-BND-N</t>
  </si>
  <si>
    <t>DCS-7808R4-BND-FLX</t>
  </si>
  <si>
    <t>DCS-7808R4-BND-DC-S2</t>
  </si>
  <si>
    <t>DCS-7808R4-BND-S2</t>
  </si>
  <si>
    <t>DCS-7808R4-BND-DC</t>
  </si>
  <si>
    <t>DCS-7808R4-BND-N-DC</t>
  </si>
  <si>
    <t>DCS-7808R4-BND</t>
  </si>
  <si>
    <t>DCS-7808R4-BND-N</t>
  </si>
  <si>
    <t>DCS-7804R4-BND-FLX</t>
  </si>
  <si>
    <t>DCS-7804R4-BND-DC-S2</t>
  </si>
  <si>
    <t>DCS-7804R4-BND-S2</t>
  </si>
  <si>
    <t>DCS-7804R4-BND-DC</t>
  </si>
  <si>
    <t>DCS-7804R4-BND</t>
  </si>
  <si>
    <t>DCS-7804R4-BND-N-DC</t>
  </si>
  <si>
    <t>DCS-7804R4-BND-N</t>
  </si>
  <si>
    <t>DCS-7808-SUP2</t>
  </si>
  <si>
    <t>DCS-7808-SUP2#</t>
  </si>
  <si>
    <t>DCS-7808-SUP2-N</t>
  </si>
  <si>
    <t>DCS-7808-SUP2-N#</t>
  </si>
  <si>
    <t>DCS-7816-SUP2</t>
  </si>
  <si>
    <t>DCS-7816-SUP2#</t>
  </si>
  <si>
    <t>DCS-7816-SUP2-N</t>
  </si>
  <si>
    <t>DCS-7816-SUP2-N#</t>
  </si>
  <si>
    <t>DCS-7816LR4-FM</t>
  </si>
  <si>
    <t>DCS-7816L-FCM</t>
  </si>
  <si>
    <t>PWR-461-AC-H</t>
  </si>
  <si>
    <t>PWR-462-DC-ADP-H</t>
  </si>
  <si>
    <t>PWR-462-AC-ADP-H</t>
  </si>
  <si>
    <t>CAB-DC-BK150-TAIL-4A-2M5</t>
  </si>
  <si>
    <t>CAB-LC16-CS</t>
  </si>
  <si>
    <t>KIT-7808-RK-HD</t>
  </si>
  <si>
    <t>DCS-DL-7700R4K-38PE-B#</t>
  </si>
  <si>
    <t>DCS-DL-7700R4K-38PE-B-F</t>
  </si>
  <si>
    <t>DCS-7060X6-64PE-RV3</t>
  </si>
  <si>
    <t>DCS-7060DX5-64S-RV3</t>
  </si>
  <si>
    <t>DCS-7060DX4-32-DC-F</t>
  </si>
  <si>
    <t>DCS-7001-SUP-L</t>
  </si>
  <si>
    <t>DCS-7020R4-48Y-8QC-FLX-F</t>
  </si>
  <si>
    <t>DCS-7020R4-48Y-8QC-FLX-R</t>
  </si>
  <si>
    <t>DCS-7020R4-48Y-8QC-FLX#</t>
  </si>
  <si>
    <t>DCS-7020R4-48Y-8QC-DC-F</t>
  </si>
  <si>
    <t>DCS-7020R4-48Y-8QC-DC-R</t>
  </si>
  <si>
    <t>DCS-7020R4-48Y-8QC-F</t>
  </si>
  <si>
    <t>DCS-7020R4-48Y-8QC-R</t>
  </si>
  <si>
    <t>DCS-7020R4-48Y-8QC#</t>
  </si>
  <si>
    <t>DCS-7020R4M-48Y-8QC-FLX-F</t>
  </si>
  <si>
    <t>DCS-7020R4M-48Y-8QC-FLX-R</t>
  </si>
  <si>
    <t>DCS-7020R4M-48Y-8QC-FLX#</t>
  </si>
  <si>
    <t>DCS-7020R4M-48Y-8QC-DC-F</t>
  </si>
  <si>
    <t>DCS-7020R4M-48Y-8QC-DC-R</t>
  </si>
  <si>
    <t>DCS-7020R4M-48Y-8QC-F</t>
  </si>
  <si>
    <t>DCS-7020R4M-48Y-8QC-R</t>
  </si>
  <si>
    <t>DCS-7020R4M-48Y-8QC#</t>
  </si>
  <si>
    <t>DCS-7020R4-48Y-4QC-FLX-F</t>
  </si>
  <si>
    <t>DCS-7020R4-48Y-4QC-FLX-R</t>
  </si>
  <si>
    <t>DCS-7020R4-48Y-4QC-FLX#</t>
  </si>
  <si>
    <t>DCS-7020R4-48Y-4QC-DC-F</t>
  </si>
  <si>
    <t>DCS-7020R4-48Y-4QC-DC-R</t>
  </si>
  <si>
    <t>DCS-7020R4-48Y-4QC-F</t>
  </si>
  <si>
    <t>DCS-7020R4-48Y-4QC-R</t>
  </si>
  <si>
    <t>DCS-7020R4-48Y-4QC#</t>
  </si>
  <si>
    <t>DCS-7020R4M-48Y-4QC-FLX-F</t>
  </si>
  <si>
    <t>DCS-7020R4M-48Y-4QC-FLX-R</t>
  </si>
  <si>
    <t>DCS-7020R4M-48Y-4QC-FLX#</t>
  </si>
  <si>
    <t>DCS-7020R4M-48Y-4QC-DC-F</t>
  </si>
  <si>
    <t>DCS-7020R4M-48Y-4QC-DC-R</t>
  </si>
  <si>
    <t>DCS-7020R4M-48Y-4QC-F</t>
  </si>
  <si>
    <t>DCS-7020R4M-48Y-4QC-R</t>
  </si>
  <si>
    <t>DCS-7020R4M-48Y-4QC#</t>
  </si>
  <si>
    <t>DCS-7020R4-48TX-4QC-F</t>
  </si>
  <si>
    <t>DCS-7020R4-48TX-4QC-R</t>
  </si>
  <si>
    <t>DCS-7020R4-48TX-4QC#</t>
  </si>
  <si>
    <t>DCS-7020R4M-48TX-4QC-F</t>
  </si>
  <si>
    <t>DCS-7020R4M-48TX-4QC-R</t>
  </si>
  <si>
    <t>DCS-7020R4M-48TX-4QC#</t>
  </si>
  <si>
    <t>5NB-7010TX-48C-F</t>
  </si>
  <si>
    <t>CCS-710HXP-28TXH-4S</t>
  </si>
  <si>
    <t>CCS-710HXP-20TNH-4S</t>
  </si>
  <si>
    <t>KIT-CCS-710HXP-WALL</t>
  </si>
  <si>
    <t>KIT-CCS-710HXP-DIN</t>
  </si>
  <si>
    <t>KIT-CCS-710HXP-DIN-RM</t>
  </si>
  <si>
    <t>CCS-755-100-BND-2-TAA</t>
  </si>
  <si>
    <t>CCS-755-25-BND-2-TAA</t>
  </si>
  <si>
    <t>CCS-758-100-BND-2-TAA</t>
  </si>
  <si>
    <t>CCS-758-25-BND-2-TAA</t>
  </si>
  <si>
    <t>CCS-750-SUP100-TAA</t>
  </si>
  <si>
    <t>CCS-750-SUP25-TAA</t>
  </si>
  <si>
    <t>CCS-750X-48T-LC</t>
  </si>
  <si>
    <t>CCS-750X-48T-48TP-UPG</t>
  </si>
  <si>
    <t>FAN-7021H-BLUE</t>
  </si>
  <si>
    <t>FAN-7021H-BLUE#</t>
  </si>
  <si>
    <t>FAN-7022HQ-RED#</t>
  </si>
  <si>
    <t>FAN-7022HQ-BLUE</t>
  </si>
  <si>
    <t>FAN-7022HQ-BLUE#</t>
  </si>
  <si>
    <t>KIT-7201-RV3</t>
  </si>
  <si>
    <t>KIT-7200-RV3</t>
  </si>
  <si>
    <t>KIT-7002-AFK-F</t>
  </si>
  <si>
    <t>KIT-7002-AFK-R</t>
  </si>
  <si>
    <t>KIT-7001-AFK-F</t>
  </si>
  <si>
    <t>KIT-7001-AFK-R</t>
  </si>
  <si>
    <t>ZTX-7230S-4TX-4S-F</t>
  </si>
  <si>
    <t>NIM-1QC</t>
  </si>
  <si>
    <t>NIM-4S</t>
  </si>
  <si>
    <t>SVE-S-PF-UCD-BASE-L3-R1</t>
  </si>
  <si>
    <t>SVE-S-PF-UCD-NODE-L3-R1</t>
  </si>
  <si>
    <t>SVE-S-PF-UCD-BASE-L2-R1</t>
  </si>
  <si>
    <t>SVE-S-PF-UCD-NODE-L2-R1</t>
  </si>
  <si>
    <t>SVE-S-PF-UCD-ADD-CPI-R1</t>
  </si>
  <si>
    <t>SVE-S-PF-UCD-BASE-L3-R2</t>
  </si>
  <si>
    <t>SVE-S-PF-UCD-NODE-L3-R2</t>
  </si>
  <si>
    <t>SVE-S-PF-UCD-BASE-L2-R2</t>
  </si>
  <si>
    <t>SVE-S-PF-UCD-NODE-L2-R2</t>
  </si>
  <si>
    <t>SVE-S-PF-UCD-ADD-CPI-R2</t>
  </si>
  <si>
    <t>SVE-S-PF-UCD-BASE-L3-R3</t>
  </si>
  <si>
    <t>SVE-S-PF-UCD-NODE-L3-R3</t>
  </si>
  <si>
    <t>SVE-S-PF-UCD-BASE-L2-R3</t>
  </si>
  <si>
    <t>SVE-S-PF-UCD-NODE-L2-R3</t>
  </si>
  <si>
    <t>SVE-S-PF-UCD-ADD-CPI-R3</t>
  </si>
  <si>
    <t>SVE-S-PF-UCC-BASE-L3-R1</t>
  </si>
  <si>
    <t>SVE-S-PF-UCC-NODE-L3-R1</t>
  </si>
  <si>
    <t>SVE-S-PF-UCC-BASE-L2-R1</t>
  </si>
  <si>
    <t>SVE-S-PF-UCC-NODE-L2-R1</t>
  </si>
  <si>
    <t>SVE-S-PF-UCC-ADD-CPI-R1</t>
  </si>
  <si>
    <t>SVE-S-PF-UCC-BASE-L3-R2</t>
  </si>
  <si>
    <t>SVE-S-PF-UCC-NODE-L3-R2</t>
  </si>
  <si>
    <t>SVE-S-PF-UCC-BASE-L2-R2</t>
  </si>
  <si>
    <t>SVE-S-PF-UCC-NODE-L2-R2</t>
  </si>
  <si>
    <t>SVE-S-PF-UCC-ADD-CPI-R2</t>
  </si>
  <si>
    <t>SVE-S-PF-UCC-BASE-L3-R3</t>
  </si>
  <si>
    <t>SVE-S-PF-UCC-NODE-L3-R3</t>
  </si>
  <si>
    <t>SVE-S-PF-UCC-BASE-L2-R3</t>
  </si>
  <si>
    <t>SVE-S-PF-UCC-NODE-L2-R3</t>
  </si>
  <si>
    <t>SVE-S-PF-UCC-ADD-CPI-R3</t>
  </si>
  <si>
    <t>SVE-S-PF-UCW-BASE-R1</t>
  </si>
  <si>
    <t>SVE-S-PF-UCW-SITE-R1</t>
  </si>
  <si>
    <t>SVE-S-PF-UCW-BASE-R2</t>
  </si>
  <si>
    <t>SVE-S-PF-UCW-SITE-R2</t>
  </si>
  <si>
    <t>SVE-S-PF-UCW-BASE-R3</t>
  </si>
  <si>
    <t>SVE-S-PF-UCW-SITE-R3</t>
  </si>
  <si>
    <t>SVE-S-PF-GNR-MIG-SM-R2</t>
  </si>
  <si>
    <t>SVE-S-PF-GNR-MIG-MD-R2</t>
  </si>
  <si>
    <t>SVE-S-PF-GNR-MIG-LG-R2</t>
  </si>
  <si>
    <t>SVE-S-PF-GNR-MIG-SM-R3</t>
  </si>
  <si>
    <t>SVE-S-PF-GNR-MIG-MD-R3</t>
  </si>
  <si>
    <t>SVE-S-PF-GNR-MIG-LG-R3</t>
  </si>
  <si>
    <t>SVE-S-PF-DMF-IMPL-DSN-R1</t>
  </si>
  <si>
    <t>SVE-S-PF-DMF-IMPL-SW-R1</t>
  </si>
  <si>
    <t>SVE-S-PF-DMF-IMPL-SNC-R1</t>
  </si>
  <si>
    <t>SVE-S-PF-DMF-IMPL-SNEL-R1</t>
  </si>
  <si>
    <t>SVE-S-PF-DMF-IMPL-SNDL-R1</t>
  </si>
  <si>
    <t>SVE-S-PF-DMF-IMPL-RN-R1</t>
  </si>
  <si>
    <t>SVE-S-PF-DMF-IMPL-AN-R1</t>
  </si>
  <si>
    <t>SVE-S-PF-DMF-IMPL-DSN-R2</t>
  </si>
  <si>
    <t>SVE-S-PF-DMF-IMPL-SW-R2</t>
  </si>
  <si>
    <t>SVE-S-PF-DMF-IMPL-SNC-R2</t>
  </si>
  <si>
    <t>SVE-S-PF-DMF-IMPL-SNEL-R2</t>
  </si>
  <si>
    <t>SVE-S-PF-DMF-IMPL-SNDL-R2</t>
  </si>
  <si>
    <t>SVE-S-PF-DMF-IMPL-RN-R2</t>
  </si>
  <si>
    <t>SVE-S-PF-DMF-IMPL-AN-R2</t>
  </si>
  <si>
    <t>SVE-S-TM-ENG-ONS-5D-R1</t>
  </si>
  <si>
    <t>SVE-S-TM-ENG-REM-5D-R2</t>
  </si>
  <si>
    <t>SVE-S-TM-ENG-ONS-5D-R2</t>
  </si>
  <si>
    <t>SVE-S-TM-ENG-REM-5D-R3</t>
  </si>
  <si>
    <t>SVE-S-TM-ENG-ONS-5D-R3</t>
  </si>
  <si>
    <t>SVE-S-TM-ENG-REM-1D-R2</t>
  </si>
  <si>
    <t>SVE-S-TM-ENG-REM-1D-R3</t>
  </si>
  <si>
    <t>SVE-S-TM-ENG-REM-1Y-R1</t>
  </si>
  <si>
    <t>SVE-S-TM-ENG-REM-1Y-R2</t>
  </si>
  <si>
    <t>SVE-S-TM-ENG-REM-1Y-R3</t>
  </si>
  <si>
    <t>SVE-S-CS</t>
  </si>
  <si>
    <t>SVE-EDU-ONLINE-PROSVC</t>
  </si>
  <si>
    <t>SVE-TRAIN-ALL-ENT</t>
  </si>
  <si>
    <t>SVE-TRAIN-ALL-GRP</t>
  </si>
  <si>
    <t>SVE-TRAIN-ALL-SITE</t>
  </si>
  <si>
    <t>SVE-TRAIN-RCTEXP</t>
  </si>
  <si>
    <t>SVE-TRAIN-FDN-AA</t>
  </si>
  <si>
    <t>SVE-TRAIN-DC-AA</t>
  </si>
  <si>
    <t>SVE-TRAIN-CAMP-AA</t>
  </si>
  <si>
    <t>VC-AC-720740-PWR</t>
  </si>
  <si>
    <t>VC-AC-PWRC-N-BZ</t>
  </si>
  <si>
    <t>OSFP-800G-ZRP</t>
  </si>
  <si>
    <t>OSFP-800G-XDR8</t>
  </si>
  <si>
    <t>OSFP-8X25-MR-LR</t>
  </si>
  <si>
    <t>QSFP-100G-ZR-H</t>
  </si>
  <si>
    <t>QSFP-100G-ZR</t>
  </si>
  <si>
    <t>C-O800-2Q400-4M</t>
  </si>
  <si>
    <t>LPO-800G-DR8</t>
  </si>
  <si>
    <t>QDD-400G-ZR-EE</t>
  </si>
  <si>
    <t>QDD-400G-ER4</t>
  </si>
  <si>
    <t>SS-CVS-FIX-1-SWITCH-1M</t>
  </si>
  <si>
    <t>SS-CVS-FIX-2-SWITCH-1M</t>
  </si>
  <si>
    <t>SS-CVS-FIX-3-SWITCH-1M</t>
  </si>
  <si>
    <t>SS-CVS-FIX-4-SWITCH-1M</t>
  </si>
  <si>
    <t>SS-CVS-FIX-5-SWITCH-1M</t>
  </si>
  <si>
    <t>SS-CVS-MOD-X-SWITCH-1M</t>
  </si>
  <si>
    <t>SS-CVS-FIX-1-T1-1M</t>
  </si>
  <si>
    <t>SS-CVS-FIX-2-T1-1M</t>
  </si>
  <si>
    <t>SS-CVS-FIX-3-T1-1M</t>
  </si>
  <si>
    <t>SS-CVS-FIX-4-T1-1M</t>
  </si>
  <si>
    <t>SS-CVS-FIX-5-T1-1M</t>
  </si>
  <si>
    <t>SS-CVS-MOD-X-T1-1M</t>
  </si>
  <si>
    <t>SS-CVS-FIX-1-T2-1M</t>
  </si>
  <si>
    <t>SS-CVS-FIX-2-T2-1M</t>
  </si>
  <si>
    <t>SS-CVS-FIX-3-T2-1M</t>
  </si>
  <si>
    <t>SS-CVS-FIX-4-T2-1M</t>
  </si>
  <si>
    <t>SS-CVS-FIX-5-T2-1M</t>
  </si>
  <si>
    <t>SS-CVS-MOD-X-T2-1M</t>
  </si>
  <si>
    <t>SS-CVS-LT-FIX-1-SWITCH-1M</t>
  </si>
  <si>
    <t>SS-CVS-LT-FIX-2-SWITCH-1M</t>
  </si>
  <si>
    <t>SS-CVS-LT-FIX-3-SWITCH-1M</t>
  </si>
  <si>
    <t>SS-CVS-LT-FIX-4-SWITCH-1M</t>
  </si>
  <si>
    <t>SS-CVS-LT-FIX-5-SWITCH-1M</t>
  </si>
  <si>
    <t>SS-CVS-LT-MOD-X-SWITCH-1M</t>
  </si>
  <si>
    <t>SS-CVS-LT-FIX-1-T1-1M</t>
  </si>
  <si>
    <t>SS-CVS-LT-FIX-2-T1-1M</t>
  </si>
  <si>
    <t>SS-CVS-LT-FIX-3-T1-1M</t>
  </si>
  <si>
    <t>SS-CVS-LT-FIX-4-T1-1M</t>
  </si>
  <si>
    <t>SS-CVS-LT-FIX-5-T1-1M</t>
  </si>
  <si>
    <t>SS-CVS-LT-MOD-X-T1-1M</t>
  </si>
  <si>
    <t>SS-CVS-LT-FIX-1-T2-1M</t>
  </si>
  <si>
    <t>SS-CVS-LT-FIX-2-T2-1M</t>
  </si>
  <si>
    <t>SS-CVS-LT-FIX-3-T2-1M</t>
  </si>
  <si>
    <t>SS-CVS-LT-FIX-4-T2-1M</t>
  </si>
  <si>
    <t>SS-CVS-LT-FIX-5-T2-1M</t>
  </si>
  <si>
    <t>SS-CVS-LT-MOD-X-T2-1M</t>
  </si>
  <si>
    <t>SS-CVS-UNO-FIX-1-SWITCH-1M</t>
  </si>
  <si>
    <t>SS-CVS-UNO-FIX-2-SWITCH-1M</t>
  </si>
  <si>
    <t>SS-CVS-UNO-FIX-3-SWITCH-1M</t>
  </si>
  <si>
    <t>SS-CVS-UNO-FIX-4-SWITCH-1M</t>
  </si>
  <si>
    <t>SS-CVS-UNO-FIX-5-SWITCH-1M</t>
  </si>
  <si>
    <t>SS-CVS-UNO-MOD-X-SWITCH-1M</t>
  </si>
  <si>
    <t>SS-CVS-UNO-FIX-1-T1-1M</t>
  </si>
  <si>
    <t>SS-CVS-UNO-FIX-2-T1-1M</t>
  </si>
  <si>
    <t>SS-CVS-UNO-FIX-3-T1-1M</t>
  </si>
  <si>
    <t>SS-CVS-UNO-FIX-4-T1-1M</t>
  </si>
  <si>
    <t>SS-CVS-UNO-FIX-5-T1-1M</t>
  </si>
  <si>
    <t>SS-CVS-UNO-MOD-X-T1-1M</t>
  </si>
  <si>
    <t>SS-CVS-UNO-FIX-1-T2-1M</t>
  </si>
  <si>
    <t>SS-CVS-UNO-FIX-2-T2-1M</t>
  </si>
  <si>
    <t>SS-CVS-UNO-FIX-3-T2-1M</t>
  </si>
  <si>
    <t>SS-CVS-UNO-FIX-4-T2-1M</t>
  </si>
  <si>
    <t>SS-CVS-UNO-FIX-5-T2-1M</t>
  </si>
  <si>
    <t>SS-CVS-UNO-MOD-X-T2-1M</t>
  </si>
  <si>
    <t>SS-CVS-UNO-FIX-1-SWITCH-B-1M</t>
  </si>
  <si>
    <t>SS-CVS-UNO-FIX-2-SWITCH-B-1M</t>
  </si>
  <si>
    <t>SS-CVS-UNO-FIX-3-SWITCH-B-1M</t>
  </si>
  <si>
    <t>SS-CVS-UNO-FIX-4-SWITCH-B-1M</t>
  </si>
  <si>
    <t>SS-CVS-UNO-FIX-5-SWITCH-B-1M</t>
  </si>
  <si>
    <t>SS-CVS-UNO-MOD-X-SWITCH-B-1M</t>
  </si>
  <si>
    <t>SS-CVS-UNO-FIX-1-T1-B-1M</t>
  </si>
  <si>
    <t>SS-CVS-UNO-FIX-2-T1-B-1M</t>
  </si>
  <si>
    <t>SS-CVS-UNO-FIX-3-T1-B-1M</t>
  </si>
  <si>
    <t>SS-CVS-UNO-FIX-4-T1-B-1M</t>
  </si>
  <si>
    <t>SS-CVS-UNO-FIX-5-T1-B-1M</t>
  </si>
  <si>
    <t>SS-CVS-UNO-MOD-X-T1-B-1M</t>
  </si>
  <si>
    <t>SS-CVS-UNO-FIX-1-T2-B-1M</t>
  </si>
  <si>
    <t>SS-CVS-UNO-FIX-2-T2-B-1M</t>
  </si>
  <si>
    <t>SS-CVS-UNO-FIX-3-T2-B-1M</t>
  </si>
  <si>
    <t>SS-CVS-UNO-FIX-4-T2-B-1M</t>
  </si>
  <si>
    <t>SS-CVS-UNO-FIX-5-T2-B-1M</t>
  </si>
  <si>
    <t>SS-CVS-UNO-MOD-X-T2-B-1M</t>
  </si>
  <si>
    <t>SS-CVS-G0-SWITCH-1M</t>
  </si>
  <si>
    <t>SS-CVS-G0-T1-1M</t>
  </si>
  <si>
    <t>SS-CVS-G0-T2-1M</t>
  </si>
  <si>
    <t>SS-CVS-LT-G0-SWITCH-1M</t>
  </si>
  <si>
    <t>SS-CVS-LT-G0-T1-1M</t>
  </si>
  <si>
    <t>SS-CVS-LT-G0-T2-1M</t>
  </si>
  <si>
    <t>SS-CVS-UNO-G0-SWITCH-1M</t>
  </si>
  <si>
    <t>SS-CVS-UNO-G0-SWITCH-B-1M</t>
  </si>
  <si>
    <t>SS-CVS-UNO-G0-T1-1M</t>
  </si>
  <si>
    <t>SS-CVS-UNO-G0-T1-B-1M</t>
  </si>
  <si>
    <t>SS-CVS-UNO-G0-T2-1M</t>
  </si>
  <si>
    <t>SS-CVS-UNO-G0-T2-B-1M</t>
  </si>
  <si>
    <t>SS-CVS-ZTX2-1M</t>
  </si>
  <si>
    <t>SS-CV-FIX-1-SWITCH-1M</t>
  </si>
  <si>
    <t>SS-CV-FIX-2-SWITCH-1M</t>
  </si>
  <si>
    <t>SS-CV-FIX-3-SWITCH-1M</t>
  </si>
  <si>
    <t>SS-CV-FIX-4-SWITCH-1M</t>
  </si>
  <si>
    <t>SS-CV-FIX-5-SWITCH-1M</t>
  </si>
  <si>
    <t>SS-CV-MOD-X-SWITCH-1M</t>
  </si>
  <si>
    <t>SS-CV-FIX-1-T1-1M</t>
  </si>
  <si>
    <t>SS-CV-FIX-2-T1-1M</t>
  </si>
  <si>
    <t>SS-CV-FIX-3-T1-1M</t>
  </si>
  <si>
    <t>SS-CV-FIX-4-T1-1M</t>
  </si>
  <si>
    <t>SS-CV-FIX-5-T1-1M</t>
  </si>
  <si>
    <t>SS-CV-MOD-X-T1-1M</t>
  </si>
  <si>
    <t>SS-CV-FIX-1-T2-1M</t>
  </si>
  <si>
    <t>SS-CV-FIX-2-T2-1M</t>
  </si>
  <si>
    <t>SS-CV-FIX-3-T2-1M</t>
  </si>
  <si>
    <t>SS-CV-FIX-4-T2-1M</t>
  </si>
  <si>
    <t>SS-CV-FIX-5-T2-1M</t>
  </si>
  <si>
    <t>SS-CV-MOD-X-T2-1M</t>
  </si>
  <si>
    <t>SS-CV-LT-FIX-1-SWITCH-1M</t>
  </si>
  <si>
    <t>SS-CV-LT-FIX-2-SWITCH-1M</t>
  </si>
  <si>
    <t>SS-CV-LT-FIX-3-SWITCH-1M</t>
  </si>
  <si>
    <t>SS-CV-LT-FIX-4-SWITCH-1M</t>
  </si>
  <si>
    <t>SS-CV-LT-FIX-5-SWITCH-1M</t>
  </si>
  <si>
    <t>SS-CV-LT-MOD-X-SWITCH-1M</t>
  </si>
  <si>
    <t>SS-CV-LT-FIX-1-T1-1M</t>
  </si>
  <si>
    <t>SS-CV-LT-FIX-2-T1-1M</t>
  </si>
  <si>
    <t>SS-CV-LT-FIX-3-T1-1M</t>
  </si>
  <si>
    <t>SS-CV-LT-FIX-4-T1-1M</t>
  </si>
  <si>
    <t>SS-CV-LT-FIX-5-T1-1M</t>
  </si>
  <si>
    <t>SS-CV-LT-MOD-X-T1-1M</t>
  </si>
  <si>
    <t>SS-CV-LT-FIX-1-T2-1M</t>
  </si>
  <si>
    <t>SS-CV-LT-FIX-2-T2-1M</t>
  </si>
  <si>
    <t>SS-CV-LT-FIX-3-T2-1M</t>
  </si>
  <si>
    <t>SS-CV-LT-FIX-4-T2-1M</t>
  </si>
  <si>
    <t>SS-CV-LT-FIX-5-T2-1M</t>
  </si>
  <si>
    <t>SS-CV-LT-MOD-X-T2-1M</t>
  </si>
  <si>
    <t>SS-CV-G0-SWITCH-1M</t>
  </si>
  <si>
    <t>SS-CV-G0-T1-1M</t>
  </si>
  <si>
    <t>SS-CV-G0-T2-1M</t>
  </si>
  <si>
    <t>SS-CV-LT-G0-SWITCH-1M</t>
  </si>
  <si>
    <t>SS-CV-LT-G0-T1-1M</t>
  </si>
  <si>
    <t>SS-CV-LT-G0-T2-1M</t>
  </si>
  <si>
    <t>SS-CV-ZTX2-1M</t>
  </si>
  <si>
    <t>SS-MSS-ZTX-MOD-G-1M</t>
  </si>
  <si>
    <t>SVC-DCA-DM-SNR660-1M-NB</t>
  </si>
  <si>
    <t>SVC-ZTX-7230S-1M-2H</t>
  </si>
  <si>
    <t>SVC-ZTX-7230S-1M-4H</t>
  </si>
  <si>
    <t>SVC-ZTX-7230S-1M-NB</t>
  </si>
  <si>
    <t>SVC-7816LR4-1M-2H</t>
  </si>
  <si>
    <t>SVC-7816LR4-1M-4H</t>
  </si>
  <si>
    <t>SVC-7816LR4-1M-NB</t>
  </si>
  <si>
    <t>SVC-7812R4-1M-NB</t>
  </si>
  <si>
    <t>SVC-7812R4-1M-4H</t>
  </si>
  <si>
    <t>SVC-7812R4-1M-2H</t>
  </si>
  <si>
    <t>SVC-7808R4-1M-2H</t>
  </si>
  <si>
    <t>SVC-7808R4-1M-4H</t>
  </si>
  <si>
    <t>SVC-7808R4-1M-NB</t>
  </si>
  <si>
    <t>SVC-7804R4-1M-2H</t>
  </si>
  <si>
    <t>SVC-7804R4-1M-4H</t>
  </si>
  <si>
    <t>SVC-7804R4-1M-NB</t>
  </si>
  <si>
    <t>SVC-DL-7700R4K-38PE-B-1M-2H</t>
  </si>
  <si>
    <t>SVC-DL-7700R4K-38PE-B-1M-4H</t>
  </si>
  <si>
    <t>SVC-DL-7700R4K-38PE-B-1M-NB</t>
  </si>
  <si>
    <t>SVC-7130LBR-48S6YD-1M-2H</t>
  </si>
  <si>
    <t>SVC-7130LBR-48S6YD-1M-4H</t>
  </si>
  <si>
    <t>SVC-7130LBR-48S6YD-1M-NB</t>
  </si>
  <si>
    <t>SVC-7020R4-48TX4QC-1M-2H</t>
  </si>
  <si>
    <t>SVC-7020R4-48TX4QC-1M-4H</t>
  </si>
  <si>
    <t>SVC-7020R4-48TX4QC-1M-NB</t>
  </si>
  <si>
    <t>SVC-7020R4-48Y4QC-1M-2H</t>
  </si>
  <si>
    <t>SVC-7020R4-48Y4QC-1M-4H</t>
  </si>
  <si>
    <t>SVC-7020R4-48Y4QC-1M-NB</t>
  </si>
  <si>
    <t>SVC-7020R4-48Y8QC-1M-2H</t>
  </si>
  <si>
    <t>SVC-7020R4-48Y8QC-1M-4H</t>
  </si>
  <si>
    <t>SVC-7020R4-48Y8QC-1M-NB</t>
  </si>
  <si>
    <t>SVC-7020R4M-48TX4QC-1M-2H</t>
  </si>
  <si>
    <t>SVC-7020R4M-48TX4QC-1M-4H</t>
  </si>
  <si>
    <t>SVC-7020R4M-48TX4QC-1M-NB</t>
  </si>
  <si>
    <t>SVC-7020R4M-48Y4QC-1M-2H</t>
  </si>
  <si>
    <t>SVC-7020R4M-48Y4QC-1M-4H</t>
  </si>
  <si>
    <t>SVC-7020R4M-48Y4QC-1M-NB</t>
  </si>
  <si>
    <t>SVC-7020R4M-48Y8QC-1M-2H</t>
  </si>
  <si>
    <t>SVC-7020R4M-48Y8QC-1M-4H</t>
  </si>
  <si>
    <t>SVC-7020R4M-48Y8QC-1M-NB</t>
  </si>
  <si>
    <t>SVC-710HXP-28TXH-1M-2H</t>
  </si>
  <si>
    <t>SVC-710HXP-28TXH-1M-4H</t>
  </si>
  <si>
    <t>SVC-710HXP-28TXH-1M-NB</t>
  </si>
  <si>
    <t>SVC-710HXP-28TXH-1M-RB</t>
  </si>
  <si>
    <t>SVC-710HXP-20TNH-1M-2H</t>
  </si>
  <si>
    <t>SVC-710HXP-20TNH-1M-4H</t>
  </si>
  <si>
    <t>SVC-710HXP-20TNH-1M-NB</t>
  </si>
  <si>
    <t>SVC-710HXP-20TNH-1M-RB</t>
  </si>
  <si>
    <t>SVC-720XP-48TXH-2C-S-5G-1M-2H</t>
  </si>
  <si>
    <t>SVC-720XP-48TXH-2C-S-5G-1M-4H</t>
  </si>
  <si>
    <t>SVC-720XP-48TXH-2C-S-5G-1M-NB</t>
  </si>
  <si>
    <t>SVC-720XP-48TXH-2C-S-5G-1M-RB</t>
  </si>
  <si>
    <t>OSV-7816LR4-1M-4H</t>
  </si>
  <si>
    <t>OSV-7816LR4-1M-NB</t>
  </si>
  <si>
    <t>OSV-7812R4-1M-4H</t>
  </si>
  <si>
    <t>OSV-7812R4-1M-NB</t>
  </si>
  <si>
    <t>OSV-7808R4-1M-4H</t>
  </si>
  <si>
    <t>OSV-7808R4-1M-NB</t>
  </si>
  <si>
    <t>OSV-7804R4-1M-4H</t>
  </si>
  <si>
    <t>OSV-7804R4-1M-NB</t>
  </si>
  <si>
    <t>OSV-DL-7700R4K-38PE-B-1M-4H</t>
  </si>
  <si>
    <t>OSV-DL-7700R4K-38PE-B-1M-NB</t>
  </si>
  <si>
    <t>OSV-7020R4-48TX4QC-1M-4H</t>
  </si>
  <si>
    <t>OSV-7020R4-48TX4QC-1M-NB</t>
  </si>
  <si>
    <t>OSV-7020R4-48Y4QC-1M-4H</t>
  </si>
  <si>
    <t>OSV-7020R4-48Y4QC-1M-NB</t>
  </si>
  <si>
    <t>OSV-7020R4-48Y8QC-1M-4H</t>
  </si>
  <si>
    <t>OSV-7020R4-48Y8QC-1M-NB</t>
  </si>
  <si>
    <t>OSV-7020R4M-48TX4QC-1M-4H</t>
  </si>
  <si>
    <t>OSV-7020R4M-48TX4QC-1M-NB</t>
  </si>
  <si>
    <t>OSV-7020R4M-48Y4QC-1M-4H</t>
  </si>
  <si>
    <t>OSV-7020R4M-48Y4QC-1M-NB</t>
  </si>
  <si>
    <t>OSV-7020R4M-48Y8QC-1M-4H</t>
  </si>
  <si>
    <t>OSV-7020R4M-48Y8QC-1M-NB</t>
  </si>
  <si>
    <t>OSV-710HXP-28TXH-1M-4H</t>
  </si>
  <si>
    <t>OSV-710HXP-28TXH-1M-NB</t>
  </si>
  <si>
    <t>OSV-710HXP-20TNH-1M-4H</t>
  </si>
  <si>
    <t>OSV-710HXP-20TNH-1M-NB</t>
  </si>
  <si>
    <t>SVC-7804R4-1M-SHR</t>
  </si>
  <si>
    <t>SVC-7804R4-1M-SH4</t>
  </si>
  <si>
    <t>SVC-7808R4-1M-SHR</t>
  </si>
  <si>
    <t>SVC-7808R4-1M-SH4</t>
  </si>
  <si>
    <t>SVC-7812R4-1M-SHR</t>
  </si>
  <si>
    <t>SVC-7812R4-1M-SH4</t>
  </si>
  <si>
    <t>SVC-7816LR4-1M-SHR</t>
  </si>
  <si>
    <t>SVC-7816LR4-1M-SH4</t>
  </si>
  <si>
    <t>SVC-7804R4U-1M-SHR</t>
  </si>
  <si>
    <t>SVC-7804R4U-1M-SH4</t>
  </si>
  <si>
    <t>SVC-DL-7700R4K-38PE-B-1M-SH4</t>
  </si>
  <si>
    <t>SVC-DL-7700R4K-38PE-B-1M-SHR</t>
  </si>
  <si>
    <t>SVC-DL-7700R4C-38PE-B-1M-SH4</t>
  </si>
  <si>
    <t>SVC-DL-7700R4C-38PE-B-1M-SHR</t>
  </si>
  <si>
    <t>SVC-7280R4-32PE-1M-SHR</t>
  </si>
  <si>
    <t>SVC-7280R4-32PE-1M-SH4</t>
  </si>
  <si>
    <t>SVC-7280R4K-32PE-1M-SHR</t>
  </si>
  <si>
    <t>SVC-7280R4K-32PE-1M-SH4</t>
  </si>
  <si>
    <t>SVC-7280R4-32DE-1M-SHR</t>
  </si>
  <si>
    <t>SVC-7280R4-32DE-1M-SH4</t>
  </si>
  <si>
    <t>SVC-7280R4K-32DE-1M-SHR</t>
  </si>
  <si>
    <t>SVC-7280R4K-32DE-1M-SH4</t>
  </si>
  <si>
    <t>SVC-7280R4-64QC-10PE-1M-SHR</t>
  </si>
  <si>
    <t>SVC-7280R4-64QC-10PE-1M-SH4</t>
  </si>
  <si>
    <t>SVC-7280R4K-64QC-10PE-1M-SHR</t>
  </si>
  <si>
    <t>SVC-7280R4K-64QC-10PE-1M-SH4</t>
  </si>
  <si>
    <t>SVC-7260QX-64-1M-SH4</t>
  </si>
  <si>
    <t>SVC-7260QX-64-1M-SHR</t>
  </si>
  <si>
    <t>SVC-7060X6-64PE-B-1M-SH4</t>
  </si>
  <si>
    <t>SVC-7060X6-64PE-B-1M-SHR</t>
  </si>
  <si>
    <t>SVC-7050X4-48Y-4DF-1M-SHR</t>
  </si>
  <si>
    <t>SVC-7050X4-48Y-4DF-1M-SH4</t>
  </si>
  <si>
    <t>SVC-7020R4-48Y8QC-1M-SHR</t>
  </si>
  <si>
    <t>SVC-7020R4-48Y8QC-1M-SH4</t>
  </si>
  <si>
    <t>SVC-7020R4M-48Y8QC-1M-SHR</t>
  </si>
  <si>
    <t>SVC-7020R4M-48Y8QC-1M-SH4</t>
  </si>
  <si>
    <t>SVC-7020R4-48Y4QC-1M-SHR</t>
  </si>
  <si>
    <t>SVC-7020R4-48Y4QC-1M-SH4</t>
  </si>
  <si>
    <t>SVC-7020R4M-48Y4QC-1M-SHR</t>
  </si>
  <si>
    <t>SVC-7020R4M-48Y4QC-1M-SH4</t>
  </si>
  <si>
    <t>SVC-7020R4-48TX4QC-1M-SHR</t>
  </si>
  <si>
    <t>SVC-7020R4-48TX4QC-1M-SH4</t>
  </si>
  <si>
    <t>SVC-7020R4M-48TX4QC-1M-SHR</t>
  </si>
  <si>
    <t>SVC-7020R4M-48TX4QC-1M-SH4</t>
  </si>
  <si>
    <t>SVC-710HXP-28TXH-1M-SH4</t>
  </si>
  <si>
    <t>SVC-710HXP-28TXH-1M-SHR</t>
  </si>
  <si>
    <t>SVC-710HXP-20TNH-1M-SH4</t>
  </si>
  <si>
    <t>SVC-710HXP-20TNH-1M-SHR</t>
  </si>
  <si>
    <t>SVC-710XP-12TH-1M-SH4</t>
  </si>
  <si>
    <t>SVC-710XP-12TH-1M-SHR</t>
  </si>
  <si>
    <t>SVC-720XPM-48TH-1M-SH4</t>
  </si>
  <si>
    <t>SVC-720XPM-48TH-1M-SHR</t>
  </si>
  <si>
    <t>SVC-720XDM-48T-1M-SH4</t>
  </si>
  <si>
    <t>SVC-720XDM-48T-1M-SHR</t>
  </si>
  <si>
    <t>O-435 Tri band 2x2:2 802.11be (WiFi 7) outdoor access point with internal antennas, 5 GbE interface and dedicated multi-function radio</t>
  </si>
  <si>
    <t>O-435 Tri band 2x2:2 802.11be (WiFi 7) outdoor access point with internal antennas, 5 GbE interface and dedicated multi-function radio, and a 3-year cognitive cloud management subscription</t>
  </si>
  <si>
    <t>O-435 Tri band 2x2:2 802.11be (WiFi 7) outdoor access point with internal antennas, 5 GbE interface and dedicated multi-function radio, and a 5-year cognitive cloud management subscription</t>
  </si>
  <si>
    <t>O-435 Tri band 2x2:2 802.11be (WiFi 7) outdoor access point with internal antennas, 5 GbE interface and dedicated multi-function radio, and a 3-year on-premises SW subscription and NBD support.</t>
  </si>
  <si>
    <t>O-435 Tri band 2x2:2 802.11be (WiFi 7) outdoor access point with internal antennas, 5 GbE interface and dedicated multi-function radio, and a 5 year on-premises SW subscription and NBD support.</t>
  </si>
  <si>
    <t>O-435E Tri band 2x2:2 802.11be (WiFi 7) outdoor access point with external antenna connectors, 5 GbE interface and dedicated multi-function radio. Antennas not incl.</t>
  </si>
  <si>
    <t>O-435E Tri band 2x2:2 802.11be (WiFi 7) outdoor access point with external antenna connectors, 5 GbE interface and dedicated multi-function radio, and a 3-year cognitive cloud-management subscription. Antennas not ncl.</t>
  </si>
  <si>
    <t>O-435E Tri band 2x2:2 802.11be (WiFi 7) outdoor access point with external antenna connectors, 5 GbE interface and dedicated multi-function radio, and a 5-year cognitive cloud-management subscription. Antennas not incl.</t>
  </si>
  <si>
    <t>O-435E Tri band 2x2:2 802.11be (WiFi 7) outdoor access point with external antenna connectors, 5 GbE interface and dedicated multi-function radio, and a 3-year on-premises SW subscription. Antennas not incl.</t>
  </si>
  <si>
    <t>O-435E Tri band 2x2:2 802.11be (WiFi 7) outdoor access point with external antenna connectors, 5 GbE interface and dedicated multi-function radio, and a 5 year on-premises SW subscription. Antennas not incl.</t>
  </si>
  <si>
    <t>C-430 Tri band  2x2:2  802.11be (WiFi 7) access point with internal antennas, dual 5 GbE interfaces, and dedicated multi-function radio with a 5 year cognitive cloud management subscription.</t>
  </si>
  <si>
    <t>C-430 Tri band  2x2:2  802.11be (WiFi 7) access point with internal antennas, dual 5 GbE interfaces, and dedicated multi-function radio with a 5 year on-premises management subscription.</t>
  </si>
  <si>
    <t>C-430 Tri band  2x2:2  802.11be (WiFi 7) access point with internal antennas, dual 5 GbE interfaces, and dedicated multi-function radio with a 3 year cognitive cloud management subscription.</t>
  </si>
  <si>
    <t>C-430 Tri band  2x2:2  802.11be (WiFi 7) access point with internal antennas, dual 5 GbE interfaces, and dedicated multi-function radio with a 3 year on-premises management subscription.</t>
  </si>
  <si>
    <t>C-430 Tri band  2x2:2  802.11be (WiFi 7) access point with internal antennas, dual 5 GbE interfaces, and dedicated multi-function radio.</t>
  </si>
  <si>
    <t>C-460E Tri band 4x4:4 802.11be (WiFi 7) access point with external antenna connectors, dual 10 GbE interface and dedicated multi-function radio with a 5 year cognitive cloud management subscription. Antennas not incl.</t>
  </si>
  <si>
    <t>C-460E Tri band 4x4:4 802.11be (WiFi 7) access point with external antenna connectors, dual 10 GbE interface and dedicated multi-function radio with a 5 year on-premises cognitive management subscription. Antennas not incl.</t>
  </si>
  <si>
    <t>C-460E Tri band 4x4:4 802.11be (WiFi 7) access point with external antenna connectors, dual 10 GbE interface and dedicated multi-function radio with a 3 year cognitive cloud management subscription. Antennas not incl.</t>
  </si>
  <si>
    <t>C-460E Tri band 4x4:4 802.11be (WiFi 7) access point with external antenna connectors, dual 10 GbE interface and dedicated multi-function radio with a 3 year on-premises cognitive management subscription. Antennas not incl.</t>
  </si>
  <si>
    <t>C-460E Tri band 4x4:4 802.11be (WiFi 7) access point with external antenna connectors, dual 10 GbE interface and dedicated multi-function radio. Antennas not incl.</t>
  </si>
  <si>
    <t>C-460 Tri band 4x4:4 802.11be (WiFi 7) access point with internal antennas, dual 10 GbE interface and dedicated multi-function radio with a 5 year cognitive cloud management subscription</t>
  </si>
  <si>
    <t>C-460 Tri band 4x4:4 802.11be (WiFi 7) access point with internal antennas, dual 10 GbE interface and dedicated multi-function radio with a 5 year on-premises cognitive management subscription</t>
  </si>
  <si>
    <t>C-460 Tri band 4x4:4 802.11be (WiFi 7) access point with internal antennas, dual 10 GbE interface and dedicated multi-function radio</t>
  </si>
  <si>
    <t>C-460 Tri band 4x4:4 802.11be (WiFi 7) access point with internal antennas, dual 10 GbE interface and dedicated multi-function radio with a 3 year on-premises cognitive management subscription</t>
  </si>
  <si>
    <t>AP mount adapter for indoor Aruba 300-series mounts.</t>
  </si>
  <si>
    <t>Access Point Adapter Bracket for 3rd Party Mounts</t>
  </si>
  <si>
    <t>Non-discountable purchase. Adapter for Suprafine (15mm, 9/16") T-grid rail AP Mount</t>
  </si>
  <si>
    <t>Non-discountable purchase. Adapter for Prelude (24mm, 15/16") T-grid rail AP Mount</t>
  </si>
  <si>
    <t>Non-discountable purchase. Universal AC power supply for all AP models except C-110, 12VDC, 4A, Center +, DC Plug 5.5mm*2.1mm*L9.5mm, US UK Euro AU Plugs</t>
  </si>
  <si>
    <t>MACSEC Encryption License for Arista 7816R4 Modular - Encryption with MACSEC capable Linecards</t>
  </si>
  <si>
    <t>Enhanced Security Encryption License for Arista 7816R4 Modular - Encryption capable Linecards, TunnelSec and MACsec</t>
  </si>
  <si>
    <t>FLX License for Arista 7816R4 Modular - Full Routing upto 3.5M Routes, &gt;24K ACL, EVPN, VXLAN, SR, Adv MPLS-LER/LSR, with TE &amp; link/node protection</t>
  </si>
  <si>
    <t>FLX-Lite License for Arista 7812R4 Modular - Full Routing Up to 256K Routes, EVPN, VXLAN, SR, base MPLS LSR (no TE or link/node protection)</t>
  </si>
  <si>
    <t>FLX-Lite License for Arista 7808R4 Modular - Full Routing Up to 256K Routes, EVPN, VXLAN, SR, base MPLS LSR (no TE or link/node protection)</t>
  </si>
  <si>
    <t>Enhanced Software License for Arista 7816R4 Modular switches (OSPF, BGP, ISIS, PIM)</t>
  </si>
  <si>
    <t>Enhanced Software License for Arista 7812R4 Modular Switches (OSPF, BGP, ISIS, PIM)</t>
  </si>
  <si>
    <t>Enhanced Software License for Arista 7808R4 Modular Switches (OSPF, BGP, ISIS, PIM)</t>
  </si>
  <si>
    <t>Virtualization license for Arista 7816R4 Modular switches (VMTracer and VXLAN)</t>
  </si>
  <si>
    <t>Virtualization license for Arista 7812R4 Modular switches (VMTracer and VXLAN)</t>
  </si>
  <si>
    <t>Virtualization license for Arista 7808R4 Modular switches (VMTracer and VXLAN)</t>
  </si>
  <si>
    <t>EOS Segmentation and 3rd Party Integration Services license for Arista 7816R4 Modular switches</t>
  </si>
  <si>
    <t>EOS Segmentation and 3rd Party Integration Services license for Arista 7812R4 Modular switches</t>
  </si>
  <si>
    <t>EOS Segmentation and 3rd Party Integration Services license for Arista 7808R4 Modular switches</t>
  </si>
  <si>
    <t>Monitoring &amp; provisioning license for Arista 7816R4 Modular switches (ZTP, LANZ, API, SDK, TapAgg, PTP)</t>
  </si>
  <si>
    <t>Monitoring &amp; provisioning license for Arista 7812R4 Modular switches (ZTP, LANZ, API, SDK, TapAgg, PTP)</t>
  </si>
  <si>
    <t>Monitoring &amp; provisioning license for Arista 7808R4 Modular switches (ZTP, LANZ, API, SDK, TapAgg, PTP)</t>
  </si>
  <si>
    <t>FLX License for Arista Distributed Leaf - Full Routing up to 256K Routes, EVPN, VXLAN, SR, Adv MPLS LSR and Pseudowires</t>
  </si>
  <si>
    <t>Enhanced Security Encryption License for Arista Distributed Leaf, Encryption capable ports, TunnelSec and MACsec</t>
  </si>
  <si>
    <t>MACSEC Encryption License for Arista Distributed Leaf, MACSEC capable ports</t>
  </si>
  <si>
    <t>Monitoring &amp; provisioning license for Arista Distributed Leaf</t>
  </si>
  <si>
    <t>FLX-Lite License for Arista Fixed 1G/mG Group 0 Ethernet Switches - Full Routing upto 8K routes, EVPN, VXLAN (includes E Features)</t>
  </si>
  <si>
    <t>FLX-Lite License for Arista Fixed 1G/mG Group 1 Ethernet Switches - Full Routing upto 8K routes, EVPN, VXLAN (includes E Features)</t>
  </si>
  <si>
    <t>FLX-Lite License for Arista Fixed 1G/mG Group 2 Ethernet Switches - Full Routing upto 32K routes, EVPN, VXLAN (includes E Features)</t>
  </si>
  <si>
    <t>Enhanced License for Arista Fixed 1G/mG Group 2 Ethernet Switches (OSPF, ISIS, BGP, PIM)</t>
  </si>
  <si>
    <t>EOS Segmentation and 3rd Party Integration Services license for Arista Fixed 1G/mG Group 2 Ethernet Switches</t>
  </si>
  <si>
    <t>MACSEC Encryption License for Arista Fixed 1G/mG Group 2 Ethernet Switches, MACSEC capable ports</t>
  </si>
  <si>
    <t>FLX License for Arista Fixed 1G/mG Group 3 Ethernet Switches - OSPF, ISIS, BGP/MP-BGP, PIM, 32K - 200K Routes, EVPN, VXLAN</t>
  </si>
  <si>
    <t>FLX-Lite License for Arista Fixed 1G/mG Group 3 Ethernet Switches - Full Routing Up to 32K Routes, EVPN, VXLAN (includes E Features)</t>
  </si>
  <si>
    <t>Enhanced License for Arista Fixed 1G/mG Group 3 Ethernet Switches (OSPF, ISIS, BGP, PIM)</t>
  </si>
  <si>
    <t>EOS Segmentation and 3rd Party Integration Services license for Arista Fixed 1G/mG Group 3 Ethernet Switches</t>
  </si>
  <si>
    <t>MACSEC Encryption License for Arista Fixed 1G/mG Group 3 Ethernet Switches, MACSEC capable ports</t>
  </si>
  <si>
    <t>Monitoring &amp; Automation license for Arista WAN platform Band 4 (ZTP, eAPI, SDK, OpenConfig, State Streaming, 3rd Party Extension)	$5,500.00</t>
  </si>
  <si>
    <t>Monitoring &amp; Automation license for Arista WAN platform Band 2(ZTP, eAPI, SDK, OpenConfig, State Streaming, 3rd Party Extension)</t>
  </si>
  <si>
    <t>Monitoring &amp; Automation license for Arista WAN platform Band 1 (ZTP, eAPI, SDK, OpenConfig, State Streaming, 3rd Party Extension)</t>
  </si>
  <si>
    <t>1 unit CloudVision AGNI Physical Appliance, Model 100(Includes CV-AGNI Server software). No CV-AGNI device licenses.</t>
  </si>
  <si>
    <t>Arista DMF: 4-Port 100G SFP+ Service Node Model 760L perpetual; requires A-Care support</t>
  </si>
  <si>
    <t>Arista DMF: Service Node Model 660 perpetual; requires A-Care support</t>
  </si>
  <si>
    <t>Arista DMF: Analytics Node Model 450 perpetual; requires A-Care support</t>
  </si>
  <si>
    <t>Arista DMF: Controller Appliance Model 450 perpetual, requires A-Care support</t>
  </si>
  <si>
    <t>Arista CCF: Controller Appliance Model 450 perpetual, requires A-Care support</t>
  </si>
  <si>
    <t>Arista 7816R Chassis bundle. Includes 7816L chassis, 12x3kW HV PS, 5xFM-R4, 1xFCM, 1x7816-Sup2, FLX Lic (Extended Rack Kit)</t>
  </si>
  <si>
    <t>Arista 7816R Chassis bundle. Includes 7816L chassis, 12x3kW DC PS, 5xFM-R4, 1xFCM, 2x7816-Sup2 (Extended Rack Kit)</t>
  </si>
  <si>
    <t>Arista 7816R Chassis bundle. Includes 7816L chassis, 12x3kW HV PS, 5xFM-R4, 1xFCM, 2x7816-Sup2 (Extended Rack Kit)</t>
  </si>
  <si>
    <t>Arista 7816R Chassis bundle. Includes 7816L chassis, 12x3kW HV PS, 5xFM-R4, 1xFCM, 2x7816-Sup2-N (Extended Rack Kit)</t>
  </si>
  <si>
    <t>Arista 7816R Chassis bundle. Includes 7816L chassis, 12x3kW DC PS, 5xFM-R4, 1xFCM, 1x7816-Sup2 (Extended Rack Kit)</t>
  </si>
  <si>
    <t>Arista 7816R Chassis bundle. Includes 7816L chassis, 12x3kW DC PS, 5xFM-R4, 1xFCM, 1x7816-Sup2-N (Extended Rack Kit)</t>
  </si>
  <si>
    <t>Arista 7816R Chassis bundle. Includes 7816L chassis, 12x3kW HV PS, 5xFM-R4, 1xFCM, 1x7816-Sup2 (Extended Rack Kit)</t>
  </si>
  <si>
    <t>Arista 7816R Chassis bundle. Includes 7816L chassis, 12x3kW HV PS, 5xFM-R4, 1xFCM, 1x7816-Sup2-N (Extended Rack Kit)</t>
  </si>
  <si>
    <t>Arista 7812R Chassis bundle. Includes 7812 chassis, 10x3kW HV PS, 5xFM-R4, 1xFCM, 1x7816-Sup2, FLX Lic (Extended Rack Kit)</t>
  </si>
  <si>
    <t>Arista 7812R Chassis bundle. Includes 7812 chassis, 10x3kW DC PS, 5xFM-R4, 1xFCM, 2x7816-Sup2 (Extended Rack Kit)</t>
  </si>
  <si>
    <t>Arista 7812R Chassis bundle. Includes 7812 chassis, 10x3kW HV PS, 5xFM-R4, 1xFCM, 2x7816-Sup2 (Extended Rack Kit)</t>
  </si>
  <si>
    <t>Arista 7812R Chassis bundle. Includes 7812 chassis, 10x3kW DC PS, 5xFM-R4, 1xFCM, 1x7816-Sup2 (Extended Rack Kit)</t>
  </si>
  <si>
    <t>Arista 7812R Chassis bundle. Includes 7812 chassis, 10x3kW HV PS, 5xFM-R4, 1xFCM, 1x7816-Sup2 (Extended Rack Kit)</t>
  </si>
  <si>
    <t>Arista 7812R Chassis bundle. Includes 7812 chassis, 10x3kW DC PS, 5xFM-R4, 1xFCM, 1x7816-Sup2-N (Extended Rack Kit)</t>
  </si>
  <si>
    <t>Arista 7812R Chassis bundle. Includes 7812 chassis, 10x3kW HV PS, 5xFM-R4, 1xFCM, 1x7816-Sup2-N (Extended Rack Kit)</t>
  </si>
  <si>
    <t>Arista 7812R Chassis bundle. Includes 7812 chassis, 10x3kW AC PS, 5xFM-R4, 1xFCM, 1x7816-Sup (Extended Rack Kit)</t>
  </si>
  <si>
    <t>Arista 7812R Chassis bundle. Includes 7812 chassis, 10x3kW AC PS, 5xFM-R4, 1xFCM, 1x7816-Sup1S (Extended Rack Kit)</t>
  </si>
  <si>
    <t>Arista 7808R Chassis bundle. Includes 7808 chassis, 8x3kW HV PS, 5xFM-R4, 1xFCM, 1x7808-Sup2, FLX Lic (Extended Rack Kit)</t>
  </si>
  <si>
    <t>Arista 7808R Chassis bundle. Includes 7808 chassis, 8x3kW DC PS, 5xFM-R4, 1xFCM, 2x7808-Sup2 (Extended Rack Kit)</t>
  </si>
  <si>
    <t>Arista 7808R Chassis bundle. Includes 7808 chassis, 8x3kW HV PS, 5xFM-R4, 1xFCM, 2x7808-Sup2 (Extended Rack Kit)</t>
  </si>
  <si>
    <t>Arista 7808R Chassis bundle. Includes 7808 chassis, 8x3kW DC PS, 5xFM-R4, 1xFCM, 1x7808-Sup2 (Extended Rack Kit)</t>
  </si>
  <si>
    <t>Arista 7808R Chassis bundle. Includes 7808 chassis, 8x3kW DC PS, 5xFM-R4, 1xFCM, 1x7808-Sup2-N (Extended Rack Kit)</t>
  </si>
  <si>
    <t>Arista 7808R Chassis bundle. Includes 7808 chassis, 8x3kW HV PS, 5xFM-R4, 1xFCM, 1x7808-Sup2 (Extended Rack Kit)</t>
  </si>
  <si>
    <t>Arista 7808R Chassis bundle. Includes 7808 chassis, 8x3kW HV PS, 5xFM-R4, 1xFCM, 1x7808-Sup2-N (Extended Rack Kit)</t>
  </si>
  <si>
    <t>Arista 7808R Chassis bundle. Includes 7808 chassis, 8x3kW AC PS, 5xFM-R4, 1xFCM, 1x7800-Sup1S (Extended Rack Kit)</t>
  </si>
  <si>
    <t>Arista 7804R Chassis bundle. Includes 7804 chassis, 6x3kW AC PS, 5xFM-R4, 1xFCM, 1x7800-Sup1S (Extended Rack Kit)</t>
  </si>
  <si>
    <t>Arista 7804R Chassis bundle. Includes 7804 chassis, 6x3kW HV PS, 5xFM-R4, 1xFCM, 1x7808-Sup2, FLX Lic (Extended Rack Kit)</t>
  </si>
  <si>
    <t>Arista 7804R Chassis bundle. Includes 7804 chassis, 6x3kW DC PS, 5xFM-R4, 1xFCM, 2x7808-Sup2 (Extended Rack Kit)</t>
  </si>
  <si>
    <t>Arista 7804R Chassis bundle. Includes 7804 chassis, 6x3kW HV PS, 5xFM-R4, 1xFCM, 2x7808-Sup2 (Extended Rack Kit)</t>
  </si>
  <si>
    <t>Arista 7804R Chassis bundle. Includes 7804 chassis, 6x3kW DC PS, 5xFM-R4, 1xFCM, 1x7808-Sup2 (Extended Rack Kit)</t>
  </si>
  <si>
    <t>Arista 7804R Chassis bundle. Includes 7804 chassis, 6x3kW HV PS, 5xFM-R4, 1xFCM, 1x7808-Sup2 (Extended Rack Kit)</t>
  </si>
  <si>
    <t>Arista 7804R Chassis bundle. Includes 7804 chassis, 6x3kW DC PS, 5xFM-R4, 1xFCM, 1x7808-Sup2-N (Extended Rack Kit)</t>
  </si>
  <si>
    <t>Arista 7804R Chassis bundle. Includes 7804 chassis, 6x3kW HV PS, 5xFM-R4, 1xFCM, 1x7808-Sup2-N (Extended Rack Kit)</t>
  </si>
  <si>
    <t>7800R4C Series 36 port 800GbE OSFP line card for compute clusters (spare)</t>
  </si>
  <si>
    <t>7800R4C Series 36 port 800GbE OSFP line card for compute clusters (ships in chassis)</t>
  </si>
  <si>
    <t>Supervisor module 2 for 7804/7808 series chassis (Spare)</t>
  </si>
  <si>
    <t>Supervisor module 2 for 7804/7808 series chassis (Ships in chassis)</t>
  </si>
  <si>
    <t>Supervisor module 2 for 7804/7808 series chassis (Secure Boot Disabled) (Spare)</t>
  </si>
  <si>
    <t>Supervisor module 2 for 7804/7808 series chassis (Secure Boot Disabled) (Ships in chassis)</t>
  </si>
  <si>
    <t>Supervisor module 2 for 7812/7816 series chassis (Spare)</t>
  </si>
  <si>
    <t>Supervisor module 2 for 7812/7816 series chassis (Ships in chassis)</t>
  </si>
  <si>
    <t>Supervisor module 2 for 7812/7816 series chassis (Secure Boot Disabled) (Spare)</t>
  </si>
  <si>
    <t>Supervisor module 2 for 7812/7816 series chassis (Secure Boot Disabled) (Ships in chassis)</t>
  </si>
  <si>
    <t>7800R4 Series Fabric Module for 7816L Chassis, required for fabric slots 1-5</t>
  </si>
  <si>
    <t>7800 Series Fabric Cooling for 7816L Chassis, required for fabric slot 6</t>
  </si>
  <si>
    <t>Arista 7804R Chassis bundle. Includes 7804 chassis, 6x3kW PS, 6xFM-R3, 1x7800-Sup1A (Extended Rack Kit)</t>
  </si>
  <si>
    <t>Arista 7804R Chassis bundle. Includes 7804 chassis, 6x3kW D2 DC PS, 6xFM-R3, 2x7800-Sup1A (Extended Rack Kit)</t>
  </si>
  <si>
    <t>Arista 7804R Chassis bundle. Includes 7804 chassis, 6x3kW D1 AC PS, 6xFM-R3, 2x7800-Sup1A (Extended Rack Kit)</t>
  </si>
  <si>
    <t>Arista 7804R Chassis bundle. Includes 7804 chassis, 6x3kW D2 DC PS, 6xFM-R3, 1x7800-Sup1A (Extended Rack Kit)</t>
  </si>
  <si>
    <t>Arista 7804R Chassis bundle. Includes 7804 chassis, 6x3kW D1 AC PS, 6xFM-R3, 1x7800-Sup1A (Extended Rack Kit)</t>
  </si>
  <si>
    <t>Arista 7804R Chassis bundle. Includes 7804 chassis, 6x3kW DC PS, 6xFM-R3, 1x7800-Sup1S (Extended Rack Kit)</t>
  </si>
  <si>
    <t>Arista 7804R Chassis bundle. Includes 7804 chassis, 6x3kW PS, 6xFM-R3, 1x7800-Sup1S (Extended Rack Kit)</t>
  </si>
  <si>
    <t>Arista 7808R Chassis bundle. Includes 7808 chassis, 8x3kW PS, 6xFM-R3, 1x7800-Sup1A (Extended Rack Kit)</t>
  </si>
  <si>
    <t>Arista 7808R Chassis bundle. Includes 7808 chassis, 8x3kW D2 DC PS, 6xFM-R3, 2x7800-Sup1A (Extended Rack Kit)</t>
  </si>
  <si>
    <t>Arista 7808R Chassis bundle. Includes 7808 chassis, 8x3kW D1 AC PS, 6xFM-R3, 2x7800-Sup1A (Extended Rack Kit)</t>
  </si>
  <si>
    <t>Arista 7808R Chassis bundle. Includes 7808 chassis, 8x3kW D2 DC PS, 6xFM-R3, 1x7800-Sup1A (Extended Rack Kit)</t>
  </si>
  <si>
    <t>Arista 7808R Chassis bundle. Includes 7808 chassis, 8x3kW D1 AC PS, 6xFM-R3, 1x7800-Sup1A (Extended Rack Kit)</t>
  </si>
  <si>
    <t>Arista 7808R Chassis bundle. Includes 7808 chassis, 6x3kW PS, 6xFM2-R3, 1x7800-Sup1A (Extended Rack Kit)</t>
  </si>
  <si>
    <t>Arista 7808R Chassis bundle. Includes 7808 chassis, 8x3kW PS, 6xFM-R3, 2x7800-Sup1S (Extended Rack Kit)</t>
  </si>
  <si>
    <t>Arista 7808R Chassis bundle. Includes 7808 chassis, 8x3kW DC PS, 6xFM-R3, 1x7800-Sup1S (Extended Rack Kit)</t>
  </si>
  <si>
    <t>Arista 7808R Chassis bundle. Includes 7808 chassis, 8x3kW PS, 6xFM-R3, 1x7800-Sup1S (Extended Rack Kit)</t>
  </si>
  <si>
    <t>Arista 7812R Chassis bundle. Includes 7812 chassis, 10x3kW PS, 6xFM-R3, 1x7816-Sup, FLX Lic (Extended Rack Kit)</t>
  </si>
  <si>
    <t>Arista 7812R Chassis bundle. Includes 7812 chassis, 10x3kW DC PS, 6xFM-R3, 2x7816-Sup, FLX Lic (Extended Rack Kit)</t>
  </si>
  <si>
    <t>Arista 7812R Chassis bundle. Includes 7812 chassis, 10x3kW PS, 6xFM-R3, 2x7816-Sup (Extended Rack Kit)</t>
  </si>
  <si>
    <t>Arista 7812R Chassis bundle. Includes 7812 chassis, 10x3kW PS, 6xFM-R3, 1x7816-Sup (Extended Rack Kit)</t>
  </si>
  <si>
    <t>Arista 7812R Chassis bundle. Includes 7812 chassis, 10x3kW DC PS, 6xFM-R3, 1x7816-Sup1S (Extended Rack Kit)</t>
  </si>
  <si>
    <t>Arista 7812R Chassis bundle. Includes 7812 chassis, 10x3kW PS, 6xFM-R3, 1x7816-Sup1S (Extended Rack Kit)</t>
  </si>
  <si>
    <t>Arista 7816R Chassis bundle. Includes 7816L chassis, 12x3kW PS, 6x7816LR3-FM, 1x7816-Sup, FLX Lic (Extended Rack Kit)</t>
  </si>
  <si>
    <t>Arista 7816R Chassis bundle. Includes 7816L chassis, 12x3kW DC PS, 6x7816LR3-FM, 2x7816-Sup (Extended Rack Kit)</t>
  </si>
  <si>
    <t>Arista 7816R Chassis bundle. Includes 7816L chassis, 12x3kW PS, 6x7816LR3-FM, 2x7816-Sup (Extended Rack Kit)</t>
  </si>
  <si>
    <t>Arista 7816R Chassis bundle. Includes 7816L chassis, 12x3kW DC PS, 6x7816LR3-FM, 1x7816-Sup (Extended Rack Kit)</t>
  </si>
  <si>
    <t>Arista 7816R Chassis bundle. Includes 7816L chassis, 12x3kW DC PS, 6x7816LR3-FM, 1x7816-Sup1S (Extended Rack Kit)</t>
  </si>
  <si>
    <t>Arista 7816R Chassis bundle. Includes 7816L chassis, 12x3kW PS, 6x7816LR3-FM, 1x7816-Sup (Extended Rack Kit)</t>
  </si>
  <si>
    <t>Arista 7816R Chassis bundle. Includes 7816L chassis, 12x3kW PS, 6x7816LR3-FM, 2x7816-Sup1S (Extended Rack Kit)</t>
  </si>
  <si>
    <t>Arista 7816R Chassis bundle. Includes 7816L chassis, 12x3kW PS, 6x7816LR3-FM, 1x7816-Sup1S (Extended Rack Kit)</t>
  </si>
  <si>
    <t>Arista 7816R Chassis bundle. Includes 7816 chassis, 12x3kW PS, 12xFM-R3, 1x7816-Sup, FLX Lic (Extended Rack Kit)</t>
  </si>
  <si>
    <t>Arista 7816R Chassis bundle. Includes 7816 chassis, 12x3kW DC PS, 12xFM-R3, 2x7816-Sup (Extended Rack Kit)</t>
  </si>
  <si>
    <t>Arista 7816R Chassis bundle. Includes 7816 chassis, 12x3kW PS, 12xFM-R3, 2x7816-Sup (Extended Rack Kit)</t>
  </si>
  <si>
    <t>Arista 7816R Chassis bundle. Includes 7816 chassis, 12x3kW DC PS, 12xFM-R3, 1x7816-Sup (Extended Rack Kit)</t>
  </si>
  <si>
    <t>Arista 7816R Chassis bundle. Includes 7816 chassis, 12x3kW PS, 12xFM-R3, 1x7816-Sup (Extended Rack Kit)</t>
  </si>
  <si>
    <t>Arista 7816R Chassis bundle. Includes 7816 chassis, 12x3kW DC PS, 12xFM-R3, 1x7816-Sup1S (Extended Rack Kit)</t>
  </si>
  <si>
    <t>Arista 7816R Chassis bundle. Includes 7816 chassis, 12x3kW PS, 12xFM-R3, 1x7816-Sup1S (Extended Rack Kit)</t>
  </si>
  <si>
    <t>Arista 7816L chassis, 2 Supervisor slots, 16 line card slots, 6 Fabric Module slots, AC or DC option (Extended Rack Kit)</t>
  </si>
  <si>
    <t>Arista 7816 chassis, 2 Supervisor slots, 16 line card slots, 6 Fabric Module slots, AC or DC option (Extended Rack Kit)</t>
  </si>
  <si>
    <t>Arista 7812 chassis, 2 Supervisor slots, 12 line card slots, 6 Fabric Module slots, AC or DC option (Extended Rack Kit)</t>
  </si>
  <si>
    <t>Arista 7808 chassis, 2 Supervisor slots, 8 line card slots, 6 Fabric Module slots, AC or DC option (Extended Rack Kit)</t>
  </si>
  <si>
    <t>Arista 7804 chassis, 2 Supervisor slots, 4 line card slots, 6 Fabric Module slots, AC or DC option (Extended Rack Kit)</t>
  </si>
  <si>
    <t>7800 Series Fabric Cooling Module for 7808 Chassis, required for fabric slot 6</t>
  </si>
  <si>
    <t>7800R4 Series Fabric Module for 7808 Chassis, required for fabric slots 1-5</t>
  </si>
  <si>
    <t>7800 Series Fabric Cooling Module for 7812 Chassis, required for fabric slot 6</t>
  </si>
  <si>
    <t>7800R4 Series Fabric Module for 7812 Chassis, required for fabric slots 1-5</t>
  </si>
  <si>
    <t xml:space="preserve">Arista PSU, 1RU, +48VDC, 2400W, 6-PIN Modular Connector, FORWARD, 73.5MM </t>
  </si>
  <si>
    <t>Spare 400W AC/HVDC Power Supply for 710HXP series</t>
  </si>
  <si>
    <t>Spare 290W DC Power Adapter for 710HXP series</t>
  </si>
  <si>
    <t>Spare 480W AC Power Adapter for 710HXP series</t>
  </si>
  <si>
    <t>Spare 550 Watt AC power supply for Arista 5300 / 7200 Series Routers (front-to-rear airflow)</t>
  </si>
  <si>
    <t>Spare 800 Watt AC power supply for ZTX and Arista 5500 / 7200 series Routers (front-to-rear airflow)</t>
  </si>
  <si>
    <t>Spare Arista PSU, 1RU, DC/DC, 3200W, Forward, 73.5MM</t>
  </si>
  <si>
    <t>Configurable Arista PSU, 1RU, DC/DC, 3200W, Forward, 73.5MM</t>
  </si>
  <si>
    <t>Arista PSU, AC TO DC, 2000W, FORWARD, RED</t>
  </si>
  <si>
    <t>DC power cable, straight BK150 to 2 lugged tails, 4 AWG, 2.45m long</t>
  </si>
  <si>
    <t>Power Cord, Italy, C15-CEI2350, 10A/250V, 1.00mm2, 2.5M</t>
  </si>
  <si>
    <t>Power Cord, North America, C13 to NEMA 5-15P, 8 Feet (2.5m)</t>
  </si>
  <si>
    <t>Power Cord, Europe, C13 to CEE 7/7, 8 Feet (2.5m)</t>
  </si>
  <si>
    <t>Power Cord, United Kingdom, C13 to BS 1363/A, 8 Feet (2.5m)</t>
  </si>
  <si>
    <t>Power Cord, Australia, C13 to AS/NZS 3112, 8 Feet (2.5m)</t>
  </si>
  <si>
    <t>Power Cord, Italy, C13 to CEI 23-16, 8 Feet (2.5m)</t>
  </si>
  <si>
    <t>Power Cord, Argentina, C13 to IRAM 2073, 8 Feet (2.5m)</t>
  </si>
  <si>
    <t>16 Channel passive optical splitter / combiner</t>
  </si>
  <si>
    <t>400G-CR8 QSFP-DD to 2 x 200GBASE-CR4 QSFP Twinax Copper Cable, 2.5 meter</t>
  </si>
  <si>
    <t>CS to LC Single Mode Fiber patch cable, (2 fibers) 215 mm length. List Price is Non Discountable.</t>
  </si>
  <si>
    <t>25GbE SFP25 to SFP25 twinax copper cable, 0.5M</t>
  </si>
  <si>
    <t>25GbE SFP25 to SFP25 twinax copper cable, 1.5M</t>
  </si>
  <si>
    <t>25GbE SFP25 to SFP25 twinax copper cable, 2.5M</t>
  </si>
  <si>
    <t>Spare fan module (for use in 7800-FCM modules and 7800R4-FM modules)</t>
  </si>
  <si>
    <t>Spare accessory kit for Arista 7816L. Extended 4 post mount. (24x SAF-D-C20, 4m)</t>
  </si>
  <si>
    <t>Spare accessory kit for Arista 7816. Extended 4 post mount. (24x SAF-D-C20, 4m)</t>
  </si>
  <si>
    <t>Spare accessory kit for Arista 7812. Extended 4 post mount. (20x SAF-D-C20, 4m)</t>
  </si>
  <si>
    <t>Configurable 4 post kit for in-rack shipment of Arista 7808 series (Std. Depth [24 to 35 in / 60.9 to 88.9 cm])</t>
  </si>
  <si>
    <t>Spare accessory kit for Arista 7808. Extended 4 post mount. (16x SAF-D-C20, 4m)</t>
  </si>
  <si>
    <t>Spare accessory kit for Arista 7804. Extended 4 post mount. (12x SAF-D-C20, 4m)</t>
  </si>
  <si>
    <t>Spare 4 post mounting kit for Arista 7800 series (Standard Depth [23.9 to 33.65 in / 60.6 to 85.5 cm])</t>
  </si>
  <si>
    <t>Configurable 4 post kit for Arista 7800 series (Std. Depth [23.9 to 33.65 in / 60.6 to 85.5 cm]) (Replaces default extended kit)</t>
  </si>
  <si>
    <t>Spare 4 post mounting kit for Arista 7800 series (Extended Depth [32.37 to 42.12 in / 82.3 to 107 cm])</t>
  </si>
  <si>
    <t>Arista Router Transport Kit for transferring configured 7800 systems from shipping crate to rack. Requires model specific adapter.</t>
  </si>
  <si>
    <t>Arista Router Transport Kit for 7800 Series. Adapter for 7812 chassis. Requires KIT-INST-7800-RTK</t>
  </si>
  <si>
    <t>Arista Router Transport Kit for 7800 Series. Adapter for 7816 chassis. Requires KIT-INST-7800-RTK</t>
  </si>
  <si>
    <t>Arista Router Transport Kit for 7800 Series. Adapter for 7816L chassis. Requires KIT-INST-7800-RTK</t>
  </si>
  <si>
    <t>Arista 7358X chassis bundle. Includes 7368 chassis, 2 x AC PS, Supervisor-SSD, 7358X4-SC and Fans (front-to-rear air)</t>
  </si>
  <si>
    <t>Arista 7358X chassis bundle. Includes 7368 chassis, 2 x AC PS, Supervisor, 7358X4-SC and Fans (front-to-rear air)</t>
  </si>
  <si>
    <t>Arista 7358X chassis bundle. Includes 7368 chassis, 2 x AC PS, Supervisor-SSD, 7358X4-SC and Fans (rear-to-front air)</t>
  </si>
  <si>
    <t>Arista 7358X chassis bundle. Includes 7368 chassis, 2 x AC PS, Supervisor, 7358X4-SC and Fans (rear-to-front air)</t>
  </si>
  <si>
    <t>7700R4 B-Series Distributed Leaf Switch for HPC clusters with 18 x 800G OSFP ports and 20 x 800G OSFP fabric ports, enh. encryption, Sup-EL, configurable fans and PSU (-F airflow)</t>
  </si>
  <si>
    <t>7700R4 B-Series Distributed Leaf Switch for HPC clusters with 18 x 800G OSFP ports and 20 x 800G OSFP fabric ports, enh. encryption, Sup-EL, front to rear air, 2 x AC and 2 x SAF-D cords</t>
  </si>
  <si>
    <t>Arista 7280R3A, 28x100GbE QSFP and 2x400GbE QSFP-DD switch router, configurable fans and psu. Over 256K Routes, MPLS and VXLAN</t>
  </si>
  <si>
    <t>Arista 7280R3A, 28x100GbE QSFP and 2x400GbE QSFP-DD switch router, front to rear air, 2 x AC. Over 256K Routes, MPLS and VXLAN</t>
  </si>
  <si>
    <t>Arista 7280R3A, 28x100GbE QSFP and 2x400GbE QSFP-DD switch router, rear to front air, 2 x AC. Over 256K Routes, MPLS and VXLAN</t>
  </si>
  <si>
    <t>Arista 7280R3A, 28x100GbE QSFP and 2x400GbE QSFP-DD switch router, front to rear air, 2 x AC</t>
  </si>
  <si>
    <t>Arista 7280R3A, 28x100GbE QSFP and 2x400GbE QSFP-DD switch router, rear to front air, 2 x AC</t>
  </si>
  <si>
    <t>Arista 7280R3A, 28x100GbE QSFP and 2x400GbE QSFP-DD switch router, configurable fans and psu</t>
  </si>
  <si>
    <t>Arista 7280R3A, 28x100GbE QSFP and 2x400GbE QSFP-DD switch router, large routes and Enh MACsec, configurable fans and psu. Over 256K Routes, MPLS and VXLAN</t>
  </si>
  <si>
    <t>Arista 7280R3A, 28x100GbE QSFP and 2x400GbE QSFP-DD switch router, large routes and Enh MACsec, front to rear air, 2 x AC. Over 256K Routes, MPLS and VXLAN</t>
  </si>
  <si>
    <t>Arista 7280R3A, 28x100GbE QSFP and 2x400GbE QSFP-DD switch router, large routes and Enh MACsec, rear to front air, 2 x AC. Over 256K Routes, MPLS and VXLAN</t>
  </si>
  <si>
    <t>Arista 7280R3A, 28x100GbE QSFP and 2x400GbE QSFP-DD switch router, large routes and Enh MACsec, rear to front air, 2 x AC</t>
  </si>
  <si>
    <t>Arista 7280R3A, 28x100GbE QSFP and 2x400GbE QSFP-DD switch router, large routes and Enh MACsec, front to rear air, 2 x AC</t>
  </si>
  <si>
    <t>Arista 7280R3A, 28x100GbE QSFP and 2x400GbE QSFP-DD switch router, large routes and Enh MACsec, configurable fans and psu</t>
  </si>
  <si>
    <t>Arista 7280R3A, 28x100GbE QSFP and 2x400GbE QSFP-DD switch router, Enh MACsec, configurable fans and psu. Over 256K Routes, MPLS and VXLAN</t>
  </si>
  <si>
    <t>Arista 7280R3A, 28x100GbE QSFP and 2x400GbE QSFP-DD switch router, Enh MACsec, front to rear air, 2 x AC. Over 256K Routes, MPLS and VXLAN</t>
  </si>
  <si>
    <t>Arista 7280R3A, 28x100GbE QSFP and 2x400GbE QSFP-DD switch router, Enh MACsec, rear to front air, 2 x AC. Over 256K Routes, MPLS and VXLAN</t>
  </si>
  <si>
    <t>Arista 7280R3A, 28x100GbE QSFP and 2x400GbE QSFP-DD switch router, Enh MACsec, front to rear air, 2 x AC</t>
  </si>
  <si>
    <t>Arista 7280R3A, 28x100GbE QSFP and 2x400GbE QSFP-DD switch router, Enh MACsec, rear to front air, 2 x AC</t>
  </si>
  <si>
    <t>Arista 7280R3A, 28x100GbE QSFP and 2x400GbE QSFP-DD switch router, Enh MACsec, configurable fans and psu</t>
  </si>
  <si>
    <t>Arista 7280R3A, 48x50GbE SFP and 8x100GbE QSFP switch router, front to rear air, 2 x AC. Over 256K Routes, MPLS and VXLAN</t>
  </si>
  <si>
    <t>Arista 7280R3A, 48x50GbE SFP and 8x100GbE QSFP switch router, rear to front air, 2 x AC. Over 256K Routes, MPLS and VXLAN</t>
  </si>
  <si>
    <t>Arista 7280R3A, 48x50GbE SFP and 8x100GbE QSFP switch router, configurable fans and psu. Over 256K Routes, MPLS and VXLAN</t>
  </si>
  <si>
    <t>Arista 7280R3A, 48x50GbE SFP and 8x100GbE QSFP switch router, rear to front air, 2 x AC</t>
  </si>
  <si>
    <t>Arista 7280R3A, 48x50GbE SFP and 8x100GbE QSFP switch router, front to rear air, 2 x AC</t>
  </si>
  <si>
    <t>Arista 7280R3A, 48x50GbE SFP and 8x100GbE QSFP switch router, configurable fans and psu</t>
  </si>
  <si>
    <t>Arista 7280R3A, 48x50GbE SFP and 8x100GbE QSFP switch router, large routes and Enh MACsec, front to rear air, 2 x AC. Over 256K Routes, MPLS and VXLAN</t>
  </si>
  <si>
    <t>Arista 7280R3A, 48x50GbE SFP and 8x100GbE QSFP switch router, large routes and Enh MACsec, rear to front air, 2 x AC. Over 256K Routes, MPLS and VXLAN</t>
  </si>
  <si>
    <t>Arista 7280R3A, 48x50GbE SFP and 8x100GbE QSFP switch router, large routes and Enh MACsec, configurable fans and psu. Over 256K Routes, MPLS and VXLAN</t>
  </si>
  <si>
    <t>Arista 7280R3A, 48x50GbE SFP and 8x100GbE QSFP switch router, large routes and Enh MACsec, front to rear air, 2 x AC</t>
  </si>
  <si>
    <t>Arista 7280R3A, 48x50GbE SFP and 8x100GbE QSFP switch router, large routes and Enh MACsec, rear to front air, 2 x AC</t>
  </si>
  <si>
    <t>Arista 7280R3A, 48x50GbE SFP and 8x100GbE QSFP switch router, large routes and Enh MACsec, configurable fans and psu</t>
  </si>
  <si>
    <t>Arista 7280R3A, 48x50GbE SFP and 8x100GbE QSFP switch router, Enh MACsec, front to rear air, 2 x AC. Over 256K Routes, MPLS and VXLAN</t>
  </si>
  <si>
    <t>Arista 7280R3A, 48x50GbE SFP and 8x100GbE QSFP switch router, Enh MACsec, rear to front air, 2 x AC. Over 256K Routes, MPLS and VXLAN</t>
  </si>
  <si>
    <t>Arista 7280R3A, 48x50GbE SFP and 8x100GbE QSFP switch router, Enh MACsec, configurable fans and psu. Over 256K Routes, MPLS and VXLAN</t>
  </si>
  <si>
    <t>Arista 7280R3A, 48x50GbE SFP and 8x100GbE QSFP switch router, Enh MACsec, front to rear air, 2 x AC</t>
  </si>
  <si>
    <t>Arista 7280R3A, 48x50GbE SFP and 8x100GbE QSFP switch router, Enh MACsec, rear to front air, 2 x AC</t>
  </si>
  <si>
    <t>Arista 7280R3A, 48x50GbE SFP and 8x100GbE QSFP switch router, Enh MACsec, configurable fans and psu</t>
  </si>
  <si>
    <t>Arista 7280R3, 40x25GbE SFP and 6x100G QSFP switch router, SyncE, exp mem, front to rear air, 2 x AC</t>
  </si>
  <si>
    <t>Arista 7280R3, 40x25GbE SFP and 6x100G QSFP switch router, SyncE, exp mem, rear to front air, 2 x AC</t>
  </si>
  <si>
    <t>Arista 7280R3, 40x25GbE SFP and 6x100G QSFP switch router, SyncE, exp mem, configurable fans and psu</t>
  </si>
  <si>
    <t>Arista 7135 Series with 48 SFP28, 4 QSFP28, Layer 1 X-point, VU9P-3 FPGA, front-to-rear air, 2xAC</t>
  </si>
  <si>
    <t>Arista 7135 Series with 48 SFP28, 4 QSFP28, Layer 1 X-point, VU9P-3 FPGA, rear-to-front air, 2xAC</t>
  </si>
  <si>
    <t>Arista 7135 Series with 48 SFP28, 4 QSFP28, Layer 1 X-point, VU9P-3 FPGA, configurable fans &amp; psu</t>
  </si>
  <si>
    <t>Arista 7130 Series with 48 SFP28, 6 QSFP-DD, Layer 1 X-point, 2x VU9P-3 FPGA, R series switch, front-to-rear air, 2xAC</t>
  </si>
  <si>
    <t>Arista 7130 Series with 48 SFP28, 6 QSFP-DD, Layer 1 X-point, 2x VU9P-3 FPGA, R series switch, rear-to-front air, 2xAC</t>
  </si>
  <si>
    <t>Arista 7130 Series with 48 SFP28, 6 QSFP-DD, Layer 1 X-point, 2x VU9P-3 FPGA, R series switch, configurable fans &amp; psu</t>
  </si>
  <si>
    <t>Arista 7060X6, 64 x 800GbE OSFP switch, front-to-rear air, 2xDC ORV3 Rack Kit Bundle</t>
  </si>
  <si>
    <t>Arista 7060X6, 32 x 800GbE OSFP switch, front-to-rear air, 2xAC</t>
  </si>
  <si>
    <t>Arista 7060X6, 32 x 800GbE OSFP switch, no fans, no psu</t>
  </si>
  <si>
    <t>Arista 7060X6, 64 x 800GbE OSFP switch, front-to-rear air, 2xAC</t>
  </si>
  <si>
    <t>Arista 7060X6, 64 x 800GbE OSFP switch, no fans, no psu</t>
  </si>
  <si>
    <t>Arista 7060X5S, 64x400GbE QSFP-DD switch, front-to-rear air, 2xDC ORV3 Rack Kit Bundle</t>
  </si>
  <si>
    <t>Arista 7060X5S, 64x400GbE QSFP-DD switch, front-to-rear air, 2xAC</t>
  </si>
  <si>
    <t>Arista 7060X5S, 64x400GbE QSFP-DD switch, rear-to-front air, 2xAC</t>
  </si>
  <si>
    <t>Arista 7060X5S, 64x400GbE QSFP-DD switch, no fans, no psu</t>
  </si>
  <si>
    <t>Arista 7060X5, 32x400GbE QSFP-DD switch, no fans, no psu</t>
  </si>
  <si>
    <t>Arista 7060X4, 32x400GbE QSFP-DD switch, front-to-rear air, 2xDC, ORv3 Rack Kit</t>
  </si>
  <si>
    <t>Arista 7060X4, 32x400GbE QSFP-DD switch, front-to-rear air, 2xDC</t>
  </si>
  <si>
    <t>Arista 7060X4, 32x400GbE QSFP-DD switch, front-to-rear air, 1xDC, ORv3 Rack Kit</t>
  </si>
  <si>
    <t>Arista 7060X5, 56x100GbE QSFP &amp; 8 x 400GbE QSFP-DD switch, front-to-rear air, 2xAC</t>
  </si>
  <si>
    <t>Arista 7060X5, 56x100GbE QSFP &amp; 8 x 400GbE QSFP-DD switch, rear-to-front air, 2xAC</t>
  </si>
  <si>
    <t>Arista 7060X5, 56x100GbE QSFP &amp; 8 x 400GbE QSFP-DD switch, no fans, no psu</t>
  </si>
  <si>
    <t>7001 series Supervisor-L module with 8c/16t 3.3 GHz CPU, 64GB RAM, 480GB NVMe (spare, -F airflow)</t>
  </si>
  <si>
    <t>7001 series SupervisorA module with 4c/8t 2.7 GHz CPU, 32GB RAM, 240GB NVMe (spare, -F airflow)</t>
  </si>
  <si>
    <t>7001 series SupervisorA module with 4c/8t 2.7 GHz CPU, 32GB RAM, 240GB NVMe (spare, -F airflow) (Secure Boot Disabled)</t>
  </si>
  <si>
    <t>Arista 7050X4, 48x100GbE QSFP &amp; 8 x 400GbE QSFP-DD switch, MACsec, rear-to-front air, 2xAC</t>
  </si>
  <si>
    <t>Arista 7050X3, 32x100GbE QSFP+ &amp; 2xSFP+ switch, front-to-rear air, 2xDC</t>
  </si>
  <si>
    <t>Arista 7050X3, 32x100GbE QSFP+ &amp; 2xSFP+ switch, rear-to-front air, 2xDC</t>
  </si>
  <si>
    <t>Arista 7050X3C, 32x100GbE QSFP+ &amp; 2xSFP+ switch, expn memory, SSD, front-to-rear air, 2xAC</t>
  </si>
  <si>
    <t>Arista 7050X3C, 32x100GbE QSFP+ &amp; 2xSFP+ switch, expn memory, SSD, rear-to-front air, 2xAC</t>
  </si>
  <si>
    <t>Arista 7050X3C, 32x100GbE QSFP+ &amp; 2xSFP+ switch, expn memory, SSD, configurable fans and psu</t>
  </si>
  <si>
    <t>Arista 7050X3, 24x25GbE SFP &amp; 4x100GbE QSFP switch, front-to-rear air, 2xAC</t>
  </si>
  <si>
    <t>Arista 7050X3, 24x25GbE SFP &amp; 4x100GbE QSFP switch, rear-to-front air, 2xAC</t>
  </si>
  <si>
    <t>Arista 7050X3, 24x25GbE SFP &amp; 4x100GbE QSFP switch, configurable fans and psu</t>
  </si>
  <si>
    <t>Arista 7050X3, 48x25GbE SFP &amp; 8x100GbE QSFP switch, front-to-rear air, 2xAC</t>
  </si>
  <si>
    <t>Arista 7050X3, 48x25GbE SFP &amp; 8x100GbE QSFP switch, rear-to-front air, 2xAC</t>
  </si>
  <si>
    <t>Arista 7050X3, 48x25GbE SFP &amp; 8x100GbE QSFP switch, configurable fans and psu</t>
  </si>
  <si>
    <t>Arista 7020R4, 48x25GbE SFP and 8x100GbE QSFP switch router, front to rear air, 2 x AC. Over 256K Routes, MPLS and VXLAN</t>
  </si>
  <si>
    <t>Arista 7020R4, 48x25GbE SFP and 8x100GbE QSFP switch router, rear to front air, 2 x AC. Over 256K Routes, MPLS and VXLAN</t>
  </si>
  <si>
    <t>Arista 7020R4, 48x25GbE SFP and 8x100GbE QSFP switch router, configurable fans and psu. Over 256K Routes, MPLS and VXLAN</t>
  </si>
  <si>
    <t>Arista 7020R4, 48x25GbE SFP and 8x100GbE QSFP switch router, front to rear air, 2 x DC</t>
  </si>
  <si>
    <t>Arista 7020R4, 48x25GbE SFP and 8x100GbE QSFP switch router, rear to front air, 2 x DC</t>
  </si>
  <si>
    <t>Arista 7020R4, 48x25GbE SFP and 8x100GbE QSFP switch router, front to rear air, 2 x AC</t>
  </si>
  <si>
    <t>Arista 7020R4, 48x25GbE SFP and 8x100GbE QSFP switch router, rear to front air, 2 x AC</t>
  </si>
  <si>
    <t>Arista 7020R4, 48x25GbE SFP and 8x100GbE QSFP switch router, configurable fans and psu</t>
  </si>
  <si>
    <t>Arista 7020R4, 48x25GbE SFP and 8x100GbE QSFP OSFP switch router, enh. encryption, front to rear air, 2 x AC. Over 256K Routes, MPLS and VXLAN</t>
  </si>
  <si>
    <t>Arista 7020R4, 48x25GbE SFP and 8x100GbE QSFP switch router, enh. encryption, rear to front air, 2 x AC. Over 256K Routes, MPLS and VXLAN</t>
  </si>
  <si>
    <t>Arista 7020R4, 48x25GbE SFP and 8x100GbE QSFP switch router, enh. encryption, configurable fans and psu. Over 256K Routes, MPLS and VXLAN</t>
  </si>
  <si>
    <t>Arista 7020R4, 48x25GbE SFP and 8x100GbE QSFP OSFP switch router, enh. encryption, front to rear air, 2 x DC</t>
  </si>
  <si>
    <t>Arista 7020R4, 48x25GbE SFP and 8x100GbE QSFP switch router, enh. encryption, rear to front air, 2 x DC</t>
  </si>
  <si>
    <t>Arista 7020R4, 48x25GbE SFP and 8x100GbE QSFP OSFP switch router, enh. encryption, front to rear air, 2 x AC</t>
  </si>
  <si>
    <t>Arista 7020R4, 48x25GbE SFP and 8x100GbE QSFP switch router, enh. encryption, rear to front air, 2 x AC</t>
  </si>
  <si>
    <t>Arista 7020R4, 48x25GbE SFP and 8x100GbE QSFP switch router, enh. encryption, configurable fans and psu</t>
  </si>
  <si>
    <t>Arista 7020R4, 48x25GbE SFP and 4x100GbE QSFP switch router, front to rear air, 2 x AC. Over 256K Routes, MPLS and VXLAN</t>
  </si>
  <si>
    <t>Arista 7020R4, 48x25GbE SFP and 4x100GbE QSFP switch router, rear to front air, 2 x AC. Over 256K Routes, MPLS and VXLAN</t>
  </si>
  <si>
    <t>Arista 7020R4, 48x25GbE SFP and 4x100GbE QSFP switch router, configurable fans and psu. Over 256K Routes, MPLS and VXLAN</t>
  </si>
  <si>
    <t>Arista 7020R4, 48x25GbE SFP and 4x100GbE QSFP switch router, front to rear air, 2 x DC</t>
  </si>
  <si>
    <t>Arista 7020R4, 48x25GbE SFP and 4x100GbE QSFP switch router, rear to front air, 2 x DC</t>
  </si>
  <si>
    <t>Arista 7020R4, 48x25GbE SFP and 4x100GbE QSFP switch router, front to rear air, 2 x AC</t>
  </si>
  <si>
    <t>Arista 7020R4, 48x25GbE SFP and 4x100GbE QSFP switch router, rear to front air, 2 x AC</t>
  </si>
  <si>
    <t>Arista 7020R4, 48x25GbE SFP and 4x100GbE QSFP switch router, configurable fans and psu</t>
  </si>
  <si>
    <t>Arista 7020R4, 48x25GbE SFP and 4x100GbE QSFP OSFP switch router, enh. encryption, front to rear air, 2 x AC. Over 256K Routes, MPLS and VXLAN</t>
  </si>
  <si>
    <t>Arista 7020R4, 48x25GbE SFP and 4x100GbE QSFP switch router, enh. encryption, rear to front air, 2 x AC. Over 256K Routes, MPLS and VXLAN</t>
  </si>
  <si>
    <t>Arista 7020R4, 48x25GbE SFP and 4x100GbE QSFP switch router, enh. encryption, configurable fans and psu. Over 256K Routes, MPLS and VXLAN</t>
  </si>
  <si>
    <t>Arista 7020R4, 48x25GbE SFP and 4x100GbE QSFP OSFP switch router, enh. encryption, front to rear air, 2 x DC</t>
  </si>
  <si>
    <t>Arista 7020R4, 48x25GbE SFP and 4x100GbE QSFP switch router, enh. encryption, rear to front air, 2 x DC</t>
  </si>
  <si>
    <t>Arista 7020R4, 48x25GbE SFP and 4x100GbE QSFP OSFP switch router, enh. encryption, front to rear air, 2 x AC</t>
  </si>
  <si>
    <t>Arista 7020R4, 48x25GbE SFP and 4x100GbE QSFP switch router, enh. encryption, rear to front air, 2 x AC</t>
  </si>
  <si>
    <t>Arista 7020R4, 48x25GbE SFP and 4x100GbE QSFP switch router, enh. encryption, configurable fans and psu</t>
  </si>
  <si>
    <t>Arista 7020R4, 48x10GbE RJ45 and 4x100GbE QSFP switch router, front to rear air, 2 x AC</t>
  </si>
  <si>
    <t>Arista 7020R4, 48x10GbE RJ45 and 4x100GbE QSFP switch router, rear to front air, 2 x AC</t>
  </si>
  <si>
    <t>Arista 7020R4, 48x10GbE RJ45 and 4x100GbE QSFP switch router, configurable fans and psu</t>
  </si>
  <si>
    <t>Arista 7020R4, 48x10GbE RJ45 and 4x100GbE QSFP OSFP switch router, enh. encryption, front to rear air, 2 x AC</t>
  </si>
  <si>
    <t>Arista 7020R4, 48x10GbE RJ45 and 4x100GbE QSFP switch router, enh. encryption, rear to front air, 2 x AC</t>
  </si>
  <si>
    <t>Arista 7020R4, 48x10GbE RJ45 and 4x100GbE QSFP switch router, enh. encryption, configurable fans and psu</t>
  </si>
  <si>
    <t>Arista 7010TX, 48x 10/100/1000 RJ45 &amp; 4 x 25G SFP (1/10/25GbE) switch, front to rear air, 2xDC ORv3A</t>
  </si>
  <si>
    <t>Arista 7010TX, 48x 10/100/1000 RJ45 &amp; 4 x 25G SFP (1/10/25GbE) switch, front to rear air, 2xDC ORv3</t>
  </si>
  <si>
    <t>Arista 7010TX, 48x 10/100/1000 RJ45 &amp; 4 x 25G SFP (1/10/25GbE) switch, front to rear air, 2xAC - Includes 5YR NBD Support</t>
  </si>
  <si>
    <t>Arista 710HXP, 24x 1G 60W PoE, 4x 10 mGig 90W PoE, 4x10G SFP+ fanless switch, 2 x 400W AC/HVDC, standard rack mount</t>
  </si>
  <si>
    <t>Arista 710HXP, 16x 1G 30W PoE, 4x 5 mGig 90W PoE, 4x10G SFP+ fanless switch, DIN rail mount (power adapter sold separately)</t>
  </si>
  <si>
    <t>Arista 710XP, 12 x 1G PoE (8x1G 30W, 4x1G 60W), 2x10G SFP+ fanless compact switch, 1 x AC</t>
  </si>
  <si>
    <t>Arista 722XPM, 48x1G 30W POE, 4x25G, 4x10G SFP+ switch, front to rear air, MACSec, AC (2)</t>
  </si>
  <si>
    <t>Arista 722XPM, 48x2.5G 60W POE, 8x25G SFP28 switch, front to rear air, MACSec, AC (2)</t>
  </si>
  <si>
    <t>Arista 720XP, 48x10G 90W POE, 4x25G SFP/2x100G QSFP switch, requires PSU</t>
  </si>
  <si>
    <t>Arista 720XP, 48 x 5G, 90W POE, 4x25G SFP28, 2x100G QSFP switch, front to rear air, AC</t>
  </si>
  <si>
    <t>Arista 720XP, 48 x 5G 90W POE, 4x25G SFP/2x100G QSFP switch, requires PSU</t>
  </si>
  <si>
    <t>Arista 720XP, 48 x 5G to 10G Upgrade</t>
  </si>
  <si>
    <t>Arista 720DF, 48 x 1G SFP, 4 x 25G SFP switch, exp mem, front to rear air, 2 x 200W AC, C14 Power Cord</t>
  </si>
  <si>
    <t>Arista 720DF, 48 x 1G SFP, 4 x 25G SFP switch, exp mem, front to rear air, 2 x 200W AC, EU Power Cord</t>
  </si>
  <si>
    <t>Arista 720DF, 48 x 1G SFP, 4 x 25G SFP switch, exp mem, front to rear air, 2 x 200W AC, JPN Power Cord</t>
  </si>
  <si>
    <t>Arista 720DF, 48 x 1G SFP, 4 x 25G SFP switch, exp mem, front to rear air, 2 x 200W AC, NA Power Cord</t>
  </si>
  <si>
    <t>Arista 720DF, 48 x 1G SFP, 4 x 25G SFP switch, exp mem, front to rear air, 2 x 200W AC</t>
  </si>
  <si>
    <t>Arista 720DP, 48 x 1G POE, 4x10G SFP switch, exp mem, front to rear air, 2 950W AC, C14 Power Cord</t>
  </si>
  <si>
    <t>Arista 720DP, 48 x 1G POE, 4x10G SFP switch, exp mem, front to rear air, 2 950W AC, EU Power Cord</t>
  </si>
  <si>
    <t>Arista 720DP, 48 x 1G POE, 4x10G SFP switch, exp mem, front to rear air, 2 950W AC, JPN Power Cord</t>
  </si>
  <si>
    <t>Arista 720DP, 48 x 1G POE, 4x10G SFP switch, exp mem, front to rear air, 2 950W AC, NA Power Cord</t>
  </si>
  <si>
    <t>Arista 720DP, 48 x 1G POE, 4x10G SFP switch, exp mem, front to rear air, 2 950W AC UK Power Cord</t>
  </si>
  <si>
    <t>Arista 720DP, 24 x 1G POE, 4x10G SFP switch, exp mem, front to rear air, 2 460W AC, C14 Power Cord</t>
  </si>
  <si>
    <t>Arista 720DP, 24 x 1G POE, 4x10G SFP switch, exp mem, front to rear air, 2 460W AC, EU Power Cord</t>
  </si>
  <si>
    <t>Arista 720DP, 24 x 1G POE, 4x10G SFP switch, exp mem, front to rear air, 2 460W AC JPN Power Cord</t>
  </si>
  <si>
    <t>Arista 720DP, 24 x 1G POE, 4x10G SFP switch, exp mem, front to rear air, 2 460W AC, NA Power Cord</t>
  </si>
  <si>
    <t>Arista 720DP, 24 x 1G POE, 4x10G SFP switch, exp mem, front to rear air, 2 460W AC, UK Power Cord</t>
  </si>
  <si>
    <t>Arista 720DT, 48 x 1G, 4x10G SFP switch, rear to front air, 2 100W AC, C14 Power Cord</t>
  </si>
  <si>
    <t>Arista 720DT, 48 x 1G, 4x10G SFP switch, rear to front air, 2 100W AC, EU Power Cord</t>
  </si>
  <si>
    <t>Arista 720DT, 48 x 1G, 4x10G SFP switch, rear to front air, 2 100W AC, JPN Power Cord</t>
  </si>
  <si>
    <t>Arista 720DT, 48 x 1G, 4x10G SFP switch, rear to front air, 2 100W AC, NA Power Cord</t>
  </si>
  <si>
    <t>Arista 720DT, 48 x 1G, 4x10G SFP switch, rear to front air, 2 100W AC, UK Power Cord</t>
  </si>
  <si>
    <t>Arista 720DT, 48 x 1G, 4x10G SFP switch, rear to front air, 2 100W AC</t>
  </si>
  <si>
    <t>Arista 720DT, 24 x 1G, 4x10G SFP switch, exp mem, front to rear air, 2 100W AC, EU Power Cord</t>
  </si>
  <si>
    <t>Arista 720DT, 24 x 1G, 4x10G SFP switch, exp mem, front to rear air, 2 100W AC, JPN Power Cord</t>
  </si>
  <si>
    <t>Arista 720DT, 24 x 1G, 4x10G SFP switch, exp mem, front to rear air, 2 100W AC, NA Power Cord</t>
  </si>
  <si>
    <t>Arista 720DT, 24 x 1G, 4x10G SFP switch, exp mem, front to rear air, 2 100W AC, UK Power Cord</t>
  </si>
  <si>
    <t>Arista 720DT, 24 x 1G, 4x10G SFP switch, rear to front air, 2 100W AC, C14 Power Cord</t>
  </si>
  <si>
    <t>Arista 720DT, 24 x 1G, 4x10G SFP switch, rear to front air, 2 100W AC, EU Power Cord</t>
  </si>
  <si>
    <t>Arista 720DT, 24 x 1G, 4x10G SFP switch, rear to front air, 2 100W AC, JPN Power Cord</t>
  </si>
  <si>
    <t>Arista 720DT, 24 x 1G, 4x10G SFP switch, rear to front air, 2 100W AC, NA Power Cord</t>
  </si>
  <si>
    <t>Arista 720DT, 24 x 1G, 4x10G SFP switch, rear to front air, 2 100W AC, UK Power Cord</t>
  </si>
  <si>
    <t>Arista 720DT, 24 x 1G, 4x10G SFP switch, rear to front air, 2 100W AC</t>
  </si>
  <si>
    <t>Rack Mount Kit for Arista 710XP-12 series switches</t>
  </si>
  <si>
    <t>Wallmount Bracket Kit for Arista 710HXP series switches</t>
  </si>
  <si>
    <t>Spare DIN Rail Bracket Kit for Arista 710HXP series switches</t>
  </si>
  <si>
    <t>DIN Rail Rackmount Kit for Arista 710HXP series switches</t>
  </si>
  <si>
    <t>Arista 755 Chassis bundle. Includes 750X 5-slot Chassis, 2 Switch Card, 2 Sup100 (Linecards and Power Supplies sold seperately), TAA compliant</t>
  </si>
  <si>
    <t>Arista 755 Chassis bundle. incl. 750X 5-slot Chassis, 2 Switch Card, 2 Sup25 (Line cards and Power supplies sold separately), TAA compliant</t>
  </si>
  <si>
    <t>Arista 758 Chassis bundle. Includes 750X 8-slot Chassis, 2 Switch Card, 2 Sup100 (Linecards and Power Supplies sold seperately), TAA compliant</t>
  </si>
  <si>
    <t>Arista 758 Chassis bundle. incl. 750X 8-slot Chassis, 2 Switch Card, 2 Sup25 (Line cards and Power supplies sold separately), TAA compliant</t>
  </si>
  <si>
    <t>Arista 750 Series Supervisor module with QSFP100 (spare), TAA compliant</t>
  </si>
  <si>
    <t>Arista 750 Series Supervisor module with SFP25 (spare), TAA compliant</t>
  </si>
  <si>
    <t>Arista 750 Series 48 port 1G RJ-45 line card (non-PoE)</t>
  </si>
  <si>
    <t>Arista 750 Series 48 port 1G PoE (30W) upgrade license</t>
  </si>
  <si>
    <t>Spare fan module for Arista 7000 Series 2RU Enhanced Fan Speed OCP (front-to-rear airflow)</t>
  </si>
  <si>
    <t>Spare Front-to-Rear High Speed Fan module for select Arista 7000 Series. Refer to product specs for compatibility</t>
  </si>
  <si>
    <t>Configurable Front-to-Rear High Speed Fan module for select Arista 7000 Series. Refer to product specs for compatibility</t>
  </si>
  <si>
    <t>Spare Rear-to-Front High Speed Fan module for select Arista 7000 Series. Refer to product specs for compatibility</t>
  </si>
  <si>
    <t>Configurable Rear-to-Front High Speed Fan module for select Arista 7000 Series. Refer to product specs for compatibility</t>
  </si>
  <si>
    <t>Configurable fan module for Arista 7000 Series 2 and 3RU High Speed Fan (front-to-rear airflow)</t>
  </si>
  <si>
    <t>Spare fan module for Arista 7000 Series 2 and 3RU High Speed Fan (rear-to-front airflow)</t>
  </si>
  <si>
    <t>Configurable fan module for Arista 7000 Series 2 and 3RU High Speed Fan (rear-to-front airflow)</t>
  </si>
  <si>
    <t>Spare fan module for Arista 5500 / 7200 Series Routers (front-to-rear airflow)</t>
  </si>
  <si>
    <t>Configurable fan module for ZTX and Arista 7200 Series Routers (front-to-rear airflow)</t>
  </si>
  <si>
    <t>ORv3 Rack Tray for Arista 2RU switches with left-side PSU. Includes Y-Cable for 2x 6-pin DC PSU to ORv3 bus bar and set of tray rails</t>
  </si>
  <si>
    <t>ORv3 Rack Tray for Arista 2RU switches with right-side PSU. Includes Y-Cable for 2x 6-pin DC PSU to ORv3 bus bar and set of tray rails.</t>
  </si>
  <si>
    <t>Forward airflow louver kit and tool for select 7000 Series 3RU systems</t>
  </si>
  <si>
    <t>Reverse airflow louver kit and tool for select 7000 Series 3RU systems</t>
  </si>
  <si>
    <t>Forward airflow louver kit and tool for select 7000 Series 2RU systems</t>
  </si>
  <si>
    <t>Reverse airflow louver kit and tool for select 7000 Series 2RU systems</t>
  </si>
  <si>
    <t>Arista ZTX-7250S MSS appliance, 2 RU, 16 x 1/10 Gbps SFP+, 4 expn. slots, front to rear air, 2x AC, Includes software.</t>
  </si>
  <si>
    <t>Arista ZTX-7230S MSS appliance, 1 RU, 4 x 1/10 Gbps SFP+, 4 x 10G Base-T,  2 expn. slots, front to rear air, 2x AC, Includes software.</t>
  </si>
  <si>
    <t>Network Interface Module, Short Form Factor, OCP3.0, 1x 100 GbE ( QSFP28)</t>
  </si>
  <si>
    <t>Network Interface Module, Short Form Factor, OCP3.0, 4x 10/1 GbE (SFP+)</t>
  </si>
  <si>
    <t>Arista 7250R Router up to 100Gbps, 8x 10G SFP+, 8x 10G SFP+ enh ports, 4 expn. slots, front to rear air, 2x AC.</t>
  </si>
  <si>
    <t>Arista 7250R Router up to 100Gbps, 8x 10G SFP+, 8x 10G SFP+ enh ports, 4 expn. slots, front to rear air, 2x AC. Incl. FLX License</t>
  </si>
  <si>
    <t>Arista 7230R Router up to 30Gbps, 4x 10GBASE-T ports (w/2x fail to wire ports) 4x 10G SFP+ ports, 2 expn. slots, front to rear air, 2x AC. Incl. FLX License</t>
  </si>
  <si>
    <t>Arista 7220R Router up to 5Gbps, 4x 1GBASE-T POE++ ports, 1x 1GBASE-T port, 2x 10G SFP+ ports, front to rear air, 1x AC, Including FLX License</t>
  </si>
  <si>
    <t>UCN DC Remote Deployment Service Base for a Single L3LS Fabric, Region 1</t>
  </si>
  <si>
    <t>UCN DC Remote Deployment Service L3 Node (QTY:X, Max 50) [SVE-S-PF-UCD-BASE-L3-R1] SKU purchase reqd., Region 1</t>
  </si>
  <si>
    <t>UCN DC Remote Deployment Service Base for a Single L2LS Fabric, Region 1</t>
  </si>
  <si>
    <t>UCN DC Remote Deployment Service L2 Node (QTY:X, Max 50) [SVE-S-PF-UCD-BASE-L2-R1] SKU purchase reqd., Region 1</t>
  </si>
  <si>
    <t>UCN Deployment CI Pipeline AddOn R1</t>
  </si>
  <si>
    <t>UCN DC Remote Deployment Service Base for a Single L3LS Fabric, Region 2</t>
  </si>
  <si>
    <t>UCN DC Remote Deployment Service L3 Node (QTY:X, Max 50) [SVE-S-PF-UCD-BASE-L3-R2] SKU purchase reqd., Region 2</t>
  </si>
  <si>
    <t>UCN DC Remote Deployment Service Base for a Single L2LS Fabric, Region 2</t>
  </si>
  <si>
    <t>UCN DC Remote Deployment Service L2 Node (QTY:X, Max 50) [SVE-S-PF-UCD-BASE-L2-R2] SKU purchase reqd., Region 2</t>
  </si>
  <si>
    <t>UCN Deployment CI Pipeline AddOn R2</t>
  </si>
  <si>
    <t>UCN DC Remote Deployment Service Base for a Single L3LS Fabric, Region 3</t>
  </si>
  <si>
    <t>UCN DC Remote Deployment Service L3 Node (QTY:X, Max 50) [SVE-S-PF-UCD-BASE-L3-R3] SKU purchase reqd., Region 3</t>
  </si>
  <si>
    <t>UCN DC Remote Deployment Service Base for a Single L2LS Fabric, Region 3</t>
  </si>
  <si>
    <t>UCN DC Remote Deployment Service L2 Node (QTY:X, Max 50) [SVE-S-PF-UCD-BASE-L2-R3] SKU purchase reqd., Region 3</t>
  </si>
  <si>
    <t>UCN Deployment CI Pipeline AddOn R3</t>
  </si>
  <si>
    <t>Cognitive Campus (Wired) Remote Deployment Service Base for a single L3LS Fabric, Region 1</t>
  </si>
  <si>
    <t>Cognitive Campus (Wired) Remote Deployment Service L3 Node (QTY: X, Max 50) [SVE-S-PF-UCC-BASE-L3-R1] purchase reqd., Region 1</t>
  </si>
  <si>
    <t>Cognitive Campus (Wired) Remote Deployment Service Base for a single L2LS Fabric, Region 1</t>
  </si>
  <si>
    <t>Cognitive Campus (Wired) Remote Deployment Service L2 Node (QTY: X, Max 50) [SVE-S-PF-UCC-BASE-L2-R1] purchase reqd., Region 1</t>
  </si>
  <si>
    <t>Campus Deployment CI Pipeline AddOn R1</t>
  </si>
  <si>
    <t>Cognitive Campus (Wired) Remote Deployment Service Base for a single L3LS Fabric, Region 2</t>
  </si>
  <si>
    <t>Cognitive Campus (Wired) Remote Deployment Service L3 Node (QTY: X, Max 50) [SVE-S-PF-UCC-BASE-L3-R2] purchase reqd., Region 1</t>
  </si>
  <si>
    <t>Cognitive Campus (Wired) Remote Deployment Service Base for a single L2LS Fabric, Region 2</t>
  </si>
  <si>
    <t>Cognitive Campus (Wired) Remote Deployment Service L2 Node (QTY: X, Max 50) [SVE-S-PF-UCC-BASE-L2-R2] purchase reqd., Region 2</t>
  </si>
  <si>
    <t>Campus Deployment CI Pipeline AddOn R2</t>
  </si>
  <si>
    <t>Cognitive Campus (Wired) Remote Deployment Service Base for a single L3LS Fabric, Region 3</t>
  </si>
  <si>
    <t>Cognitive Campus (Wired) Remote Deployment Service L3 Node (QTY: X, Max 50) [SVE-S-PF-UCC-BASE-L3-R3] purchase reqd., Region 3</t>
  </si>
  <si>
    <t>Cognitive Campus (Wired) Remote Deployment Service Base for a single L2LS Fabric, Region 3</t>
  </si>
  <si>
    <t>Cognitive Campus (Wired) Remote Deployment Service L2 Node (QTY: X, Max 50) [SVE-S-PF-UCC-BASE-L2-R3] purchase reqd., Region 3</t>
  </si>
  <si>
    <t>Campus Deployment CI Pipeline AddOn R3</t>
  </si>
  <si>
    <t>Cognitive Campus WLAN Remote Deployment Service Base for 1 site, includes deployment for up to 10 Access Points, Region 1</t>
  </si>
  <si>
    <t>Cognitive Campus WLAN Remote Deployment add-on service for 1 additional site. [SVE-S-PF-UCW-BASE-R1] SKU purchase reqd., Region 1</t>
  </si>
  <si>
    <t>Cognitive Campus WLAN Remote Deployment Service Base for 1 site, includes deployment for up to 10 Access Points, Region 2</t>
  </si>
  <si>
    <t>Cognitive Campus WLAN Remote Deployment Service Base for 1 site, includes deployment for up to 10 Access Points, Region 3</t>
  </si>
  <si>
    <t>Cognitive Campus WLAN Remote Deployment add-on service for 1 additional site. [SVE-S-PF-UCW-BASE-R3] SKU purchase reqd., Region 3</t>
  </si>
  <si>
    <t>Small Remote Migration Service add-on. Requires purchase of UCN or Cognitive Campus Deployment Service, Region 1.</t>
  </si>
  <si>
    <t>Medium Remote Migration Service add-on. Requires purchase of UCN or Cognitive Campus Deployment Service, Region 1.</t>
  </si>
  <si>
    <t>Large Remote Migration Service add-on. Requires purchase of UCN or Cognitive Campus Deployment Service, Region 1.</t>
  </si>
  <si>
    <t>Small Remote Migration Service add-on. Requires purchase of UCN or Cognitive Campus Deployment Service, Region 2.</t>
  </si>
  <si>
    <t>Medium Remote Migration Service add-on. Requires purchase of UCN or Cognitive Campus Deployment Service, Region 2.</t>
  </si>
  <si>
    <t>Large Remote Migration Service add-on. Requires purchase of UCN or Cognitive Campus Deployment Service, Region 2.</t>
  </si>
  <si>
    <t>Small Remote Migration Service add-on. Requires purchase of UCN or Cognitive Campus Deployment Service, Region 3.</t>
  </si>
  <si>
    <t>Medium Remote Migration Service add-on. Requires purchase of UCN or Cognitive Campus Deployment Service, Region 3.</t>
  </si>
  <si>
    <t>Large Remote Migration Service add-on. Requires purchase of UCN or Cognitive Campus Deployment Service, Region 3.</t>
  </si>
  <si>
    <t>DMF Design &amp; Impl. service for Ctlr HA Pair + 3 switches - Region 1</t>
  </si>
  <si>
    <t>DMF Impl. service for 1 switch; [SVE-S-PF-DMF-IMPL-DSN-R1] SKU purchase reqd. - Region 1</t>
  </si>
  <si>
    <t>DMF Impl. service for 1 service node HWC; [SVE-S-PF-DMF-IMPL-DSN-R1] SKU purchase reqd. - Region 1</t>
  </si>
  <si>
    <t>DMF Impl. service for 1 service node HWDL; [SVE-S-PF-DMF-IMPL-DSN-R1] SKU purchase reqd. - Region 1</t>
  </si>
  <si>
    <t>DMF Impl. service for 1 service node HWEL; [SVE-S-PF-DMF-IMPL-DSN-R1] SKU purchase reqd. - Region 1</t>
  </si>
  <si>
    <t>DMF Impl. service for 1 recorder node; [SVE-S-PF-DMF-IMPL-DSN-R1] SKU purchase reqd. - Region 1</t>
  </si>
  <si>
    <t>DMF Impl. service for 1 analytics node; [SVE-S-PF-DMF-IMPL-DSN-R1] SKU purchase reqd. - Region 1</t>
  </si>
  <si>
    <t>DMF Design &amp; Impl. service for Ctlr HA Pair + 3 switches - Region 2</t>
  </si>
  <si>
    <t>DMF Impl. service for 1 switch; [SVE-S-PF-DMF-IMPL-DSN-R2] SKU purchase reqd. - Region 2</t>
  </si>
  <si>
    <t>DMF Impl. service for 1 service node HWC; [SVE-S-PF-DMF-IMPL-DSN-R2] SKU purchase reqd. - Region 2</t>
  </si>
  <si>
    <t>DMF Impl. service for 1 service node HWDL; [SVE-S-PF-DMF-IMPL-DSN-R2] SKU purchase reqd. - Region 2</t>
  </si>
  <si>
    <t>DMF Impl. service for 1 service node HWEL; [SVE-S-PF-DMF-IMPL-DSN-R2] SKU purchase reqd. - Region 2</t>
  </si>
  <si>
    <t>DMF Impl. service for 1 recorder node; [SVE-S-PF-DMF-IMPL-DSN-R2] SKU purchase reqd. - Region 2</t>
  </si>
  <si>
    <t>DMF Impl. service for 1 analytics node; [SVE-S-PF-DMF-IMPL-DSN-R2] SKU purchase reqd. - Region 2</t>
  </si>
  <si>
    <t>Five day PS remote consulting services - Region 1</t>
  </si>
  <si>
    <t>Five day PS onsite consulting services (contiguous delivery, includes consultant travel time and expenses for domestic travel) - Region 1</t>
  </si>
  <si>
    <t>Five day PS remote consulting services - Region 2</t>
  </si>
  <si>
    <t>Five day PS onsite consulting services (contiguous delivery, includes consultant travel time and expenses for domestic travel) - Region 2</t>
  </si>
  <si>
    <t>Five day PS remote consulting services - Region 3</t>
  </si>
  <si>
    <t>Five day PS onsite consulting services (contiguous delivery, includes consultant travel time and expenses for domestic travel) - Region 3</t>
  </si>
  <si>
    <t>One day add-on, PS remote consulting services - Region 1</t>
  </si>
  <si>
    <t>One day add-on, PS remote consulting services - Region 2</t>
  </si>
  <si>
    <t>One day add-on, PS remote consulting services - Region 3</t>
  </si>
  <si>
    <t>1-Year - PS Remote Network Consulting Services - Region 1</t>
  </si>
  <si>
    <t>1-Year - PS Remote Network Consulting Services - Region 2</t>
  </si>
  <si>
    <t>1-Year - PS Remote Network Consulting Services - Region 3</t>
  </si>
  <si>
    <t>Arista Central Engineering Consulting Service (On-site - 1 Engineer, 1 Day)</t>
  </si>
  <si>
    <t>Arista Central Engineering Consulting Service (Remote - 1 Engineer, 1 Hour)</t>
  </si>
  <si>
    <t>Remote training for Netvisor ONE Administration and TAC Support specific troubleshooting, delivered in five 6-hour sessions per student</t>
  </si>
  <si>
    <t>250+ All-Access subscription</t>
  </si>
  <si>
    <t>10 to 50 All-Access subscription</t>
  </si>
  <si>
    <t>51 to 249 All-Access subscription</t>
  </si>
  <si>
    <t>Operational &amp; troubleshooting-focused training. Fully customized. Delivered by TAC experts. (Requires Scoping by tac-custom-training@)</t>
  </si>
  <si>
    <t>Expert Recertification Exam</t>
  </si>
  <si>
    <t>Academy Access to Foundations Track with 20 hours of labs for a one year subscription</t>
  </si>
  <si>
    <t>Academy Access to Data Center Track with 40 hours of labs per subtrack for a one year subscription</t>
  </si>
  <si>
    <t>Academy Access to Campus Track with 40 hours of labs per subtrack for a one year subscription</t>
  </si>
  <si>
    <t>Arista Edge 720 and 740 Power Supply</t>
  </si>
  <si>
    <t>Arista Edge Type N Power Cable (Brazil)</t>
  </si>
  <si>
    <t>800G-ZR (OIF), 800G-ZR+ (OpenROADM) C-Band OSFP Digital Coherent Tunable Transceiver</t>
  </si>
  <si>
    <t>800GBASE-XDR8 OSFP Transceiver, MPO-16 connector, up to 2km over parallel SMF</t>
  </si>
  <si>
    <t>8x 25GBASE-LR/10GBASE-LR OSFP Transceiver with MPO-16 APC connector, up to 2km over parallel SMF</t>
  </si>
  <si>
    <t>2 x 100GBASE-LR4 OSFP Transceiver, with 2x LC optical connectors, up to 10km over two pairs of duplex SMF</t>
  </si>
  <si>
    <t>100GBASE-ZR Tuneable Coherent DWDM transciever, Extended Temp</t>
  </si>
  <si>
    <t>100GBASE-ZR Tuneable Coherent DWDM transciever</t>
  </si>
  <si>
    <t>25GBASE-ER SFP25 transceiver, up to 40km over single-mode fiber</t>
  </si>
  <si>
    <t>25GBASE-LR-Enanced SFP, up to 10km over SMF with low latency (without FEC)</t>
  </si>
  <si>
    <t>25GBASE-SR-Enanced SFP, up to 30m/50m over OM3/OM4 MMF with low latency (without FEC)</t>
  </si>
  <si>
    <t>10GBASE-T Copper (RJ45) SFP Transceiver, Reduced Power, up to 30m over Cat6a Cable</t>
  </si>
  <si>
    <t>800G QSFP-DD to 2x 400G QSFP112 Active Optical Cable, 1 meter</t>
  </si>
  <si>
    <t>800G QSFP-DD to 2x 400G QSFP112 Active Optical Cable, 3 meter</t>
  </si>
  <si>
    <t>800G QSFP-DD to 2x 400G QSFP112 Active Optical Cable, 5 meter</t>
  </si>
  <si>
    <t>800G QSFP-DD to 2x 400G QSFP112 Active Optical Cable, 7 meter</t>
  </si>
  <si>
    <t>800G QSFP-DD to 2x 400G QSFP112 Active Optical Cable, 10 meter</t>
  </si>
  <si>
    <t>800G QSFP-DD to 2x 400G QSFP112 Active Optical Cable, 15 meter</t>
  </si>
  <si>
    <t>800G QSFP-DD to 2x 400G QSFP112 Active Optical Cable, 20 meter</t>
  </si>
  <si>
    <t>800G QSFP-DD to 2x 400G QSFP112 Active Optical Cable, 25 meter</t>
  </si>
  <si>
    <t>800G QSFP-DD to 2x 400G QSFP112 Active Optical Cable, 30 meter</t>
  </si>
  <si>
    <t>800GBASE-CR8 OSFP to 2 x 400GBASE-CR4 QSFP Copper Cable, 1 meter</t>
  </si>
  <si>
    <t>800GBASE-CR8 OSFP to 2 x 400GBASE-CR4 QSFP Copper Cable, 2 meter</t>
  </si>
  <si>
    <t>800GBASE-CR8 OSFP to 2 x 400GBASE-CR4 QSFP Copper Cable, 3 meter</t>
  </si>
  <si>
    <t>800GBASE-CR8 OSFP to 2 x 400GBASE-CR4 QSFP Copper Cable, 4 meter</t>
  </si>
  <si>
    <t>800G OSFP to OSFP Active Optical Cable, 1 meter</t>
  </si>
  <si>
    <t>800G OSFP to OSFP Active Optical Cable, 3 meter</t>
  </si>
  <si>
    <t>800G OSFP to OSFP Active Optical Cable, 5 meter</t>
  </si>
  <si>
    <t>800G OSFP to OSFP Active Optical Cable, 7 meter</t>
  </si>
  <si>
    <t>800G OSFP to OSFP Active Optical Cable, 10 meter</t>
  </si>
  <si>
    <t>800G OSFP to OSFP Active Optical Cable, 15 meter</t>
  </si>
  <si>
    <t>800G OSFP to OSFP Active Optical Cable, 20 meter</t>
  </si>
  <si>
    <t>800G OSFP to OSFP Active Optical Cable, 25 meter</t>
  </si>
  <si>
    <t>800G OSFP to OSFP Active Optical Cable, 30 meter</t>
  </si>
  <si>
    <t>800G OSFP to 2x 400G QSFP112 Active Optical Cable, 1 meter</t>
  </si>
  <si>
    <t>800G OSFP to 2x 400G QSFP112 Active Optical Cable, 3 meter</t>
  </si>
  <si>
    <t>800G OSFP to 2x 400G QSFP112 Active Optical Cable, 5 meter</t>
  </si>
  <si>
    <t>800G OSFP to 2x 400G QSFP112 Active Optical Cable, 7 meter</t>
  </si>
  <si>
    <t>800G OSFP to 2x 400G QSFP112 Active Optical Cable, 10 meter</t>
  </si>
  <si>
    <t>800G OSFP to 2x 400G QSFP112 Active Optical Cable, 15 meter</t>
  </si>
  <si>
    <t>800G OSFP to 2x 400G QSFP112 Active Optical Cable, 20 meter</t>
  </si>
  <si>
    <t>800G OSFP to 2x 400G QSFP112 Active Optical Cable, 25 meter</t>
  </si>
  <si>
    <t>800G OSFP to 2x 400G QSFP112 Active Optical Cable, 30 meter</t>
  </si>
  <si>
    <t>2x 400GBASE-XDR4 QSFP-DD Transceiver, Dual MPO-12 connector, up to 2km over parallel SMF</t>
  </si>
  <si>
    <t>800GBASE-DR8 Linear Pluggable OSFP Transceiver, MPO-16, up to 500m over parallel SMF</t>
  </si>
  <si>
    <t>400G QSFP-DD to 2x 200G QSFP Active Optical Cable, 1 meter</t>
  </si>
  <si>
    <t>400G QSFP-DD to 2x 200G QSFP Active Optical Cable, 3 meter</t>
  </si>
  <si>
    <t>400G QSFP-DD to 2x 200G QSFP Active Optical Cable, 5 meter</t>
  </si>
  <si>
    <t>400G QSFP-DD to 2x 200G QSFP Active Optical Cable, 7 meter</t>
  </si>
  <si>
    <t>400G QSFP-DD to 2x 200G QSFP Active Optical Cable, 10 meter</t>
  </si>
  <si>
    <t>400G QSFP-DD to 2x 200G QSFP Active Optical Cable, 15 meter</t>
  </si>
  <si>
    <t>400G QSFP-DD to 2x 200G QSFP Active Optical Cable, 20 meter</t>
  </si>
  <si>
    <t>400G QSFP-DD to 2x 200G QSFP Active Optical Cable, 25 meter</t>
  </si>
  <si>
    <t>400G QSFP-DD to 2x 200G QSFP Active Optical Cable, 30 meter</t>
  </si>
  <si>
    <t>400G QSFP-DD to 400G QSFP112 Active Optical Cable, 1 meter</t>
  </si>
  <si>
    <t>400G QSFP-DD to 400G QSFP112 Active Optical Cable, 3 meter</t>
  </si>
  <si>
    <t>400G QSFP-DD to 400G QSFP112 Active Optical Cable, 5 meter</t>
  </si>
  <si>
    <t>400G QSFP-DD to 400G QSFP112 Active Optical Cable, 7 meter</t>
  </si>
  <si>
    <t>400G QSFP-DD to 400G QSFP112 Active Optical Cable, 10 meter</t>
  </si>
  <si>
    <t>400G QSFP-DD to 400G QSFP112 Active Optical Cable, 15 meter</t>
  </si>
  <si>
    <t>400G QSFP-DD to 400G QSFP112 Active Optical Cable, 20 meter</t>
  </si>
  <si>
    <t>400G QSFP-DD to 400G QSFP112 Active Optical Cable, 25 meter</t>
  </si>
  <si>
    <t>400G QSFP-DD to 400G QSFP112 Active Optical Cable, 30 meter</t>
  </si>
  <si>
    <t>400G OSFP to 2x 200G QSFP Active Optical Cable, 1 meter</t>
  </si>
  <si>
    <t>400G OSFP to 2x 200G QSFP Active Optical Cable, 3 meter</t>
  </si>
  <si>
    <t>400G OSFP to 2x 200G QSFP Active Optical Cable, 5 meter</t>
  </si>
  <si>
    <t>400G OSFP to 2x 200G QSFP Active Optical Cable, 7 meter</t>
  </si>
  <si>
    <t>400G OSFP to 2x 200G QSFP Active Optical Cable, 10 meter</t>
  </si>
  <si>
    <t>400G OSFP to 2x 200G QSFP Active Optical Cable, 15 meter</t>
  </si>
  <si>
    <t>400G OSFP to 2x 200G QSFP Active Optical Cable, 20 meter</t>
  </si>
  <si>
    <t>400G OSFP to 2x 200G QSFP Active Optical Cable, 25 meter</t>
  </si>
  <si>
    <t>400G OSFP to 2x 200G QSFP Active Optical Cable, 30 meter</t>
  </si>
  <si>
    <t>400G OSFP to 400G QSFP112 Active Optical Cable, 1 meter</t>
  </si>
  <si>
    <t>400G OSFP to 400G QSFP112 Active Optical Cable, 3 meter</t>
  </si>
  <si>
    <t>400G OSFP to 400G QSFP112 Active Optical Cable, 5 meter</t>
  </si>
  <si>
    <t>400G OSFP to 400G QSFP112 Active Optical Cable, 7 meter</t>
  </si>
  <si>
    <t>400G OSFP to 400G QSFP112 Active Optical Cable, 10 meter</t>
  </si>
  <si>
    <t>400G OSFP to 400G QSFP112 Active Optical Cable, 15 meter</t>
  </si>
  <si>
    <t>400G OSFP to 400G QSFP112 Active Optical Cable, 20 meter</t>
  </si>
  <si>
    <t>400G OSFP to 400G QSFP112 Active Optical Cable, 25 meter</t>
  </si>
  <si>
    <t>400G OSFP to 400G QSFP112 Active Optical Cable, 30 meter</t>
  </si>
  <si>
    <t>400GBASE-ZR QSFP-DD Transceiver, up to 120km over duplex SMF</t>
  </si>
  <si>
    <t>400GBASE-ER4-30 QSFP-DD Transceiver, up to 30km over duplex SMF</t>
  </si>
  <si>
    <t>2 x 100GBASE-LR4 QSFP-DD Transceiver, with 2x CS optical connectors, up to 10km over two pairs of duplex SMF</t>
  </si>
  <si>
    <t>Dual rate 8x 25GBASE-SR / 8x 10GBASE-SR Enhanced QSFP-DD transceiver, up to 30m reach at 25G over OM4 MMF with low latency (without FEC)</t>
  </si>
  <si>
    <t>CloudVision as-a-Service SW Subscription License for 1-Month for 1 Switch. Arista Fixed 10G+ Group 1 Platforms.</t>
  </si>
  <si>
    <t>CloudVision as-a-Service SW Subscription License for 1-Month for 1 Switch. Arista Fixed 10G+ Group 2 Platforms.</t>
  </si>
  <si>
    <t>CloudVision as-a-Service SW Subscription License for 1-Month for 1 Switch. Arista Fixed 10G+ Group 3 Platforms.</t>
  </si>
  <si>
    <t>CloudVision as-a-Service SW Subscription License for 1-Month for 1 Switch. Arista Fixed 10G+ Group 4 Platforms.</t>
  </si>
  <si>
    <t>CloudVision as-a-Service SW Subscription License for 1-Month for 1 Switch. Arista Fixed 10G+ Group 5 Platforms.</t>
  </si>
  <si>
    <t>CloudVision as-a-Service SW Subscription License for 1-Month for 1 Switch. All Arista 10G+ Modular Platform groups.</t>
  </si>
  <si>
    <t>CloudVision as-a-Service SW Subscription License for 1-Month for 1 Switch. Minimum 150 license count. Arista Fixed 10G+ Group 1 Platforms.</t>
  </si>
  <si>
    <t>CloudVision as-a-Service SW Subscription License for 1-Month for 1 Switch. Minimum 150 license count. Arista Fixed 10G+ Group 2 Platforms.</t>
  </si>
  <si>
    <t>CloudVision as-a-Service SW Subscription License for 1-Month for 1 Switch. Minimum 150 license count. Arista Fixed 10G+ Group 3 Platforms.</t>
  </si>
  <si>
    <t>CloudVision as-a-Service SW Subscription License for 1-Month for 1 Switch. Minimum 150 license count. Arista Fixed 10G+ Group 4 Platforms.</t>
  </si>
  <si>
    <t>CloudVision as-a-Service SW Subscription License for 1-Month for 1 Switch. Minimum 150 license count. Arista Fixed 10G+ Group 5 Platforms.</t>
  </si>
  <si>
    <t>CloudVision as-a-Service SW Subscription License for 1-Month for 1 Switch. Minimum 150 license count. All Arista 10G+ Modular Platform groups.</t>
  </si>
  <si>
    <t>CloudVision as-a-Service SW Subscription License for 1-Month for 1 Switch. Minimum 500 license count. Arista Fixed 10G+ Group 1 Platforms.</t>
  </si>
  <si>
    <t>CloudVision as-a-Service SW Subscription License for 1-Month for 1 Switch. Minimum 500 license count. Arista Fixed 10G+ Group 2 Platforms.</t>
  </si>
  <si>
    <t>CloudVision as-a-Service SW Subscription License for 1-Month for 1 Switch. Minimum 500 license count. Arista Fixed 10G+ Group 3 Platforms.</t>
  </si>
  <si>
    <t>CloudVision as-a-Service SW Subscription License for 1-Month for 1 Switch. Minimum 500 license count. Arista Fixed 10G+ Group 4 Platforms.</t>
  </si>
  <si>
    <t>CloudVision as-a-Service SW Subscription License for 1-Month for 1 Switch. Minimum 500 license count. Arista Fixed 10G+ Group 5 Platforms.</t>
  </si>
  <si>
    <t>CloudVision as-a-Service SW Subscription License for 1-Month for 1 Switch. Minimum 500 license count. All Arista 10G+ Modular Platform groups.</t>
  </si>
  <si>
    <t>CloudVision as-a-Service Lite SW Subscription License for 1-Month for 1 Switch. Arista Fixed 10G+ Group 1 Platforms.</t>
  </si>
  <si>
    <t>CloudVision as-a-Service Lite SW Subscription License for 1-Month for 1 Switch. Arista Fixed 10G+ Group 2 Platforms.</t>
  </si>
  <si>
    <t>CloudVision as-a-Service Lite SW Subscription License for 1-Month for 1 Switch. Arista Fixed 10G+ Group 3 Platforms.</t>
  </si>
  <si>
    <t>CloudVision as-a-Service Lite SW Subscription License for 1-Month for 1 Switch. Arista Fixed 10G+ Group 4 Platforms.</t>
  </si>
  <si>
    <t>CloudVision as-a-Service Lite SW Subscription License for 1-Month for 1 Switch. Arista Fixed 10G+ Group 5 Platforms.</t>
  </si>
  <si>
    <t>CloudVision as-a-Service Lite SW Subscription License for 1-Month for 1 Switch. All Arista 10G+ Modular Platform groups.</t>
  </si>
  <si>
    <t>CloudVision as-a-Service Lite SW Subscription License for 1-Month for 1 Switch. Minimum 150 license count. Arista Fixed 10G+ Group 1 Platforms.</t>
  </si>
  <si>
    <t>CloudVision as-a-Service Lite SW Subscription License for 1-Month for 1 Switch. Minimum 150 license count. Arista Fixed 10G+ Group 2 Platforms.</t>
  </si>
  <si>
    <t>CloudVision as-a-Service Lite SW Subscription License for 1-Month for 1 Switch. Minimum 150 license count. Arista Fixed 10G+ Group 3 Platforms.</t>
  </si>
  <si>
    <t>CloudVision as-a-Service Lite SW Subscription License for 1-Month for 1 Switch. Minimum 150 license count. Arista Fixed 10G+ Group 4 Platforms.</t>
  </si>
  <si>
    <t>CloudVision as-a-Service Lite SW Subscription License for 1-Month for 1 Switch. Minimum 150 license count. Arista Fixed 10G+ Group 5 Platforms.</t>
  </si>
  <si>
    <t>CloudVision as-a-Service Lite SW Subscription License for 1-Month for 1 Switch. Minimum 150 license count. All Arista 10G+ Modular Platform groups.</t>
  </si>
  <si>
    <t>CloudVision as-a-Service Lite SW Subscription License for 1-Month for 1 Switch. Minimum 500 license count. Arista Fixed 10G+ Group 1 Platforms.</t>
  </si>
  <si>
    <t>CloudVision as-a-Service Lite SW Subscription License for 1-Month for 1 Switch. Minimum 500 license count. Arista Fixed 10G+ Group 2 Platforms.</t>
  </si>
  <si>
    <t>CloudVision as-a-Service Lite SW Subscription License for 1-Month for 1 Switch. Minimum 500 license count. Arista Fixed 10G+ Group 3 Platforms.</t>
  </si>
  <si>
    <t>CloudVision as-a-Service Lite SW Subscription License for 1-Month for 1 Switch. Minimum 500 license count. Arista Fixed 10G+ Group 4 Platforms.</t>
  </si>
  <si>
    <t>CloudVision as-a-Service Lite SW Subscription License for 1-Month for 1 Switch. Minimum 500 license count. Arista Fixed 10G+ Group 5 Platforms.</t>
  </si>
  <si>
    <t>CloudVision as-a-Service Lite SW Subscription License for 1-Month for 1 Switch. Minimum 500 license count. All Arista 10G+ Modular Platform groups.</t>
  </si>
  <si>
    <t>CV UNO as-a-Service SW Subscription License for 1-Month for 1 Switch. Arista Fixed 10G+ Group 1 Platforms. Requires active CVaaS Sub.</t>
  </si>
  <si>
    <t>CV UNO as-a-Service SW Subscription License for 1-Month for 1 Switch. Arista Fixed 10G+ Group 2 Platforms. Requires active CVaaS Sub.</t>
  </si>
  <si>
    <t>CV UNO as-a-Service SW Subscription License for 1-Month for 1 Switch. Arista Fixed 10G+ Group 3 Platforms. Requires active CVaaS Sub.</t>
  </si>
  <si>
    <t>CV UNO as-a-Service SW Subscription License for 1-Month for 1 Switch. Arista Fixed 10G+ Group 4 Platforms. Requires active CVaaS Sub.</t>
  </si>
  <si>
    <t>CV UNO as-a-Service SW Subscription License for 1-Month for 1 Switch. Arista Fixed 10G+ Group 5 Platforms. Requires active CVaaS Sub.</t>
  </si>
  <si>
    <t>CV UNO as-a-Service SW Subscription License for 1-Month for 1 Switch. All Arista 10G+ Modular Platform groups. Requires active CVaaS Sub.</t>
  </si>
  <si>
    <t>CV UNO as-a-Service SW Subscription License for 1-Month for 1 Switch. Minimum 150 license count. Arista Fixed 10G+ Group 1 Platforms. Requires active CVaaS Sub.</t>
  </si>
  <si>
    <t>CV UNO as-a-Service SW Subscription License for 1-Month for 1 Switch. Minimum 150 license count. Arista Fixed 10G+ Group 2 Platforms. Requires active CVaaS Sub.</t>
  </si>
  <si>
    <t>CV UNO as-a-Service SW Subscription License for 1-Month for 1 Switch. Minimum 150 license count. Arista Fixed 10G+ Group 3 Platforms. Requires active CVaaS Sub.</t>
  </si>
  <si>
    <t>CV UNO as-a-Service SW Subscription License for 1-Month for 1 Switch. Minimum 150 license count. Arista Fixed 10G+ Group 4 Platforms. Requires active CVaaS Sub.</t>
  </si>
  <si>
    <t>CV UNO as-a-Service SW Subscription License for 1-Month for 1 Switch. Minimum 150 license count. Arista Fixed 10G+ Group 5 Platforms. Requires active CVaaS Sub.</t>
  </si>
  <si>
    <t>CV UNO as-a-Service SW Subscription License for 1-Month for 1 Switch. Minimum 150 license count. All Arista 10G+ Modular Platform groups. Requires active CVaaS Sub.</t>
  </si>
  <si>
    <t>CV UNO as-a-Service SW Subscription License for 1-Month for 1 Switch. Minimum 500 license count. Arista Fixed 10G+ Group 1 Platforms. Requires active CVaaS Sub.</t>
  </si>
  <si>
    <t>CV UNO as-a-Service SW Subscription License for 1-Month for 1 Switch. Minimum 500 license count. Arista Fixed 10G+ Group 2 Platforms. Requires active CVaaS Sub.</t>
  </si>
  <si>
    <t>CV UNO as-a-Service SW Subscription License for 1-Month for 1 Switch. Minimum 500 license count. Arista Fixed 10G+ Group 3 Platforms. Requires active CVaaS Sub.</t>
  </si>
  <si>
    <t>CV UNO as-a-Service SW Subscription License for 1-Month for 1 Switch. Minimum 500 license count. Arista Fixed 10G+ Group 4 Platforms. Requires active CVaaS Sub.</t>
  </si>
  <si>
    <t>CV UNO as-a-Service SW Subscription License for 1-Month for 1 Switch. Minimum 500 license count. Arista Fixed 10G+ Group 5 Platforms. Requires active CVaaS Sub.</t>
  </si>
  <si>
    <t>CV UNO as-a-Service SW Subscription License for 1-Month for 1 Switch. Minimum 500 license count. All Arista 10G+ Modular Platform groups. Requires active CVaaS Sub.</t>
  </si>
  <si>
    <t>CV UNO as-a-Service SW Subscription License for 1-Month for 1 Switch. Arista Fixed 10G+ Group 1 Platforms. Includes CVaaS Sub.</t>
  </si>
  <si>
    <t>CV UNO as-a-Service SW Subscription License for 1-Month for 1 Switch. Arista Fixed 10G+ Group 2 Platforms. Includes CVaaS Sub.</t>
  </si>
  <si>
    <t>CV UNO as-a-Service SW Subscription License for 1-Month for 1 Switch. Arista Fixed 10G+ Group 3 Platforms. Includes CVaaS Sub.</t>
  </si>
  <si>
    <t>CV UNO as-a-Service SW Subscription License for 1-Month for 1 Switch. Arista Fixed 10G+ Group 4 Platforms. Includes CVaaS Sub.</t>
  </si>
  <si>
    <t>CV UNO as-a-Service SW Subscription License for 1-Month for 1 Switch. Arista Fixed 10G+ Group 5 Platforms. Includes CVaaS Sub.</t>
  </si>
  <si>
    <t>CV UNO as-a-Service SW Subscription License for 1-Month for 1 Switch. All Arista 10G+ Modular Platform groups. Includes CVaaS Sub.</t>
  </si>
  <si>
    <t>CV UNO as-a-Service SW Subscription License for 1-Month for 1 Switch. Minimum 150 license count. Arista Fixed 10G+ Group 1 Platforms. Includes CVaaS Sub.</t>
  </si>
  <si>
    <t>CV UNO as-a-Service SW Subscription License for 1-Month for 1 Switch. Minimum 150 license count. Arista Fixed 10G+ Group 2 Platforms. Includes CVaaS Sub.</t>
  </si>
  <si>
    <t>CV UNO as-a-Service SW Subscription License for 1-Month for 1 Switch. Minimum 150 license count. Arista Fixed 10G+ Group 3 Platforms. Includes CVaaS Sub.</t>
  </si>
  <si>
    <t>CV UNO as-a-Service SW Subscription License for 1-Month for 1 Switch. Minimum 150 license count. Arista Fixed 10G+ Group 4 Platforms. Includes CVaaS Sub.</t>
  </si>
  <si>
    <t>CV UNO as-a-Service SW Subscription License for 1-Month for 1 Switch. Minimum 150 license count. Arista Fixed 10G+ Group 5 Platforms. Includes CVaaS Sub.</t>
  </si>
  <si>
    <t>CV UNO as-a-Service SW Subscription License for 1-Month for 1 Switch. Minimum 150 license count. All Arista 10G+ Modular Platform groups. Includes CVaaS Sub.</t>
  </si>
  <si>
    <t>CV UNO as-a-Service SW Subscription License for 1-Month for 1 Switch. Minimum 500 license count. Arista Fixed 10G+ Group 1 Platforms. Includes CVaaS Sub.</t>
  </si>
  <si>
    <t>CV UNO as-a-Service SW Subscription License for 1-Month for 1 Switch. Minimum 500 license count. Arista Fixed 10G+ Group 2 Platforms. Includes CVaaS Sub.</t>
  </si>
  <si>
    <t>CV UNO as-a-Service SW Subscription License for 1-Month for 1 Switch. Minimum 500 license count. Arista Fixed 10G+ Group 3 Platforms. Includes CVaaS Sub.</t>
  </si>
  <si>
    <t>CV UNO as-a-Service SW Subscription License for 1-Month for 1 Switch. Minimum 500 license count. Arista Fixed 10G+ Group 4 Platforms. Includes CVaaS Sub.</t>
  </si>
  <si>
    <t>CV UNO as-a-Service SW Subscription License for 1-Month for 1 Switch. Minimum 500 license count. Arista Fixed 10G+ Group 5 Platforms. Includes CVaaS Sub.</t>
  </si>
  <si>
    <t>CV UNO as-a-Service SW Subscription License for 1-Month for 1 Switch. Minimum 500 license count. All Arista 10G+ Modular Platform groups. Includes CVaaS Sub.</t>
  </si>
  <si>
    <t>CV UNO as-a-Service SW Subscription License for 1-Month for up to 100 physical 3rd party devices/hosts/servers. Requires active CVaaS Sub.</t>
  </si>
  <si>
    <t>CV UNO as-a-Service SW Subscription License for 1-Month for 1 physical 3rd party device/host/server. Requires active CVaaS Subscription</t>
  </si>
  <si>
    <t>CloudVision as-a Service Subscription Lic for 1-Month for 1 Switch. 1G/mG Group 0 Platforms. Includes E, FLX-L.</t>
  </si>
  <si>
    <t>CloudVision as-a Service Subscription Lic for 1-Month for 1 Switch. Minimum 150 license count. 1G/mG Group 0 Platforms. Includes E, FLX-L.</t>
  </si>
  <si>
    <t>CloudVision as-a Service Subscription Lic for 1-Month for 1 Switch. Minimum 500 License count. 1G/mG Group 0 Platforms. Includes E, FLX-L.</t>
  </si>
  <si>
    <t>CloudVision as-a Service Lite Subscription Lic for 1-Month for 1 Switch. Arista Fixed 1G/mG Group 0 Platforms.</t>
  </si>
  <si>
    <t>CloudVision as-a Service Lite Subscription Lic for 1-Month for 1 Switch. Minimum 150 license count. Arista Fixed 1G/mG Group 0 Platforms.</t>
  </si>
  <si>
    <t>CloudVision as-a Service Lite Subscription Lic for 1-Month for 1 Switch. Minimum 500 license count. Arista Fixed 1G/mG Group 1 Platforms.</t>
  </si>
  <si>
    <t>CloudVision as-a-Service SW Subscription License for 1-Month for 1 Switch. Arista Fixed 1G/mG Group 1 Platforms. Includes E, FLX-L.</t>
  </si>
  <si>
    <t>CloudVision as-a-Service SW Subscription License for 1-Month for 1 Switch. Minimum 150 License count. Arista Fixed 1G/mG Group 1 Platforms. Includes E, FLX-L.</t>
  </si>
  <si>
    <t>CloudVision as-a-Service SW Subscription License for 1-Month for 1 Switch. Minimum 500 License count. Arista Fixed 1G/mG Group 1 Platforms. Includes E, FLX-L.</t>
  </si>
  <si>
    <t>CloudVision as-a-Service Lite SW Subscription License for 1-Month for 1 Switch. Arista Fixed 1G/mG Group 1 Platforms.</t>
  </si>
  <si>
    <t>CloudVision as-a-Service Lite SW Subscription License for 1-Month for 1 Switch. Minimum 150 license count. Arista Fixed 1G/mG Group 1 Platforms.</t>
  </si>
  <si>
    <t>CloudVision as-a-Service Lite SW Subscription License for 1-Month for 1 Switch. Minimum 500 license count. Arista Fixed 1G/mG Group 1 Platforms.</t>
  </si>
  <si>
    <t>CloudVision as-a-Service SW Subscription License for 1-Month for 1 Switch. Arista Fixed 1G/mG Group 2 Platforms. Includes E, FLX-L.</t>
  </si>
  <si>
    <t>CloudVision as-a-Service SW Subscription License for 1-Month for 1 Switch. Minimum 150 License count. Arista Fixed 1G/mG Group 2 Platforms. Includes E, FLX-L.</t>
  </si>
  <si>
    <t>CloudVision as-a-Service SW Subscription License for 1-Month for 1 Switch. Minimum 500 License count. Arista Fixed 1G/mG Group 2 Platforms. Includes E, FLX-L.</t>
  </si>
  <si>
    <t>CloudVision as-a-Service Lite SW Subscription License for 1-Month for 1 Switch. Arista Fixed 1G/mG Group 2 Platforms.</t>
  </si>
  <si>
    <t>CloudVision as-a-Service Lite SW Subscription License for 1-Month for 1 Switch. Minimum 150 license count. Arista Fixed 1G/mG Group 2 Platforms.</t>
  </si>
  <si>
    <t>CloudVision as-a-Service Lite SW Subscription License for 1-Month for 1 Switch. Minimum 500 license count. Arista Fixed 1G/mG Group 2 Platforms. Delivered via download only.</t>
  </si>
  <si>
    <t>CloudVision as-a-Service SW Subscription License for 1-Month for 1 Switch. Arista Fixed 1G/mG Group 3 Platforms.</t>
  </si>
  <si>
    <t>CloudVision as-a-Service SW Subscription License for 1-Month for 1 Switch. Minimum 150 license count. Arista Fixed 1G/mG Group 3 Platforms.</t>
  </si>
  <si>
    <t>CloudVision as-a-Service SW Subscription License for 1-Month for 1 Switch. Minimum 500 license count. Arista Fixed 1G/mG Group 3 Platforms.</t>
  </si>
  <si>
    <t>CloudVision as-a-Service Lite SW Subscription License for 1-Month for 1 Switch. Arista Fixed 1G/mG Group 3 Platforms.</t>
  </si>
  <si>
    <t>CloudVision as-a-Service Lite SW Subscription License for 1-Month for 1 Switch. Minimum 150 license count. Arista Fixed 1G/mG Group 3 Platforms.</t>
  </si>
  <si>
    <t>CloudVision as-a-Service Lite SW Subscription License for 1-Month for 1 Switch. Minimum 500 license count. Arista Fixed 1G/mG Group 3 Platforms.</t>
  </si>
  <si>
    <t>CV UNO as-a-Service SW Subscription License for 1-Month for 1 Switch. Arista Fixed 1G/mG Group 0 Platforms. Requires active CVaaS Sub.</t>
  </si>
  <si>
    <t>CV UNO as-a-Service SW Subscription License for 1-Month for 1 Switch. Arista Fixed 1G/mG Group 0 Platforms. Includes CVaaS Sub.</t>
  </si>
  <si>
    <t>CV UNO as-a-Service SW Subscription License for 1-Month for 1 Switch. Minimum 150 license count. Arista Fixed 1G/mG Group 0 Platforms. Requires active CVaaS Sub.</t>
  </si>
  <si>
    <t>CV UNO as-a-Service SW Subscription License for 1-Month for 1 Switch. Minimum 150 license count. Arista Fixed 1G/mG Group 0 Platforms. Includes CVaaS Sub.</t>
  </si>
  <si>
    <t>CV UNO as-a-Service SW Subscription License for 1-Month for 1 Switch. Minimum 500 license count. Arista Fixed 1G/mG Group 0 Platforms. Requires active CVaaS Sub.</t>
  </si>
  <si>
    <t>CV UNO as-a-Service SW Subscription License for 1-Month for 1 Switch. Minimum 500 license count. Arista Fixed 1G/mG Group 0 Platforms. Includes CVaaS Sub.</t>
  </si>
  <si>
    <t>CV UNO as-a-Service SW Subscription License for 1-Month for 1 Switch. Arista Fixed 1G/mG Group 1 Platforms. Requires active CVaaS Sub.</t>
  </si>
  <si>
    <t>CV UNO as-a-Service SW Subscription License for 1-Month for 1 Switch. Arista Fixed 1G/mG Group 1 Platforms. Includes CVaaS Sub.</t>
  </si>
  <si>
    <t>CV UNO as-a-Service SW Subscription License for 1-Month for 1 Switch. Minimum 150 license count. Arista Fixed 1G/mG Group 1 Platforms. Requires active CVaaS Sub.</t>
  </si>
  <si>
    <t>CV UNO as-a-Service SW Subscription License for 1-Month for 1 Switch. Minimum 150 license count. Arista Fixed 1G/mG Group 1 Platforms. Includes CVaaS Sub.</t>
  </si>
  <si>
    <t>CV UNO as-a-Service SW Subscription License for 1-Month for 1 Switch. Minimum 500 license count. Arista Fixed 1G/mG Group 1 Platforms. Requires active CVaaS Sub.</t>
  </si>
  <si>
    <t>CV UNO as-a-Service SW Subscription License for 1-Month for 1 Switch. Minimum 500 license count. Arista Fixed 1G/mG Group 1 Platforms. Includes CVaaS Sub.</t>
  </si>
  <si>
    <t>CV UNO as-a-Service SW Subscription License for 1-Month for 1 Switch. Arista Fixed 1G/mG Group 2 Platforms. Requires active CVaaS Sub.</t>
  </si>
  <si>
    <t>CV UNO as-a-Service SW Subscription License for 1-Month for 1 Switch. Arista Fixed 1G/mG Group 2 Platforms. Includes CVaaS Sub.</t>
  </si>
  <si>
    <t>CV UNO as-a-Service SW Subscription License for 1-Month for 1 Switch. Minimum 150 license count. Arista Fixed 1G/mG Group 2 Platforms. Requires active CVaaS Sub.</t>
  </si>
  <si>
    <t>CV UNO as-a-Service SW Subscription License for 1-Month for 1 Switch. Minimum 150 license count. Arista Fixed 1G/mG Group 2 Platforms. Includes CVaaS Sub.</t>
  </si>
  <si>
    <t>CV UNO as-a-Service SW Subscription License for 1-Month for 1 Switch. Minimum 500 license count. Arista Fixed 1G/mG Group 2 Platforms. Requires active CVaaS Sub.</t>
  </si>
  <si>
    <t>CV UNO as-a-Service SW Subscription License for 1-Month for 1 Switch. Minimum 500 license count. Arista Fixed 1G/mG Group 2 Platforms. Includes CVaaS Sub.</t>
  </si>
  <si>
    <t>CV UNO as-a-Service SW Subscription License for 1-Month for 1 Switch. Arista Fixed 1G/mG Group 3 Platforms. Requires active CVaaS Sub.</t>
  </si>
  <si>
    <t>CV UNO as-a-Service SW Subscription License for 1-Month for 1 Switch. Arista Fixed 1G/mG Group 3 Platforms. Includes CVaaS Sub.</t>
  </si>
  <si>
    <t>CV UNO as-a-Service SW Subscription License for 1-Month for 1 Switch. Minimum 150 license count. Arista Fixed 1G/mG Group 3 Platforms. Requires active CVaaS Sub.</t>
  </si>
  <si>
    <t>CV UNO as-a-Service SW Subscription License for 1-Month for 1 Switch. Minimum 150 license count. Arista Fixed 1G/mG Group 3 Platforms. Includes CVaaS Sub.</t>
  </si>
  <si>
    <t>CV UNO as-a-Service SW Subscription License for 1-Month for 1 Switch. Minimum 500 license count. Arista Fixed 1G/mG Group 3 Platforms. Requires active CVaaS Sub.</t>
  </si>
  <si>
    <t>CV UNO as-a-Service SW Subscription License for 1-Month for 1 Switch. Minimum 500 license count. Arista Fixed 1G/mG Group 3 Platforms. Includes CVaaS Sub.</t>
  </si>
  <si>
    <t>CV UNO as-a-Service SW Subscription License for 1-Month for 1 Switch. Arista 5 and 8 slot Modular 1G/mG Ethernet Switches. Requires active CVaaS Sub.</t>
  </si>
  <si>
    <t>CV UNO as-a-Service SW Subscription License for 1-Month for 1 Switch. Arista 5 and 8 slot Modular 1G/mG Ethernet Switches. Includes CVaaS Sub.</t>
  </si>
  <si>
    <t>CV UNO as-a-Service SW Subscription License for 1-Month for 1 Switch. Minimum 150 license count. Arista 5 and 8 slot Modular 1G/mG Ethernet Switches. Requires active CVaaS Sub.</t>
  </si>
  <si>
    <t>CV UNO as-a-Service SW Subscription License for 1-Month for 1 Switch. Minimum 150 license count. Arista 5 and 8 slot Modular 1G/mG Ethernet Switches. Includes CVaaS Sub.</t>
  </si>
  <si>
    <t>CV UNO as-a-Service SW Subscription License for 1-Month for 1 Switch. Minimum 500 license count. 1Arista 5 and 8 slot Modular 1G/mG Ethernet Switches. Requires active CVaaS Sub.</t>
  </si>
  <si>
    <t>CV UNO as-a-Service SW Subscription License for 1-Month for 1 Switch. Minimum 500 license count. Arista 5 and 8 slot Modular 1G/mG Ethernet Switches. Includes CVaaS Sub.</t>
  </si>
  <si>
    <t>CloudVision as-a-Service SW Subscription License for 1-Month for 1 Switch. Arista 5 and 8 slot Modular 1G/mG Ethernet Switches.</t>
  </si>
  <si>
    <t>CloudVision as-a-Service SW Subscription License for 1-Month for 1 Switch. Minimum 150 license count. Arista 5 and 8 slot Modular 1G/mG Ethernet Switches.</t>
  </si>
  <si>
    <t>CloudVision as-a-Service SW Subscription License for 1-Month for 1 Switch. Minimum 500 license count. Arista 5 and 8 slot Modular 1G/mG Ethernet Switches.</t>
  </si>
  <si>
    <t>CloudVision as-a-Service Lite SW Subscription License for 1-Month for 1 Switch. Arista 5 and 8 slot Modular 1G/mG Ethernet Switches.</t>
  </si>
  <si>
    <t>CloudVision as-a-Service Lite SW Subscription License for 1-Month for 1 Switch. Minimum 150 license count. Arista 5 and 8 slot Modular 1G/mG Ethernet Switches.</t>
  </si>
  <si>
    <t>CloudVision as-a-Service Lite SW Subscription License for 1-Month for 1 Switch. Minimum 500 license count. Arista 5 and 8 slot Modular 1G/mG Ethernet Switches.</t>
  </si>
  <si>
    <t>Lab Use Only: CloudVision as-a-Service Subscription Lic for 1-Month. Supports management of up to 10 Switches. Any platform. Electronic Delivery Only.</t>
  </si>
  <si>
    <t>CloudVision CUE as-a-Service Subscription Lic for 1-Month for 1 Switch. Arista Fixed 1G/mG Group 1 Platforms.</t>
  </si>
  <si>
    <t>CloudVision CUE as-a-Service Subscription Lic for 1-Month for 1 Switch. Arista Fixed 1G/mG Group 2 Platforms.</t>
  </si>
  <si>
    <t>CloudVision CUE as-a-Service Subscription Lic for 1-Month for 1 Switch. Arista Fixed 1G/mG Group 3 Platforms.</t>
  </si>
  <si>
    <t>CloudVision as-a-Service Subscription License for 1-Month for Arista ZTX-7250 platform</t>
  </si>
  <si>
    <t>CloudVision as-a-Service Subscription License for 1-Month for Arista ZTX-7230 platform</t>
  </si>
  <si>
    <t>CloudVision as-a-Service Subscription License for 1-Month for Arista WAN platform Band 1</t>
  </si>
  <si>
    <t>CV UNO SW Subscription License for 1-Month for 1 physical 3rd party device/host/server. Requires active CV Subscription</t>
  </si>
  <si>
    <t>CV UNO SW Subscription License for 1-Month for up to 100 physical 3rd party devices/hosts/servers. Requires active CV Subscription</t>
  </si>
  <si>
    <t>CloudVision SW Subscription License for 1-Month for 1 Switch. Arista Fixed 10G+ Group 1 Platforms.</t>
  </si>
  <si>
    <t>CloudVision SW Subscription License for 1-Month for 1 Switch. Arista Fixed 10G+ Group 2 Platforms.</t>
  </si>
  <si>
    <t>CloudVision SW Subscription License for 1-Month for 1 Switch. Arista Fixed 10G+ Group 3 Platforms.</t>
  </si>
  <si>
    <t>CloudVision SW Subscription License for 1-Month for 1 Switch. Arista Fixed 10G+ Group 4 Platforms.</t>
  </si>
  <si>
    <t>CloudVision SW Subscription License for 1-Month for 1 Switch. Arista Fixed 10G+ Group 5 Platforms.</t>
  </si>
  <si>
    <t>CloudVision SW Subscription License for 1-Month for 1 Switch. All Arista 10G+ Modular Platform groups.</t>
  </si>
  <si>
    <t>CloudVision SW Subscription License for 1-Month for 1 Switch. Minimum 150 license count. Arista Fixed 10G+ Group 1 Platforms.</t>
  </si>
  <si>
    <t>CloudVision SW Subscription License for 1-Month for 1 Switch. Minimum 150 license count. Arista Fixed 10G+ Group 2 Platforms.</t>
  </si>
  <si>
    <t>CloudVision SW Subscription License for 1-Month for 1 Switch. Minimum 150 license count. Arista Fixed 10G+ Group 3 Platforms.</t>
  </si>
  <si>
    <t>CloudVision SW Subscription License for 1-Month for 1 Switch. Minimum 150 license count. Arista Fixed 10G+ Group 4 Platforms.</t>
  </si>
  <si>
    <t>CloudVision SW Subscription License for 1-Month for 1 Switch. Minimum 150 license count. Arista Fixed 10G+ Group 5 Platforms.</t>
  </si>
  <si>
    <t>CloudVision SW Subscription License for 1-Month for 1 Switch. Minimum 150 license count. All Arista 10G+ Modular Platform groups.</t>
  </si>
  <si>
    <t>CloudVision SW Subscription License for 1-Month for 1 Switch. Minimum 500 license count. Arista Fixed 10G+ Group 1 Platforms.</t>
  </si>
  <si>
    <t>CloudVision SW Subscription License for 1-Month for 1 Switch. Minimum 500 license count. Arista Fixed 10G+ Group 2 Platforms.</t>
  </si>
  <si>
    <t>CloudVision SW Subscription License for 1-Month for 1 Switch. Minimum 500 license count. Arista Fixed 10G+ Group 3 Platforms.</t>
  </si>
  <si>
    <t>CloudVision SW Subscription License for 1-Month for 1 Switch. Minimum 500 license count. Arista Fixed 10G+ Group 4 Platforms.</t>
  </si>
  <si>
    <t>CloudVision SW Subscription License for 1-Month for 1 Switch. Minimum 500 license count. Arista Fixed 10G+ Group 5 Platforms.</t>
  </si>
  <si>
    <t>CloudVision SW Subscription License for 1-Month for 1 Switch. Minimum 500 license count. All Arista 10G+ Modular Platform groups.</t>
  </si>
  <si>
    <t>CloudVision Lite SW Subscription License for 1-Month for 1 Switch. Arista Fixed 10G+ Group 1 Platforms.</t>
  </si>
  <si>
    <t>CloudVision Lite SW Subscription License for 1-Month for 1 Switch. Arista Fixed 10G+ Group 2 Platforms.</t>
  </si>
  <si>
    <t>CloudVision Lite SW Subscription License for 1-Month for 1 Switch. Arista Fixed 10G+ Group 3 Platforms.</t>
  </si>
  <si>
    <t>CloudVision Lite SW Subscription License for 1-Month for 1 Switch. Arista Fixed 10G+ Group 4 Platforms.</t>
  </si>
  <si>
    <t>CloudVision Lite SW Subscription License for 1-Month for 1 Switch. Arista Fixed 10G+ Group 5 Platforms.</t>
  </si>
  <si>
    <t>CloudVision Lite SW Subscription License for 1-Month for 1 Switch. All Arista 10G+ Modular Platform groups.</t>
  </si>
  <si>
    <t>CloudVision Lite SW Subscription License for 1-Month for 1 Switch. Minimum 150 license count. Arista Fixed 10G+ Group 1 Platforms.</t>
  </si>
  <si>
    <t>CloudVision Lite SW Subscription License for 1-Month for 1 Switch. Minimum 150 license count. Arista Fixed 10G+ Group 2 Platforms.</t>
  </si>
  <si>
    <t>CloudVision Lite SW Subscription License for 1-Month for 1 Switch. Minimum 150 license count. Arista Fixed 10G+ Group 3 Platforms.</t>
  </si>
  <si>
    <t>CloudVision Lite SW Subscription License for 1-Month for 1 Switch. Minimum 150 license count. Arista Fixed 10G+ Group 4 Platforms.</t>
  </si>
  <si>
    <t>CloudVision Lite SW Subscription License for 1-Month for 1 Switch. Minimum 150 license count. Arista Fixed 10G+ Group 5 Platforms.</t>
  </si>
  <si>
    <t>CloudVision Lite SW Subscription License for 1-Month for 1 Switch. Minimum 150 license count. All Arista 10G+ Modular Platform groups.</t>
  </si>
  <si>
    <t>CloudVision Lite SW Subscription License for 1-Month for 1 Switch. Minimum 500 license count. Arista Fixed 10G+ Group 1 Platforms.</t>
  </si>
  <si>
    <t>CloudVision Lite SW Subscription License for 1-Month for 1 Switch. Minimum 500 license count. Arista Fixed 10G+ Group 2 Platforms.</t>
  </si>
  <si>
    <t>CloudVision Lite SW Subscription License for 1-Month for 1 Switch. Minimum 500 license count. Arista Fixed 10G+ Group 3 Platforms.</t>
  </si>
  <si>
    <t>CloudVision Lite SW Subscription License for 1-Month for 1 Switch. Minimum 500 license count. Arista Fixed 10G+ Group 4 Platforms.</t>
  </si>
  <si>
    <t>CloudVision Lite SW Subscription License for 1-Month for 1 Switch. Minimum 500 license count. Arista Fixed 10G+ Group 5 Platforms.</t>
  </si>
  <si>
    <t>CloudVision Lite SW Subscription License for 1-Month for 1 Switch. Minimum 500 license count. All Arista 10G+ Modular Platform groups.</t>
  </si>
  <si>
    <t>CloudVision Subscription Lic for 1-Month for 1 Switch. 1G/mG Group 0 Platforms. Delivered via download only. Includes E, FLX-L.</t>
  </si>
  <si>
    <t>CloudVision Subscription Lic for 1-Month for 1 Switch. Minimum 150 license count. 1G/mG Group 0 Platforms. Delivered via download only. Includes E, FLX-L.</t>
  </si>
  <si>
    <t>CloudVision Subscription Lic for 1-Month for 1 Switch. Minimum 500 License count. 1G/mG Group 0 Platforms. Delivered via download only. Includes E, FLX-L.</t>
  </si>
  <si>
    <t>CloudVision Lite Subscription Lic for 1-Month for 1 Switch. Arista Fixed 1G/mG Group 0 Platforms. Delivered via download only.</t>
  </si>
  <si>
    <t>CloudVision Lite Subscription Lic for 1-Month for 1 Switch. Minimum 150 license count. Arista Fixed 1G/mG Group 0 Platforms. Delivered via download only.</t>
  </si>
  <si>
    <t>CloudVision Lite Subscription Lic for 1-Month for 1 Switch. Minimum 500 license count. Arista Fixed 1G/mG Group 1 Platforms. Delivered via download only.</t>
  </si>
  <si>
    <t>CloudVision SW Subscription License for 1-Month for 1 Switch. Arista Fixed 1G/mG Group 1 Platforms. Delivered via download only. Includes E, FLX-L.</t>
  </si>
  <si>
    <t>CloudVision SW Subscription License for 1-Month for 1 Switch. Minimum 150 license count. Arista Fixed 1G/mG Group 1 Platforms. Delivered via download only. Includes E, FLX-L.</t>
  </si>
  <si>
    <t>CloudVision SW Subscription License for 1-Month for 1 Switch. Minimum 500 license count. Arista Fixed 1G/mG Group 1 Platforms. Delivered via download only. Includes E, FLX-L.</t>
  </si>
  <si>
    <t>CloudVision Lite SW Subscription License for 1-Month for 1 Switch. Arista Fixed 1G/mG Group 1 Platforms. Delivered via download only.</t>
  </si>
  <si>
    <t>CloudVision Lite SW Subscription License for 1-Month for 1 Switch. Minimum 150 license count. Arista Fixed 1G/mG Group 1 Platforms. Delivered via download only.</t>
  </si>
  <si>
    <t>CloudVision Lite SW Subscription License for 1-Month for 1 Switch. Minimum 500 license count. Arista Fixed 1G/mG Group 1 Platforms. Delivered via download only.</t>
  </si>
  <si>
    <t>CloudVision SW Subscription License for 1-Month for 1 Switch. Arista Fixed 1G/mG Group 2 Platforms. Delivered via download only. Includes E, FLX-L.</t>
  </si>
  <si>
    <t>CloudVision SW Subscription License for 1-Month for 1 Switch. Minimum 150 license count. Arista Fixed 1G/mG Group 2 Platforms. Delivered via download only. Includes E, FLX-L.</t>
  </si>
  <si>
    <t>CloudVision SW Subscription License for 1-Month for 1 Switch. Minimum 500 license count. Arista Fixed 1G/mG Group 2 Platforms. Delivered via download only. Includes E, FLX-L.</t>
  </si>
  <si>
    <t>CloudVision Lite SW Subscription License for 1-Month for 1 Switch. Arista Fixed 1G/mG Group 2 Platforms. Delivered via download only.</t>
  </si>
  <si>
    <t>CloudVision Lite SW Subscription License for 1-Month for 1 Switch. Minimum 150 license count. Arista Fixed 1G/mG Group 2 Platforms. Delivered via download only.</t>
  </si>
  <si>
    <t>CloudVision Lite SW Subscription License for 1-Month for 1 Switch. Minimum 500 license count. Arista Fixed 1G/mG Group 2 Platforms. Delivered via download only.</t>
  </si>
  <si>
    <t>CloudVision SW Subscription License for 1-Month for 1 Switch. Arista Fixed 1G/mG Group 3 Platforms. Delivered via download only.</t>
  </si>
  <si>
    <t>CloudVision SW Subscription License for 1-Month for 1 Switch. Minimum 150 license count. Arista Fixed 1G/mG Group 3 Platforms. Delivered via download only.</t>
  </si>
  <si>
    <t>CloudVision SW Subscription License for 1-Month for 1 Switch. Minimum 500 license count. Arista Fixed 1G/mG Group 3 Platforms. Delivered via download only.</t>
  </si>
  <si>
    <t>CloudVision Lite SW Subscription License for 1-Month for 1 Switch. Arista Fixed 1G/mG Group 3 Platforms. Delivered via download only.</t>
  </si>
  <si>
    <t>CloudVision Lite SW Subscription License for 1-Month for 1 Switch. Minimum 150 license count. Arista Fixed 1G/mG Group 3 Platforms. Delivered via download only.</t>
  </si>
  <si>
    <t>CloudVision Lite SW Subscription License for 1-Month for 1 Switch. Minimum 500 license count. Arista Fixed 1G/mG Group 3 Platforms. Delivered via download only.</t>
  </si>
  <si>
    <t>CloudVision SW Subscription License for 1-Month for 1 Switch. Minimum 150 license count. Arista 5 and 8 slot Modular 1G/mG Ethernet Switches. Delivered via download only.</t>
  </si>
  <si>
    <t>CloudVision SW Subscription License for 1-Month for 1 Switch. Minimum 500 license count. Arista 5 and 8 slot Modular 1G/mG Ethernet Switches. Delivered via download only.</t>
  </si>
  <si>
    <t>CloudVision Lite SW Subscription License for 1-Month for 1 Switch. Minimum 150 license count. Arista 5 and 8 slot Modular 1G/mG Ethernet Switches. Delivered via download only.</t>
  </si>
  <si>
    <t>CloudVision Lite SW Subscription License for 1-Month for 1 Switch. Minimum 500 license count. Arista 5 and 8 slot Modular 1G/mG Ethernet Switches. Delivered via download only.</t>
  </si>
  <si>
    <t>Lab Use Only: CloudVision SW Subscription License for 1-month. Supports management of up to 10 switches. Any Platform.</t>
  </si>
  <si>
    <t>CloudVision AGNI  SW Subscription License for 1-Month for 1000 devices.</t>
  </si>
  <si>
    <t>CloudVision AGNI  SW Subscription License for 1-Month for 5000 devices.</t>
  </si>
  <si>
    <t>CloudVision AGNI SW Subscription License for 1-Month for 10000 devices.</t>
  </si>
  <si>
    <t>CloudVision AGNI SW Subscription License for 1-Month for 30000 devices.</t>
  </si>
  <si>
    <t>CloudVision AGNI SW Subscription License for 1-Month for 500 devices.</t>
  </si>
  <si>
    <t>CloudVision SW Subscription License for 1-Month for Arista ZTX-7250 platform . Delivered via download only</t>
  </si>
  <si>
    <t>CloudVision SW Subscription License for 1-Month for Arista ZTX-7230 platform. Delivered via download only</t>
  </si>
  <si>
    <t>CloudVision SW Subscription License for 1-Month for Arista WAN platform Band 1. Delivered via download only.</t>
  </si>
  <si>
    <t>CloudEOS ZTX for VM/Cloud SW Sub Lic for 1-Month up to 1G throughput, 1-Month CloudVision as-a-Service for single instance, includes A-care SW Support</t>
  </si>
  <si>
    <t>CloudEOS ZTX for VM/Cloud SW Sub Lic for 1-Month up to 10G throughput, 1-Month CloudVision as-a-Service for single instance, includes A-care SW Support</t>
  </si>
  <si>
    <t>CloudEOS ZTX for VM/Cloud SW Sub Lic for 1-Month for up to 1G throughput, A-care Support, and 1-Month CloudVision for single instance</t>
  </si>
  <si>
    <t>CloudEOS ZTX for VM/Cloud SW Sub Lic for 1-Month for up to 10G throughput, A-care Support, and 1-Month CloudVision for single instance</t>
  </si>
  <si>
    <t>ASP Nucleus SAAS GCP Subscription License for 1-Month, up to 5Gb/sec BW, A-Care Support</t>
  </si>
  <si>
    <t>ASP Nucleus SAAS GCP Subscription License for 1-Month, up to 2Gb/sec BW, A-Care Support</t>
  </si>
  <si>
    <t>ASP Nucleus SAAS GCP Subscription License for 1-Month, up to 10Gb/sec BW, A-Care Support</t>
  </si>
  <si>
    <t>ASP Campus Nucleus SAAS GCP Subscription License for 1-Month, up to 10Gb/sec BW, A-Care Support</t>
  </si>
  <si>
    <t>ASP Nucleus AMI for AWS Subscription License for 1-Month, up to 10 Gb/sec BW, A-Care Support</t>
  </si>
  <si>
    <t>ASP AWS Sensor Subscription License for 1-Month, up to 5Gb/sec BW, A-Care Support.</t>
  </si>
  <si>
    <t>MSS Subscription License for 1-Month for 1 Switch. Arista 5 and 8 slot Modular 1G/mG switches, ZTX appliance purchase required.</t>
  </si>
  <si>
    <t>CloudEOS Router with CV Pathfinder Enterprise SW Subscription License for 1-Month for up to 100M throughput, including AVT/Pathfinder enforcement, IPsec encryption, CloudVision-As-A-Service and A-care Support for single instance</t>
  </si>
  <si>
    <t>CloudEOS Router with CV Pathfinder Enterprise SW Subscription License for 1-Month for up to 1G throughput, including AVT/Pathfinder enforcement, IPsec encryption, CloudVision-As-A-Service and A-care Support for single instance</t>
  </si>
  <si>
    <t>CloudEOS Router with CV Pathfinder Enterprise SW Subscription License for 1-Month for up to 10G throughput, including AVT/Pathfinder enforcement, IPsec encryption, CloudVision-As-A-Service and A-care Support for single instance</t>
  </si>
  <si>
    <t>CV Pathfinder Enterprise SW Subscription License for 1-Month for Arista WAN platform Band 1, including AVT/Pathfinder enforcement, IPsec encryption, CloudVision-As-A-Service.</t>
  </si>
  <si>
    <t>1 Month NBD Hardware Replacement/Same Day Ship for DCA-AGNI-100 Appliance.</t>
  </si>
  <si>
    <t>Arista DMF: 1 Month A-Care Software &amp; NBD Hardware Replacement/Same Day Ship for Service Node Model 760L Appliance</t>
  </si>
  <si>
    <t>Arista DMF: 1 Month A-Care Software &amp; NBD Hardware Replacement/Same Day Ship for Service Node Model 660 Appliance</t>
  </si>
  <si>
    <t>Arista DMF: 1 Month A-Care Software &amp; NBD Hardware Replacement/Same Day Ship for Analytics Node DCA-DM-AN450 Appliance</t>
  </si>
  <si>
    <t>Arista DMF: 1 Month A-Care Software &amp; NBD Hardware Replacement/Same Day Ship for Controller DCA-DM-C450 Appliance</t>
  </si>
  <si>
    <t>Arista CCF: 1 Month A-Care Software &amp; NBD Hardware Replacement/Same Day Ship for Controller DCA-CC-C450 Appliance</t>
  </si>
  <si>
    <t>1-Month A-Care 24x7x2 Software &amp; Hardware Replacement for ZTX-7250S-16S</t>
  </si>
  <si>
    <t>1-Month A-Care 24x7x4 Software &amp; Hardware Replacement for ZTX-7250S-16S</t>
  </si>
  <si>
    <t>1 Month A-Care Software &amp; NBD Hardware Replacement/Same Day Ship for ZTX-7250S-16S</t>
  </si>
  <si>
    <t>1-Month A-Care 24x7x2 Software &amp; Hardware Replacement for ZTX-7230S-4TX-4S</t>
  </si>
  <si>
    <t>1-Month A-Care 24x7x4 Software &amp; Hardware Replacement for ZTX-7230S-4TX-4S</t>
  </si>
  <si>
    <t>1 Month A-Care Software &amp; NBD Hardware Replacement/Same Day Ship for ZTX-7230S-4TX-4S</t>
  </si>
  <si>
    <t>1-Month A-Care 24x7x2 Software &amp; Hardware Replacement for AWE-7220RP-5TH-2S</t>
  </si>
  <si>
    <t>1-Month A-Care 24x7x4 Software &amp; Hardware Replacement for AWE-7220RP-5TH-2S</t>
  </si>
  <si>
    <t>1 Month A-Care Software &amp; NBD Hardware Replacement/Same Day Ship for AWE-7220RP-5TH-2S</t>
  </si>
  <si>
    <t>1-Month A-Care 24x7x2 Software &amp; Hardware Replacement for AWE-7230R-4TX-4S</t>
  </si>
  <si>
    <t>1-Month A-Care 24x7x4 Software &amp; Hardware Replacement for AWE-7230R-4TX-4S</t>
  </si>
  <si>
    <t>1 Month A-Care Software &amp; NBD Hardware Replacement/Same Day Ship for AWE-7230R-4TX-4</t>
  </si>
  <si>
    <t>1-Month A-Care 24x7x2 Software &amp; Hardware Replacement for AWE-7250R-16S</t>
  </si>
  <si>
    <t>1-Month A-Care 24x7x4 Software &amp; Hardware Replacement for AWE-7250R-16S</t>
  </si>
  <si>
    <t>1 Month A-Care Software &amp; NBD Hardware Replacement/Same Day Ship for AWE-7250R-16S</t>
  </si>
  <si>
    <t>A-Care Service Reinstatement fee for Arista 1RU Switches</t>
  </si>
  <si>
    <t>1-Month A-Care 24x7x2 Software &amp; Hardware Replacement for 7816LR4</t>
  </si>
  <si>
    <t>1-Month A-Care 24x7x4 Software &amp; Hardware Replacement for 7816LR4</t>
  </si>
  <si>
    <t>1-Month A-Care Software &amp; 8x5xNBD Hardware Replacement/Same Day Ship for 7816LR4</t>
  </si>
  <si>
    <t>1-Month A-Care Software &amp; 8x5xNBD Hardware Replacement/Same Day Ship for 7812R4</t>
  </si>
  <si>
    <t>1-Month A-Care 24x7x4 Software &amp; Hardware Replacement for 7812R4</t>
  </si>
  <si>
    <t>1-Month A-Care 24x7x2 Software &amp; Hardware Replacement for 7812R4</t>
  </si>
  <si>
    <t>1-Month A-Care 24x7x2 Software &amp; Hardware Replacement for 7812R4U</t>
  </si>
  <si>
    <t>1-Month A-Care 24x7x4 Software &amp; Hardware Replacement for 7812R4U</t>
  </si>
  <si>
    <t>1-Month A-Care Software &amp; 8x5xNBD Hardware Replacement/Same Day Ship for 7812R4U</t>
  </si>
  <si>
    <t>1-Month A-Care 24x7x2 Software &amp; Hardware Replacement for 7808R4</t>
  </si>
  <si>
    <t>1-Month A-Care 24x7x4 Software &amp; Hardware Replacement for 7808R4</t>
  </si>
  <si>
    <t>1-Month A-Care Software &amp; 8x5xNBD Hardware Replacement/Same Day Ship for 7808R4</t>
  </si>
  <si>
    <t>1-Month A-Care 24x7x2 Software &amp; Hardware Replacement for 7808R4U</t>
  </si>
  <si>
    <t>1-Month A-Care 24x7x4 Software &amp; Hardware Replacement for 7808R4U</t>
  </si>
  <si>
    <t>1-Month A-Care Software &amp; 8x5xNBD Hardware Replacement/Same Day Ship for 7808R4U</t>
  </si>
  <si>
    <t>1-Month A-Care 24x7x2 Software &amp; Hardware Replacement for 7804R4</t>
  </si>
  <si>
    <t>1-Month A-Care 24x7x4 Software &amp; Hardware Replacement for 7804R4</t>
  </si>
  <si>
    <t>1-Month A-Care Software &amp; 8x5xNBD Hardware Replacement/Same Day Ship for 7804R4</t>
  </si>
  <si>
    <t>1-Month A-Care Software &amp; 24x7x2 Hour Hardware Replacement for DS-7720R4-128</t>
  </si>
  <si>
    <t>1-Month A-Care Software &amp; 24x7x4 Hour Hardware Replacement for DS-7720R4-128</t>
  </si>
  <si>
    <t>1-Month A-Care Software &amp; NBD Hardware Replacement/Same Day Ship for DS-7720R4-128</t>
  </si>
  <si>
    <t>1-Month A-Care Software &amp; 24x7x2 Hour Hardware Replacement for DL-7700R4K-38PE-B</t>
  </si>
  <si>
    <t>1-Month A-Care Software &amp; 24x7x4 Hour Hardware Replacement for DL-7700R4K-38PE-B</t>
  </si>
  <si>
    <t>1-Month A-Care Software &amp; NBD Hardware Replacement/Same Day Ship for DL-7700R4K-38PE-B</t>
  </si>
  <si>
    <t>1-Month A-Care Software &amp; 24x7x2 Hour Hardware Replacement for 7280DR3AK-36S</t>
  </si>
  <si>
    <t>1-Month A-Care Software &amp; 24x7x4 Hour Hardware Replacement for 7280DR3AK-36S</t>
  </si>
  <si>
    <t>1 Month A-Care Software &amp; NBD Hardware Replacement/Same Day Ship for 7280DR3AK-36S</t>
  </si>
  <si>
    <t>1-Month A-Care Software &amp; 24x7x2 Hour Hardware Replacement for 7280CR3A-32S</t>
  </si>
  <si>
    <t>1-Month A-Care Software &amp; 24x7x4 Hour Hardware Replacement for 7280CR3A-32S</t>
  </si>
  <si>
    <t>1 Month A-Care Software &amp; NBD Hardware Replacement/Same Day Ship for 7280CR3A-32S</t>
  </si>
  <si>
    <t>1-Month A-Care Software &amp; 24x7x2 Hour Hardware Replacement for 7280CR3AK-32S</t>
  </si>
  <si>
    <t>1-Month A-Care Software &amp; 24x7x4 Hour Hardware Replacement for 7280CR3AK-32S</t>
  </si>
  <si>
    <t>1 Month A-Care Software &amp; NBD Hardware Replacement/Same Day Ship for 7280CR3AK-32S</t>
  </si>
  <si>
    <t>1-Month A-Care Software &amp; 24x7x2 Hour Hardware Replacement for 7280CR3AM-32S</t>
  </si>
  <si>
    <t>1-Month A-Care Software &amp; 24x7x4 Hour Hardware Replacement for 7280CR3AM-32S</t>
  </si>
  <si>
    <t>1 Month A-Care Software &amp; NBD Hardware Replacement/Same Day Ship for 7280CR3AM-32S</t>
  </si>
  <si>
    <t>1-Month A-Care Software &amp; 24x7x2 Hour Hardware Replacement for 7280SR3E-40YC6M</t>
  </si>
  <si>
    <t>1-Month A-Care Software &amp; 24x7x4 Hour Hardware Replacement for 7280SR3E-40YC6M</t>
  </si>
  <si>
    <t>1 Month A-Care Software &amp; NBD Hardware Replacement/Same Day Ship for 7280SR3E-40YC6M</t>
  </si>
  <si>
    <t>1-Month A-Care Software &amp; 24x7x2 Hour Hardware Replacement for 7280SR3A-48YC8</t>
  </si>
  <si>
    <t>1-Month A-Care Software &amp; 24x7x4 Hour Hardware Replacement for 7280SR3A-48YC8</t>
  </si>
  <si>
    <t>1 Month A-Care Software &amp; NBD Hardware Replacement/Same Day Ship for 7280SR3A-48YC8</t>
  </si>
  <si>
    <t>1-Month A-Care Software &amp; 24x7x2 Hour Hardware Replacement for 7280SR3AK-48YC8</t>
  </si>
  <si>
    <t>1-Month A-Care Software &amp; 24x7x4 Hour Hardware Replacement for 7280SR3AK-48YC8</t>
  </si>
  <si>
    <t>1 Month A-Care Software &amp; NBD Hardware Replacement/Same Day Ship for 7280SR3AK-48YC8</t>
  </si>
  <si>
    <t>1-Month A-Care Software &amp; 24x7x2 Hour Hardware Replacement for 7280SR3AM-48YC8</t>
  </si>
  <si>
    <t>1-Month A-Care Software &amp; 24x7x4 Hour Hardware Replacement for 7280SR3AM-48YC8</t>
  </si>
  <si>
    <t>1 Month A-Care Software &amp; NBD Hardware Replacement/Same Day Ship for 7280SR3AM-48YC8</t>
  </si>
  <si>
    <t>1-Month A-Care Software &amp; 24x7x2 Hour Hardware Replacement for 7130LBR-48S6YD</t>
  </si>
  <si>
    <t>1-Month A-Care Software &amp; 24x7x4 Hour Hardware Replacement for 7130LBR-48S6YD</t>
  </si>
  <si>
    <t>1-Month A-Care Software &amp; NBD Hardware Replacement/Same Day Ship for 7130LBR-48S6YQD</t>
  </si>
  <si>
    <t>1-Month A-Care Software &amp; 24x7x2 Hour Hardware Replacement for 7135LB-48Y4C</t>
  </si>
  <si>
    <t>1-Month A-Care Software &amp; 24x7x4 Hour Hardware Replacement for 7135LB-48Y4C</t>
  </si>
  <si>
    <t>1-Month A-Care Software &amp; NBD Hardware Replacement/Same Day Ship for 7135LB-48Y4C</t>
  </si>
  <si>
    <t>1-Month A-Care Software &amp; 24x7x2 Hour Hardware Replacement for 7060X6-32PE</t>
  </si>
  <si>
    <t>1-Month A-Care Software &amp; 24x7x4 Hour Hardware Replacement for 7060X6-32PE</t>
  </si>
  <si>
    <t>1-Month A-Care Software &amp; NBD Hardware Replacement/Same Day Ship for 7060X6-32PE</t>
  </si>
  <si>
    <t>1-Month A-Care Software &amp; 24x7x2 Hour Hardware Replacement for 7060X6-64PE</t>
  </si>
  <si>
    <t>1-Month A-Care Software &amp; 24x7x4 Hour Hardware Replacement for 7060X6-64PE</t>
  </si>
  <si>
    <t>1-Month A-Care Software &amp; NBD Hardware Replacement/Same Day Ship for 7060X6-64PE</t>
  </si>
  <si>
    <t>1-Month A-Care Software &amp; 24x7x2 Hour Hardware Replacement for 7060CX5-56D8</t>
  </si>
  <si>
    <t>1-Month A-Care Software &amp; 24x7x4 Hour Hardware Replacement for 7060CX5-56D8</t>
  </si>
  <si>
    <t>1-Month A-Care Software &amp; NBD Hardware Replacement/Same Day Ship for 7060CX5-56D8</t>
  </si>
  <si>
    <t>1-Month A-Care Software &amp; 24x7x2 Hour Hardware Replacement for 7060DX4-32C</t>
  </si>
  <si>
    <t>1-Month A-Care Software &amp; 24x7x4 Hour Hardware Replacement for 7060DX4-32C</t>
  </si>
  <si>
    <t>1 Month A-Care Software &amp; NBD Hardware Replacement/Same Day Ship for 7060DX4-32C</t>
  </si>
  <si>
    <t>1-Month A-Care Software &amp; 24x7x2 Hour Hardware Replacement for 7050SX3-24YC4C-S</t>
  </si>
  <si>
    <t>1-Month A-Care Software &amp; 24x7x4 Hour Hardware Replacement for 7050SX3-24YC4C-S</t>
  </si>
  <si>
    <t>1 Month A-Care Software &amp; NBD Hardware Replacement/Same Day Ship for 7050SX3-24YC4C-S</t>
  </si>
  <si>
    <t>1-Month A-Care Software &amp; 24x7x2 Hour Hardware Replacement for 7050SX3-48C8C</t>
  </si>
  <si>
    <t>1-Month A-Care Software &amp; 24x7x4 Hour Hardware Replacement for 7050SX3-48C8C</t>
  </si>
  <si>
    <t>1 Month A-Care Software &amp; NBD Hardware Replacement/Same Day Ship for 7050SX3-48C8C</t>
  </si>
  <si>
    <t>1-Month A-Care Software &amp; 24x7x2 Hour Hardware Replacement for 7050SX3-48YC8C</t>
  </si>
  <si>
    <t>1-Month A-Care Software &amp; 24x7x4 Hour Hardware Replacement for 7050SX3-48YC8C</t>
  </si>
  <si>
    <t>1 Month A-Care Software &amp; NBD Hardware Replacement/Same Day Ship for 7050SX3-48YC8C</t>
  </si>
  <si>
    <t>1-Month A-Care Software &amp; 24x7x2 Hour Hardware Replacement for 7050CX3-32C</t>
  </si>
  <si>
    <t>1-Month A-Care Software &amp; 24x7x4 Hour Hardware Replacement for 7050CX3-32C</t>
  </si>
  <si>
    <t>1 Month A-Care Software &amp; NBD Hardware Replacement/Same Day Ship for 7050CX3-32C</t>
  </si>
  <si>
    <t>1-Month A-Care Software &amp; 24x7x2 Hour Hardware Replacement for 7020R4-48TX-4QC</t>
  </si>
  <si>
    <t>1-Month A-Care Software &amp; 24x7x4 Hour Hardware Replacement for 7020R4-48TX-4QC</t>
  </si>
  <si>
    <t>1 Month A-Care Software &amp; NBD Hardware Replacement/Same Day Ship for 7020R4-48TX-4QC</t>
  </si>
  <si>
    <t>1-Month A-Care Software &amp; 24x7x2 Hour Hardware Replacement for 7020R4-48Y-4QC</t>
  </si>
  <si>
    <t>1-Month A-Care Software &amp; 24x7x4 Hour Hardware Replacement for 7020R4-48Y-4QC</t>
  </si>
  <si>
    <t>1 Month A-Care Software &amp; NBD Hardware Replacement/Same Day Ship for 7020R4-48Y-4QC</t>
  </si>
  <si>
    <t>1-Month A-Care Software &amp; 24x7x2 Hour Hardware Replacement for 7020R4-48Y-8QC</t>
  </si>
  <si>
    <t>1-Month A-Care Software &amp; 24x7x4 Hour Hardware Replacement for 7020R4-48Y-8QC</t>
  </si>
  <si>
    <t>1 Month A-Care Software &amp; NBD Hardware Replacement/Same Day Ship for 7020R4-48Y-8QC</t>
  </si>
  <si>
    <t>1-Month A-Care Software &amp; 24x7x2 Hour Hardware Replacement for 7020R4M-48TX-4QC</t>
  </si>
  <si>
    <t>1-Month A-Care Software &amp; 24x7x4 Hour Hardware Replacement for 7020R4M-48TX-4QC</t>
  </si>
  <si>
    <t>1 Month A-Care Software &amp; NBD Hardware Replacement/Same Day Ship for 7020R4M-48TX-4QC</t>
  </si>
  <si>
    <t>1-Month A-Care Software &amp; 24x7x2 Hour Hardware Replacement for 7020R4M-48Y-4QC</t>
  </si>
  <si>
    <t>1-Month A-Care Software &amp; 24x7x4 Hour Hardware Replacement for 7020R4M-48Y-4QC</t>
  </si>
  <si>
    <t>1 Month A-Care Software &amp; NBD Hardware Replacement/Same Day Ship for 7020R4M-48Y-4QC</t>
  </si>
  <si>
    <t>1-Month A-Care Software &amp; 24x7x2 Hour Hardware Replacement for 7020R4M-48Y-8QC</t>
  </si>
  <si>
    <t>1-Month A-Care Software &amp; 24x7x4 Hour Hardware Replacement for 7020R4M-48Y-8QC</t>
  </si>
  <si>
    <t>1 Month A-Care Software &amp; NBD Hardware Replacement/Same Day Ship for 7020R4M-48Y-8QC</t>
  </si>
  <si>
    <t>1-Month A-Care Software &amp; 24x7x2 Hour Hardware Replacement for 7010TX-48C-DC-RV3A</t>
  </si>
  <si>
    <t>1-Month A-Care Software &amp; 24x7x4 Hour Hardware Replacement for 7010TX-48C-DC-RV3A</t>
  </si>
  <si>
    <t>1 Month A-Care Software &amp; NBD Hardware Replacement/Same Day Ship for 7010TX-48C-DC-RV3A</t>
  </si>
  <si>
    <t>1-Month A-Care Software &amp; 24x7x2 Hour Hardware Replacement for 7010TX-48C-DC-RV3</t>
  </si>
  <si>
    <t>1-Month A-Care Software &amp; 24x7x4 Hour Hardware Replacement for 7010TX-48C-DC-RV3</t>
  </si>
  <si>
    <t>1 Month A-Care Software &amp; NBD Hardware Replacement/Same Day Ship for 7010TX-48C-DC-RV3</t>
  </si>
  <si>
    <t>1-Month A-Care Software &amp; 24x7x2 Hour Hardware Replacement for 7010TX-48C-DC</t>
  </si>
  <si>
    <t>1-Month A-Care Software &amp; 24x7x4 Hour Hardware Replacement for 7010TX-48C-DC</t>
  </si>
  <si>
    <t>1 Month A-Care Software &amp; NBD Hardware Replacement/Same Day Ship for 7010TX-48C-DC</t>
  </si>
  <si>
    <t>1-Month A-Care Software &amp; 24x7x2 Hour Hardware Replacement for 7010TX-48C</t>
  </si>
  <si>
    <t>1-Month A-Care Software &amp; 24x7x4 Hour Hardware Replacement for 7010TX-48C</t>
  </si>
  <si>
    <t>1 Month A-Care Software &amp; NBD Hardware Replacement/Same Day Ship for 7010TX-48C</t>
  </si>
  <si>
    <t>1-Month A-Care Software &amp; 24x7x2 Hour Hardware Replacement for 710XP-12TH series</t>
  </si>
  <si>
    <t>1-Month A-Care Software &amp; 24x7x4 Hour Hardware Replacement for 710XP-12TH series</t>
  </si>
  <si>
    <t>1-Month A-Care Software &amp; NBD Hardware Replacement/Same Day Ship for 710XP-12TH series</t>
  </si>
  <si>
    <t>1-Month A-Care Software Support and HW Replacement for 710XP-12TH series</t>
  </si>
  <si>
    <t>1-Month A-Care Software &amp; 24x7x2 Hour Hardware Replacement for 710HXP-28TXH</t>
  </si>
  <si>
    <t>1-Month A-Care Software &amp; 24x7x4 Hour Hardware Replacement for 710HXP-28TXH</t>
  </si>
  <si>
    <t>1 Month A-Care Software &amp; NBD Hardware Replacement/Same Day Ship for 710HXP-28TXH</t>
  </si>
  <si>
    <t>1 Month A-Care Software Support and HW Replacement for 710HXP-28TXH</t>
  </si>
  <si>
    <t>1-Month A-Care Software &amp; 24x7x2 Hour Hardware Replacement for 710HXP-20TNH</t>
  </si>
  <si>
    <t>1-Month A-Care Software &amp; 24x7x4 Hour Hardware Replacement for 710HXP-20TNH</t>
  </si>
  <si>
    <t>1 Month A-Care Software &amp; NBD Hardware Replacement/Same Day Ship for 710HXP-20TNH</t>
  </si>
  <si>
    <t>1 Month A-Care Software Support and HW Replacement for 710HXP-20TNH</t>
  </si>
  <si>
    <t>1-Month A-Care Software &amp; 24x7x2 Hour Hardware Replacement for CCS-720XP-96ZC2M</t>
  </si>
  <si>
    <t>1-Month A-Care Software &amp; 24x7x4 Hour Hardware Replacement for CCS-720XP-96ZC2M</t>
  </si>
  <si>
    <t>1 Month A-Care Software &amp; NBD Hardware Replacement/Same Day Ship for CCS-720XP-96ZC2M</t>
  </si>
  <si>
    <t>1 Month A-Care Software Support and HW Replacement for CCS-720XP-96ZC2M</t>
  </si>
  <si>
    <t>1-Month A-Care Software &amp; 24x7x2 Hour Hardware Replacement for CCS-720XP-48TXH-2C-S-5G</t>
  </si>
  <si>
    <t>1-Month A-Care Software &amp; 24x7x4 Hour Hardware Replacement for CCS-720XP-48TXH-2C-S-5G</t>
  </si>
  <si>
    <t>1 Month A-Care Software &amp; NBD Hardware Replacement/Same Day Ship for CCS-720XP-48TXH-2C-S-5G</t>
  </si>
  <si>
    <t>1 Month A-Care Software Support and HW Replacement for CCS-720XP-48TXH-2C-S-5G</t>
  </si>
  <si>
    <t>1-Month A-Care Software &amp; 24x7x2 Hour Hardware Replacement for CCS-720DF-48Y-M-S series</t>
  </si>
  <si>
    <t>1-Month A-Care Software &amp; 24x7x4 Hour Hardware Replacement for CCS-720DF-48Y-M-S series</t>
  </si>
  <si>
    <t>1-Month A-Care Software &amp; NBD Hardware Replacement/Same Day Ship for CCS-720DF-48Y-M-S series</t>
  </si>
  <si>
    <t>1-Month A-Care Software Support and HW Replacement for CCS-720DF-48Y-M-S series</t>
  </si>
  <si>
    <t>1-Month A-Care Software &amp; 24x7x2 Hour Hardware Replacement for CCS-720DP-48S-M-S series</t>
  </si>
  <si>
    <t>1-Month A-Care Software &amp; 24x7x4 Hour Hardware Replacement for CCS-720DP-48S-M-S series</t>
  </si>
  <si>
    <t>1-Month A-Care Software &amp; NBD Hardware Replacement/Same Day Ship for CCS-720DP-48S-M-S series</t>
  </si>
  <si>
    <t>1-Month A-Care Software Support and HW Replacement for CCS-720DP-48S-M-S series</t>
  </si>
  <si>
    <t>1-Month A-Care Software &amp; 24x7x2 Hour Hardware Replacement for CCS-720DP-24S-M-S series</t>
  </si>
  <si>
    <t>1-Month A-Care Software &amp; 24x7x4 Hour Hardware Replacement for CCS-720DP-24S-M-S series</t>
  </si>
  <si>
    <t>1-Month A-Care Software &amp; NBD Hardware Replacement/Same Day Ship for CCS-720DP-24S-M-S series</t>
  </si>
  <si>
    <t>1-Month A-Care Software Support and HW Replacement for CCS-720DP-24S-M-S series</t>
  </si>
  <si>
    <t>1-Month A-Care Software &amp; 24x7x2 Hour Hardware Replacement for CCS-720DT-24S-M-S series</t>
  </si>
  <si>
    <t>1-Month A-Care Software &amp; 24x7x4 Hour Hardware Replacement for CCS-720DT-24S-M-S series</t>
  </si>
  <si>
    <t>1-Month A-Care Software &amp; NBD Hardware Replacement/Same Day Ship for CCS-720DT-24S-M-S series</t>
  </si>
  <si>
    <t>1-Month A-Care Software Support and HW Replacement for CCS-720DT-24S-M-S series</t>
  </si>
  <si>
    <t>Onsite Service: 1-Month A-Care Software &amp; 24x7x4 Hour Hardware Replacement for 7816LR4</t>
  </si>
  <si>
    <t>Onsite Service: 1 Month A-Care Software &amp; NBD Hardware Replacement/Same Day Ship for 7816LR4</t>
  </si>
  <si>
    <t>Onsite Service: 1-Month A-Care Software &amp; 24x7x4 Hour Hardware Replacement for 7812R4</t>
  </si>
  <si>
    <t>Onsite Service: 1 Month A-Care Software &amp; NBD Hardware Replacement/Same Day Ship for 7812R4</t>
  </si>
  <si>
    <t>Onsite Service: 1-Month A-Care Software &amp; 24x7x4 Hour Hardware Replacement for 7812R4U</t>
  </si>
  <si>
    <t>Onsite Service: 1 Month A-Care Software &amp; NBD Hardware Replacement/Same Day Ship for 7812R4U</t>
  </si>
  <si>
    <t>Onsite Service: 1-Month A-Care Software &amp; 24x7x4 Hour Hardware Replacement for 7808R4</t>
  </si>
  <si>
    <t>Onsite Service: 1 Month A-Care Software &amp; NBD Hardware Replacement/Same Day Ship for 7808R4</t>
  </si>
  <si>
    <t>Onsite Service: 1-Month A-Care Software &amp; 24x7x4 Hour Hardware Replacement for 7808R4U</t>
  </si>
  <si>
    <t>Onsite Service: 1 Month A-Care Software &amp; NBD Hardware Replacement/Same Day Ship for 7808R4U</t>
  </si>
  <si>
    <t>Onsite Service: 1-Month A-Care Software &amp; 24x7x4 Hour Hardware Replacement for 7804R4</t>
  </si>
  <si>
    <t>Onsite Service: 1 Month A-Care Software &amp; NBD Hardware Replacement/Same Day Ship for 7804R4</t>
  </si>
  <si>
    <t>Onsite Service: 1-Month A-Care Software &amp; 24x7x4 Hour Hardware Replacement for DS-7720R4-128</t>
  </si>
  <si>
    <t>Onsite Service: 1 Month A-Care Software &amp; NBD Hardware Replacement/Same Day Ship for DS-7720R4-128</t>
  </si>
  <si>
    <t>Onsite Service: 1-Month A-Care Software &amp; 24x7x4 Hour Hardware Replacement for DL-7700R4K-38PE-B</t>
  </si>
  <si>
    <t>Onsite Service: 1 Month A-Care Software &amp; NBD Hardware Replacement/Same Day Ship for DL-7700R4K-38PE-B</t>
  </si>
  <si>
    <t>Onsite Service: 1-Month A-Care Software &amp; 24x7x4 Hour Hardware Replacement for 7280CR3A-32S</t>
  </si>
  <si>
    <t>Onsite Service: 1 Month A-Care Software &amp; NBD Hardware Replacement/Same Day Ship for 7280CR3A-32S</t>
  </si>
  <si>
    <t>Onsite Service: 1-Month A-Care Software &amp; 24x7x4 Hour Hardware Replacement for 7280CR3AK-32S</t>
  </si>
  <si>
    <t>Onsite Service: 1 Month A-Care Software &amp; NBD Hardware Replacement/Same Day Ship for 7280CR3AK-32S</t>
  </si>
  <si>
    <t>Onsite Service: 1-Month A-Care Software &amp; 24x7x4 Hour Hardware Replacement for 7280CR3AM-32S</t>
  </si>
  <si>
    <t>Onsite Service: 1 Month A-Care Software &amp; NBD Hardware Replacement/Same Day Ship for 7280CR3AM-32S</t>
  </si>
  <si>
    <t>Onsite Service: 1-Month A-Care Software &amp; 24x7x4 Hour Hardware Replacement for 7280SR3E-40YC6M</t>
  </si>
  <si>
    <t>Onsite Service: 1 Month A-Care Software &amp; NBD Hardware Replacement/Same Day Ship for 7280SR3E-40YC6M</t>
  </si>
  <si>
    <t>Onsite Service: 1-Month A-Care Software &amp; 24x7x4 Hour Hardware Replacement for 7280SR3A-48YC8</t>
  </si>
  <si>
    <t>Onsite Service: 1 Month A-Care Software &amp; NBD Hardware Replacement/Same Day Ship for 7280SR3A-48YC8</t>
  </si>
  <si>
    <t>Onsite Service: 1-Month A-Care Software &amp; 24x7x4 Hour Hardware Replacement for 7280SR3AK-48YC8</t>
  </si>
  <si>
    <t>Onsite Service: 1 Month A-Care Software &amp; NBD Hardware Replacement/Same Day Ship for 7280SR3AK-48YC8</t>
  </si>
  <si>
    <t>Onsite Service: 1-Month A-Care Software &amp; 24x7x4 Hour Hardware Replacement for 7280SR3AM-48YC8</t>
  </si>
  <si>
    <t>Onsite Service: 1 Month A-Care Software &amp; NBD Hardware Replacement/Same Day Ship for 7280SR3AM-48YC8</t>
  </si>
  <si>
    <t>Onsite Service: 1-Month A-Care Software &amp; 24x7x4 Hour Hardware Replacement for 7280DR3AK-36S</t>
  </si>
  <si>
    <t>Onsite Service: 1 Month A-Care Software &amp; NBD Hardware Replacement/Same Day Ship for 7280DR3AK-36S</t>
  </si>
  <si>
    <t>Onsite Service: 1-Month A-Care Software &amp; 24x7x4 Hour Hardware Replacement for 7060X6-32PE</t>
  </si>
  <si>
    <t>Onsite Service: 1 Month A-Care Software &amp; NBD Hardware Replacement/Same Day Ship for 7060X6-32PE</t>
  </si>
  <si>
    <t>Onsite Service: 1-Month A-Care Software &amp; 24x7x4 Hour Hardware Replacement for 7060CX5-56D8</t>
  </si>
  <si>
    <t>Onsite Service: 1-Month A-Care Software &amp; NBD Hardware Replacement/Same Day Ship for 7060CX5-56D8</t>
  </si>
  <si>
    <t>Onsite Service: 1-Month A-Care Software &amp; 24x7x4 Hour Hardware Replacement for 7060DX4-32C</t>
  </si>
  <si>
    <t>Onsite Service: 1 Month A-Care Software &amp; NBD Hardware Replacement/Same Day Ship for 7060DX4-32C</t>
  </si>
  <si>
    <t>Onsite Service: 1-Month A-Care Software &amp; 24x7x4 Hour Hardware Replacement for 7050CX3-32C</t>
  </si>
  <si>
    <t>Onsite Service: 1 Month A-Care Software &amp; NBD Hardware Replacement/Same Day Ship for 7050CX3-32C</t>
  </si>
  <si>
    <t>Onsite Service: 1-Month A-Care Software &amp; 24x7x4 Hour Hardware Replacement for 7050SX3-24YC4C-S</t>
  </si>
  <si>
    <t>Onsite Service: 1 Month A-Care Software &amp; NBD Hardware Replacement/Same Day Ship for 7050SX3-24YC4C-S</t>
  </si>
  <si>
    <t>Onsite Service: 1-Month A-Care Software &amp; 24x7x4 Hour Hardware Replacement for 7050SX3-48YC8C</t>
  </si>
  <si>
    <t>Onsite Service: 1 Month A-Care Software &amp; NBD Hardware Replacement/Same Day Ship for 7050SX3-48YC8C</t>
  </si>
  <si>
    <t>Onsite Service: 1-Month A-Care Software &amp; 24x7x4 Hour Hardware Replacement for 7050SX3-48C8C</t>
  </si>
  <si>
    <t>Onsite Service: 1 Month A-Care Software &amp; NBD Hardware Replacement/Same Day Ship for 7050SX3-48C8C</t>
  </si>
  <si>
    <t>Onsite Service: 1-Month A-Care Software &amp; 24x7x4 Hour Hardware Replacement for 7020R4-48TX-4QC</t>
  </si>
  <si>
    <t>Onsite Service: 1 Month A-Care Software &amp; NBD Hardware Replacement/Same Day Ship for 7020R4-48TX-4QC</t>
  </si>
  <si>
    <t>Onsite Service: 1-Month A-Care Software &amp; 24x7x4 Hour Hardware Replacement for 7020R4-48Y-4QC</t>
  </si>
  <si>
    <t>Onsite Service: 1 Month A-Care Software &amp; NBD Hardware Replacement/Same Day Ship for 7020R4-48Y-4QC</t>
  </si>
  <si>
    <t>Onsite Service: 1-Month A-Care Software &amp; 24x7x4 Hour Hardware Replacement for 7020R4-48Y-8QC</t>
  </si>
  <si>
    <t>Onsite Service: 1 Month A-Care Software &amp; NBD Hardware Replacement/Same Day Ship for 7020R4-48Y-8QC</t>
  </si>
  <si>
    <t>Onsite Service: 1-Month A-Care Software &amp; 24x7x4 Hour Hardware Replacement for 7020R4M-48TX-4QC</t>
  </si>
  <si>
    <t>Onsite Service: 1 Month A-Care Software &amp; NBD Hardware Replacement/Same Day Ship for 7020R4M-48TX-4QC</t>
  </si>
  <si>
    <t>Onsite Service: 1-Month A-Care Software &amp; 24x7x4 Hour Hardware Replacement for 7020R4M-48Y-4QC</t>
  </si>
  <si>
    <t>Onsite Service: 1 Month A-Care Software &amp; NBD Hardware Replacement/Same Day Ship for 7020R4M-48Y-4QC</t>
  </si>
  <si>
    <t>Onsite Service: 1-Month A-Care Software &amp; 24x7x4 Hour Hardware Replacement for 7020R4M-48Y-8QC</t>
  </si>
  <si>
    <t>Onsite Service: 1 Month A-Care Software &amp; NBD Hardware Replacement/Same Day Ship for 7020R4M-48Y-8QC</t>
  </si>
  <si>
    <t>Onsite Service: 1-Month A-Care Software &amp; 24x7x4 Hour Hardware Replacement for 7010TX-48C-DC-RV3A</t>
  </si>
  <si>
    <t>Onsite Service: 1 Month A-Care Software &amp; NBD Hardware Replacement/Same Day Ship for 7010TX-48C-DC-RV3A</t>
  </si>
  <si>
    <t>Onsite Service: 1-Month A-Care Software &amp; 24x7x4 Hour Hardware Replacement for 7010TX-48C-DC-RV3</t>
  </si>
  <si>
    <t>Onsite Service: 1 Month A-Care Software &amp; NBD Hardware Replacement/Same Day Ship for 7010TX-48C-DC-RV3</t>
  </si>
  <si>
    <t>Onsite Service: 1-Month A-Care Software &amp; 24x7x4 Hour Hardware Replacement for 7010TX-48C-DC</t>
  </si>
  <si>
    <t>Onsite Service: 1 Month A-Care Software &amp; NBD Hardware Replacement/Same Day Ship for 7010TX-48C-DC</t>
  </si>
  <si>
    <t>Onsite Service: 1-Month A-Care Software &amp; 24x7x4 Hour Hardware Replacement for 7010TX-48C</t>
  </si>
  <si>
    <t>Onsite Service: 1 Month A-Care Software &amp; NBD Hardware Replacement/Same Day Ship for 7010TX-48C</t>
  </si>
  <si>
    <t>Onsite Service: 1-Month A-Care Software &amp; 24x7x4 Hour Hardware Replacement for 710HXP-28TXH series</t>
  </si>
  <si>
    <t>Onsite Service: 1-Month A-Care Software &amp; NBD Hardware Replacement/Same Day Ship for 710HXP-28TXH series</t>
  </si>
  <si>
    <t>Onsite Service: 1-Month A-Care Software &amp; 24x7x4 Hour Hardware Replacement for 710HXP-20TNH series</t>
  </si>
  <si>
    <t>Onsite Service: 1-Month A-Care Software &amp; NBD Hardware Replacement/Same Day Ship for 710HXP-20TNH series</t>
  </si>
  <si>
    <t>Onsite Service: 1-Month A-Care Software &amp; 24x7x4 Hour Hardware Replacement for 720XP-96ZC2M</t>
  </si>
  <si>
    <t>Onsite Service: 1 Month A-Care Software &amp; NBD Hardware Replacement/Same Day Ship for 720XP-96ZC2M</t>
  </si>
  <si>
    <t>Onsite Service: 1-Month A-Care Software &amp; NBD Hardware Replacement/Same Day Ship for 710XP-12TH series</t>
  </si>
  <si>
    <t>Onsite Service: 1-Month A-Care Software &amp; 24x7x4 Hour Hardware Replacement for CCS-720DF-48Y-M-S series</t>
  </si>
  <si>
    <t>Onsite Service: 1 Month A-Care Software &amp; NBD Hardware Replacement/Same Day Ship for CCS-720DF-48Y-M-S series</t>
  </si>
  <si>
    <t>Onsite Service: 1-Month A-Care Software &amp; 24x7x4 Hour Hardware Replacement for CCS-720DP-48S-M-S series</t>
  </si>
  <si>
    <t>Onsite Service: 1 Month A-Care Software &amp; NBD Hardware Replacement/Same Day Ship for CCS-720DP-48S-M-S series</t>
  </si>
  <si>
    <t>Onsite Service: 1-Month A-Care Software &amp; 24x7x4 Hour Hardware Replacement for CCS-720DP-24S-M-S series</t>
  </si>
  <si>
    <t>Onsite Service: 1 Month A-Care Software &amp; NBD Hardware Replacement/Same Day Ship for CCS-720DP-24S-M-S series</t>
  </si>
  <si>
    <t>Onsite Service: 1-Month A-Care Software &amp; 24x7x4 Hour Hardware Replacement for CCS-720DT-24S-M-S series</t>
  </si>
  <si>
    <t>Onsite Service: 1 Month A-Care Software &amp; NBD Hardware Replacement/Same Day Ship for CCS-720DT-24S-M-S series</t>
  </si>
  <si>
    <t>1-Month Shared Service Contact for NBD Hardware Replacement/Same Day Ship for Q20</t>
  </si>
  <si>
    <t>1-Month Shared Service Contact for NBD Hardware Replacement/Same Day Ship for Q12</t>
  </si>
  <si>
    <t>1-Month Shared Service Contact for NBD Hardware Replacement/Same Day Ship for Q8</t>
  </si>
  <si>
    <t>1-Month Shared Service Contact for NBD Hardware Replacement/Same Day Ship for Q8W</t>
  </si>
  <si>
    <t>1-Month Shared Service Contact for NBD Hardware Replacement/Same Day Ship for Q6E</t>
  </si>
  <si>
    <t>1-Month Shared Service Contact for NBD Hardware Replacement/Same Day Ship for Q6EWL</t>
  </si>
  <si>
    <t>1-Month Shared Service Contract for 7804R4, SW and NBD/Same Day Ship Replacement</t>
  </si>
  <si>
    <t>1-Month Shared Service Contract for 7804R4, SW and 24x7x4 Hour Replacement</t>
  </si>
  <si>
    <t>1-Month Shared Service Contract for 7808R4, SW and NBD/Same Day Ship Replacement</t>
  </si>
  <si>
    <t>1-Month Shared Service Contract for 7808R4, SW and 24x7x4 Hour Replacement</t>
  </si>
  <si>
    <t>1-Month Shared Service Contract for 7812R4, SW and NBD/Same Day Ship Replacement</t>
  </si>
  <si>
    <t>1-Month Shared Service Contract for 7812R4, SW and 24x7x4 Hour Replacement</t>
  </si>
  <si>
    <t>1-Month Shared Service Contract for 7816LR4, SW and NBD/Same Day Ship Replacement</t>
  </si>
  <si>
    <t>1-Month Shared Service Contract for 7816LR4, SW and 24x7x4 Hour Replacement</t>
  </si>
  <si>
    <t>1-Month Shared Service Contract for 7812R4U, SW and 24x7x4 Hour Replacement</t>
  </si>
  <si>
    <t>1-Month Shared Service Contract for 7812R4U, SW and NBD/Same Day Ship Replacement</t>
  </si>
  <si>
    <t>1-Month Shared Service Contract for 7808R4U, SW and 24x7x4 Hour Replacement</t>
  </si>
  <si>
    <t>1-Month Shared Service Contract for 7808R4U, SW and NBD/Same Day Ship Replacement</t>
  </si>
  <si>
    <t>1-Month Shared Service Contract for 7804R4U, SW and NBD/Same Day Ship Replacement</t>
  </si>
  <si>
    <t>1-Month Shared Service Contract for 7804R4U, SW and 24x7x4 Hour Replacement</t>
  </si>
  <si>
    <t>1-Month Shared Service Contract for 7804R3, SW and 24x7x4 Hour Replacement</t>
  </si>
  <si>
    <t>1-Month Shared Service Contract for 7804R3, SW and NBD/Same Day Ship Replacement</t>
  </si>
  <si>
    <t>1-Month Shared Service Contract for 7808R3, SW and 24x7x4 Hour Replacement</t>
  </si>
  <si>
    <t>1-Month Shared Service Contract for 7808R3, SW and NBD/Same Day Ship Replacement</t>
  </si>
  <si>
    <t>1-Month Shared Service Contract for 7808R3A, SW and 24x7x4 Hour Replacement</t>
  </si>
  <si>
    <t>1-Month Shared Service Contract for 7808R3A, SW and NBD/Same Day Ship Replacement</t>
  </si>
  <si>
    <t>1-Month Shared Service Contract for 7812R3, SW and 24x7x4 Hour Replacement</t>
  </si>
  <si>
    <t>1-Month Shared Service Contract for 7812R3, SW and NBD/Same Day Ship Replacement</t>
  </si>
  <si>
    <t>1-Month Shared Service Contract for 7816R3, SW and 24x7x4 Hour Replacement</t>
  </si>
  <si>
    <t>1-Month Shared Service Contract for 7816R3, SW and NBD/Same Day Ship Replacement</t>
  </si>
  <si>
    <t>1-Month Shared Service Contract for 7816LR3, SW and 24x7x4 Hour Replacement</t>
  </si>
  <si>
    <t>1-Month Shared Service Contract for 7816LR3, SW and NBD/Same Day Ship Replacement</t>
  </si>
  <si>
    <t>1-Month Shared Service Contract for 7504R3R, SW and 24x7x4 Hour Replacement</t>
  </si>
  <si>
    <t>1-Month Shared Service Contract for 7504R3R, SW and NBD/Same Day Ship Replacement</t>
  </si>
  <si>
    <t>1-Month Shared Service Contract for 7508R3R, SW and 24x7x4 Hour Replacement</t>
  </si>
  <si>
    <t>1-Month Shared Service Contract for 7508R3R, SW and NBD/Same Day Ship Replacement</t>
  </si>
  <si>
    <t>1-Month Shared Service Contract for 7512R3, SW and 24x7x4 Hour Replacement</t>
  </si>
  <si>
    <t>1-Month Shared Service Contract for 7512R3, SW and NBD/Same Day Ship Replacement</t>
  </si>
  <si>
    <t>1-Month A-Care Shared Service for 7504R, 24x7 SW support and 24x7x4 Hour Replacement </t>
  </si>
  <si>
    <t xml:space="preserve">1-Month A-Care Shared Service for 7504R, 24x7 SW support and 8x5xNBD Replacement   </t>
  </si>
  <si>
    <t>1-Month A-Care Shared Service for 7508R, 24x7 SW support and 24x7x4 Hour Replacement</t>
  </si>
  <si>
    <t xml:space="preserve">1-Month A-Care Shared Service for 7508R, 24x7 SW support and 8x5xNBD Replacement </t>
  </si>
  <si>
    <t>1-Month A-Care Shared Service for 7512R, 24x7 SW support and 24x7x4 Hour Replacement</t>
  </si>
  <si>
    <t xml:space="preserve">1-Month A-Care Shared Service for 7512R, 24x7 SW support and 8x5xNBD Replacement </t>
  </si>
  <si>
    <t>1-Month A-Care Shared Service for 7516R, 24x7 SW support and 24x7x4 Hour Replacement</t>
  </si>
  <si>
    <t>1-Month A-Care Shared Service for 7516R, 24x7 SW support and 8x5xNBD Replacement</t>
  </si>
  <si>
    <t>1-Month Shared Service Contract for 7304X, SW and 24x7x4 Hour Replacement</t>
  </si>
  <si>
    <t xml:space="preserve">1-Month Shared Service Contract for 7304X, SW and NBD/Same Day Ship Replacement </t>
  </si>
  <si>
    <t>1-Month Shared Service Contract for 7304X3, SW and 24x7x4 Hour Replacement</t>
  </si>
  <si>
    <t>1-Month Shared Service Contract for 7304X3, SW and NBD/Same Day Ship Replacement</t>
  </si>
  <si>
    <t>1-Month Shared Service Contract for 7304X3-2, SW and 24x7x4 Hour Replacement</t>
  </si>
  <si>
    <t>1-Month Shared Service Contract for 7304X3-2, SW and NBD/Same Day Ship Replacement</t>
  </si>
  <si>
    <t>1-Month Shared Service Contract for 7304XT, SW and 24x7x4 Hour Replacement</t>
  </si>
  <si>
    <t xml:space="preserve">1-Month Shared Service Contract for 7304XT, SW and NBD/Same Day Ship Replacement </t>
  </si>
  <si>
    <t>1-Month Shared Service Contract for 7308X, SW and 24x7x4 Hour Replacement</t>
  </si>
  <si>
    <t xml:space="preserve">1-Month Shared Service Contract for 7308X, SW and NBD/Same Day Ship Replacement </t>
  </si>
  <si>
    <t>1-Month Shared Service Contract for 7308X3, SW and 24x7x4 Hour Replacement</t>
  </si>
  <si>
    <t>1-Month Shared Service Contract for 7308X3, SW and NBD/Same Day Ship Replacement</t>
  </si>
  <si>
    <t>1-Month Shared Service Contract for 7308X3-2, SW and 24x7x4 Hour Replacement</t>
  </si>
  <si>
    <t>1-Month Shared Service Contract for 7308X3-2, SW and NBD/Same Day Ship Replacement</t>
  </si>
  <si>
    <t>1-Month Shared Service Contract for 7308XT, SW and 24x7x4 Hour Replacement</t>
  </si>
  <si>
    <t xml:space="preserve">1-Month Shared Service Contract for 7308XT, SW and NBD/Same Day Ship Replacement </t>
  </si>
  <si>
    <t>1-Month Shared Service Contract for 7324X, SW and 24x7x4 Hour Replacement</t>
  </si>
  <si>
    <t xml:space="preserve">1-Month Shared Service Contract for 7324X, SW and NBD/Same Day Ship Replacement </t>
  </si>
  <si>
    <t>1-Month Shared Service Contract for 7328X, SW and 24x7x4 Hour Replacement</t>
  </si>
  <si>
    <t xml:space="preserve">1-Month Shared Service Contract for 7328X, SW and NBD/Same Day Ship Replacement </t>
  </si>
  <si>
    <t>1-Month Shared Service Contract for 7368X4, SW and 24x7x4 Hour Replacement</t>
  </si>
  <si>
    <t>1-Month Shared Service Contract for 7368X4, SW and NBD/Same Day Ship Replacement</t>
  </si>
  <si>
    <t>1-Month Shared Service Contract for 7368X4-SSD, SW and 24x7x4 Hour Replacement</t>
  </si>
  <si>
    <t>1-Month Shared Service Contract for 7368X4-SSD, SW and NBD/Same Day Ship Replacement</t>
  </si>
  <si>
    <t>1-Month Shared Service Contract for 7358X4, SW and NBD/Same Day Ship Replacement</t>
  </si>
  <si>
    <t>1-Month Shared Service Contract for 7358X4, SW and 24x7x4 Hour Replacement</t>
  </si>
  <si>
    <t>1-Month Shared Service Contract for 7358X4-SSD, SW and NBD/Same Day Ship Replacement</t>
  </si>
  <si>
    <t>1-Month Shared Service Contract for 7358X4-SSD, SW and 24x7x4 Hour Replacement</t>
  </si>
  <si>
    <t>1-Month Shared Service Contract for 7388X5, SW and NBD/Same Day Ship Replacement</t>
  </si>
  <si>
    <t>1-Month Shared Service Contract for 7388X5, SW and 24x7x4 Hour Replacement</t>
  </si>
  <si>
    <t>1-Month Shared Service Contract for DL-7700R4K-38PE-B, SW and 24x7x4 Hour Replacement</t>
  </si>
  <si>
    <t>1-Month Shared Service Contract for DL-7700R4K-38PE-B, SW and NBD/Same Day Ship Replacement</t>
  </si>
  <si>
    <t>1-Month Shared Service Contract for DL-7700R4C-38PE-B, SW and 24x7x4 Hour Replacement</t>
  </si>
  <si>
    <t>1-Month Shared Service Contract for DL-7700R4C-38PE-B, SW and NBD/Same Day Ship Replacement</t>
  </si>
  <si>
    <t>1-Month Shared Service Contract for DS-7720R4-128, SW and 24x7x4 Hour Replacement</t>
  </si>
  <si>
    <t>1-Month Shared Service Contract for DS-7720R4-128, SW and NBD/Same Day Ship Replacement</t>
  </si>
  <si>
    <t>1-Month Shared Service Contract for 7280R4-32PE, SW and NBD/Same Day Ship Replacement</t>
  </si>
  <si>
    <t>1-Month Shared Service Contract for 7280R4-32PE, SW and 24x7x4 Hour Replacement</t>
  </si>
  <si>
    <t>1-Month Shared Service Contract for 7280R4K-32PE, SW and NBD/Same Day Ship Replacement</t>
  </si>
  <si>
    <t>1-Month Shared Service Contract for 7280R4K-32PE, SW and 24x7x4 Hour Replacement</t>
  </si>
  <si>
    <t>1-Month Shared Service Contract for 7280R4-32DE, SW and NBD/Same Day Ship Replacement</t>
  </si>
  <si>
    <t>1-Month Shared Service Contract for 7280R4-32DE, SW and 24x7x4 Hour Replacement</t>
  </si>
  <si>
    <t>1-Month Shared Service Contract for 7280R4K-32DE, SW and NBD/Same Day Ship Replacement</t>
  </si>
  <si>
    <t>1-Month Shared Service Contract for 7280R4K-32DE, SW and 24x7x4 Hour Replacement</t>
  </si>
  <si>
    <t>1-Month Shared Service Contract for 7280R4-64QC-10PE, SW and NBD/Same Day Ship Replacement</t>
  </si>
  <si>
    <t>1-Month Shared Service Contract for 7280R4-64QC-10PE, SW and 24x7x4 Hour Replacement</t>
  </si>
  <si>
    <t>1-Month Shared Service Contract for 7280R4K-64QC-10PE, SW and NBD/Same Day Ship Replacement</t>
  </si>
  <si>
    <t>1-Month Shared Service Contract for 7280R4K-64QC-10PE, SW and 24x7x4 Hour Replacement</t>
  </si>
  <si>
    <t>1-Month Shared Service Contract for 7289R3A, SW and 24x7x4 Hour Replacement</t>
  </si>
  <si>
    <t>1-Month Shared Service Contract for 7289R3A, SW and NBD/Same Day Ship Replacement</t>
  </si>
  <si>
    <t>1-Month Shared Service Contract for 7289R3AK, SW and 24x7x4 Hour Replacement</t>
  </si>
  <si>
    <t>1-Month Shared Service Contract for 7289R3AK, SW and NBD/Same Day Ship Replacement</t>
  </si>
  <si>
    <t>1-Month Shared Service Contract for 7289R3AM, SW and 24x7x4 Hour Replacement</t>
  </si>
  <si>
    <t>1-Month Shared Service Contract for 7289R3AM, SW and NBD/Same Day Ship Replacement</t>
  </si>
  <si>
    <t>1-Month Shared Service Contract for 7280TR3-40C6, SW and 24x7x4 Hour Replacement</t>
  </si>
  <si>
    <t>1-Month Shared Service Contract for 7280TR3-40C6, SW and NBD/Same Day Ship Replacement</t>
  </si>
  <si>
    <t>1-Month Shared Service Contract for 7280SR3E-40YC6M, SW and NBD/Same Day Ship Replacement</t>
  </si>
  <si>
    <t>1-Month Shared Service Contract for 7280SR3E-40YC6M, SW and 24x7x4 Hour Replacement</t>
  </si>
  <si>
    <t>1-Month Shared Service Contract for 7280SR3E-40YC6, SW and 24x7x4 Hour Replacement</t>
  </si>
  <si>
    <t>1-Month Shared Service Contract for 7280SR3E-40YC6, SW and NBD/Same Day Ship Replacement</t>
  </si>
  <si>
    <t>1-Month Shared Service Contract for 7280SR3-40YC6, SW and 24x7x4 Hour Replacement</t>
  </si>
  <si>
    <t>1-Month Shared Service Contract for 7280SR3-40YC6, SW and NBD/Same Day Ship Replacement</t>
  </si>
  <si>
    <t>1-Month Shared Service Contract for 7280SR3A-48YC8, SW and NBD/Same Day Ship Replacement</t>
  </si>
  <si>
    <t>1-Month Shared Service Contract for 7280SR3A-48YC8, SW and 24x7x4 Hour Replacement</t>
  </si>
  <si>
    <t>1-Month Shared Service Contract for 7280SR3AM-48YC8, SW and NBD/Same Day Ship Replacement</t>
  </si>
  <si>
    <t>1-Month Shared Service Contract for 7280SR3AM-48YC8, SW and 24x7x4 Hour Replacement</t>
  </si>
  <si>
    <t>1-Month Shared Service Contract for 7280SR3AK-48YC8, SW and NBD/Same Day Ship Replacement</t>
  </si>
  <si>
    <t>1-Month Shared Service Contract for 7280SR3AK-48YC8, SW and 24x7x4 Hour Replacement</t>
  </si>
  <si>
    <t>1-Month Shared Service Contract for 7280SR3-48YC8, SW and 24x7x4 Hour Replacement</t>
  </si>
  <si>
    <t>1-Month Shared Service Contract for 7280SR3-48YC8, SW and NBD/Same Day Ship Replacement</t>
  </si>
  <si>
    <t>1-Month Shared Service Contract for 7280SR3K-48YC8A, SW and 24x7x4 Hour Replacement</t>
  </si>
  <si>
    <t>1-Month Shared Service Contract for 7280SR3K-48YC8A, SW and NBD/Same Day Ship Replacement</t>
  </si>
  <si>
    <t>1-Month Shared Service Contract for 7280SR3K-48YC8, SW and 24x7x4 Hour Replacement</t>
  </si>
  <si>
    <t>1-Month Shared Service Contract for 7280SR3K-48YC8, SW and NBD/Same Day Ship Replacement</t>
  </si>
  <si>
    <t>1-Month Shared Service Contract for 7280SR3M-48YC8, SW and 24x7x4 Hour Replacement</t>
  </si>
  <si>
    <t>1-Month Shared Service Contract for 7280SR3M-48YC8, SW and NBD/Same Day Ship Replacement</t>
  </si>
  <si>
    <t>1-Month Shared Service Contract for 7280SR3MK-48YC8A, SW and NBD/Same Day Ship Replacement</t>
  </si>
  <si>
    <t>1-Month Shared Service Contract for 7280SR3MK-48YC8A, SW and 24x7x4 Hour Replacement</t>
  </si>
  <si>
    <t>1-Month Shared Service Contract for 7280CR3A-72, SW and 24x7x4 Hour Replacement</t>
  </si>
  <si>
    <t>1-Month Shared Service Contract for 7280CR3A-72, SW and NBD/Same Day Ship Replacement</t>
  </si>
  <si>
    <t>1-Month Shared Service Contract for 7280CR3AM-72, SW and 24x7x4 Hour Replacement</t>
  </si>
  <si>
    <t>1-Month Shared Service Contract for 7280CR3AM-72, SW and NBD/Same Day Ship Replacement</t>
  </si>
  <si>
    <t>1-Month Shared Service Contract for 7280CR3AK-72, SW and 24x7x4 Hour Replacement</t>
  </si>
  <si>
    <t>1-Month Shared Service Contract for 7280CR3AK-72, SW and NBD/Same Day Ship Replacement</t>
  </si>
  <si>
    <t>1-Month Shared Service Contract for 7280CR3A-48D6, SW and 24x7x4 Hour Replacement</t>
  </si>
  <si>
    <t>1-Month Shared Service Contract for 7280CR3A-48D6, SW and NBD/Same Day Ship Replacement</t>
  </si>
  <si>
    <t>1-Month Shared Service Contract for 7280CR3AM-48D6, SW and 24x7x4 Hour Replacement</t>
  </si>
  <si>
    <t>1-Month Shared Service Contract for 7280CR3AM-48D6, SW and NBD/Same Day Ship Replacement</t>
  </si>
  <si>
    <t>1-Month Shared Service Contract for 7280CR3AK-48D6, SW and 24x7x4 Hour Replacement</t>
  </si>
  <si>
    <t>1-Month Shared Service Contract for 7280CR3AK-48D6, SW and NBD/Same Day Ship Replacement</t>
  </si>
  <si>
    <t>1-Month Shared Service Contract for 7280CR3AK-24D12S, SW and 24x7x4 Hour Replacement</t>
  </si>
  <si>
    <t>1-Month Shared Service Contract for 7280CR3AK-24D12S, SW and NBD/Same Day Ship Replacement</t>
  </si>
  <si>
    <t>1-Month Shared Service Contract for 7280CR3A-32S, SW and NBD/Same Day Ship Replacement</t>
  </si>
  <si>
    <t>1-Month Shared Service Contract for 7280CR3A-32S, SW and 24x7x4 Hour Replacement</t>
  </si>
  <si>
    <t>1-Month Shared Service Contract for 7280CR3AM-32S, SW and NBD/Same Day Ship Replacement</t>
  </si>
  <si>
    <t>1-Month Shared Service Contract for 7280CR3AM-32S, SW and 24x7x4 Hour Replacement</t>
  </si>
  <si>
    <t>1-Month Shared Service Contract for 7280CR3AK-32S, SW and NBD/Same Day Ship Replacement</t>
  </si>
  <si>
    <t>1-Month Shared Service Contract for 7280CR3AK-32S, SW and 24x7x4 Hour Replacement</t>
  </si>
  <si>
    <t>1-Month Shared Service Contract for 7280CR3-32D4, SW and 24x7x4 Hour Replacement</t>
  </si>
  <si>
    <t>1-Month Shared Service Contract for 7280CR3-32D4, SW and NBD/Same Day Ship Replacement</t>
  </si>
  <si>
    <t>1-Month Shared Service Contract for 7280CR3-32D4M, SW and 24x7x4 Hour Replacement</t>
  </si>
  <si>
    <t>1-Month Shared Service Contract for 7280CR3-32D4M, SW and NBD/Same Day Ship Replacement</t>
  </si>
  <si>
    <t>1-Month Shared Service Contract for 7280CR3-32P4, SW and 24x7x4 Hour Replacement</t>
  </si>
  <si>
    <t>1-Month Shared Service Contract for 7280CR3-32P4, SW and NBD/Same Day Ship Replacement</t>
  </si>
  <si>
    <t>1-Month Shared Service Contract for 7280CR3-32P4M, SW and 24x7x4 Hour Replacement</t>
  </si>
  <si>
    <t>1-Month Shared Service Contract for 7280CR3-32P4M, SW and NBD/Same Day Ship Replacement</t>
  </si>
  <si>
    <t>1-Month Shared Service Contract for 7280CR3-36S, SW and 24x7x4 Hour Replacement</t>
  </si>
  <si>
    <t>1-Month Shared Service Contract for 7280CR3-36S, SW and NBD/Same Day Ship Replacement</t>
  </si>
  <si>
    <t>1-Month Shared Service Contract for 7280CR3-96, SW and 24x7x4 Hour Replacement</t>
  </si>
  <si>
    <t>1-Month Shared Service Contract for 7280CR3-96, SW and NBD/Same Day Ship Replacement</t>
  </si>
  <si>
    <t>1-Month Shared Service Contract for 7280CR3K-32D4A, SW and 24x7x4 Hour Replacement</t>
  </si>
  <si>
    <t>1-Month Shared Service Contract for 7280CR3K-32D4A, SW and NBD/Same Day Ship Replacement</t>
  </si>
  <si>
    <t>1-Month Shared Service Contract for 7280CR3K-32P4A, SW and 24x7x4 Hour Replacement</t>
  </si>
  <si>
    <t>1-Month Shared Service Contract for 7280CR3K-32P4A, SW and NBD/Same Day Ship Replacement</t>
  </si>
  <si>
    <t>1-Month Shared Service Contract for 7280CR3K-32D4, SW and 24x7x4 Hour Replacement</t>
  </si>
  <si>
    <t>1-Month Shared Service Contract for 7280CR3K-32D4, SW and NBD/Same Day Ship Replacement</t>
  </si>
  <si>
    <t>1-Month Shared Service Contract for 7280CR3K-32P4, SW and 24x7x4 Hour Replacement</t>
  </si>
  <si>
    <t>1-Month Shared Service Contract for 7280CR3K-32P4, SW and NBD/Same Day Ship Replacement</t>
  </si>
  <si>
    <t>1-Month Shared Service Contract for 7280CR3K-36A, SW and 24x7x4 Hour Replacement</t>
  </si>
  <si>
    <t>1-Month Shared Service Contract for 7280CR3K-36A, SW and NBD/Same Day Ship Replacement</t>
  </si>
  <si>
    <t>1-Month Shared Service Contract for 7280CR3K-36S, SW and 24x7x4 Hour Replacement</t>
  </si>
  <si>
    <t>1-Month Shared Service Contract for 7280CR3K-36S, SW and NBD/Same Day Ship Replacement</t>
  </si>
  <si>
    <t>1-Month Shared Service Contract for 7280CR3K-96, SW and 24x7x4 Hour Replacement</t>
  </si>
  <si>
    <t>1-Month Shared Service Contract for 7280CR3K-96, SW and NBD/Same Day Ship Replacement</t>
  </si>
  <si>
    <t>1-Month Shared Service Contract for 7280CR3MK-32D4A-S, SW and 24x7x4 Hour Replacement</t>
  </si>
  <si>
    <t>1-Month Shared Service Contract for 7280CR3MK-32D4A-S, SW and NBD/Same Day Ship Replacement</t>
  </si>
  <si>
    <t>1-Month Shared Service Contract for 7280CR3MK-32D4S, SW and 24x7x4 Hour Replacement</t>
  </si>
  <si>
    <t>1-Month Shared Service Contract for 7280CR3MK-32D4S, SW and NBD/Same Day Ship Replacement</t>
  </si>
  <si>
    <t>1-Month Shared Service Contract for 7280CR3MK-32P4S, SW and 24x7x4 Hour Replacement</t>
  </si>
  <si>
    <t>1-Month Shared Service Contract for 7280CR3MK-32P4S, SW and NBD/Same Day Ship Replacement</t>
  </si>
  <si>
    <t>1-Month Shared Service Contract for 7280CR3A-24D12, SW and 24x7x4 Hour Replacement</t>
  </si>
  <si>
    <t>1-Month Shared Service Contract for 7280CR3A-24D12, SW and NBD/Same Day Ship Replacement</t>
  </si>
  <si>
    <t>1-Month Shared Service Contract for 7280CR3AM-24D12, SW and 24x7x4 Hour Replacement</t>
  </si>
  <si>
    <t>1-Month Shared Service Contract for 7280CR3AM-24D12, SW and NBD/Same Day Ship Replacement</t>
  </si>
  <si>
    <t>1-Month Shared Service Contract for 7280CR3AK-24D12, SW and 24x7x4 Hour Replacement</t>
  </si>
  <si>
    <t>1-Month Shared Service Contract for 7280CR3AK-24D12, SW and NBD/Same Day Ship Replacement</t>
  </si>
  <si>
    <t>1-Month Shared Service Contract for 7280DR3-24, SW and 24x7x4 Hour Replacement</t>
  </si>
  <si>
    <t>1-Month Shared Service Contract for 7280DR3-24, SW and NBD/Same Day Ship Replacement</t>
  </si>
  <si>
    <t>1-Month Shared Service Contract for 7280DR3-24M, SW and 24x7x4 Hour Replacement</t>
  </si>
  <si>
    <t>1-Month Shared Service Contract for 7280DR3-24M, SW and NBD/Same Day Ship Replacement</t>
  </si>
  <si>
    <t>1-Month Shared Service Contract for 7280DR3K-24, SW and 24x7x4 Hour Replacement</t>
  </si>
  <si>
    <t>1-Month Shared Service Contract for 7280DR3K-24, SW and NBD/Same Day Ship Replacement</t>
  </si>
  <si>
    <t>1-Month Shared Service Contract for 7280DR3A-36, SW and 24x7x4 Hour Replacement</t>
  </si>
  <si>
    <t>1-Month Shared Service Contract for 7280DR3A-36, SW and NBD/Same Day Ship Replacement</t>
  </si>
  <si>
    <t>1-Month Shared Service Contract for 7280DR3AM-36, SW and 24x7x4 Hour Replacement</t>
  </si>
  <si>
    <t>1-Month Shared Service Contract for 7280DR3AM-36, SW and NBD/Same Day Ship Replacement</t>
  </si>
  <si>
    <t>1-Month Shared Service Contract for 7280DR3AK-36, SW and 24x7x4 Hour Replacement</t>
  </si>
  <si>
    <t>1-Month Shared Service Contract for 7280DR3AK-36, SW and NBD/Same Day Ship Replacement</t>
  </si>
  <si>
    <t>1-Month Shared Service Contract for 7280DR3AK-36S, SW and 24x7x4 Hour Replacement</t>
  </si>
  <si>
    <t>1-Month Shared Service Contract for 7280DR3AK-36S, SW and NBD/Same Day Ship Replacement</t>
  </si>
  <si>
    <t>1-Month Shared Service Contract for 7280DR3A-54, SW and NBD/Same Day Ship Replacement</t>
  </si>
  <si>
    <t>1-Month Shared Service Contract for 7280DR3A-54, SW and 24x7x4 Hour Replacement</t>
  </si>
  <si>
    <t>1-Month Shared Service Contract for 7280DR3AM-54, SW and NBD/Same Day Ship Replacement</t>
  </si>
  <si>
    <t>1-Month Shared Service Contract for 7280DR3AM-54, SW and 24x7x4 Hour Replacement</t>
  </si>
  <si>
    <t>1-Month Shared Service Contract for 7280DR3AK-54, SW and NBD/Same Day Ship Replacement</t>
  </si>
  <si>
    <t>1-Month Shared Service Contract for 7280DR3AK-54, SW and 24x7x4 Hour Replacement</t>
  </si>
  <si>
    <t>1-Month Shared Service Contract for 7280PR3-24, SW and 24x7x4 Hour Replacement</t>
  </si>
  <si>
    <t>1-Month Shared Service Contract for 7280PR3-24, SW and NBD/Same Day Ship Replacement</t>
  </si>
  <si>
    <t>1-Month Shared Service Contract for 7280PR3-24M, SW and 24x7x4 Hour Replacement</t>
  </si>
  <si>
    <t>1-Month Shared Service Contract for 7280PR3-24M, SW and NBD/Same Day Ship Replacement</t>
  </si>
  <si>
    <t>1-Month Shared Service Contract for 7280PR3K-24, SW and 24x7x4 Hour Replacement</t>
  </si>
  <si>
    <t>1-Month Shared Service Contract for 7280PR3K-24, SW and NBD/Same Day Ship Replacement</t>
  </si>
  <si>
    <t>1-Month Shared Service Contract for 7280CR2-60, SW and 24x7x4 Hour Replacement</t>
  </si>
  <si>
    <t>1-Month Shared Service Contract for 7280CR2-60, SW and NBD/Same Day Ship Replacement</t>
  </si>
  <si>
    <t>1-Month Shared Service Contract for 7280CR2A-30, SW and 24x7x4 Hour Replacement</t>
  </si>
  <si>
    <t>1-Month Shared Service Contract for 7280CR2A-30, SW and NBD/Same Day Ship Replacement</t>
  </si>
  <si>
    <t>1-Month Shared Service Contract for 7280CR2A-60, SW and 24x7x4 Hour Replacement</t>
  </si>
  <si>
    <t>1-Month Shared Service Contract for 7280CR2A-60, SW and NBD/Same Day Ship Replacement</t>
  </si>
  <si>
    <t>1-Month Shared Service Contract for 7280CR2K-30, SW and 24x7x4 Hour Replacement</t>
  </si>
  <si>
    <t>1-Month Shared Service Contract for 7280CR2K-30, SW and NBD/Same Day Ship Replacement</t>
  </si>
  <si>
    <t>1-Month Shared Service Contract for 7280CR2K-60, SW and 24x7x4 Hour Replacement</t>
  </si>
  <si>
    <t>1-Month Shared Service Contract for 7280CR2K-60, SW and NBD/Same Day Ship Replacement</t>
  </si>
  <si>
    <t>1-Month Shared Service Contract for 7280CR2M-30, SW and 24x7x4 Hour Replacement</t>
  </si>
  <si>
    <t>1-Month Shared Service Contract for 7280CR2M-30, SW and NBD/Same Day Ship Replacement</t>
  </si>
  <si>
    <t>1-Month Shared Service Contract for 7280CR-48, SW and 24x7x4 Hour Replacement</t>
  </si>
  <si>
    <t xml:space="preserve">1-Month Shared Service Contract for 7280CR-48, SW and NBD/Same Day Ship Replacement </t>
  </si>
  <si>
    <t>1-Month Shared Service Contract for 7280QR-C36, SW and 24x7x4 Hour Replacement</t>
  </si>
  <si>
    <t xml:space="preserve">1-Month Shared Service Contract for 7280QR-C36, SW and NBD/Same Day Ship Replacement </t>
  </si>
  <si>
    <t>1-Month Shared Service Contract for 7280QR-C36-M, SW and 24x7x4 Hour Replacement</t>
  </si>
  <si>
    <t xml:space="preserve">1-Month Shared Service Contract for 7280QR-C36-M, SW and NBD/Same Day Ship Replacement </t>
  </si>
  <si>
    <t>1-Month Shared Service Contract for 7280QRA-C36S, SW and 24x7x4 Hour Replacement</t>
  </si>
  <si>
    <t>1-Month Shared Service Contract for 7280QRA-C36S, SW and NBD/Same Day Ship Replacement</t>
  </si>
  <si>
    <t>1-Month Shared Service Contract for 7280QRA-C36SM, SW and 24x7x4 Hour Replacement</t>
  </si>
  <si>
    <t>1-Month Shared Service Contract for 7280QRA-C36SM, SW and NBD/Same Day Ship Replacement</t>
  </si>
  <si>
    <t>1-Month Shared Service Contract for 7280QR-C72, SW and 24x7x4 Hour Replacement</t>
  </si>
  <si>
    <t xml:space="preserve">1-Month Shared Service Contract for 7280QR-C72, SW and NBD/Same Day Ship Replacement </t>
  </si>
  <si>
    <t>1-Month Shared Service Contract for 7280QR-C72M, SW and 24x7x4 Hour Replacement</t>
  </si>
  <si>
    <t>1-Month Shared Service Contract for 7280QR-C72M, SW and NBD/Same Day Ship Replacement</t>
  </si>
  <si>
    <t>1-Month Shared Service Contract for 7280SR2-48YC6, SW and 24x7x4 Hour Replacement</t>
  </si>
  <si>
    <t>1-Month Shared Service Contract for 7280SR2-48YC6, SW and NBD/Same Day Ship Replacement</t>
  </si>
  <si>
    <t>1-Month Shared Service Contract for 7280SR2-48YC6-M, SW and 24x7x4 Hour Replacement</t>
  </si>
  <si>
    <t>1-Month Shared Service Contract for 7280SR2-48YC6-M, SW and NBD/Same Day Ship Replacement</t>
  </si>
  <si>
    <t>1-Month Shared Service Contract for 7280SR2A-48YC6, SW and 24x7x4 Hour Replacement</t>
  </si>
  <si>
    <t>1-Month Shared Service Contract for 7280SR2A-48YC6, SW and NBD/Same Day Ship Replacement</t>
  </si>
  <si>
    <t>1-Month Shared Service Contract for 7280SR2A-48YC6M, SW and 24x7x4 Hour Replacement</t>
  </si>
  <si>
    <t>1-Month Shared Service Contract for 7280SR2A-48YC6M, SW and NBD/Same Day Ship Replacement</t>
  </si>
  <si>
    <t>1-Month Shared Service Contract for 7280SR2K-48C6M, SW and 24x7x4 Hour Replacement</t>
  </si>
  <si>
    <t>1-Month Shared Service Contract for 7280SR2K-48C6M, SW and NBD/Same Day Ship Replacement</t>
  </si>
  <si>
    <t>1-Month Shared Service Contract for 7280SR-48C6, SW and 24x7x4 Hour Replacement</t>
  </si>
  <si>
    <t xml:space="preserve">1-Month Shared Service Contract for 7280SR-48C6, SW and NBD/Same Day Ship Replacement </t>
  </si>
  <si>
    <t>1-Month Shared Service Contract for 7280SR-48C6-M, SW and 24x7x4 Hour Replacement</t>
  </si>
  <si>
    <t xml:space="preserve">1-Month Shared Service Contract for 7280SR-48C6-M, SW and NBD/Same Day Ship Replacement </t>
  </si>
  <si>
    <t>1-Month Shared Service Contract for 7280SRA-48C6, SW and 24x7x4 Hour Replacement</t>
  </si>
  <si>
    <t>1-Month Shared Service Contract for 7280SRA-48C6, SW and NBD/Same Day Ship Replacement</t>
  </si>
  <si>
    <t>1-Month Shared Service Contract for 7280SRA-48C6-M, SW and 24x7x4 Hour Replacement</t>
  </si>
  <si>
    <t>1-Month Shared Service Contract for 7280SRA-48C6-M, SW and NBD/Same Day Ship Replacement</t>
  </si>
  <si>
    <t>1-Month Shared Service Contract for 7280SRAM-48C6, SW and 24x7x4 Hour Replacement</t>
  </si>
  <si>
    <t>1-Month Shared Service Contract for 7280SRAM-48C6, SW and NBD/Same Day Ship Replacement</t>
  </si>
  <si>
    <t>1-Month Shared Service Contract for 7280SRM-40CX2, SW and 24x7x4 Hour Replacement</t>
  </si>
  <si>
    <t>1-Month Shared Service Contract for 7280SRM-40CX2, SW and NBD/Same Day Ship Replacement</t>
  </si>
  <si>
    <t>1-Month Shared Service Contract for 7280TR-48C6, SW and 24x7x4 Hour Replacement</t>
  </si>
  <si>
    <t xml:space="preserve">1-Month Shared Service Contract for 7280TR-48C6, SW and NBD/Same Day Ship Replacement </t>
  </si>
  <si>
    <t>1-Month Shared Service Contract for 7280TR-48C6-M, SW and 24x7x4 Hour Replacement</t>
  </si>
  <si>
    <t xml:space="preserve">1-Month Shared Service Contract for 7280TR-48C6-M, SW and NBD/Same Day Ship Replacement </t>
  </si>
  <si>
    <t>1-Month Shared Service Contract for 7280TRA-48C6, SW and 24x7x4 Hour Replacement</t>
  </si>
  <si>
    <t>1-Month Shared Service Contract for 7280TRA-48C6, SW and NBD/Same Day Ship Replacement</t>
  </si>
  <si>
    <t>1-Month Shared Service Contract for 7280TRA-48C6M, SW and 24x7x4 Hour Replacement</t>
  </si>
  <si>
    <t>1-Month Shared Service Contract for 7280TRA-48C6M, SW and NBD/Same Day Ship Replacement</t>
  </si>
  <si>
    <t>1-Month Shared Service Contract for 7260CX3-64, SW and 24x7x4 Hour Replacement</t>
  </si>
  <si>
    <t>1-Month Shared Service Contract for 7260CX3-64, SW and NBD/Same Day Ship Replacement</t>
  </si>
  <si>
    <t>1-Month Shared Service Contract for 7260CX3-64E, SW and 24x7x4 Hour Replacement</t>
  </si>
  <si>
    <t>1-Month Shared Service Contract for 7260CX3-64E, SW and NBD/Same Day Ship Replacement</t>
  </si>
  <si>
    <t>1-Month Shared Service Contract for 7260CX-64, SW and 24x7x4 Hour Replacement</t>
  </si>
  <si>
    <t xml:space="preserve">1-Month Shared Service Contract for 7260CX-64, SW and NBD/Same Day Ship Replacement </t>
  </si>
  <si>
    <t>1-Month Shared Service Contract for 7260QX-64, SW and 24x7x4 Hour Replacement</t>
  </si>
  <si>
    <t xml:space="preserve">1-Month Shared Service Contract for 7260QX-64, SW and NBD/Same Day Ship Replacement </t>
  </si>
  <si>
    <t>1-Month Shared Service Contract for 7170B-64C, SW and 24x7x4 Hour Replacement</t>
  </si>
  <si>
    <t>1-Month Shared Service Contract for 7170B-64C, SW and NBD/Same Day Ship Replacement</t>
  </si>
  <si>
    <t>1-Month Shared Service Contract for 7170-64C, SW and 24x7x4 Hour Replacement</t>
  </si>
  <si>
    <t>1-Month Shared Service Contract for 7170-64C, SW and NBD/Same Day Ship Replacement</t>
  </si>
  <si>
    <t>1-Month Shared Service Contract for 7170-64C-M, SW and 24x7x4 Hour Replacement</t>
  </si>
  <si>
    <t>1-Month Shared Service Contract for 7170-64C-M, SW and NBD/Same Day Ship Replacement</t>
  </si>
  <si>
    <t>1-Month Shared Service Contract for 7170-32C, SW and 24x7x4 Hour Replacement</t>
  </si>
  <si>
    <t>1-Month Shared Service Contract for 7170-32C, SW and NBD/Same Day Ship Replacement</t>
  </si>
  <si>
    <t>1-Month Shared Service Contract for 7170-32C-M, SW and 24x7x4 Hour Replacement</t>
  </si>
  <si>
    <t>1-Month Shared Service Contract for 7170-32C-M, SW and NBD/Same Day Ship Replacement</t>
  </si>
  <si>
    <t>1-Month Shared Service Contract for 7170-32CD, SW and 24x7x4 Hour Replacement</t>
  </si>
  <si>
    <t>1-Month Shared Service Contract for 7170-32CD, SW and NBD/Same Day Ship Replacement</t>
  </si>
  <si>
    <t>1-Month Shared Service Contract for 7060X6-64PE-B, SW and 24x7x4 Hour Replacement</t>
  </si>
  <si>
    <t>1-Month Shared Service Contract for 7060X6-64PE-B, SW and NBD/Same Day Ship Replacement</t>
  </si>
  <si>
    <t>1-Month Shared Service Contract for 7060X6-32PE, SW and 24x7x4 Hour Replacement</t>
  </si>
  <si>
    <t>1-Month Shared Service Contract for 7060X6-32PE, SW and NBD/Same Day Ship Replacement</t>
  </si>
  <si>
    <t>1-Month Shared Service Contract for 7060CX5-56D8, SW and 24x7x4 Hour Replacement</t>
  </si>
  <si>
    <t>1-Month Shared Service Contract for 7060CX5-56D8, SW and NBD/Same Day Ship Replacement</t>
  </si>
  <si>
    <t>1-Month Shared Service Contract for 7060CX2-32S, SW and 24x7x4 Hour Replacement</t>
  </si>
  <si>
    <t>1-Month Shared Service Contract for 7060CX2-32S, SW and NBD/Same Day Ship Replacement</t>
  </si>
  <si>
    <t>1-Month Shared Service Contract for 7060CX-32S, SW and 24x7x4 Hour Replacement</t>
  </si>
  <si>
    <t xml:space="preserve">1-Month Shared Service Contract for 7060CX-32S, SW and NBD/Same Day Ship Replacement </t>
  </si>
  <si>
    <t>1-Month Shared Service Contract for 7060CX-32S-D, SW and 24x7x4 Hour Replacement</t>
  </si>
  <si>
    <t>1-Month Shared Service Contract for 7060CX-32S-D, SW and NBD/Same Day Ship Replacement</t>
  </si>
  <si>
    <t>1-Month Shared Service Contract for 7060DX5-32, SW and 24x7x4 Hour Replacement</t>
  </si>
  <si>
    <t>1-Month Shared Service Contract for 7060DX5-32, SW and NBD/Same Day Ship Replacement</t>
  </si>
  <si>
    <t>1-Month Shared Service Contract for 7060DX5-64S, SW and 24x7x4 Hour Replacement</t>
  </si>
  <si>
    <t>1-Month Shared Service Contract for 7060DX5-64S, SW and NBD/Same Day Ship Replacement</t>
  </si>
  <si>
    <t>1-Month Shared Service Contract for 7060DX5-64, SW and NBD/Same Day Ship Replacement</t>
  </si>
  <si>
    <t>1-Month Shared Service Contract for 7060DX5-64, SW and 24x7x4 Hour Replacement</t>
  </si>
  <si>
    <t>1-Month Shared Service Contract for 7060DX5-64E, SW and NBD/Same Day Ship Replacement</t>
  </si>
  <si>
    <t>1-Month Shared Service Contract for 7060DX5-64E, SW and 24x7x4 Hour Replacement</t>
  </si>
  <si>
    <t>1-Month Shared Service Contract for 7060DX4-32C, SW and 24x7x4 Hour Replacement</t>
  </si>
  <si>
    <t>1-Month Shared Service Contract for 7060DX4-32C, SW and NBD/Same Day Ship Replacement</t>
  </si>
  <si>
    <t>1-Month Shared Service Contract for 7060DX4-32, SW and 24x7x4 Hour Replacement</t>
  </si>
  <si>
    <t>1-Month Shared Service Contract for 7060DX4-32, SW and NBD/Same Day Ship Replacement</t>
  </si>
  <si>
    <t>1-Month Shared Service Contract for 7060PX5-64E, SW and 24x7x4 Hour Replacement</t>
  </si>
  <si>
    <t>1-Month Shared Service Contract for 7060PX5-64E, SW and NBD/Same Day Ship Replacement</t>
  </si>
  <si>
    <t>1-Month Shared Service Contract for 7060PX4-32, SW and 24x7x4 Hour Replacement</t>
  </si>
  <si>
    <t>1-Month Shared Service Contract for 7060PX4-32, SW and NBD/Same Day Ship Replacement</t>
  </si>
  <si>
    <t>1-Month Shared Service Contract for 7060SX2-48YC6, SW and 24x7x4 Hour Replacement</t>
  </si>
  <si>
    <t>1-Month Shared Service Contract for 7060SX2-48YC6, SW and NBD/Same Day Ship Replacement</t>
  </si>
  <si>
    <t>1-Month Shared Service Contract for 7050CX4M-48D8, SW and 24x7x4 Hour Replacement</t>
  </si>
  <si>
    <t>1-Month Shared Service Contract for 7050CX4M-48D8, SW and NBD/Same Day Ship Replacement</t>
  </si>
  <si>
    <t>1-Month Shared Service Contract for 7050CX4-24D8, SW and 24x7x4 Hour Replacement</t>
  </si>
  <si>
    <t>1-Month Shared Service Contract for 7050CX4-24D8, SW and NBD/Same Day Ship Replacement</t>
  </si>
  <si>
    <t>1-Month Shared Service Contract for 7050SPX4-48D8, SW and 24x7x4 Hour Replacement</t>
  </si>
  <si>
    <t>1-Month Shared Service Contract for 7050SPX4-48D8, SW and NBD/Same Day Ship Replacement</t>
  </si>
  <si>
    <t>1-Month Shared Service Contract for 7050SDX4-48D8, SW and 24x7x4 Hour Replacement</t>
  </si>
  <si>
    <t>1-Month Shared Service Contract for 7050SDX4-48D8, SW and NBD/Same Day Ship Replacement</t>
  </si>
  <si>
    <t>1-Month Shared Service Contract for 7050DX4M-32S, SW and 24x7x4 Hour Replacement</t>
  </si>
  <si>
    <t>1-Month Shared Service Contract for 7050DX4M-32S, SW and NBD/Same Day Ship Replacement</t>
  </si>
  <si>
    <t>1-Month Shared Service Contract for 7050DX4-32S, SW and 24x7x4 Hour Replacement</t>
  </si>
  <si>
    <t>1-Month Shared Service Contract for 7050DX4-32S, SW and NBD/Same Day Ship Replacement</t>
  </si>
  <si>
    <t>1-Month Shared Service Contract for 7050PX4-32S, SW and 24x7x4 Hour Replacement</t>
  </si>
  <si>
    <t>1-Month Shared Service Contract for 7050PX4-32S, SW and NBD/Same Day Ship Replacement</t>
  </si>
  <si>
    <t>1-Month Shared Service Contract for 7050X4-48Y-4DF, SW and NBD/Same Day Ship Replacement</t>
  </si>
  <si>
    <t>1-Month Shared Service Contract for 7050X4-48Y-4DF, SW and 24x7x4 Hour Replacement</t>
  </si>
  <si>
    <t>1-Month Shared Service Contract for 7050CX3-32C, SW and 24x7x4 Hour Replacement</t>
  </si>
  <si>
    <t>1-Month Shared Service Contract for 7050CX3-32C, SW and NBD/Same Day Ship Replacement</t>
  </si>
  <si>
    <t>1-Month Shared Service Contract for 7050CX3-32S, SW and 24x7x4 Hour Replacement</t>
  </si>
  <si>
    <t>1-Month Shared Service Contract for 7050CX3-32S, SW and NBD/Same Day Ship Replacement</t>
  </si>
  <si>
    <t>1-Month Shared Service Contract for 7050CX3-32S-D, with SSD, SW and 24x7x4 Hour Replacement</t>
  </si>
  <si>
    <t>1-Month Shared Service Contract for 7050CX3-32S-D, with SSD, SW and NBD/Same Day Ship Replacement</t>
  </si>
  <si>
    <t>1-Month Shared Service Contract for 7050CX3M-32S, SW and 24x7x4 Hour Replacement</t>
  </si>
  <si>
    <t>1-Month Shared Service Contract for 7050CX3M-32S, SW and NBD/Same Day Ship Replacement</t>
  </si>
  <si>
    <t>1-Month Shared Service Contract for 7050SX3-24YC4C-S, SW and NBD/Same Day Ship Replacement</t>
  </si>
  <si>
    <t>1-Month Shared Service Contract for 7050SX3-24YC4C-S, SW and 24x7x4 Hour Replacement</t>
  </si>
  <si>
    <t>1-Month Shared Service Contract for 7050SX3-48YC8C, SW and 24x7x4 Hour Replacement</t>
  </si>
  <si>
    <t>1-Month Shared Service Contract for 7050SX3-48YC8C, SW and NBD/Same Day Ship Replacement</t>
  </si>
  <si>
    <t>1-Month Shared Service Contract for 7050SX3-48C8C, SW and 24x7x4 Hour Replacement</t>
  </si>
  <si>
    <t>1-Month Shared Service Contract for 7050SX3-48C8C, SW and NBD/Same Day Ship Replacement</t>
  </si>
  <si>
    <t>1-Month Shared Service Contract for 7050SX3-48C8, SW and 24x7x4 Hour Replacement</t>
  </si>
  <si>
    <t>1-Month Shared Service Contract for 7050SX3-48C8, SW and NBD/Same Day Ship Replacement</t>
  </si>
  <si>
    <t>1-Month Shared Service Contract for 7050SX3-48YC12, SW and 24x7x4 Hour Replacement</t>
  </si>
  <si>
    <t>1-Month Shared Service Contract for 7050SX3-48YC12, SW and NBD/Same Day Ship Replacement</t>
  </si>
  <si>
    <t>1-Month Shared Service Contract for 7050SX3-48YC8, SW and 24x7x4 Hour Replacement</t>
  </si>
  <si>
    <t>1-Month Shared Service Contract for 7050SX3-48YC8, SW and NBD/Same Day Ship Replacement</t>
  </si>
  <si>
    <t>1-Month Shared Service Contract for 7050SX3-96YC8, SW and 24x7x4 Hour Replacement</t>
  </si>
  <si>
    <t>1-Month Shared Service Contract for 7050SX3-96YC8, SW and NBD/Same Day Ship Replacement</t>
  </si>
  <si>
    <t>1-Month Shared Service Contract for 7050TX3-48C8, SW and 24x7x4 Hour Replacement</t>
  </si>
  <si>
    <t>1-Month Shared Service Contract for 7050TX3-48C8, SW and NBD/Same Day Ship Replacement</t>
  </si>
  <si>
    <t>1-Month Shared Service Contract for 7020R4-48Y-8QC, SW and NBD/Same Day Ship Replacement</t>
  </si>
  <si>
    <t>1-Month Shared Service Contract for 7020R4-48Y-8QC, SW and 24x7x4 Hour Replacement</t>
  </si>
  <si>
    <t>1-Month Shared Service Contract for 7020R4M-48Y-8QC, SW and NBD/Same Day Ship Replacement</t>
  </si>
  <si>
    <t>1-Month Shared Service Contract for 7020R4M-48Y-8QC, SW and 24x7x4 Hour Replacement</t>
  </si>
  <si>
    <t>1-Month Shared Service Contract for 7020R4-48Y-4QC, SW and NBD/Same Day Ship Replacement</t>
  </si>
  <si>
    <t>1-Month Shared Service Contract for 7020R4-48Y-4QC, SW and 24x7x4 Hour Replacement</t>
  </si>
  <si>
    <t>1-Month Shared Service Contract for 7020R4M-48Y-4QC, SW and NBD/Same Day Ship Replacement</t>
  </si>
  <si>
    <t>1-Month Shared Service Contract for 7020R4M-48Y-4QC, SW and 24x7x4 Hour Replacement</t>
  </si>
  <si>
    <t>1-Month Shared Service Contract for 7020R4-48TX-4QC, SW and NBD/Same Day Ship Replacement</t>
  </si>
  <si>
    <t>1-Month Shared Service Contract for 7020R4-48TX-4QC, SW and 24x7x4 Hour Replacement</t>
  </si>
  <si>
    <t>1-Month Shared Service Contract for 7020R4M-48TX-4QC, SW and NBD/Same Day Ship Replacement</t>
  </si>
  <si>
    <t>1-Month Shared Service Contract for 7020R4M-48TX-4QC, SW and 24x7x4 Hour Replacement</t>
  </si>
  <si>
    <t>1-Month Shared Service Contract for 7020SR-24C2, SW and 24x7x4 Hour Replacement</t>
  </si>
  <si>
    <t>1-Month Shared Service Contract for 7020SR-24C2, SW and NBD/Same Day Ship Replacement</t>
  </si>
  <si>
    <t>1-Month Shared Service Contract for 7020SR-32C2, SW and 24x7x4 Hour Replacement</t>
  </si>
  <si>
    <t>1-Month Shared Service Contract for 7020SR-32C2, SW and NBD/Same Day Ship Replacement</t>
  </si>
  <si>
    <t>1-Month Shared Service Contract for 7020SRG-24C2, SW and 24x7x4 Hour Replacement</t>
  </si>
  <si>
    <t>1-Month Shared Service Contract for 7020SRG-24C2, SW and NBD/Same Day Ship Replacement</t>
  </si>
  <si>
    <t>1-Month Shared Service Contract for 7010TX-48C-DC-RV3A, SW and NBD/Same Day Ship Replacement</t>
  </si>
  <si>
    <t>1-Month Shared Service Contract for 7010TX-48C-DC-RV3A, SW and 24x7x4 Hour Replacement</t>
  </si>
  <si>
    <t>1-Month Shared Service Contract for 7010TX-48C-DC-RV3, SW and NBD/Same Day Ship Replacement</t>
  </si>
  <si>
    <t>1-Month Shared Service Contract for 7010TX-48C-DC-RV3, SW and 24x7x4 Hour Replacement</t>
  </si>
  <si>
    <t>1-Month Shared Service Contract for 7010TX-48C-DC, SW and NBD/Same Day Ship Replacement</t>
  </si>
  <si>
    <t>1-Month Shared Service Contract for 7010TX-48C-DC, SW and 24x7x4 Hour Replacement</t>
  </si>
  <si>
    <t>1-Month Shared Service Contract for 7010TX-48C, SW and 24x7x4 Hour Replacement</t>
  </si>
  <si>
    <t>1-Month Shared Service Contract for 7010TX-48C, SW and NBD/Same Day Ship Replacement</t>
  </si>
  <si>
    <t>1-Month Shared Service Contract for 7010TX-48, SW and NBD/Same Day Ship Replacement</t>
  </si>
  <si>
    <t>1-Month Shared Service Contract for 7010TX-48, SW and 24x7x4 Hour Replacement</t>
  </si>
  <si>
    <t>1-Month Shared Service Contract for 7010TX-48DC, SW and NBD/Same Day Ship Replacement</t>
  </si>
  <si>
    <t>1-Month Shared Service Contract for 7010TX-48DC, SW and 24x7x4 Hour Replacement</t>
  </si>
  <si>
    <t xml:space="preserve">1-Month Shared Service Contract for 7010T, SW and 24x7x4 Hour Replacement </t>
  </si>
  <si>
    <t xml:space="preserve">1-Month Shared Service Contract for 7010T, SW and NBD/Same Day Ship Replacement </t>
  </si>
  <si>
    <t xml:space="preserve">1-Month Shared Service Contract for 7010T-48-DC, SW and 24x7x4 Hour Replacement </t>
  </si>
  <si>
    <t xml:space="preserve">1-Month Shared Service Contract for 7010T-48-DC, SW and NBD/Same Day Ship Replacement </t>
  </si>
  <si>
    <t>1-Month Shared Service Contract for 7020TR-48, SW and 24x7x4 Hour Replacement</t>
  </si>
  <si>
    <t>1-Month Shared Service Contract for 7020TR-48, SW and NBD/Same Day Ship Replacement</t>
  </si>
  <si>
    <t>1-Month Shared Service Contract for 7020TRA-48, SW and 24x7x4 Hour Replacement</t>
  </si>
  <si>
    <t>1-Month Shared Service Contract for 7020TRA-48, SW and NBD/Same Day Ship Replacement</t>
  </si>
  <si>
    <t>1-Month Shared Service Contract for 710HXP-28TXH series, SW and 24x7x4 Hour Replacement</t>
  </si>
  <si>
    <t>1-Month Shared Service Contract for 710HXP-28TXH series, SW and NBD/Same Day Ship Replacement</t>
  </si>
  <si>
    <t>1-Month Shared Service Contract for 710HXP-20TNH series, SW and 24x7x4 Hour Replacement</t>
  </si>
  <si>
    <t>1-Month Shared Service Contract for 710HXP-20TNH series, SW and NBD/Same Day Ship Replacement</t>
  </si>
  <si>
    <t>1-Month Shared Service Contract for 710XP-12TH series, SW and 24x7x4 Hour Replacement</t>
  </si>
  <si>
    <t>1-Month Shared Service Contract for 710XP-12TH series, SW and NBD/Same Day Ship Replacement</t>
  </si>
  <si>
    <t>1-Month Shared Service Contract for 710P-12 series, SW and 24x7x4 Hour Replacement</t>
  </si>
  <si>
    <t>1-Month Shared Service Contract for 710P-12 series, SW and NBD/Same Day Ship Replacement</t>
  </si>
  <si>
    <t>1-Month Shared Service Contract for 710P-16D series, SW and 24x7x4 Hour Replacement</t>
  </si>
  <si>
    <t>1-Month Shared Service Contract for 710P-16D series, SW and NBD/Same Day Ship Replacement</t>
  </si>
  <si>
    <t>1-Month Shared Service Contract for 710P-16P series, SW and 24x7x4 Hour Replacement</t>
  </si>
  <si>
    <t>1-Month Shared Service Contract for 710P-16P series, SW and NBD/Same Day Ship Replacement</t>
  </si>
  <si>
    <t>1-Month Shared Service Contract for 720XP-24Y6, SW and 24x7x4 Hour Replacement</t>
  </si>
  <si>
    <t>1-Month Shared Service Contract for 720XP-24Y6, SW and NBD/Same Day Ship Replacement</t>
  </si>
  <si>
    <t>1-Month Shared Service Contract for 720XP-24ZY4, SW and 24x7x4 Hour Replacement</t>
  </si>
  <si>
    <t>1-Month Shared Service Contract for 720XP-24ZY4, SW and NBD/Same Day Ship Replacement</t>
  </si>
  <si>
    <t>1-Month Shared Service Contract for 720XP-48Y6, SW and 24x7x4 Hour Replacement</t>
  </si>
  <si>
    <t>1-Month Shared Service Contract for 720XP-48Y6, SW and NBD/Same Day Ship Replacement</t>
  </si>
  <si>
    <t>1-Month Shared Service Contract for 720XP-48ZC2, SW and 24x7x4 Hour Replacement</t>
  </si>
  <si>
    <t>1-Month Shared Service Contract for 720XP-48ZC2, SW and NBD/Same Day Ship Replacement</t>
  </si>
  <si>
    <t>1-Month Shared Service Contract for 720XP-96ZC2, SW and 24x7x4 Hour Replacement</t>
  </si>
  <si>
    <t>1-Month Shared Service Contract for 720XP-96ZC2, SW and NBD/Same Day Ship Replacement</t>
  </si>
  <si>
    <t>1-Month Shared Service Contract for CCS-720XP-48TXH-2C-S, SW and NBD/Same Day Ship Replacement</t>
  </si>
  <si>
    <t>1-Month Shared Service Contract for CCS-720XP-48TXH-2C-S, SW and 24x7x4 Hour Replacement</t>
  </si>
  <si>
    <t>1-Month Shared Service Contract for 720XPM-48TH series, SW and 24x7x4 Hour Replacement</t>
  </si>
  <si>
    <t>1-Month Shared Service Contract for 720XPM-48TH series, SW and NBD/Same Day Ship Replacement</t>
  </si>
  <si>
    <t>1-Month Shared Service Contract for CCS-720DF-48Y-DC series, SW and 24x7x4 Hour Replacement</t>
  </si>
  <si>
    <t>1-Month Shared Service Contract for CCS-720DF-48Y-DC series, SW and NBD/Same Day Ship Replacement</t>
  </si>
  <si>
    <t>1-Month Shared Service Contract for CCS-720DF-48Y series, SW and 24x7x4 Hour Replacement</t>
  </si>
  <si>
    <t>1-Month Shared Service Contract for CCS-720DF-48Y series, SW and NBD/Same Day Ship Replacement</t>
  </si>
  <si>
    <t>1-Month Shared Service Contract for CCS-720DF-48Y-M-S series, SW and 24x7x4 Hour Replacement</t>
  </si>
  <si>
    <t>1-Month Shared Service Contract for CCS-720DF-48Y-M-S series, SW and NBD/Same Day Ship Replacement</t>
  </si>
  <si>
    <t>1-Month Shared Service Contract for CCS-720DP-24ZS series, SW and 24x7x4 Hour Replacement</t>
  </si>
  <si>
    <t>1-Month Shared Service Contract for CCS-720DP-24ZS series, SW and NBD/Same Day Ship Replacement</t>
  </si>
  <si>
    <t>1-Month Shared Service Contract for CCS-720DP-48S-M-S series, SW and NBD/Same Day Ship Replacement</t>
  </si>
  <si>
    <t>1-Month Shared Service Contract for CCS-720DP-48S-M-S series, SW and 24x7x4 Hour Replacement</t>
  </si>
  <si>
    <t>1-Month Shared Service Contract for CCS-720DP-48ZS series, SW and 24x7x4 Hour Replacement</t>
  </si>
  <si>
    <t>1-Month Shared Service Contract for CCS-720DP-48ZS series, SW and NBD/Same Day Ship Replacement</t>
  </si>
  <si>
    <t>1-Month Shared Service Contract for CCS-720DP-48S series, SW and 24x7x4 Hour Replacement</t>
  </si>
  <si>
    <t>1-Month Shared Service Contract for CCS-720DP-48S series, SW and NBD/Same Day Ship Replacement</t>
  </si>
  <si>
    <t>1-Month Shared Service Contract for CCS-720DP-24S series, SW and 24x7x4 Hour Replacement</t>
  </si>
  <si>
    <t>1-Month Shared Service Contract for CCS-720DP-24S series, SW and NBD/Same Day Ship Replacement</t>
  </si>
  <si>
    <t>1-Month Shared Service Contract for CCS-720DP-24S-M-S series, SW and 24x7x4 Hour Replacement</t>
  </si>
  <si>
    <t>1-Month Shared Service Contract for CCS-720DP-24S-M-S series, SW and NBD/Same Day Ship Replacement</t>
  </si>
  <si>
    <t>1-Month Shared Service Contract for CCS-720DT-24S-M-S series, SW and 24x7x4 Hour Replacement</t>
  </si>
  <si>
    <t>1-Month Shared Service Contract for CCS-720DT-24S-M-S series, SW and NBD/Same Day Ship Replacement</t>
  </si>
  <si>
    <t>1-Month Shared Service Contract for CCS-720DT-48S series, SW and NBD/Same Day Ship Replacement</t>
  </si>
  <si>
    <t>1-Month Shared Service Contract for CCS-720DT-48S series, SW and 24x7x4 Hour Replacement</t>
  </si>
  <si>
    <t>1-Month Shared Service Contract for CCS-720DT-24S series, SW and NBD/Same Day Ship Replacement</t>
  </si>
  <si>
    <t>1-Month Shared Service Contract for CCS-720DT-24S series, SW and 24x7x4 Hour Replacement</t>
  </si>
  <si>
    <t>1-Month Shared Service Contract for 720XDM-48T series, SW and NBD/Same Day Ship Replacement</t>
  </si>
  <si>
    <t>1-Month Shared Service Contract for 722XPM-48Y4 series, SW and 24x7x4 Hour Replacement</t>
  </si>
  <si>
    <t>1-Month Shared Service Contract for 722XPM-48Y4 series, SW and NBD/Same Day Ship Replacement</t>
  </si>
  <si>
    <t>1-Month Shared Service Contract for 722XPM-48ZY8 series, SW and 24x7x4 Hour Replacement</t>
  </si>
  <si>
    <t>1-Month Shared Service Contract for 722XPM-48ZY8 series, SW and NBD/Same Day Ship Replacement</t>
  </si>
  <si>
    <t>1-Month Shared Service Contract for CCS-755, SW and 24x7x4 Hour Replacement</t>
  </si>
  <si>
    <t>1-Month Shared Service Contract for CCS-755, SW and NBD/Same Day Ship Replacement</t>
  </si>
  <si>
    <t>1-Month Shared Service Contract for CCS-758, SW and 24x7x4 Hour Replacement</t>
  </si>
  <si>
    <t>1-Month Shared Service Contract for CCS-758, SW and NBD/Same Day Ship Replacement</t>
  </si>
  <si>
    <t>DCS-7800R4K-36DE-LC</t>
  </si>
  <si>
    <t>7800R4 Series 36 port 800GbE QSFP-DD line card with Enh. Encryption and Large Routes (spare)</t>
  </si>
  <si>
    <t>DCS-7800R4K-36DE-LC#</t>
  </si>
  <si>
    <t>7800R4 Series 36 port 800GbE QSFP-DD line card with Enh. Encryption and Large Routes (ships in chassis)</t>
  </si>
  <si>
    <t>KIT-7808-RK-HD-U</t>
  </si>
  <si>
    <t>Configurable 4 post kit for in-rack shipment of Arista 7808 series (Threaded or Square Rail - Std. Depth [24 to 35 in / 60.9 to 88.9 cm])</t>
  </si>
  <si>
    <t>DCS-7282R4-32PE-S2-DC-FLX-F</t>
  </si>
  <si>
    <t>Arista 7282R4, 32x800GbE OSFP switch router, dual supervisors, front to rear air, 2 x DC, Over 256K Routes, MPLS and VXLAN</t>
  </si>
  <si>
    <t>DCS-7282R4-32PE-S2-FLX-F</t>
  </si>
  <si>
    <t>Arista 7282R4, 32x800GbE OSFP switch router, dual supervisors, front to rear air, 2 x HV AC and DC, Over 256K Routes, MPLS and VXLAN</t>
  </si>
  <si>
    <t>DCS-7282R4-32PE-DC-FLX-F</t>
  </si>
  <si>
    <t>Arista 7282R4, 32x800GbE OSFP switch router, single supervisor, front to rear air, 2 x DC, Over 256K Routes, MPLS and VXLAN</t>
  </si>
  <si>
    <t>DCS-7282R4-32PE-FLX-F</t>
  </si>
  <si>
    <t>Arista 7282R4, 32x800GbE OSFP switch router, front to rear air, 2 x AC, Over 256K Routes, MPLS and VXLAN</t>
  </si>
  <si>
    <t>DCS-7282R4-32PE-S2-DC-F</t>
  </si>
  <si>
    <t>Arista 7282R4, 32x800GbE OSFP switch router, dual supervisors, front to rear air, 2 x DC</t>
  </si>
  <si>
    <t>DCS-7282R4-32PE-S2-F</t>
  </si>
  <si>
    <t>Arista 7282R4, 32x800GbE OSFP switch router, dual supervisors, front to rear air, 2 x HV AC and DC</t>
  </si>
  <si>
    <t>DCS-7282R4-32PE-DC-F</t>
  </si>
  <si>
    <t>Arista 7282R4, 32x800GbE OSFP switch router, single supervisor, front to rear air, 2 x DC</t>
  </si>
  <si>
    <t>DCS-7282R4-32PE-F</t>
  </si>
  <si>
    <t>Arista 7282R4, 32x800GbE OSFP switch router, single supervisor, front to rear air, 2 x AC</t>
  </si>
  <si>
    <t>DCS-7282R4-32PE#</t>
  </si>
  <si>
    <t>Arista 7282R4, 32x800GbE OSFP switch router, configurable supervisor, fans and psu (-F louver kit)</t>
  </si>
  <si>
    <t>DCS-7282R4-64QC-10PE-S2-DC-FLX-F</t>
  </si>
  <si>
    <t>Arista 7282R4, 64x100GbE QSFP and 10x800GbE OSFP switch router, dual supervisors, front to rear air, 2 x DC, Over 256K Routes, MPLS and VXLAN</t>
  </si>
  <si>
    <t>DCS-7282R4-64QC-10PE-S2-DC-FLX-R</t>
  </si>
  <si>
    <t>Arista 7282R4, 64x100GbE QSFP and 10x800GbE OSFP switch router, dual supervisors, rear to front air, 2 x DC, Over 256K Routes, MPLS and VXLAN</t>
  </si>
  <si>
    <t>DCS-7282R4-64QC-10PE-S2-FLX-F</t>
  </si>
  <si>
    <t>Arista 7282R4, 64x100GbE QSFP and 10x800GbE OSFP switch router, dual supervisors, front to rear air, 2 x AC, Over 256K Routes, MPLS and VXLAN</t>
  </si>
  <si>
    <t>DCS-7282R4-64QC-10PE-S2-FLX-R</t>
  </si>
  <si>
    <t>Arista 7282R4, 64x100GbE QSFP and 10x800GbE OSFP switch router, dual supervisors, rear to front air, 2 x AC, Over 256K Routes, MPLS and VXLAN</t>
  </si>
  <si>
    <t>DCS-7282R4-64QC-10PE-DC-FLX-F</t>
  </si>
  <si>
    <t>Arista 7282R4, 64x100GbE QSFP and 10x800GbE OSFP switch router, single supervisor, front to rear air, 2 x DC, Over 256K Routes, MPLS and VXLAN</t>
  </si>
  <si>
    <t>DCS-7282R4-64QC-10PE-DC-FLX-R</t>
  </si>
  <si>
    <t>Arista 7282R4, 64x100GbE QSFP and 10x800GbE OSFP switch router, single supervisor, rear to front air, 2 x DC, Over 256K Routes, MPLS and VXLAN</t>
  </si>
  <si>
    <t>DCS-7282R4-64QC-10PE-FLX-F</t>
  </si>
  <si>
    <t>Arista 7282R4, 64x100GbE QSFP and 10x800GbE OSFP switch router, front to rear air, 2 x AC, Over 256K Routes, MPLS and VXLAN</t>
  </si>
  <si>
    <t>DCS-7282R4-64QC-10PE-FLX-R</t>
  </si>
  <si>
    <t>Arista 7282R4, 64x100GbE QSFP and 10x800GbE OSFP switch router, rear to front air, 2 x AC, Over 256K Routes, MPLS and VXLAN</t>
  </si>
  <si>
    <t>DCS-7282R4-64QC-10PE-S2-DC-F</t>
  </si>
  <si>
    <t>Arista 7282R4, 64x100GbE QSFP and 10x800GbE OSFP switch router, dual supervisors, front to rear air, 2 x DC</t>
  </si>
  <si>
    <t>DCS-7282R4-64QC-10PE-S2-DC-R</t>
  </si>
  <si>
    <t>Arista 7282R4, 64x100GbE QSFP and 10x800GbE OSFP switch router, dual supervisors, rear to front air, 2 x DC</t>
  </si>
  <si>
    <t>DCS-7282R4-64QC-10PE-S2-F</t>
  </si>
  <si>
    <t>Arista 7282R4, 64x100GbE QSFP and 10x800GbE OSFP switch router, dual supervisors, front to rear air, 2 x AC</t>
  </si>
  <si>
    <t>DCS-7282R4-64QC-10PE-S2-R</t>
  </si>
  <si>
    <t>Arista 7282R4, 64x100GbE QSFP and 10x800GbE OSFP switch router, dual supervisors, rear to front air, 2 x AC</t>
  </si>
  <si>
    <t>DCS-7282R4-64QC-10PE-DC-F</t>
  </si>
  <si>
    <t>Arista 7282R4, 64x100GbE QSFP and 10x800GbE OSFP switch router, single supervisor, front to rear air, 2 x DC</t>
  </si>
  <si>
    <t>DCS-7282R4-64QC-10PE-DC-R</t>
  </si>
  <si>
    <t>Arista 7282R4, 64x100GbE QSFP and 10x800GbE OSFP switch router, single supervisor, rear to front air, 2 x DC</t>
  </si>
  <si>
    <t>DCS-7282R4-64QC-10PE-F</t>
  </si>
  <si>
    <t>Arista 7282R4, 64x100GbE QSFP and 10x800GbE OSFP switch router, single supervisor, front to rear air, 2 x AC</t>
  </si>
  <si>
    <t>DCS-7282R4-64QC-10PE-R</t>
  </si>
  <si>
    <t>Arista 7282R4, 64x100GbE QSFP and 10x800GbE OSFP switch router, single supervisor, rear to front air, 2 x AC</t>
  </si>
  <si>
    <t>DCS-7282R4-64QC-10PE#</t>
  </si>
  <si>
    <t>Arista 7282R4, 64x100GbE QSFP and 10x800GbE OSFP switch router, configurable supervisor, fans and psu (-F louver kit)</t>
  </si>
  <si>
    <t>DCS-7282R4K-64QC-10PE-S2-DC-FLX-F</t>
  </si>
  <si>
    <t>Arista 7282R4, 64x100GbE QSFP and 10x800GbE OSFP switch router, large routes and enh. encryption, dual supervisors, front to rear air, 2 x DC, Over 256K Routes, MPLS and VXLAN</t>
  </si>
  <si>
    <t>DCS-7282R4K-64QC-10PE-S2-DC-FLX-R</t>
  </si>
  <si>
    <t>Arista 7282R4, 64x100GbE QSFP and 10x800GbE OSFP switch router, large routes and enh. encryption, dual supervisors, rear to front air, 2 x DC, Over 256K Routes, MPLS and VXLAN</t>
  </si>
  <si>
    <t>DCS-7282R4K-64QC-10PE-S2-FLX-F</t>
  </si>
  <si>
    <t>Arista 7282R4, 64x100GbE QSFP and 10x800GbE OSFP switch router, large routes and enh. encryption, dual supervisors, front to rear air, 2 x AC, Over 256K Routes, MPLS and VXLAN</t>
  </si>
  <si>
    <t>DCS-7282R4K-64QC-10PE-S2-FLX-R</t>
  </si>
  <si>
    <t>Arista 7282R4, 64x100GbE QSFP and 10x800GbE OSFP switch router, large routes and enh. encryption, dual supervisors, rear to front air, 2 x AC, Over 256K Routes, MPLS and VXLAN</t>
  </si>
  <si>
    <t>DCS-7282R4K-64QC-10PE-DC-FLX-F</t>
  </si>
  <si>
    <t>Arista 7282R4, 64x100GbE QSFP and 10x800GbE OSFP switch router, large routes and enh. encryption, single supervisor, front to rear air, 2 x DC, Over 256K Routes, MPLS and VXLAN</t>
  </si>
  <si>
    <t>DCS-7282R4K-64QC-10PE-DC-FLX-R</t>
  </si>
  <si>
    <t>Arista 7282R4, 64x100GbE QSFP and 10x800GbE OSFP switch router, large routes and enh. encryption, single supervisor, rear to front air, 2 x DC, Over 256K Routes, MPLS and VXLAN</t>
  </si>
  <si>
    <t>DCS-7282R4K-64QC-10PE-FLX-F</t>
  </si>
  <si>
    <t>Arista 7282R4, 64x100GbE QSFP and 10x800GbE OSFP switch router, large routes and enh. encryption, front to rear air, 2 x AC, Over 256K Routes, MPLS and VXLAN</t>
  </si>
  <si>
    <t>DCS-7282R4K-64QC-10PE-FLX-R</t>
  </si>
  <si>
    <t>Arista 7282R4, 64x100GbE QSFP and 10x800GbE OSFP switch router, large routes and enh. encryption, rear to front air, 2 x AC, Over 256K Routes, MPLS and VXLAN</t>
  </si>
  <si>
    <t>DCS-7282R4K-64QC-10PE-S2-DC-F</t>
  </si>
  <si>
    <t>Arista 7282R4, 64x100GbE QSFP and 10x800GbE OSFP switch router, large routes and enh. encryption, dual supervisors, front to rear air, 2 x DC</t>
  </si>
  <si>
    <t>DCS-7282R4K-64QC-10PE-S2-DC-R</t>
  </si>
  <si>
    <t>Arista 7282R4, 64x100GbE QSFP and 10x800GbE OSFP switch router, large routes and enh. encryption, dual supervisors, rear to front air, 2 x DC</t>
  </si>
  <si>
    <t>DCS-7282R4K-64QC-10PE-S2-F</t>
  </si>
  <si>
    <t>Arista 7282R4, 64x100GbE QSFP and 10x800GbE OSFP switch router, large routes and enh. encryption, dual supervisors, front to rear air, 2 x AC</t>
  </si>
  <si>
    <t>DCS-7282R4K-64QC-10PE-S2-R</t>
  </si>
  <si>
    <t>Arista 7282R4, 64x100GbE QSFP and 10x800GbE OSFP switch router, large routes and enh. encryption, dual supervisors, rear to front air, 2 x AC</t>
  </si>
  <si>
    <t>DCS-7282R4K-64QC-10PE-DC-F</t>
  </si>
  <si>
    <t>Arista 7282R4, 64x100GbE QSFP and 10x800GbE OSFP switch router, large routes and enh. encryption, single supervisor, front to rear air, 2 x DC</t>
  </si>
  <si>
    <t>DCS-7282R4K-64QC-10PE-DC-R</t>
  </si>
  <si>
    <t>Arista 7282R4, 64x100GbE QSFP and 10x800GbE OSFP switch router, large routes and enh. encryption, single supervisor, rear to front air, 2 x DC</t>
  </si>
  <si>
    <t>DCS-7282R4K-64QC-10PE-F</t>
  </si>
  <si>
    <t>Arista 7282R4, 64x100GbE QSFP and 10x800GbE OSFP switch router, large routes and enh. encryption, single supervisor, front to rear air, 2 x AC</t>
  </si>
  <si>
    <t>DCS-7282R4K-64QC-10PE-R</t>
  </si>
  <si>
    <t>Arista 7282R4, 64x100GbE QSFP and 10x800GbE OSFP switch router, large routes and enh. encryption, single supervisor, rear to front air, 2 x AC</t>
  </si>
  <si>
    <t>DCS-7282R4K-64QC-10PE#</t>
  </si>
  <si>
    <t>Arista 7282R4, 64x100GbE QSFP and 10x800GbE OSFP switch router, large routes and enh. encryption, configurable supervisor, fans and psu (-F louver kit)</t>
  </si>
  <si>
    <t>DCS-7282R4K-32PE-DC-FLX-F</t>
  </si>
  <si>
    <t>Arista 7282R4, 32x800GbE OSFP switch router, large routes and enh. encryption, single supervisor, front to rear air, 2 x DC, Over 256K Routes, MPLS and VXLAN</t>
  </si>
  <si>
    <t>DCS-7282R4K-32PE-S2-DC-F</t>
  </si>
  <si>
    <t>Arista 7282R4, 32x800GbE OSFP switch router, large routes and enh. encryption, dual supervisors, front to rear air, 2 x DC</t>
  </si>
  <si>
    <t>DCS-7282R4K-32PE-S2-DC-FLX-F</t>
  </si>
  <si>
    <t>Arista 7282R4, 32x800GbE OSFP switch router, large routes and enh. encryption, dual supervisors, front to rear air, 2 x DC, Over 256K Routes, MPLS and VXLAN</t>
  </si>
  <si>
    <t>DCS-7282R4K-32PE-S2-F</t>
  </si>
  <si>
    <t>Arista 7282R4, 32x800GbE OSFP switch router, large routes and enh. encryption, dual supervisors, front to rear air, 2 x HV AC and DC</t>
  </si>
  <si>
    <t>DCS-7282R4K-32PE-S2-FLX-F</t>
  </si>
  <si>
    <t>Arista 7282R4, 32x800GbE OSFP switch router, large routes and enh. encryption, dual supervisors, front to rear air, 2 x HV AC and DC, Over 256K Routes, MPLS and VXLAN</t>
  </si>
  <si>
    <t>DCS-7282R4K-32PE-FLX-F</t>
  </si>
  <si>
    <t>Arista 7282R4, 32x800GbE OSFP switch router, large routes and enh. encryption, front to rear air, 2 x AC, Over 256K Routes, MPLS and VXLAN</t>
  </si>
  <si>
    <t>DCS-7282R4K-32PE-DC-F</t>
  </si>
  <si>
    <t>Arista 7282R4, 32x800GbE OSFP switch router, large routes and enh. encryption, single supervisor, front to rear air, 2 x DC</t>
  </si>
  <si>
    <t>DCS-7282R4K-32PE-F</t>
  </si>
  <si>
    <t>Arista 7282R4, 32x800GbE OSFP switch router, large routes and enh. encryption, single supervisor, front to rear air, 2 x AC</t>
  </si>
  <si>
    <t>DCS-7282R4K-32PE#</t>
  </si>
  <si>
    <t>Arista 7282R4, 32x800GbE OSFP switch router, large routes and enh. encryption, configurable supervisor, fans and psu (-F louver kit)</t>
  </si>
  <si>
    <t>DCS-7280R4-32PE-B-F</t>
  </si>
  <si>
    <t>DCS-7280R4-64QC-10PE-B-F</t>
  </si>
  <si>
    <t>DCS-7280R4-64QC-10PE-B-R</t>
  </si>
  <si>
    <t>DCS-7280CR3-32P4-S-R</t>
  </si>
  <si>
    <t>Arista 7280R3, 32x100GbE QSFP and 4x400GbE OSFP switch router, secure boot, rear to front air, 2 x AC</t>
  </si>
  <si>
    <t>DCS-7280SR3-48YC8-S-R</t>
  </si>
  <si>
    <t>Arista 7280R3, 48x25GbE SFP and 8x100G QSFP switch router, secure boot, rear to front air, 2 x AC</t>
  </si>
  <si>
    <t>DCS-7060X6-64PE-DC</t>
  </si>
  <si>
    <t>Arista 7060X6, 64 x 800GbE OSFP switch, front-to-rear air, 2xDC (m-CRPS)</t>
  </si>
  <si>
    <t>DCS-7060DX5-64S-DC</t>
  </si>
  <si>
    <t>Arista 7060X5S, 64x400GbE QSFP-DD switch, front-to-rear air, 2xDC (m-CRPS)</t>
  </si>
  <si>
    <t>DCS-7002-SUP-L</t>
  </si>
  <si>
    <t>7002 series Supervisor-L module with 8c/16t 3.3 GHz CPU, 64GB RAM, 480GB NVMe (spare)</t>
  </si>
  <si>
    <t>DCS-7020R4-48TX-4QC-FLX-F</t>
  </si>
  <si>
    <t>Arista 7020R4, 48x10GbE RJ45 and 4x100GbE QSFP switch router, front to rear air, 2 x AC. Over 256K Routes, MPLS and VXLAN</t>
  </si>
  <si>
    <t>DCS-7020R4-48TX-4QC-FLX-R</t>
  </si>
  <si>
    <t>Arista 7020R4, 48x10GbE RJ45 and 4x100GbE QSFP switch router, rear to front air, 2 x AC. Over 256K Routes, MPLS and VXLAN</t>
  </si>
  <si>
    <t>DCS-7020R4-48TX-4QC-FLX#</t>
  </si>
  <si>
    <t>Arista 7020R4, 48x10GbE RJ45 and 4x100GbE QSFP switch router, configurable fans and psu. Over 256K Routes, MPLS and VXLAN</t>
  </si>
  <si>
    <t>DCS-7020R4-48TX-4QC-DC-F</t>
  </si>
  <si>
    <t>Arista 7020R4, 48x10GbE RJ45 and 4x100GbE QSFP switch router, front to rear air, 2 x DC</t>
  </si>
  <si>
    <t>DCS-7020R4-48TX-4QC-DC-R</t>
  </si>
  <si>
    <t>Arista 7020R4, 48x10GbE RJ45 and 4x100GbE QSFP switch router, rear to front air, 2 x DC</t>
  </si>
  <si>
    <t>DCS-7020R4M-48TX-4QC-FLX-F</t>
  </si>
  <si>
    <t>Arista 7020R4, 48x10GbE RJ45 and 4x100GbE QSFP OSFP switch router, enh. encryption, front to rear air, 2 x AC. Over 256K Routes, MPLS and VXLAN</t>
  </si>
  <si>
    <t>DCS-7020R4M-48TX-4QC-FLX-R</t>
  </si>
  <si>
    <t>Arista 7020R4, 48x10GbE RJ45 and 4x100GbE QSFP switch router, enh. encryption, rear to front air, 2 x AC. Over 256K Routes, MPLS and VXLAN</t>
  </si>
  <si>
    <t>DCS-7020R4M-48TX-4QC-FLX#</t>
  </si>
  <si>
    <t>Arista 7020R4, 48x10GbE RJ45 and 4x100GbE QSFP switch router, enh. encryption, configurable fans and psu. Over 256K Routes, MPLS and VXLAN</t>
  </si>
  <si>
    <t>DCS-7020R4M-48TX-4QC-DC-F</t>
  </si>
  <si>
    <t>Arista 7020R4, 48x10GbE RJ45 and 4x100GbE QSFP OSFP switch router, enh. encryption, front to rear air, 2 x DC</t>
  </si>
  <si>
    <t>DCS-7020R4M-48TX-4QC-DC-R</t>
  </si>
  <si>
    <t>Arista 7020R4, 48x10GbE RJ45 and 4x100GbE QSFP switch router, enh. encryption, rear to front air, 2 x DC</t>
  </si>
  <si>
    <t>CCS-710XP-28TNH-2S-F</t>
  </si>
  <si>
    <t>Arista 710XP, 24x 1G 30W PoE, 4x 5 mGig 90W PoE, 2x10G SFP+ front to rear air, 1 x 460W AC</t>
  </si>
  <si>
    <t>CCS-720XPM-48TH-6SY-2K-2F</t>
  </si>
  <si>
    <t>Arista 720XPM, 48x1G 90W POE, 4x25G SFP/2x10G SFP+ switch, front to rear air, 2000W AC (2)</t>
  </si>
  <si>
    <t>CCS-720XDM-48T-6SY-2R</t>
  </si>
  <si>
    <t>Arista 720XDM, 48x1G, 4x 25G SFP28/2x10G SFP+ switch, rear to front air, AC (2)</t>
  </si>
  <si>
    <t>CCS-720XP-48TXH-2C-S-2K-2F</t>
  </si>
  <si>
    <t>Arista 720XP, 48 x 10G, 90W POE, 4x25G SFP28, 2x100G QSFP switch, front to rear air, 2000W AC (2)</t>
  </si>
  <si>
    <t>CCS-720DF-48Y-HVDC-2F</t>
  </si>
  <si>
    <t>Arista 720DF, 48 x 1G SFP, 4 x 25G SFP switch, front to rear air, 2 x 200W AC or HVDC</t>
  </si>
  <si>
    <t>CCS-720DT-48S-DC-RV3-2F</t>
  </si>
  <si>
    <t>Arista 720DT, 48 x 1G, 4x10G SFP switch, front to rear air, 2 DC, ORv3</t>
  </si>
  <si>
    <t>CCS-720DT-48S-DC-2F</t>
  </si>
  <si>
    <t>Arista 720DT, 48 x 1G, 4x10G SFP switch, front to rear air, 2 DC</t>
  </si>
  <si>
    <t>PWR-1022-DC-BLUE</t>
  </si>
  <si>
    <t>Arista PSU 1050W v3, DC, Rear to Front</t>
  </si>
  <si>
    <t>PWR-1022-DC-RED</t>
  </si>
  <si>
    <t>Arista PSU 1050W v3, DC, Front to Rear</t>
  </si>
  <si>
    <t>PWR-2022-AC-RED#</t>
  </si>
  <si>
    <t>Arista PSU 2000W POE v3, AC, Front to Rear (Ships in Chassis)</t>
  </si>
  <si>
    <t>CCS-720XPM-FANCVR</t>
  </si>
  <si>
    <t>Blank Cover for CCS-720XPM Series Fan Slot</t>
  </si>
  <si>
    <t xml:space="preserve">KIT-CCS-710HXP </t>
  </si>
  <si>
    <t>Spare accessory kit for Arista 710HXP rack mount series, 2-post mount (Power cords available separately)</t>
  </si>
  <si>
    <t>KIT-7204</t>
  </si>
  <si>
    <t>Spare tool-free accessory kit (v2) for Arista 2RU-4RU switches. 4-post mount. (4x SAF-D-C20, 2m)</t>
  </si>
  <si>
    <t>SSD-CCS-710HXP-8GB</t>
  </si>
  <si>
    <t>Spare SSD 8GB for Arista 710HXP series</t>
  </si>
  <si>
    <t>CCS-755-200M-BND-2-TAA</t>
  </si>
  <si>
    <t>Arista 755 Chassis bundle. Includes 750X 5-slot Chassis, 2 Switch Card, 2 Sup200M (Linecards and Power Supplies sold seperately), TAA compliant</t>
  </si>
  <si>
    <t>CCS-755-200M-BND-2</t>
  </si>
  <si>
    <t>Arista 755 Chassis bundle. Includes 750X 5-slot Chassis, 2 Switch Card, 2 Sup200M (Linecards and Power Supplies sold seperately)</t>
  </si>
  <si>
    <t>CCS-755-200M-BND</t>
  </si>
  <si>
    <t>Arista 755 Chassis bundle. Includes 750X 5-slot Chassis, 1 Switch Card, 1 Sup200M (Linecards and Power Supplies sold seperately)</t>
  </si>
  <si>
    <t>CCS-758-200M-BND-2-TAA</t>
  </si>
  <si>
    <t>Arista 758 Chassis bundle. Includes 750X 8-slot Chassis, 2 Switch Card, 2 Sup200M (Linecards and Power Supplies sold seperately), TAA compliant</t>
  </si>
  <si>
    <t>CCS-758-200M-BND-2</t>
  </si>
  <si>
    <t>Arista 758 Chassis bundle. Includes 750X 8-slot Chassis, 2 Switch Card, 2 Sup200M (Linecards and Power Supplies sold seperately)</t>
  </si>
  <si>
    <t>CCS-758-200M-BND</t>
  </si>
  <si>
    <t>Arista 758 Chassis bundle. Includes 750X 8-slot Chassis, 1 Switch Card, 1 Sup200M  (Linecards and Power Supplies sold seperately)</t>
  </si>
  <si>
    <t>CCS-750-SUP200M-2C</t>
  </si>
  <si>
    <t>Arista 750 Series Supervisor 2 module with 2 x QSFP100, MACSec enabled (spare)</t>
  </si>
  <si>
    <t>CCS-750-SUP200M-2C-TAA</t>
  </si>
  <si>
    <t>Arista 750 Series Supervisor 2 module with 2 x QSFP100, MACSec enabled(spare), TAA compliant</t>
  </si>
  <si>
    <t>LIC-FIX-1-MACSEC</t>
  </si>
  <si>
    <t>MACSEC Encryption License for Arista Group 1 Fixed Switches, MACSEC capable ports</t>
  </si>
  <si>
    <t>LIC-FIX-1-ENCR</t>
  </si>
  <si>
    <t xml:space="preserve">Enhanced Security Encryption License for Arista Group 1 Fixed switches, Encryption capable ports, TunnelSec and MACsec
</t>
  </si>
  <si>
    <t>OSFP-800G-ZRP-LH</t>
  </si>
  <si>
    <t>OSFP-800G-FR4-G</t>
  </si>
  <si>
    <t>800GBASE-FR4 (200G/lane) OSFP IHS Transceiver, supports up to 2km over duplex SMF, for 100G SerDes Systems</t>
  </si>
  <si>
    <t>OSFP-800G-XDR4-G</t>
  </si>
  <si>
    <t>800GBASE-XDR4 (200G/lane) OSFP IHS Transceiver, MPO-12 connector, supports up to 2km over parallel SMF, for 100G SerDes Systems</t>
  </si>
  <si>
    <t>A-D400-4Q100-25M</t>
  </si>
  <si>
    <t>400G QSFP-DD to 4x 100G QSFP28 Active Optical Cable, 25 meter</t>
  </si>
  <si>
    <t>A-D400-4Q100-30M</t>
  </si>
  <si>
    <t>400G QSFP-DD to 4x 100G QSFP28 Active Optical Cable, 30 meter</t>
  </si>
  <si>
    <t>A-D400-4Q100-20M</t>
  </si>
  <si>
    <t>400G QSFP-DD to 4x 100G QSFP28 Active Optical Cable, 20 meter</t>
  </si>
  <si>
    <t>A-D400-4Q100-15M</t>
  </si>
  <si>
    <t>400G QSFP-DD to 4x 100G QSFP28 Active Optical Cable, 15 meter</t>
  </si>
  <si>
    <t>A-D400-4Q100-10M</t>
  </si>
  <si>
    <t>400G QSFP-DD to 4x 100G QSFP28 Active Optical Cable, 10 meter</t>
  </si>
  <si>
    <t>A-D400-4Q100-7M</t>
  </si>
  <si>
    <t>400G QSFP-DD to 4x 100G QSFP28 Active Optical Cable, 7 meter</t>
  </si>
  <si>
    <t>A-D400-4Q100-5M</t>
  </si>
  <si>
    <t>400G QSFP-DD to 4x 100G QSFP28 Active Optical Cable, 5 meter</t>
  </si>
  <si>
    <t>A-D400-4Q100-3M</t>
  </si>
  <si>
    <t>400G QSFP-DD to 4x 100G QSFP28 Active Optical Cable, 3 meter</t>
  </si>
  <si>
    <t>A-D400-4Q100-1M</t>
  </si>
  <si>
    <t>400G QSFP-DD to 4x 100G QSFP28 Active Optical Cable, 1 meter</t>
  </si>
  <si>
    <t>QDD-400G-XDR4-C</t>
  </si>
  <si>
    <t>400GBASE-XDR4 and 2x 200G-DR2 QSFP-DD Transceiver, up to 2km over parallel SMF</t>
  </si>
  <si>
    <t>DCS-LS-MD32-C</t>
  </si>
  <si>
    <t>32 Channel Passive Mux-Demux, C-Band, 1/2 RU</t>
  </si>
  <si>
    <t>DCS-LS-MD64-C</t>
  </si>
  <si>
    <t>64 Channel Passive Mux-Demux, C-Band, 1 RU</t>
  </si>
  <si>
    <t>CAB-D-2Q-400-1.5</t>
  </si>
  <si>
    <t>QSFP-DD to 2 x 200G QSFP Twinax Copper Cable, 1.5 meter</t>
  </si>
  <si>
    <t>QSFP-100G-CWDM4T</t>
  </si>
  <si>
    <t>100GBASE-CWDM4 QSFP28 transceiver, up to 2km over single-mode fiber, TAA Compliant</t>
  </si>
  <si>
    <t>SFP-50G-MR-LR</t>
  </si>
  <si>
    <t>50G/25G BASE-LR SFP transceiver, up to 10km over duplex SMF</t>
  </si>
  <si>
    <t>QDD-8X25-MR-LR</t>
  </si>
  <si>
    <t>8x 25GBASE-LR/10GBASE-LR QSFP-DD Transceiver with MPO-16 APC connector, up to 2km over parallel SMF</t>
  </si>
  <si>
    <t>SFP-10G-LR-H</t>
  </si>
  <si>
    <t>10GBASE-LR SFP+, up to 10km over SMF, extended temp</t>
  </si>
  <si>
    <t>SFP-10G-SR-H</t>
  </si>
  <si>
    <t>10GBASE-SR SFP+ (Short Reach), extended temp</t>
  </si>
  <si>
    <t>SFP-1G-LX-H</t>
  </si>
  <si>
    <t>1000BASE-LX SFP Transceiver, up to 10km over SMF, extended temp</t>
  </si>
  <si>
    <t>SFP-1G-LX-TC</t>
  </si>
  <si>
    <t>1000BASE-LX SFP Transceiver, up to 10km over SMF, TAA Compliant</t>
  </si>
  <si>
    <t>SFP-1G-SX-TC</t>
  </si>
  <si>
    <t>1000BASE-SX SFP Transceiver, up to 550 over MMF, TAA Compliant</t>
  </si>
  <si>
    <t>DCA-DM-AN660</t>
  </si>
  <si>
    <t>Arista DMF: Analytics Node Model AN660 perpetual; requires A-Care support</t>
  </si>
  <si>
    <t>DCA-DM-C660</t>
  </si>
  <si>
    <t>Arista DMF: Controller Appliance Model C660 perpetual, requires A-Care support</t>
  </si>
  <si>
    <t>SVC-DCA-DM-AN660-1M-NB</t>
  </si>
  <si>
    <t>Arista DMF: 1 Month A-Care Software &amp; NBD Hardware Replacement/Same Day Ship for Analytics Node DCA-DM-AN660 Appliance</t>
  </si>
  <si>
    <t>SVC-DCA-DM-C660-1M-NB</t>
  </si>
  <si>
    <t>Arista DMF: 1 Month A-Care Software &amp; NBD Hardware Replacement/Same Day Ship for Controller DCA-DM-C660 Appliance</t>
  </si>
  <si>
    <t>AP-O405-SS-5Y</t>
  </si>
  <si>
    <t>O-405 Tri-Band 2x2:2 802.11be (WiFi 7) outdoor access point with 10Gbps SFP+, 5Gbps Ethernet, and internal antennas with a 5 year cognitive cloud management subscription</t>
  </si>
  <si>
    <t>AP-O405-SS-PREM-5Y</t>
  </si>
  <si>
    <t>O-405 Tri-Band 2x2:2 802.11be (WiFi 7) outdoor access point with 10Gbps SFP+, 5Gbps Ethernet, and internal antennas with a 5 year cognitive on-premises management subscription</t>
  </si>
  <si>
    <t>AP-O405-SS-3Y</t>
  </si>
  <si>
    <t>O-405 Tri-Band 2x2:2 802.11be (WiFi 7) outdoor access point with 10Gbps SFP+, 5Gbps Ethernet, and internal antennas with a 3 year cognitive cloud management subscription</t>
  </si>
  <si>
    <t>AP-O405-SS-PREM-3Y</t>
  </si>
  <si>
    <t>O-405 Tri-Band 2x2:2 802.11be (WiFi 7) outdoor access point with 10Gbps SFP+, 5Gbps Ethernet, and internal antennas with a 3 year cognitive on-premises management subscription</t>
  </si>
  <si>
    <t>AP-O405</t>
  </si>
  <si>
    <t>O-405 Tri-Band 2x2:2 802.11be (WiFi 7) outdoor access point with 10Gbps SFP+, 5Gbps Ethernet, and internal antennas</t>
  </si>
  <si>
    <t>AP-O405E-SS-5Y</t>
  </si>
  <si>
    <t>O-405E Tri-Band 2x2:2 802.11be (WiFi 7) outdoor access point with 10Gbps SFP+, 5Gbps Ethernet, and external antenna connectors with a 5 year cognitive cloud management subscription</t>
  </si>
  <si>
    <t>AP-O405E-SS-PREM-5Y</t>
  </si>
  <si>
    <t>O-405E Tri-Band 2x2:2 802.11be (WiFi 7) outdoor access point with 10Gbps SFP+, 5Gbps Ethernet, and external antenna connectors with a 5 year cognitive on-premises management subscription</t>
  </si>
  <si>
    <t>AP-O405E-SS-3Y</t>
  </si>
  <si>
    <t>O-405E Tri-Band 2x2:2 802.11be (WiFi 7) outdoor access point with 10Gbps SFP+, 5Gbps Ethernet, and external antenna connectors with a 3 year cognitive cloud management subscription</t>
  </si>
  <si>
    <t>AP-O405E-SS-PREM-3Y</t>
  </si>
  <si>
    <t>O-405E Tri-Band 2x2:2 802.11be (WiFi 7) outdoor access point with 10Gbps SFP+, 5Gbps Ethernet, and external antenna connectors with a 3 year cognitive on-premises management subscription</t>
  </si>
  <si>
    <t>AP-O405E</t>
  </si>
  <si>
    <t>O-405E Tri-Band 2x2:2 802.11be (WiFi 7) outdoor access point with 10Gbps SFP+, 5Gbps Ethernet, and external antenna connectors</t>
  </si>
  <si>
    <t>DCA-NDR-STR</t>
  </si>
  <si>
    <t>Storage unit for DCA-NDR-S40 appliance. requires HW support. No license</t>
  </si>
  <si>
    <t>DCA-NDR-S40</t>
  </si>
  <si>
    <t>ASP Sensor Physical Appliance, up to 40Gb/sec BW, requires HW support. No license</t>
  </si>
  <si>
    <t>DCA-NDR-NB10X</t>
  </si>
  <si>
    <t>DCA-NDR-CCX</t>
  </si>
  <si>
    <t>ASP Central Console Physical Appliance, requires HW support. No license</t>
  </si>
  <si>
    <t>SS-NDR-NB10X-1M</t>
  </si>
  <si>
    <t>ASP Nucleus Subscription License for 1-Month, up to 10 Gb/sec BW, A-Care Support</t>
  </si>
  <si>
    <t>SS-NDR-S40-1M</t>
  </si>
  <si>
    <t>Customer Specific Only: NDR Sensor Right To Use Software License for up to 40Gb/sec BW</t>
  </si>
  <si>
    <t>SVC-DCA-NDR-STR-1M</t>
  </si>
  <si>
    <t>ASP: NBD Hardware Replacement/Same Day Ship for STR</t>
  </si>
  <si>
    <t>SVC-DCA-NDR-S40-1M</t>
  </si>
  <si>
    <t>ASP: NBD Hardware Replacement/Same Day Ship for 40Gb Sensor</t>
  </si>
  <si>
    <t>SVC-DCA-NDR-NB10X-1M-NB</t>
  </si>
  <si>
    <t>SVE-S-PF-UCW-BASE-TA-R1</t>
  </si>
  <si>
    <t>Cognitive Wireless Implementation - Tunnel Mode Base Package for one Site with 50 APs (Max APs: 5000) R1</t>
  </si>
  <si>
    <t>SVE-S-PF-UCW-BASE-BR-R1</t>
  </si>
  <si>
    <t>Cognitive Wireless Implementation - Bridged Mode Base Package with 50 APs (Max APs: 1000) R1</t>
  </si>
  <si>
    <t>SVE-S-PF-UCW-BASE-TA-R2</t>
  </si>
  <si>
    <t>Cognitive Wireless Implementation - Tunnel Mode Base Package for one Site with 50 APs (Max APs: 5000) R2</t>
  </si>
  <si>
    <t>SVE-S-PF-UCW-BASE-BR-R2</t>
  </si>
  <si>
    <t>Cognitive Wireless Implementation - Bridged Mode Base Package with 50 APs (Max APs: 1000) R2</t>
  </si>
  <si>
    <t>SVE-S-PF-UCW-BASE-TA-R3</t>
  </si>
  <si>
    <t>Cognitive Wireless Implementation - Tunnel Mode Base Package for one Site with 50 APs (Max APs: 5000) R3</t>
  </si>
  <si>
    <t>SVE-S-PF-UCW-BASE-BR-R3</t>
  </si>
  <si>
    <t>Cognitive Wireless Implementation - Bridged Mode Base Package with 50 APs (Max APs: 1000) R3</t>
  </si>
  <si>
    <t>SVE-S-PF-UCW-ADD-SITE-R1</t>
  </si>
  <si>
    <t>Cognitive Wireless Implementation - WLAN Site Deployment Add-On for Tunnel Base SKU (Max Sites: 10) R1</t>
  </si>
  <si>
    <t>SVE-S-PF-UCW-ADD-50AP-R1</t>
  </si>
  <si>
    <t>Cognitive Wireless Implementation - WLAN 50 APs Deployment Add-On R1</t>
  </si>
  <si>
    <t>SVE-S-PF-UCW-ADD-SITE-R2</t>
  </si>
  <si>
    <t>Cognitive Wireless Implementation - WLAN Site Deployment Add-On for Tunnel Base SKU (Max Sites: 10) R2</t>
  </si>
  <si>
    <t>SVE-S-PF-UCW-ADD-50AP-R2</t>
  </si>
  <si>
    <t>Cognitive Wireless Implementation - WLAN 50 APs Deployment Add-On R2</t>
  </si>
  <si>
    <t>SVE-S-PF-UCW-ADD-10AP-R1</t>
  </si>
  <si>
    <t>Cognitive Wireless Implementation - WLAN 10 APs Deployment Add-On R1</t>
  </si>
  <si>
    <t>SVE-S-PF-UCW-ADD-SITE-R3</t>
  </si>
  <si>
    <t>Cognitive Wireless Implementation - WLAN Site Deployment Add-On for Tunnel Base SKU (Max Sites: 10) R3</t>
  </si>
  <si>
    <t>SVE-S-PF-UCW-ADD-10AP-R2</t>
  </si>
  <si>
    <t>Cognitive Wireless Implementation - WLAN 10 APs Deployment Add-On R2</t>
  </si>
  <si>
    <t>SVE-S-PF-UCW-ADD-50AP-R3</t>
  </si>
  <si>
    <t>Cognitive Wireless Implementation - WLAN 50 APs Deployment Add-On R3</t>
  </si>
  <si>
    <t>SVE-S-PF-UCW-ADD-10AP-R3</t>
  </si>
  <si>
    <t>Cognitive Wireless Implementation - WLAN 10 APs Deployment Add-On R3</t>
  </si>
  <si>
    <t>SVE-S-PF-CIP-ADD-DTWIN-R1</t>
  </si>
  <si>
    <t>CI Pipeline Digital Twin and Validation testing deployment Add-On, [SVE-S-PF-CIP-BASE-R1] SKU purchase reqd., Region R1</t>
  </si>
  <si>
    <t>SVE-S-PF-CIP-ADD-DTWIN-R2</t>
  </si>
  <si>
    <t>CI Pipeline Digital Twin and Validation testing deployment Add-On, [SVE-S-PF-CIP-BASE-R2] SKU purchase reqd., Region R2</t>
  </si>
  <si>
    <t>SVE-S-PF-CIP-ADD-DTWIN-R3</t>
  </si>
  <si>
    <t>CI Pipeline Digital Twin and Validation testing deployment Add-On, [SVE-S-PF-CIP-BASE-R3] SKU purchase reqd., Region R3</t>
  </si>
  <si>
    <t>SVE-S-PF-CIP-ADD-IBLOX-R1</t>
  </si>
  <si>
    <t>CI Pipeline Infoblox Integration deployment Add-On, [SVE-S-PF-CIP-BASE-R1] SKU purchase reqd., Region R1</t>
  </si>
  <si>
    <t>SVE-S-PF-CIP-ADD-IBLOX-R2</t>
  </si>
  <si>
    <t>CI Pipeline Infoblox Integration deployment Add-On, [SVE-S-PF-CIP-BASE-R2] SKU purchase reqd., Region R2</t>
  </si>
  <si>
    <t>SVE-S-PF-CIP-ADD-IBLOX-R3</t>
  </si>
  <si>
    <t>CI Pipeline Infoblox Integration deployment Add-On, [SVE-S-PF-CIP-BASE-R3] SKU purchase reqd., Region R3</t>
  </si>
  <si>
    <t>SVE-S-PF-CIP-ADD-NBOX-R1</t>
  </si>
  <si>
    <t>CI Pipeline Netbox Integration deployment Add-On, [SVE-S-PF-CIP-BASE-R1] SKU purchase reqd., Region R1</t>
  </si>
  <si>
    <t>SVE-S-PF-CIP-ADD-NBOX-R2</t>
  </si>
  <si>
    <t>CI Pipeline Netbox Integration deployment Add-On, [SVE-S-PF-CIP-BASE-R2] SKU purchase reqd., Region R2</t>
  </si>
  <si>
    <t>SVE-S-PF-CIP-ADD-NBOX-R3</t>
  </si>
  <si>
    <t>CI Pipeline Netbox Integration deployment Add-On, [SVE-S-PF-CIP-BASE-R3] SKU purchase reqd., Region R3</t>
  </si>
  <si>
    <t>SVE-S-PF-CIP-ADD-SNOW-R1</t>
  </si>
  <si>
    <t>CI Pipeline ServiceNow Integration deployment Add-On, [SVE-S-PF-CIP-BASE-R1] SKU purchase reqd., Region R1</t>
  </si>
  <si>
    <t>SVE-S-PF-CIP-ADD-SNOW-R2</t>
  </si>
  <si>
    <t>CI Pipeline ServiceNow Integration deployment Add-On, [SVE-S-PF-CIP-BASE-R2] SKU purchase reqd., Region R2</t>
  </si>
  <si>
    <t>SVE-S-PF-CIP-ADD-SNOW-R3</t>
  </si>
  <si>
    <t>CI Pipeline ServiceNow Integration deployment Add-On, [SVE-S-PF-CIP-BASE-R3] SKU purchase reqd., Region R3</t>
  </si>
  <si>
    <t>SVE-S-PF-CIP-BASE-R1</t>
  </si>
  <si>
    <t>CI Pipeline Base deployment, region R1</t>
  </si>
  <si>
    <t>SVE-S-PF-CIP-BASE-R2</t>
  </si>
  <si>
    <t>CI Pipeline Base deployment, region R2</t>
  </si>
  <si>
    <t>SVE-S-PF-CIP-BASE-R3</t>
  </si>
  <si>
    <t>CI Pipeline Base deployment, region R3</t>
  </si>
  <si>
    <t>SVE-S-PF-WAN-BASE-R1</t>
  </si>
  <si>
    <t>WAN Routing Base Deployment R1</t>
  </si>
  <si>
    <t>SVE-S-PF-WAN-BASE-R2</t>
  </si>
  <si>
    <t>WAN Routing Base Deployment R2</t>
  </si>
  <si>
    <t>SVE-S-PF-WAN-BASE-R3</t>
  </si>
  <si>
    <t>WAN Routing Base Deployment R3</t>
  </si>
  <si>
    <t>SVE-S-PF-WAN-NODE-R1</t>
  </si>
  <si>
    <t>WAN Routing Deployment Service Node [SVE-S-PF-WAN-BASE-R1] SKU purchase reqd., R1</t>
  </si>
  <si>
    <t>SVE-S-PF-WAN-NODE-R2</t>
  </si>
  <si>
    <t>WAN Routing Deployment Service Node [SVE-S-PF-WAN-BASE-R2] SKU purchase reqd., R2</t>
  </si>
  <si>
    <t>SVE-S-PF-WAN-NODE-R3</t>
  </si>
  <si>
    <t>WAN Routing Deployment Service Node [SVE-S-PF-WAN-BASE-R3] SKU purchase reqd., R3</t>
  </si>
  <si>
    <t>SVE-S-PF-UCD-ADD-L3-R1</t>
  </si>
  <si>
    <t>UCN DC Layer 3 Leaf and Spine Add-On, [SVE-S-PF-UCD-BASE-XX-R1] SKU purchase reqd., Region 1</t>
  </si>
  <si>
    <t>SVE-S-PF-UCD-ADD-L3-R2</t>
  </si>
  <si>
    <t>UCN DC Layer 3 Leaf and Spine Add-On, [SVE-S-PF-UCD-BASE-XX-R2] SKU purchase reqd., Region 2</t>
  </si>
  <si>
    <t>SVE-S-PF-UCD-ADD-L3-R3</t>
  </si>
  <si>
    <t>UCN DC Layer 3 Leaf and Spine Add-On, [SVE-S-PF-UCD-BASE-XX-R3] SKU purchase reqd., Region 3</t>
  </si>
  <si>
    <t>SVE-S-PF-UCD-ADD-L2-R1</t>
  </si>
  <si>
    <t>UCN DC Layer 2 Leaf and Spine Add-On, [SVE-S-PF-UCD-BASE-XX-R1] SKU purchase reqd., Region 1</t>
  </si>
  <si>
    <t>SVE-S-PF-UCD-ADD-L2-R2</t>
  </si>
  <si>
    <t>UCN DC Layer 2 Leaf and Spine Add-On, [SVE-S-PF-UCD-BASE-XX-R2] SKU purchase reqd., Region 2</t>
  </si>
  <si>
    <t>SVE-S-PF-UCD-ADD-L2-R3</t>
  </si>
  <si>
    <t>UCN DC Layer 2 Leaf and Spine Add-On, [SVE-S-PF-UCD-BASE-XX-R3] SKU purchase reqd., Region 3</t>
  </si>
  <si>
    <t>SVE-S-PF-UCD-ADD-INTER-R1</t>
  </si>
  <si>
    <t>UCN DC Interconnect Add-On, [SVE-S-PF-UCD-BASE-XX-R1] SKU purchase reqd., Region 1</t>
  </si>
  <si>
    <t>SVE-S-PF-UCD-ADD-INTER-R2</t>
  </si>
  <si>
    <t>UCN DC Interconnect Add-On, [SVE-S-PF-UCD-BASE-XX-R2] SKU purchase reqd., Region 2</t>
  </si>
  <si>
    <t>SVE-S-PF-UCD-ADD-INTER-R3</t>
  </si>
  <si>
    <t>UCN DC Interconnect Add-On, [SVE-S-PF-UCD-BASE-XX-R3] SKU purchase reqd., Region 3</t>
  </si>
  <si>
    <t>SVE-S-PF-UCD-ADD-OOB-R1</t>
  </si>
  <si>
    <t>UCN DC OOB Add-On, [SVE-S-PF-UCD-BASE-XX-R1] SKU purchase reqd., Region 1</t>
  </si>
  <si>
    <t>SVE-S-PF-UCD-ADD-OOB-R2</t>
  </si>
  <si>
    <t>UCN DC OOB Add-On, [SVE-S-PF-UCD-BASE-XX-R2] SKU purchase reqd., Region 2</t>
  </si>
  <si>
    <t>SVE-S-PF-UCD-ADD-OOB-R3</t>
  </si>
  <si>
    <t>UCN DC OOB Add-On, [SVE-S-PF-UCD-BASE-XX-R3] SKU purchase reqd., Region 3</t>
  </si>
  <si>
    <t>SVE-S-PF-UCC-ADD-L3-R1</t>
  </si>
  <si>
    <t>Cognitive Campus Wired Layer 3 Leaf and Spine Add-On, [SVE-S-PF-UCC-BASE-XX-R1] SKU purchase reqd., Region 1</t>
  </si>
  <si>
    <t>SVE-S-PF-UCC-ADD-L3-R2</t>
  </si>
  <si>
    <t>Cognitive Campus Wired Layer 3 Leaf and Spine Add-On, [SVE-S-PF-UCC-BASE-XX-R2] SKU purchase reqd., Region 2</t>
  </si>
  <si>
    <t>SVE-S-PF-UCC-ADD-L3-R3</t>
  </si>
  <si>
    <t>Cognitive Campus Wired Layer 3 Leaf and Spine Add-On, [SVE-S-PF-UCC-BASE-XX-R3] SKU purchase reqd., Region 3</t>
  </si>
  <si>
    <t>SVE-S-PF-UCC-ADD-L2-R1</t>
  </si>
  <si>
    <t>Cognitive Campus Wired Layer 2 Leaf and Spine Add-On, [SVE-S-PF-UCC-BASE-XX-R1] SKU purchase reqd., Region 1</t>
  </si>
  <si>
    <t>SVE-S-PF-UCC-ADD-L2-R2</t>
  </si>
  <si>
    <t>Cognitive Campus Wired Layer 2 Leaf and Spine Add-On, [SVE-S-PF-UCC-BASE-XX-R2] SKU purchase reqd., Region 2</t>
  </si>
  <si>
    <t>SVE-S-PF-UCC-ADD-L2-R3</t>
  </si>
  <si>
    <t>Cognitive Campus Wired Layer 2 Leaf and Spine Add-On, [SVE-S-PF-UCC-BASE-XX-R3] SKU purchase reqd., Region 3</t>
  </si>
  <si>
    <t>SVE-S-PF-UCC-ADD-INTER-R1</t>
  </si>
  <si>
    <t>Cognitive Campus Wired Interconnect Add-On, [SVE-S-PF-UCC-BASE-XX-R1] SKU purchase reqd., Region 1</t>
  </si>
  <si>
    <t>SVE-S-PF-UCC-ADD-INTER-R2</t>
  </si>
  <si>
    <t>Cognitive Campus Wired Interconnect Add-On, [SVE-S-PF-UCC-BASE-XX-R2] SKU purchase reqd., Region 2</t>
  </si>
  <si>
    <t>SVE-S-PF-UCC-ADD-INTER-R3</t>
  </si>
  <si>
    <t>Cognitive Campus Wired Interconnect Add-On, [SVE-S-PF-UCC-BASE-XX-R3] SKU purchase reqd., Region 3</t>
  </si>
  <si>
    <t>SVE-S-PF-UCC-ADD-OOB-R1</t>
  </si>
  <si>
    <t>Cognitive Campus Wired OOB Add-On, [SVE-S-PF-UCC-BASE-XX-R1] SKU purchase reqd., Region 1</t>
  </si>
  <si>
    <t>SVE-S-PF-UCC-ADD-OOB-R2</t>
  </si>
  <si>
    <t>Cognitive Campus Wired OOB Add-On, [SVE-S-PF-UCC-BASE-XX-R2] SKU purchase reqd., Region 2</t>
  </si>
  <si>
    <t>SVE-S-PF-UCC-ADD-OOB-R3</t>
  </si>
  <si>
    <t>Cognitive Campus Wired OOB Add-On, [SVE-S-PF-UCC-BASE-XX-R3] SKU purchase reqd., Region 3</t>
  </si>
  <si>
    <t>SVE-S-PF-UCW-50AP-R1</t>
  </si>
  <si>
    <t>Cognitive Campus WLAN Remote Deployment add-on service for up to 50 Access Points. [SVE-S-PF-UCW-BASE-R1] SKU purchase reqd.,Region 1</t>
  </si>
  <si>
    <t>SVE-S-PF-UCW-50AP-R2</t>
  </si>
  <si>
    <t>Cognitive Campus WLAN Remote Deployment add-on service for up to 50 Access Points. [SVE-S-PF-UCW-BASE-R2] SKU purchase reqd.,Region 2</t>
  </si>
  <si>
    <t>SVE-S-PF-UCW-50AP-R3</t>
  </si>
  <si>
    <t>Cognitive Campus WLAN Remote Deployment add-on service for up to 50 Access Points. [SVE-S-PF-UCW-BASE-R3] SKU purchase reqd.,Region 3</t>
  </si>
  <si>
    <t>SVE-S-PF-VCL-BASE-STD-R1</t>
  </si>
  <si>
    <t>VeloCloud Implementation - Standard Base Package, Region 1</t>
  </si>
  <si>
    <t>SVE-S-PF-VCL-BASE-ADV-R1</t>
  </si>
  <si>
    <t>VeloCloud Implementation - Advanced Base Package, Region 1</t>
  </si>
  <si>
    <t>SVE-S-PF-VCL-ADD-NSD-R1</t>
  </si>
  <si>
    <t>VeloCloud Implementation - Cloud Gateway to non-SD-WAN Destination AddOn, [SVE-S-PF-VCL-BASE-XX-R1] SKU purchase reqd., Region 1</t>
  </si>
  <si>
    <t>SVE-S-PF-VCL-ADD-ZSC-R1</t>
  </si>
  <si>
    <t>VeloCloud Implementation - ZScaler Cloud Security Services AddOn, [SVE-S-PF-VCL-BASE-XX-R1] SKU purchase reqd., Region 1</t>
  </si>
  <si>
    <t>SVE-S-PF-VCL-ADD-SEG-R1</t>
  </si>
  <si>
    <t>VeloCloud Implementation - Additional Segmentation AddOn (1/QTY, Max QTY: 10), [SVE-S-PF-VCL-BASE-XX-R1] SKU purchase reqd., Region 1</t>
  </si>
  <si>
    <t>SVE-S-PF-VCL-ADD-PRO-R1</t>
  </si>
  <si>
    <t>VeloCloud Implementation - Additional Profile AddOn (1/QTY, Max QTY: 10), [SVE-S-PF-VCL-BASE-XX-R1] SKU purchase reqd., Region 1</t>
  </si>
  <si>
    <t>SVE-S-PF-VCL-ADD-EDG-R1</t>
  </si>
  <si>
    <t>VeloCloud Implementation - Site Deployment AddOn (Max QTY: 100), [SVE-S-PF-VCL-BASE-XX-R1] SKU purchase reqd., Region 1</t>
  </si>
  <si>
    <t>SVE-S-PF-VCL-ADD-BSP-R1</t>
  </si>
  <si>
    <t>VeloCloud Implementation - Advanced Business/Security Policy Rules AddOn (10/QTY, Max QTY: 10), [SVE-S-PF-VCL-BASE-XX-R1] SKU purchase reqd., Region 1</t>
  </si>
  <si>
    <t>SVE-S-PF-VCL-ADD-BPO-R1</t>
  </si>
  <si>
    <t>VeloCloud Implementation - Standard Business Policy Rules AddOn (30/QTY, Max QTY: 3), [SVE-S-PF-VCL-BASE-XX-R1] SKU purchase reqd., Region 1</t>
  </si>
  <si>
    <t>SVE-S-CS-MAS</t>
  </si>
  <si>
    <t>Arista Modern Operating Model Assurance Services - Custom (Requires scoping by PS)</t>
  </si>
  <si>
    <t>SVE-TRAIN-AUTOFDN-ILT</t>
  </si>
  <si>
    <t>5 Day ILT, Automation Foundations track. Incl. 40 hrs. lab.</t>
  </si>
  <si>
    <t>SVE-TRAIN-RCT</t>
  </si>
  <si>
    <t>1 Attempt at recertification for an Associate, Specialist, or Professional Exam</t>
  </si>
  <si>
    <t>SVE-TRAIN-PRO-EXAM</t>
  </si>
  <si>
    <t>Exam attempt for any one Professional Exam</t>
  </si>
  <si>
    <t>SVE-TRAIN-QEXAM</t>
  </si>
  <si>
    <t>Exam attempt to qualify for Expert (L7) Exam</t>
  </si>
  <si>
    <t>SVC-7282R4-32PE-1M-2H</t>
  </si>
  <si>
    <t>1-Month A-Care Software &amp; 24x7x2 Hour Hardware Replacement for 7282R4-32PE</t>
  </si>
  <si>
    <t>SVC-7282R4-32PE-1M-4H</t>
  </si>
  <si>
    <t>1-Month A-Care Software &amp; 24x7x4 Hour Hardware Replacement for 7282R4-32PE</t>
  </si>
  <si>
    <t>SVC-7282R4-32PE-1M-NB</t>
  </si>
  <si>
    <t>1 Month A-Care Software &amp; NBD Hardware Replacement/Same Day Ship for 7282R4-32PE</t>
  </si>
  <si>
    <t>SVC-7282R4-64QC-10PE-1M-2H</t>
  </si>
  <si>
    <t>1-Month A-Care Software &amp; 24x7x2 Hour Hardware Replacement for 7282R4-64QC-10PE</t>
  </si>
  <si>
    <t>SVC-7282R4-64QC-10PE-1M-4H</t>
  </si>
  <si>
    <t>1-Month A-Care Software &amp; 24x7x4 Hour Hardware Replacement for 7282R4-64QC-10PE</t>
  </si>
  <si>
    <t>SVC-7282R4-64QC-10PE-1M-NB</t>
  </si>
  <si>
    <t>1 Month A-Care Software &amp; NBD Hardware Replacement/Same Day Ship for 7282R4-64QC-10PE</t>
  </si>
  <si>
    <t>SVC-7282R4K-32PE-1M-2H</t>
  </si>
  <si>
    <t>1-Month A-Care Software &amp; 24x7x2 Hour Hardware Replacement for 7282R4K-32PE</t>
  </si>
  <si>
    <t>SVC-7282R4K-32PE-1M-4H</t>
  </si>
  <si>
    <t>1-Month A-Care Software &amp; 24x7x4 Hour Hardware Replacement for 7282R4K-32PE</t>
  </si>
  <si>
    <t>SVC-7282R4K-32PE-1M-NB</t>
  </si>
  <si>
    <t>1 Month A-Care Software &amp; NBD Hardware Replacement/Same Day Ship for 7282R4K-32PE</t>
  </si>
  <si>
    <t>SVC-7282R4K-64QC-10PE-1M-2H</t>
  </si>
  <si>
    <t>1-Month A-Care Software &amp; 24x7x2 Hour Hardware Replacement for 7282R4K-64QC-10PE</t>
  </si>
  <si>
    <t>SVC-7282R4K-64QC-10PE-1M-4H</t>
  </si>
  <si>
    <t>1-Month A-Care Software &amp; 24x7x4 Hour Hardware Replacement for 7282R4K-64QC-10PE</t>
  </si>
  <si>
    <t>SVC-7282R4K-64QC-10PE-1M-NB</t>
  </si>
  <si>
    <t>1 Month A-Care Software &amp; NBD Hardware Replacement/Same Day Ship for 7282R4K-64QC-10PE</t>
  </si>
  <si>
    <t>SVC-710XP-28TNH-1M-2H</t>
  </si>
  <si>
    <t>1-Month A-Care Software &amp; 24x7x2 Hour Hardware Replacement for 710XP-28TNH series</t>
  </si>
  <si>
    <t>SVC-710XP-28TNH-1M-4H</t>
  </si>
  <si>
    <t>1-Month A-Care Software &amp; 24x7x4 Hour Hardware Replacement for 710XP-28TNH series</t>
  </si>
  <si>
    <t>SVC-710XP-28TNH-1M-NB</t>
  </si>
  <si>
    <t>1-Month A-Care Software &amp; NBD Hardware Replacement/Same Day Ship for 710XP-28TNH series</t>
  </si>
  <si>
    <t>SVC-710XP-28TNH-1M-RB</t>
  </si>
  <si>
    <t>1-Month A-Care Software Support and HW Replacement for 710XP-28TNH series</t>
  </si>
  <si>
    <t>SVC-720DF-48Y-HVDC-1M-2H</t>
  </si>
  <si>
    <t>1-Month A-Care Software &amp; 24x7x2 Hour Hardware Replacement for CCS-720DF-48Y-HVDC series</t>
  </si>
  <si>
    <t>SVC-720DF-48Y-HVDC-1M-4H</t>
  </si>
  <si>
    <t>1-Month A-Care Software &amp; 24x7x4 Hour Hardware Replacement for CCS-720DF-48Y-HVDC series</t>
  </si>
  <si>
    <t>SVC-720DF-48Y-HVDC-1M-NB</t>
  </si>
  <si>
    <t>1-Month A-Care Software &amp; NBD Hardware Replacement/Same Day Ship for CCS-720DF-48Y-HVDC series</t>
  </si>
  <si>
    <t>SVC-720DF-48Y-HVDC-1M-RB</t>
  </si>
  <si>
    <t>1-Month A-Care Software Support and HW Replacement for CCS-720DF-48Y-HVDC series</t>
  </si>
  <si>
    <t>SVC-720DT-48S-DC-1M-2H</t>
  </si>
  <si>
    <t>1-Month A-Care Software &amp; 24x7x2 Hour Hardware Replacement for CCS-720DT-48S-DC</t>
  </si>
  <si>
    <t>SVC-720DT-48S-DC-1M-4H</t>
  </si>
  <si>
    <t>1-Month A-Care Software &amp; 24x7x4 Hour Hardware Replacement for CCS-720DT-48S-DC</t>
  </si>
  <si>
    <t>SVC-720DT-48S-DC-1M-NB</t>
  </si>
  <si>
    <t>1-Month A-Care Software &amp; NBD Hardware Replacement/Same Day Ship for CCS-720DT-48S-DC</t>
  </si>
  <si>
    <t>SVC-720DT-48S-DC-1M-RB</t>
  </si>
  <si>
    <t>1-Month A-Care Software Support and HW Replacement for CCS-720DT-48S-DC</t>
  </si>
  <si>
    <t>SVC-720DT-48S-DC-O3-1M-2H</t>
  </si>
  <si>
    <t>1-Month A-Care Software &amp; 24x7x2 Hour Hardware Replacement for CCS-720DT-48S-DC-RV3</t>
  </si>
  <si>
    <t>SVC-720DT-48S-DC-O3-1M-4H</t>
  </si>
  <si>
    <t>1-Month A-Care Software &amp; 24x7x4 Hour Hardware Replacement for CCS-720DT-48S-DC-RV3</t>
  </si>
  <si>
    <t>SVC-720DT-48S-DC-O3-1M-NB</t>
  </si>
  <si>
    <t>1-Month A-Care Software &amp; NBD Hardware Replacement/Same Day Ship for CCS-720DT-48S-DC-RV3</t>
  </si>
  <si>
    <t>SVC-720DT-48S-DC-O3-1M-RB</t>
  </si>
  <si>
    <t>1-Month A-Care Software Support and HW Replacement for CCS-720DT-48S-DC-RV3</t>
  </si>
  <si>
    <t>SVC-720DT-48S-MGX-1M-2H</t>
  </si>
  <si>
    <t>1-Month A-Care Software &amp; 24x7x2 Hour Hardware Replacement for CCS-720DT-48S-MGX</t>
  </si>
  <si>
    <t>SVC-720DT-48S-MGX-1M-4H</t>
  </si>
  <si>
    <t>1-Month A-Care Software &amp; 24x7x4 Hour Hardware Replacement for CCS-720DT-48S-MGX</t>
  </si>
  <si>
    <t>SVC-720DT-48S-MGX-1M-NB</t>
  </si>
  <si>
    <t>1-Month A-Care Software &amp; NBD Hardware Replacement/Same Day Ship for CCS-720DT-48S-MGX</t>
  </si>
  <si>
    <t>SVC-720DT-48S-M+MGX-1M-RB</t>
  </si>
  <si>
    <t>1-Month A-Care Software Support and HW Replacement for CCS-720DT-48S-MGX</t>
  </si>
  <si>
    <t>OSV-7282R4-32PE-1M-4H</t>
  </si>
  <si>
    <t>Onsite Service: 1-Month A-Care Software &amp; 24x7x4 Hour Hardware Replacement for 7282R4-32PE</t>
  </si>
  <si>
    <t>OSV-7282R4-32PE-1M-NB</t>
  </si>
  <si>
    <t>Onsite Service: 1 Month A-Care Software &amp; NBD Hardware Replacement/Same Day Ship for 7282R4-32PE</t>
  </si>
  <si>
    <t>OSV-7282R4K-32PE-1M-4H</t>
  </si>
  <si>
    <t>Onsite Service: 1-Month A-Care Software &amp; 24x7x4 Hour Hardware Replacement for 7282R4K-32PE</t>
  </si>
  <si>
    <t>OSV-7282R4K-32PE-1M-NB</t>
  </si>
  <si>
    <t>Onsite Service: 1 Month A-Care Software &amp; NBD Hardware Replacement/Same Day Ship for 7282R4K-32PE</t>
  </si>
  <si>
    <t>OSV-7282R4-64QC-10PE-1M-4H</t>
  </si>
  <si>
    <t>Onsite Service: 1-Month A-Care Software &amp; 24x7x4 Hour Hardware Replacement for 7282R4-64QC-10PE</t>
  </si>
  <si>
    <t>OSV-7282R4-64QC-10PE-1M-NB</t>
  </si>
  <si>
    <t>Onsite Service: 1 Month A-Care Software &amp; NBD Hardware Replacement/Same Day Ship for 7282R4-64QC-10PE</t>
  </si>
  <si>
    <t>OSV-7282R4K-64QC-10PE-1M-4H</t>
  </si>
  <si>
    <t>Onsite Service: 1-Month A-Care Software &amp; 24x7x4 Hour Hardware Replacement for 7282R4K-64QC-10PE</t>
  </si>
  <si>
    <t>OSV-7282R4K-64QC-10PE-1M-NB</t>
  </si>
  <si>
    <t>Onsite Service: 1 Month A-Care Software &amp; NBD Hardware Replacement/Same Day Ship for 7282R4K-64QC-10PE</t>
  </si>
  <si>
    <t>OSV-710XP-28TNH-1M-4H</t>
  </si>
  <si>
    <t>Onsite Service: 1-Month A-Care Software &amp; 24x7x4 Hour Hardware Replacement for 710XP-28TNH series</t>
  </si>
  <si>
    <t>OSV-710XP-28TNH-1M-NB</t>
  </si>
  <si>
    <t>Onsite Service: 1-Month A-Care Software &amp; NBD Hardware Replacement/Same Day Ship for 710XP-28TNH series</t>
  </si>
  <si>
    <t>OSV-720XP-48TXH-2C-5G-S-1M-4H</t>
  </si>
  <si>
    <t>Onsite Service: 1-Month A-Care Software &amp; 24x7x4 Hour Hardware Replacement for CCS-720XP-48TXH-2C-S-5G</t>
  </si>
  <si>
    <t>OSV-720XP-48TXH-2C-S-5G-1M-NB</t>
  </si>
  <si>
    <t>Onsite Service: 1 Month A-Care Software &amp; NBD Hardware Replacement/Same Day Ship for CCS-720XP-48TXH-2C-S-5G</t>
  </si>
  <si>
    <t>OSV-720DF-48Y-HVDC-1M-4H</t>
  </si>
  <si>
    <t>Onsite Service: 1-Month A-Care Software &amp; 24x7x4 Hour Hardware Replacement for CCS-720DF-48Y-HVDC series</t>
  </si>
  <si>
    <t>OSV-720DF-48Y-HVDC-1M-NB</t>
  </si>
  <si>
    <t>Onsite Service: 1 Month A-Care Software &amp; NBD Hardware Replacement/Same Day Ship for CCS-720DF-48Y-HVDC series</t>
  </si>
  <si>
    <t>SVC-SDE-EDG-REINS</t>
  </si>
  <si>
    <t>A-Care Service Reinstatement fee for Arista VeloCloud SD-WAN Edge appliance</t>
  </si>
  <si>
    <t>DCA-450-CV</t>
  </si>
  <si>
    <t>1 unit CloudVision Physical Appliance, Model 450. Large Scale Compute Resource. 10G. Includes server sw. No device licenses.</t>
  </si>
  <si>
    <t>DCA-400-CV</t>
  </si>
  <si>
    <t>1 unit CloudVision Physical Appliance, Model 400. Standard Compute Resource. 10G. Includes server sw. No device licenses.</t>
  </si>
  <si>
    <t>SVC-DCA-450-CV-1M-NB</t>
  </si>
  <si>
    <t>1 Month A-Care Software &amp; NBD Hardware Replacement/Same Day Ship for DCA-450-CV Appliance</t>
  </si>
  <si>
    <t>SVC-DCA-400-CV-1M-NB</t>
  </si>
  <si>
    <t>1 Month A-Care Software &amp; NBD Hardware Replacement/Same Day Ship for DCA-400-CV Appliance</t>
  </si>
  <si>
    <t>DCS-7909R5-BND</t>
  </si>
  <si>
    <t>Arista 7909R Chassis bundle. Includes 7909 chassis, 1x PCM, 9x 10kW PS, 3x power cables, 5x 7909FM-R5, 1x 7909-SUP-EL (Rack Kit)</t>
  </si>
  <si>
    <t>DCS-7909R5-BND-2S</t>
  </si>
  <si>
    <t>Arista 7909R Chassis bundle. Includes 7909 chassis, 1x PCM, 9x 10kW PS, 3x power cables, 5x 7909FM-R5, 2x 7909-SUP-EL (Rack Kit)</t>
  </si>
  <si>
    <t>DCS-7909R5-BND-12PS</t>
  </si>
  <si>
    <t>Arista 7909R Chassis bundle. Includes 7909 chassis, 1x PCM, 12x 10kW PS, 4x power cables, 5x 7909FM-R5, 1x 7909-SUP-EL (Rack Kit)</t>
  </si>
  <si>
    <t>DCS-7909R5-BND-2S-12PS</t>
  </si>
  <si>
    <t>Arista 7909R Chassis bundle. Includes 7909 chassis, 1x PCM, 12x 10kW PS, 4x power cables, 5x 7909FM-R5, 2x 7909-SUP-EL (Rack Kit)</t>
  </si>
  <si>
    <t>DCS-7909R5-BND-FLX</t>
  </si>
  <si>
    <t>Arista 7909R5 Chassis bundle. Includes 7909 chassis, 1x PCM, 9x 10kW PS, 3x Power cables, 5x 7909FM-R5, 1x 7909-SUP-EL, FLX Lic (Rack Kit)</t>
  </si>
  <si>
    <t>DCS-7909R5-BND-2S-12PS-FLX</t>
  </si>
  <si>
    <t>Arista 7909R5 Chassis bundle. Includes 7909 chassis, 1x PCM, 12x 10kW PS, 4x Power cables, 5x 7909FM-R5, 2x 7909-SUP-EL, FLX Lic (Rack Kit)</t>
  </si>
  <si>
    <t>DCS-7918R5-BND</t>
  </si>
  <si>
    <t>Arista 7918R Chassis bundle. Includes 7918 chassis, 1x PCM, 12x 10kW PS, 4x power cables, 5x 7918FM-R5, 1x 7918-SUP-EL (Rack Kit)</t>
  </si>
  <si>
    <t>DCS-7918R5-BND-2S</t>
  </si>
  <si>
    <t>Arista 7918R Chassis bundle. Includes 7918 chassis, 1x PCM, 12x 10kW PS, 4x power cables, 5x 7918FM-R5, 2x 7918-SUP-EL (Rack Kit)</t>
  </si>
  <si>
    <t>DCS-7918R5-BND-24PS</t>
  </si>
  <si>
    <t>Arista 7918R Chassis bundle. Includes 7918 chassis, 1x PCM, 24x 10kW PS, 8x power cables, 5x 7918FM-R5, 1x 7918-SUP-EL (Rack Kit)</t>
  </si>
  <si>
    <t>DCS-7918R5-BND-2S-24PS</t>
  </si>
  <si>
    <t>Arista 7918R Chassis bundle. Includes 7918 chassis, 1x PCM, 24x 10kW PS, 8x power cables, 5x 7918FM-R5, 2x 7918-SUP-EL (Rack Kit)</t>
  </si>
  <si>
    <t>DCS-7918R5-BND-FLX</t>
  </si>
  <si>
    <t>Arista 7918R5 Chassis bundle. Includes 7918 chassis, 1x PCM, 12x 10kW PS, 4x Power cables, 5x 7918FM-R5, 1x 7918-SUP-EL, FLX Lic (Rack Kit)</t>
  </si>
  <si>
    <t>DCS-7918R5-BND-2S-24PS-FLX</t>
  </si>
  <si>
    <t>Arista 7918R5 Chassis bundle. Includes 7918 chassis, 1x PCM, 24x 10kW PS, 8x Power cables, 5x 7918FM-R5, 2x 7918-SUP-EL, FLX Lic (Rack Kit)</t>
  </si>
  <si>
    <t>GG-7918R5-BNDS-2S-5LC-18PS-CFG</t>
  </si>
  <si>
    <t>Google 7918R Chassis bundle. Includes 7918 chassis, 1x PCM, 5x 7900R5K-32PS-LC, 18x 10kW PS, 6x Power cords, 5x 7918FM-R5, 2x 7918-SUP-EL</t>
  </si>
  <si>
    <t>GG-7909R5-BNDS-2S-3LC-6PS-CFG</t>
  </si>
  <si>
    <t>Google 7909R Chassis bundle. Includes 7909 chassis, 1x PCM, 3x 7900R5K-32PS-LC, 6x 10kW PS, 2x Power cords, 5x 7909FM-R5, 2x 7909-SUP-EL</t>
  </si>
  <si>
    <t>DCS-7909-SUP-EL</t>
  </si>
  <si>
    <t>Supervisor module E for 7909 series chassis (spare)</t>
  </si>
  <si>
    <t>DCS-7909-SUP-EL#</t>
  </si>
  <si>
    <t>Supervisor module E for 7909 series chassis (Ships in chassis)</t>
  </si>
  <si>
    <t>DCS-7909R5-FM</t>
  </si>
  <si>
    <t>7900R5 Series Fabric Module for 7909 Chassis, required for fabric slots 1-5</t>
  </si>
  <si>
    <t>DCS-7918-SUP-EL</t>
  </si>
  <si>
    <t>Supervisor module E for 7918 series chassis (spare)</t>
  </si>
  <si>
    <t>DCS-7918-SUP-EL#</t>
  </si>
  <si>
    <t>Supervisor module E for 7918 series chassis (Ships in chassis)</t>
  </si>
  <si>
    <t>DCS-7918R5-FM</t>
  </si>
  <si>
    <t>7900R5 Series Fabric Module for 7918 Chassis, required for fabric slots 1-5 (Spare)</t>
  </si>
  <si>
    <t>DCS-7900R5-32PS-LC</t>
  </si>
  <si>
    <t>7900R5 Series 32 port 1600GbE OSFP-IHS line card (Spare)</t>
  </si>
  <si>
    <t>DCS-7900R5-32PS-LC#</t>
  </si>
  <si>
    <t>7900R5 Series 32 port 1600GbE OSFP-IHS line card (ships in Chassis)</t>
  </si>
  <si>
    <t>DCS-7900R5K-32PS-LC</t>
  </si>
  <si>
    <t>7900R5 Series 32 port 1600GbE OSFP-IHS line card, Enh. Encryption and Large Routes (spare)</t>
  </si>
  <si>
    <t>DCS-7900R5K-32PS-LC#</t>
  </si>
  <si>
    <t>7900R5 Series 32 port 1600GbE OSFP-IHS line card, Enh. Encryption and Large Routes (Ships in chassis)</t>
  </si>
  <si>
    <t>DCS-7900R5-32PRS-LC</t>
  </si>
  <si>
    <t>7900R5 Series 32 port 1600GbE OSFP-RHS line card (spare)</t>
  </si>
  <si>
    <t>DCS-7900R5-32PRS-LC#</t>
  </si>
  <si>
    <t>7900R5 Series 32 port 1600GbE OSFP-RHS line card (Ships in chassis)</t>
  </si>
  <si>
    <t>DCS-7900R5K-32PRS-LC</t>
  </si>
  <si>
    <t>7900R5 Series 32 port 1600GbE OSFP-RHS line card, Enh. Encryption and Large Routes (spare)</t>
  </si>
  <si>
    <t>DCS-7900R5K-32PRS-LC#</t>
  </si>
  <si>
    <t>GG-7900R5K-32PS-LC</t>
  </si>
  <si>
    <t>GG-7900R5K-32PS-LC#</t>
  </si>
  <si>
    <t>7900R5 Series 32 port 1600GbE OSFP-IHS line card, Enh. Encryption and Large Routes (ships in chassis)</t>
  </si>
  <si>
    <t>DCS-7808-SUP2-64GB</t>
  </si>
  <si>
    <t>Supervisor module 2 for 7804/7808 series chassis with 64GB memory (Spare)</t>
  </si>
  <si>
    <t>DCS-7808-SUP2-64GB-N</t>
  </si>
  <si>
    <t>Supervisor module 2 for 7804/7808 series chassis with 64GB memory (Secure Boot Disabled) (Spare)</t>
  </si>
  <si>
    <t>DCS-7816-SUP2-64GB</t>
  </si>
  <si>
    <t>Supervisor module 2 for 7812/7816 series chassis with 64GB memory (Spare)</t>
  </si>
  <si>
    <t>DCS-7816-SUP2-64GB-N</t>
  </si>
  <si>
    <t>Supervisor module 2 for 7812/7816 series chassis with 64GB memory (Secure Boot Disabled) (Spare)</t>
  </si>
  <si>
    <t>DCS-7800R3-48CQM2-LC</t>
  </si>
  <si>
    <t>7800R3 Series 48 port 100GbE QSFP with Enh MACSec line-card with CPU (spare)</t>
  </si>
  <si>
    <t>DCS-7800R3-48CQ2-LC</t>
  </si>
  <si>
    <t>7800R3 Series 48 port 100GbE QSFP line-card with CPU (spare)</t>
  </si>
  <si>
    <t>7800R3A Series 36 port 400GbE QSFP-DD line card with large routes and CPU (MACsec) (spare)</t>
  </si>
  <si>
    <t>7800R3A Series 36 port 400GbE QSFP-DD with Enh MACsec line card with CPU (spare)</t>
  </si>
  <si>
    <t>DCS-7282R5-32PRS-F</t>
  </si>
  <si>
    <t>Arista 7282R5, 32x1600GbE OSFP-RHS switch router, single supervisor, front to rear air, 4 x HV AC and DC</t>
  </si>
  <si>
    <t>DCS-7282R5K-64PE-F</t>
  </si>
  <si>
    <t>Arista 7282R5, 64x800GbE OSFP switch router, large routes and enh. encryption, single supervisor, front to rear air, 4 x HV AC and DC</t>
  </si>
  <si>
    <t>DCS-7282R5K-32PRS-F</t>
  </si>
  <si>
    <t>Arista 7282R5, 32x1600GbE OSFP-RHS switch router, large routes and enh. encryption, single supervisor, front to rear air, 4 x HV AC and DC</t>
  </si>
  <si>
    <t>DCS-7280R4K-32QF-32DF#</t>
  </si>
  <si>
    <t>Arista 7280R4, 32x400GbE QSFP112 and 32x400GbE QSFP-DD switch router, large routes and enh. encryption, configurable fans and psu (-F louver kit)</t>
  </si>
  <si>
    <t>DCS-7280R4K-32QF-32DF-F</t>
  </si>
  <si>
    <t>Arista 7280R4, 32x400GbE QSFP112 and 32x400GbE QSFP-DD switch router, large routes and enh. encryption, front to rear air, 2 x AC</t>
  </si>
  <si>
    <t>DCS-7280R4K-32QF-32DF-EHW-F</t>
  </si>
  <si>
    <t>DCS-7060XE7-128PE#</t>
  </si>
  <si>
    <t>Arista 7060XE7, 128 x 800GbE OSFP front panel ports, front-to-rear air, no fans, no psu</t>
  </si>
  <si>
    <t>DCS-7060XE7-128PE-F</t>
  </si>
  <si>
    <t>Arista 7060XE7, 128 x 800GbE OSFP front panel ports, front-to-rear air, 4xAC</t>
  </si>
  <si>
    <t>DCS-7060XE7-64PRS#</t>
  </si>
  <si>
    <t>Arista 7060XE7, 64 x 1600GbE OSFP-RHS front panel ports, front-to-rear air, no fans, no psu</t>
  </si>
  <si>
    <t>DCS-7060XE7-64PRS-F</t>
  </si>
  <si>
    <t>Arista 7060XE7, 64 x 1600GbE OSFP-RHS front panel ports, front-to-rear air, 4xAC</t>
  </si>
  <si>
    <t>DCS-7060XE7-64PS#</t>
  </si>
  <si>
    <t>Arista 7060XE7, 64 x 1600GbE OSFP front panel ports, front-to-rear air, no fans, no psu</t>
  </si>
  <si>
    <t>DCS-7060XE7-64PS-F</t>
  </si>
  <si>
    <t>Arista 7060XE7, 64 x 1600GbE OSFP front panel ports, front-to-rear air, 4xAC</t>
  </si>
  <si>
    <t>FB-7060XE7-64PRS-F</t>
  </si>
  <si>
    <t>FB-7060XE7-64PRS-E-F</t>
  </si>
  <si>
    <t>Arista 7060XE7, 64x 1600GbE OSFP-RHS front panel ports, DCS-7005-SUP-LB, front-to-rear air, 4xAC</t>
  </si>
  <si>
    <t>GG-7060XE7-64PRS-AC-F</t>
  </si>
  <si>
    <t>Arista 7060XE7, 64 x 1600GbE OSFP-RHS front panel ports (column), DCS-7004-SUP-L-GG, front-to-rear air, 4xAC</t>
  </si>
  <si>
    <t>GG-7060XE7-64PRS-AC-N-F</t>
  </si>
  <si>
    <t>Arista 7060XE7, 64 x 1600GbE OSFP-RHS front panel ports (column), DCS-7004-SUP-L, front-to-rear air, 4xAC</t>
  </si>
  <si>
    <t>GG-7060XE7-64PRS-F</t>
  </si>
  <si>
    <t>GG-7060XE7-64PRS-N-F</t>
  </si>
  <si>
    <t>Arista 7060XE7, 64 x 1600GbE OSFP-RHS front panel ports (column), DCS-7004-SUP-L, front-to-rear air, 4xDC</t>
  </si>
  <si>
    <t>JB-7060XE7-64PS-B-ALD-F</t>
  </si>
  <si>
    <t>Arista 7060XE7, 64 x 1600GbE OSFP front panel ports, hybrid cooled</t>
  </si>
  <si>
    <t>OC-7060XE7-64PS-F</t>
  </si>
  <si>
    <t>Oracle: Arista 7060XE7, 64 x 1600GbE OSFP front panel ports, front-to-rear air, 4xAC</t>
  </si>
  <si>
    <t>DCS-7060XE7-64PRS-MV3-EHW-L</t>
  </si>
  <si>
    <t>Arista 7060XE7, 64 x 1600GbE OSFP-RHS front panel ports, liquid cooled, MGX</t>
  </si>
  <si>
    <t>DCS-7060XE7-64PRS-RV3-L</t>
  </si>
  <si>
    <t>Arista 7060XE7, 64 x 1600GbE OSFP-RHS front panel ports, liquid cooled, ORv3</t>
  </si>
  <si>
    <t>FB-7060XE7-64PRS-RV3-L</t>
  </si>
  <si>
    <t>JB-7060X6-64PE-B</t>
  </si>
  <si>
    <t>HW: Arista 7060X6 B, 64 x 800GbE OSFP switch, front-to-rear air, 2xAC</t>
  </si>
  <si>
    <t>OC-7060X6-64PE-F</t>
  </si>
  <si>
    <t>Oracle: Arista 7060X6, 64 x 800GbE OSFP switch, front-to-rear air, 2xAC</t>
  </si>
  <si>
    <t>DCS-7060X6-32PE-EHW-F</t>
  </si>
  <si>
    <t>HW: Arista 7060X6 B, 32 x 800GbE OSFP switch, front-to-rear air, 2xAC</t>
  </si>
  <si>
    <t>OC-7060DX5-32-F</t>
  </si>
  <si>
    <t>Oracle: Arista 7060X5, 32x400GbE QSFP-DD switch, front-to-rear air, 2xAC</t>
  </si>
  <si>
    <t>OC-7060DX5-32-DC-F</t>
  </si>
  <si>
    <t>Oracle: Arista 7060X5, 32x400GbE QSFP-DD switch, front-to-rear air, 2xDC</t>
  </si>
  <si>
    <t>OC-7060DX4-32-F</t>
  </si>
  <si>
    <t>Oracle: Arista 7060X4, 32x400GbE QSFP-DD switch, front-to-rear air, 2xAC</t>
  </si>
  <si>
    <t>OC-7050DX4-32S-MV3-F</t>
  </si>
  <si>
    <t>Oracle: Arista 7050X4, 32x400GbE QSFP-DD &amp; 2xSFP+ switch, front-to-rear air, 2xDC, MGX</t>
  </si>
  <si>
    <t>OC-7050TX3-48C8-F</t>
  </si>
  <si>
    <t>Oracle: Arista 7050X3, 48x10GBaseT &amp; 8x100GbE QSFP switch, front-to-rear air, 2xAC</t>
  </si>
  <si>
    <t>DCS-7020HR4-10QC-4DF-CL-DC-FLX-F</t>
  </si>
  <si>
    <t>Arista 7020R4, 10x100GbE QSFP and 4x400GbE QSFP-DD switch router, ext. temp., adv. timing, front to rear air, 2 x DC, FLX license</t>
  </si>
  <si>
    <t>DCS-7020HR4-10QC-4DF-CL-DC-FLX-R</t>
  </si>
  <si>
    <t>Arista 7020R4, 10x100GbE QSFP and 4x400GbE QSFP-DD switch router, ext. temp., adv. timing, rear to front air, 2 x DC, FLX license</t>
  </si>
  <si>
    <t>DCS-7020HR4-10QC-4DF-CL-FLX-F</t>
  </si>
  <si>
    <t>Arista 7020R4, 10x100GbE QSFP and 4x400GbE QSFP-DD switch router, ext. temp., adv. timing, front to rear air, 2 x AC, FLX license</t>
  </si>
  <si>
    <t>DCS-7020HR4-10QC-4DF-CL-FLX-R</t>
  </si>
  <si>
    <t>Arista 7020R4, 10x100GbE QSFP and 4x400GbE QSFP-DD switch router, ext. temp., adv. timing, rear to front air, 2 x AC, FLX license</t>
  </si>
  <si>
    <t>DCS-7020HR4-10QC-4DF-CL-FLX#</t>
  </si>
  <si>
    <t>Arista 7020R4, 10x100GbE QSFP and 4x400GbE QSFP-DD switch router, ext. temp., adv. timing, configurable fans and psu, FLX license</t>
  </si>
  <si>
    <t>DCS-7020HR4-10QC-4DF-CL-DC-F</t>
  </si>
  <si>
    <t>Arista 7020R4, 10x100GbE QSFP and 4x400GbE QSFP-DD switch router, ext. temp., adv. timing, front to rear air, 2 x DC</t>
  </si>
  <si>
    <t>DCS-7020HR4-10QC-4DF-CL-DC-R</t>
  </si>
  <si>
    <t>Arista 7020R4, 10x100GbE QSFP and 4x400GbE QSFP-DD switch router, ext. temp., adv. timing, rear to front air, 2 x DC</t>
  </si>
  <si>
    <t>DCS-7020HR4-10QC-4DF-CL-F</t>
  </si>
  <si>
    <t>Arista 7020R4, 10x100GbE QSFP and 4x400GbE QSFP-DD switch router, ext. temp., adv. timing, front to rear air, 2 x AC</t>
  </si>
  <si>
    <t>DCS-7020HR4-10QC-4DF-CL-R</t>
  </si>
  <si>
    <t>Arista 7020R4, 10x100GbE QSFP and 4x400GbE QSFP-DD switch router, ext. temp., adv. timing, rear to front air, 2 x AC</t>
  </si>
  <si>
    <t>DCS-7020HR4-10QC-4DF-CL#</t>
  </si>
  <si>
    <t>Arista 7020R4, 10x100GbE QSFP and 4x400GbE QSFP-DD switch router, ext. temp., adv. timing, configurable fans and psu</t>
  </si>
  <si>
    <t>DCS-7020HR4-24Y-4QC-CL-DC-FLX-F</t>
  </si>
  <si>
    <t>Arista 7020R4, 24x25GbE SFP and 4x100GbE QSFP switch router, ext. temp., adv. timing, front to rear air, 2 x DC, FLX license</t>
  </si>
  <si>
    <t>DCS-7020HR4-24Y-4QC-CL-DC-FLX-R</t>
  </si>
  <si>
    <t>Arista 7020R4, 24x25GbE SFP and 4x100GbE QSFP switch router, ext. temp., adv. timing, rear to front air, 2 x DC, FLX license</t>
  </si>
  <si>
    <t>DCS-7020HR4-24Y-4QC-CL-FLX-F</t>
  </si>
  <si>
    <t>Arista 7020R4, 24x25GbE SFP and 4x100GbE QSFP switch router, ext. temp., adv. timing, front to rear air, 2 x AC, FLX license</t>
  </si>
  <si>
    <t>DCS-7020HR4-24Y-4QC-CL-FLX-R</t>
  </si>
  <si>
    <t>Arista 7020R4, 24x25GbE SFP and 4x100GbE QSFP switch router, ext. temp., adv. timing, rear to front air, 2 x AC, FLX license</t>
  </si>
  <si>
    <t>DCS-7020HR4-24Y-4QC-CL-FLX#</t>
  </si>
  <si>
    <t>Arista 7020R4, 24x25GbE SFP and 4x100GbE QSFP switch router, ext. temp., adv. timing, configurable fans and psu, FLX license</t>
  </si>
  <si>
    <t>DCS-7020HR4-24Y-4QC-CL-DC-F</t>
  </si>
  <si>
    <t>Arista 7020R4, 24x25GbE SFP and 4x100GbE QSFP switch router, ext. temp., adv. timing, front to rear air, 2 x DC</t>
  </si>
  <si>
    <t>DCS-7020HR4-24Y-4QC-CL-DC-R</t>
  </si>
  <si>
    <t>Arista 7020R4, 24x25GbE SFP and 4x100GbE QSFP switch router, ext. temp., adv. timing, rear to front air, 2 x DC</t>
  </si>
  <si>
    <t>DCS-7020HR4-24Y-4QC-CL-F</t>
  </si>
  <si>
    <t>Arista 7020R4, 24x25GbE SFP and 4x100GbE QSFP switch router, ext. temp., adv. timing, front to rear air, 2 x AC</t>
  </si>
  <si>
    <t>DCS-7020HR4-24Y-4QC-CL-R</t>
  </si>
  <si>
    <t>Arista 7020R4, 24x25GbE SFP and 4x100GbE QSFP switch router, ext. temp., adv. timing, rear to front air, 2 x AC</t>
  </si>
  <si>
    <t>DCS-7020HR4-24Y-4QC-CL#</t>
  </si>
  <si>
    <t>Arista 7020R4, 24x25GbE SFP and 4x100GbE QSFP switch router, ext. temp., adv. timing, configurable fans and psu</t>
  </si>
  <si>
    <t>DCS-7020HR4-24Y-6QDF-CL-DC-FLX-F</t>
  </si>
  <si>
    <t>Arista 7020R4, 24x25GbE SFP, 2x100GbE QSFP, 2x400GbE QSFP-DD, 2x400GbE QSFP112 switch router, ext. temp., adv. timing, front to rear air, 2 x DC, FLX license</t>
  </si>
  <si>
    <t>DCS-7020HR4-24Y-6QDF-CL-DC-FLX-R</t>
  </si>
  <si>
    <t>Arista 7020R4, 24x25GbE SFP, 2x100GbE QSFP, 2x400GbE QSFP-DD, 2x400GbE QSFP112 switch router, ext. temp., adv. timing, rear to front air, 2 x DC, FLX license</t>
  </si>
  <si>
    <t>DCS-7020HR4-24Y-6QDF-CL-FLX-F</t>
  </si>
  <si>
    <t>Arista 7020R4, 24x25GbE SFP, 2x100GbE QSFP, 2x400GbE QSFP-DD, 2x400GbE QSFP112 switch router, ext. temp., adv. timing, front to rear air, 2 x AC, FLX license</t>
  </si>
  <si>
    <t>DCS-7020HR4-24Y-6QDF-CL-FLX-R</t>
  </si>
  <si>
    <t>Arista 7020R4, 24x25GbE SFP, 2x100GbE QSFP, 2x400GbE QSFP-DD, 2x400GbE QSFP112 switch router, ext. temp., adv. timing, rear to front air, 2 x AC, FLX license</t>
  </si>
  <si>
    <t>DCS-7020HR4-24Y-6QDF-CL-FLX#</t>
  </si>
  <si>
    <t>Arista 7020R4, 24x25GbE SFP, 2x100GbE QSFP, 2x400GbE QSFP-DD, 2x400GbE QSFP112 switch router, ext. temp., adv. timing, configurable fans and psu, FLX license</t>
  </si>
  <si>
    <t>DCS-7020HR4-24Y-6QDF-CL-DC-F</t>
  </si>
  <si>
    <t>Arista 7020R4, 24x25GbE SFP, 2x100GbE QSFP, 2x400GbE QSFP-DD, 2x400GbE QSFP112 switch router, ext. temp., adv. timing, front to rear air, 2 x DC</t>
  </si>
  <si>
    <t>DCS-7020HR4-24Y-6QDF-CL-DC-R</t>
  </si>
  <si>
    <t>Arista 7020R4, 24x25GbE SFP, 2x100GbE QSFP, 2x400GbE QSFP-DD, 2x400GbE QSFP112 switch router, ext. temp., adv. timing, rear to front air, 2 x DC</t>
  </si>
  <si>
    <t>DCS-7020HR4-24Y-6QDF-CL-F</t>
  </si>
  <si>
    <t>Arista 7020R4, 24x25GbE SFP, 2x100GbE QSFP, 2x400GbE QSFP-DD, 2x400GbE QSFP112 switch router, ext. temp., adv. timing, front to rear air, 2 x AC</t>
  </si>
  <si>
    <t>DCS-7020HR4-24Y-6QDF-CL-R</t>
  </si>
  <si>
    <t>Arista 7020R4, 24x25GbE SFP, 2x100GbE QSFP, 2x400GbE QSFP-DD, 2x400GbE QSFP112 switch router, ext. temp., adv. timing, rear to front air, 2 x AC</t>
  </si>
  <si>
    <t>DCS-7020HR4-24Y-6QDF-CL#</t>
  </si>
  <si>
    <t>Arista 7020R4, 24x25GbE SFP, 2x100GbE QSFP, 2x400GbE QSFP-DD, 2x400GbE QSFP112 switch router, ext. temp., adv. timing, configurable fans and psu</t>
  </si>
  <si>
    <t>DCS-7020HR4-32SYL-2DF-CL-DC-FLX-F</t>
  </si>
  <si>
    <t>Arista 7020R4, 24x25GbE SFP, 8x50GbE SFP, 2x400GbE QSFP-DD switch router, ext. temp., adv. timing, front to rear air, 2 x DC, FLX license</t>
  </si>
  <si>
    <t>DCS-7020HR4-32SYL-2DF-CL-DC-FLX-R</t>
  </si>
  <si>
    <t>Arista 7020R4, 24x25GbE SFP, 8x50GbE SFP, 2x400GbE QSFP-DD switch router, ext. temp., adv. timing, rear to front air, 2 x DC, FLX license</t>
  </si>
  <si>
    <t>DCS-7020HR4-32SYL-2DF-CL-FLX-F</t>
  </si>
  <si>
    <t>Arista 7020R4, 24x25GbE SFP, 8x50GbE SFP, 2x400GbE QSFP-DD switch router, ext. temp., adv. timing, front to rear air, 2 x AC, FLX license</t>
  </si>
  <si>
    <t>DCS-7020HR4-32SYL-2DF-CL-FLX-R</t>
  </si>
  <si>
    <t>Arista 7020R4, 24x25GbE SFP, 8x50GbE SFP, 2x400GbE QSFP-DD switch router, ext. temp., adv. timing, rear to front air, 2 x AC, FLX license</t>
  </si>
  <si>
    <t>DCS-7020HR4-32SYL-2DF-CL-FLX#</t>
  </si>
  <si>
    <t>Arista 7020R4, 24x25GbE SFP, 8x50GbE SFP, 2x400GbE QSFP-DD switch router, ext. temp., adv. timing, configurable fans and psu, FLX license</t>
  </si>
  <si>
    <t>DCS-7020HR4-32SYL-2DF-CL-DC-F</t>
  </si>
  <si>
    <t>Arista 7020R4, 24x25GbE SFP, 8x50GbE SFP, 2x400GbE QSFP-DD switch router, ext. temp., adv. timing, front to rear air, 2 x DC</t>
  </si>
  <si>
    <t>DCS-7020HR4-32SYL-2DF-CL-DC-R</t>
  </si>
  <si>
    <t>Arista 7020R4, 24x25GbE SFP, 8x50GbE SFP, 2x400GbE QSFP-DD switch router, ext. temp., adv. timing, rear to front air, 2 x DC</t>
  </si>
  <si>
    <t>DCS-7020HR4-32SYL-2DF-CL-F</t>
  </si>
  <si>
    <t>Arista 7020R4, 24x25GbE SFP, 8x50GbE SFP, 2x400GbE QSFP-DD switch router, ext. temp., adv. timing, front to rear air, 2 x AC</t>
  </si>
  <si>
    <t>DCS-7020HR4-32SYL-2DF-CL-R</t>
  </si>
  <si>
    <t>Arista 7020R4, 24x25GbE SFP, 8x50GbE SFP, 2x400GbE QSFP-DD switch router, ext. temp., adv. timing, rear to front air, 2 x AC</t>
  </si>
  <si>
    <t>DCS-7020HR4-32SYL-2DF-CL#</t>
  </si>
  <si>
    <t>Arista 7020R4, 24x25GbE SFP, 8x50GbE SFP, 2x400GbE QSFP-DD switch router, ext. temp., adv. timing, configurable fans and psu</t>
  </si>
  <si>
    <t>DCS-7020HR4M-10QC-4DF-CL-DC-FLX-F</t>
  </si>
  <si>
    <t>Arista 7020R4, 10x100GbE QSFP and 4x400GbE QSFP-DD switch router, ext. temp., adv. timing, enh. encryption, front to rear air, 2 x DC, FLX license</t>
  </si>
  <si>
    <t>DCS-7020HR4M-10QC-4DF-CL-DC-FLX-R</t>
  </si>
  <si>
    <t>Arista 7020R4, 10x100GbE QSFP and 4x400GbE QSFP-DD switch router, ext. temp., adv. timing, enh. encryption, rear to front air, 2 x DC, FLX license</t>
  </si>
  <si>
    <t>DCS-7020HR4M-10QC-4DF-CL-FLX-F</t>
  </si>
  <si>
    <t>Arista 7020R4, 10x100GbE QSFP and 4x400GbE QSFP-DD switch router, ext. temp., adv. timing, enh. encryption, front to rear air, 2 x AC, FLX license</t>
  </si>
  <si>
    <t>DCS-7020HR4M-10QC-4DF-CL-FLX-R</t>
  </si>
  <si>
    <t>Arista 7020R4, 10x100GbE QSFP and 4x400GbE QSFP-DD switch router, ext. temp., adv. timing, enh. encryption, rear to front air, 2 x AC, FLX license</t>
  </si>
  <si>
    <t>DCS-7020HR4M-10QC-4DF-CL-FLX#</t>
  </si>
  <si>
    <t>Arista 7020R4, 10x100GbE QSFP and 4x400GbE QSFP-DD switch router, ext. temp., adv. timing, enh. encryption, configurable fans and psu, FLX license</t>
  </si>
  <si>
    <t>DCS-7020HR4M-10QC-4DF-CL-DC-F</t>
  </si>
  <si>
    <t>Arista 7020R4, 10x100GbE QSFP and 4x400GbE QSFP-DD switch router, ext. temp., adv. timing, enh. encryption, front to rear air, 2 x DC</t>
  </si>
  <si>
    <t>DCS-7020HR4M-10QC-4DF-CL-DC-R</t>
  </si>
  <si>
    <t>Arista 7020R4, 10x100GbE QSFP and 4x400GbE QSFP-DD switch router, ext. temp., adv. timing, enh. encryption, rear to front air, 2 x DC</t>
  </si>
  <si>
    <t>DCS-7020HR4M-10QC-4DF-CL-F</t>
  </si>
  <si>
    <t>Arista 7020R4, 10x100GbE QSFP and 4x400GbE QSFP-DD switch router, ext. temp., adv. timing, enh. encryption, front to rear air, 2 x AC</t>
  </si>
  <si>
    <t>DCS-7020HR4M-10QC-4DF-CL-R</t>
  </si>
  <si>
    <t>Arista 7020R4, 10x100GbE QSFP and 4x400GbE QSFP-DD switch router, ext. temp., adv. timing, enh. encryption, rear to front air, 2 x AC</t>
  </si>
  <si>
    <t>DCS-7020HR4M-10QC-4DF-CL#</t>
  </si>
  <si>
    <t>Arista 7020R4, 10x100GbE QSFP and 4x400GbE QSFP-DD switch router, ext. temp., adv. timing, enh. encryption, configurable fans and psu</t>
  </si>
  <si>
    <t>DCS-7020HR4M-24Y-4QC-CL-DC-FLX-F</t>
  </si>
  <si>
    <t>Arista 7020R4, 24x25GbE SFP and 4x100GbE QSFP switch router, ext. temp., adv. timing, enh. encryption, front to rear air, 2 x DC, FLX license</t>
  </si>
  <si>
    <t>DCS-7020HR4M-24Y-4QC-CL-DC-FLX-R</t>
  </si>
  <si>
    <t>Arista 7020R4, 24x25GbE SFP and 4x100GbE QSFP switch router, ext. temp., adv. timing, enh. encryption, rear to front air, 2 x DC, FLX license</t>
  </si>
  <si>
    <t>DCS-7020HR4M-24Y-4QC-CL-FLX-F</t>
  </si>
  <si>
    <t>Arista 7020R4, 24x25GbE SFP and 4x100GbE QSFP switch router, ext. temp., adv. timing, enh. encryption, front to rear air, 2 x AC, FLX license</t>
  </si>
  <si>
    <t>DCS-7020HR4M-24Y-4QC-CL-FLX-R</t>
  </si>
  <si>
    <t>Arista 7020R4, 24x25GbE SFP and 4x100GbE QSFP switch router, ext. temp., adv. timing, enh. encryption, rear to front air, 2 x AC, FLX license</t>
  </si>
  <si>
    <t>DCS-7020HR4M-24Y-4QC-CL-FLX#</t>
  </si>
  <si>
    <t>Arista 7020R4, 24x25GbE SFP and 4x100GbE QSFP switch router, ext. temp., adv. timing, enh. encryption, configurable fans and psu, FLX license</t>
  </si>
  <si>
    <t>DCS-7020HR4M-24Y-4QC-CL-DC-F</t>
  </si>
  <si>
    <t>Arista 7020R4, 24x25GbE SFP and 4x100GbE QSFP switch router, ext. temp., adv. timing, enh. encryption, front to rear air, 2 x DC</t>
  </si>
  <si>
    <t>DCS-7020HR4M-24Y-4QC-CL-DC-R</t>
  </si>
  <si>
    <t>Arista 7020R4, 24x25GbE SFP and 4x100GbE QSFP switch router, ext. temp., adv. timing, enh. encryption, rear to front air, 2 x DC</t>
  </si>
  <si>
    <t>DCS-7020HR4M-24Y-4QC-CL-F</t>
  </si>
  <si>
    <t>Arista 7020R4, 24x25GbE SFP and 4x100GbE QSFP switch router, ext. temp., adv. timing, enh. encryption, front to rear air, 2 x AC</t>
  </si>
  <si>
    <t>DCS-7020HR4M-24Y-4QC-CL-R</t>
  </si>
  <si>
    <t>Arista 7020R4, 24x25GbE SFP and 4x100GbE QSFP switch router, ext. temp., adv. timing, enh. encryption, rear to front air, 2 x AC</t>
  </si>
  <si>
    <t>DCS-7020HR4M-24Y-4QC-CL#</t>
  </si>
  <si>
    <t>Arista 7020R4, 24x25GbE SFP and 4x100GbE QSFP switch router, ext. temp., adv. timing, enh. encryption, configurable fans and psu</t>
  </si>
  <si>
    <t>DCS-7020HR4M-24Y-6QDF-CL-DC-FLX-F</t>
  </si>
  <si>
    <t>Arista 7020R4, 24x25GbE SFP, 2x100GbE QSFP, 2x400GbE QSFP-DD, 2x400GbE QSFP112 switch router, ext. temp., adv. timing, enh. encryption, front to rear air, 2 x DC, FLX license</t>
  </si>
  <si>
    <t>DCS-7020HR4M-24Y-6QDF-CL-DC-FLX-R</t>
  </si>
  <si>
    <t>Arista 7020R4, 24x25GbE SFP, 2x100GbE QSFP, 2x400GbE QSFP-DD, 2x400GbE QSFP112 switch router, ext. temp., adv. timing, enh. encryption, rear to front air, 2 x DC, FLX license</t>
  </si>
  <si>
    <t>DCS-7020HR4M-24Y-6QDF-CL-FLX-F</t>
  </si>
  <si>
    <t>Arista 7020R4, 24x25GbE SFP, 2x100GbE QSFP, 2x400GbE QSFP-DD, 2x400GbE QSFP112 switch router, ext. temp., adv. timing, enh. encryption, front to rear air, 2 x AC, FLX license</t>
  </si>
  <si>
    <t>DCS-7020HR4M-24Y-6QDF-CL-FLX-R</t>
  </si>
  <si>
    <t>Arista 7020R4, 24x25GbE SFP, 2x100GbE QSFP, 2x400GbE QSFP-DD, 2x400GbE QSFP112 switch router, ext. temp., adv. timing, enh. encryption, rear to front air, 2 x AC, FLX license</t>
  </si>
  <si>
    <t>DCS-7020HR4M-24Y-6QDF-CL-FLX#</t>
  </si>
  <si>
    <t>Arista 7020R4, 24x25GbE SFP, 2x100GbE QSFP, 2x400GbE QSFP-DD, 2x400GbE QSFP112 switch router, ext. temp., adv. timing, enh. encryption, configurable fans and psu, FLX license</t>
  </si>
  <si>
    <t>DCS-7020HR4M-24Y-6QDF-CL-DC-F</t>
  </si>
  <si>
    <t>Arista 7020R4, 24x25GbE SFP, 2x100GbE QSFP, 2x400GbE QSFP-DD, 2x400GbE QSFP112 switch router, ext. temp., adv. timing, enh. encryption, front to rear air, 2 x DC</t>
  </si>
  <si>
    <t>DCS-7020HR4M-24Y-6QDF-CL-DC-R</t>
  </si>
  <si>
    <t>Arista 7020R4, 24x25GbE SFP, 2x100GbE QSFP, 2x400GbE QSFP-DD, 2x400GbE QSFP112 switch router, ext. temp., adv. timing, enh. encryption, rear to front air, 2 x DC</t>
  </si>
  <si>
    <t>DCS-7020HR4M-24Y-6QDF-CL-F</t>
  </si>
  <si>
    <t>Arista 7020R4, 24x25GbE SFP, 2x100GbE QSFP, 2x400GbE QSFP-DD, 2x400GbE QSFP112 switch router, ext. temp., adv. timing, enh. encryption, front to rear air, 2 x AC</t>
  </si>
  <si>
    <t>DCS-7020HR4M-24Y-6QDF-CL-R</t>
  </si>
  <si>
    <t>Arista 7020R4, 24x25GbE SFP, 2x100GbE QSFP, 2x400GbE QSFP-DD, 2x400GbE QSFP112 switch router, ext. temp., adv. timing, enh. encryption, rear to front air, 2 x AC</t>
  </si>
  <si>
    <t>DCS-7020HR4M-24Y-6QDF-CL#</t>
  </si>
  <si>
    <t>Arista 7020R4, 24x25GbE SFP, 2x100GbE QSFP, 2x400GbE QSFP-DD, 2x400GbE QSFP112 switch router, ext. temp., adv. timing, enh. encryption, configurable fans and psu</t>
  </si>
  <si>
    <t>DCS-7020HR4M-32SYL-2DF-CL-DC-FLX-F</t>
  </si>
  <si>
    <t>Arista 7020R4, 24x25GbE SFP, 8x50GbE SFP, 2x400GbE QSFP-DD switch router, ext. temp., adv. timing, enh. encryption, front to rear air, 2 x DC, FLX license</t>
  </si>
  <si>
    <t>DCS-7020HR4M-32SYL-2DF-CL-DC-FLX-R</t>
  </si>
  <si>
    <t>Arista 7020R4, 24x25GbE SFP, 8x50GbE SFP, 2x400GbE QSFP-DD switch router, ext. temp., adv. timing, enh. encryption, rear to front air, 2 x DC, FLX license</t>
  </si>
  <si>
    <t>DCS-7020HR4M-32SYL-2DF-CL-FLX-F</t>
  </si>
  <si>
    <t>Arista 7020R4, 24x25GbE SFP, 8x50GbE SFP, 2x400GbE QSFP-DD switch router, ext. temp., adv. timing, enh. encryption, front to rear air, 2 x AC, FLX license</t>
  </si>
  <si>
    <t>DCS-7020HR4M-32SYL-2DF-CL-FLX-R</t>
  </si>
  <si>
    <t>Arista 7020R4, 24x25GbE SFP, 8x50GbE SFP, 2x400GbE QSFP-DD switch router, ext. temp., adv. timing, enh. encryption, rear to front air, 2 x AC, FLX license</t>
  </si>
  <si>
    <t>DCS-7020HR4M-32SYL-2DF-CL-FLX#</t>
  </si>
  <si>
    <t>Arista 7020R4, 24x25GbE SFP, 8x50GbE SFP, 2x400GbE QSFP-DD switch router, ext. temp., adv. timing, enh. encryption, configurable fans and psu, FLX license</t>
  </si>
  <si>
    <t>DCS-7020HR4M-32SYL-2DF-CL-DC-F</t>
  </si>
  <si>
    <t>Arista 7020R4, 24x25GbE SFP, 8x50GbE SFP, 2x400GbE QSFP-DD switch router, ext. temp., adv. timing, enh. encryption, front to rear air, 2 x DC</t>
  </si>
  <si>
    <t>DCS-7020HR4M-32SYL-2DF-CL-DC-R</t>
  </si>
  <si>
    <t>Arista 7020R4, 24x25GbE SFP, 8x50GbE SFP, 2x400GbE QSFP-DD switch router, ext. temp., adv. timing, enh. encryption, rear to front air, 2 x DC</t>
  </si>
  <si>
    <t>DCS-7020HR4M-32SYL-2DF-CL-F</t>
  </si>
  <si>
    <t>Arista 7020R4, 24x25GbE SFP, 8x50GbE SFP, 2x400GbE QSFP-DD switch router, ext. temp., adv. timing, enh. encryption, front to rear air, 2 x AC</t>
  </si>
  <si>
    <t>DCS-7020HR4M-32SYL-2DF-CL-R</t>
  </si>
  <si>
    <t>Arista 7020R4, 24x25GbE SFP, 8x50GbE SFP, 2x400GbE QSFP-DD switch router, ext. temp., adv. timing, enh. encryption, rear to front air, 2 x AC</t>
  </si>
  <si>
    <t>DCS-7020HR4M-32SYL-2DF-CL#</t>
  </si>
  <si>
    <t>Arista 7020R4, 24x25GbE SFP, 8x50GbE SFP, 2x400GbE QSFP-DD switch router, ext. temp., adv. timing, enh. encryption, configurable fans and psu</t>
  </si>
  <si>
    <t>DCS-7020R4-10QC-4DF-DC-FLX-F</t>
  </si>
  <si>
    <t>Arista 7020R4, 10x100GbE QSFP and 4x400GbE QSFP-DD switch router, front to rear air, 2 x DC, FLX license</t>
  </si>
  <si>
    <t>DCS-7020R4-10QC-4DF-DC-FLX-R</t>
  </si>
  <si>
    <t>Arista 7020R4, 10x100GbE QSFP and 4x400GbE QSFP-DD switch router, rear to front air, 2 x DC, FLX license</t>
  </si>
  <si>
    <t>DCS-7020R4-10QC-4DF-FLX-F</t>
  </si>
  <si>
    <t>Arista 7020R4, 10x100GbE QSFP and 4x400GbE QSFP-DD switch router, front to rear air, 2 x AC, FLX license</t>
  </si>
  <si>
    <t>DCS-7020R4-10QC-4DF-FLX-R</t>
  </si>
  <si>
    <t>Arista 7020R4, 10x100GbE QSFP and 4x400GbE QSFP-DD switch router, rear to front air, 2 x AC, FLX license</t>
  </si>
  <si>
    <t>DCS-7020R4-10QC-4DF-FLX#</t>
  </si>
  <si>
    <t>Arista 7020R4, 10x100GbE QSFP and 4x400GbE QSFP-DD switch router, configurable fans and psu, FLX license</t>
  </si>
  <si>
    <t>DCS-7020R4-10QC-4DF-DC-F</t>
  </si>
  <si>
    <t>Arista 7020R4, 10x100GbE QSFP and 4x400GbE QSFP-DD switch router, front to rear air, 2 x DC</t>
  </si>
  <si>
    <t>DCS-7020R4-10QC-4DF-DC-R</t>
  </si>
  <si>
    <t>Arista 7020R4, 10x100GbE QSFP and 4x400GbE QSFP-DD switch router, rear to front air, 2 x DC</t>
  </si>
  <si>
    <t>DCS-7020R4-10QC-4DF-F</t>
  </si>
  <si>
    <t>Arista 7020R4, 10x100GbE QSFP and 4x400GbE QSFP-DD switch router, front to rear air, 2 x AC</t>
  </si>
  <si>
    <t>DCS-7020R4-10QC-4DF-R</t>
  </si>
  <si>
    <t>Arista 7020R4, 10x100GbE QSFP and 4x400GbE QSFP-DD switch router, rear to front air, 2 x AC</t>
  </si>
  <si>
    <t>DCS-7020R4-10QC-4DF#</t>
  </si>
  <si>
    <t>Arista 7020R4, 10x100GbE QSFP and 4x400GbE QSFP-DD switch router, configurable fans and psu</t>
  </si>
  <si>
    <t>DCS-7020R4-24Y-4QC-DC-FLX-F</t>
  </si>
  <si>
    <t>Arista 7020R4, 24x25GbE SFP and 4x100GbE QSFP switch router, front to rear air, 2 x DC, FLX license</t>
  </si>
  <si>
    <t>DCS-7020R4-24Y-4QC-DC-FLX-R</t>
  </si>
  <si>
    <t>Arista 7020R4, 24x25GbE SFP and 4x100GbE QSFP switch router, rear to front air, 2 x DC, FLX license</t>
  </si>
  <si>
    <t>DCS-7020R4-24Y-4QC-FLX-F</t>
  </si>
  <si>
    <t>Arista 7020R4, 24x25GbE SFP and 4x100GbE QSFP switch router, front to rear air, 2 x AC, FLX license</t>
  </si>
  <si>
    <t>DCS-7020R4-24Y-4QC-FLX-R</t>
  </si>
  <si>
    <t>Arista 7020R4, 24x25GbE SFP and 4x100GbE QSFP switch router, rear to front air, 2 x AC, FLX license</t>
  </si>
  <si>
    <t>DCS-7020R4-24Y-4QC-FLX#</t>
  </si>
  <si>
    <t>Arista 7020R4, 24x25GbE SFP and 4x100GbE QSFP switch router, configurable fans and psu, FLX license</t>
  </si>
  <si>
    <t>DCS-7020R4-24Y-4QC-DC-F</t>
  </si>
  <si>
    <t>Arista 7020R4, 24x25GbE SFP and 4x100GbE QSFP switch router, front to rear air, 2 x DC</t>
  </si>
  <si>
    <t>DCS-7020R4-24Y-4QC-DC-R</t>
  </si>
  <si>
    <t>Arista 7020R4, 24x25GbE SFP and 4x100GbE QSFP switch router, rear to front air, 2 x DC</t>
  </si>
  <si>
    <t>DCS-7020R4-24Y-4QC-F</t>
  </si>
  <si>
    <t>Arista 7020R4, 24x25GbE SFP and 4x100GbE QSFP switch router, front to rear air, 2 x AC</t>
  </si>
  <si>
    <t>DCS-7020R4-24Y-4QC-R</t>
  </si>
  <si>
    <t>Arista 7020R4, 24x25GbE SFP and 4x100GbE QSFP switch router, rear to front air, 2 x AC</t>
  </si>
  <si>
    <t>DCS-7020R4-24Y-4QC#</t>
  </si>
  <si>
    <t>Arista 7020R4, 24x25GbE SFP and 4x100GbE QSFP switch router, configurable fans and psu</t>
  </si>
  <si>
    <t>DCS-7020R4-24Y-6QDF-DC-FLX-F</t>
  </si>
  <si>
    <t>Arista 7020R4, 24x25GbE SFP, 2x100GbE QSFP, 2x400GbE QSFP-DD, 2x400GbE QSFP112 switch router, front to rear air, 2 x DC, FLX license</t>
  </si>
  <si>
    <t>DCS-7020R4-24Y-6QDF-DC-FLX-R</t>
  </si>
  <si>
    <t>Arista 7020R4, 24x25GbE SFP, 2x100GbE QSFP, 2x400GbE QSFP-DD, 2x400GbE QSFP112 switch router, rear to front air, 2 x DC, FLX License</t>
  </si>
  <si>
    <t>DCS-7020R4-24Y-6QDF-FLX-F</t>
  </si>
  <si>
    <t>Arista 7020R4, 24x25GbE SFP, 2x100GbE QSFP, 2x400GbE QSFP-DD, 2x400GbE QSFP112 switch router, front to rear air, 2 x AC, FLX license</t>
  </si>
  <si>
    <t>DCS-7020R4-24Y-6QDF-FLX-R</t>
  </si>
  <si>
    <t>Arista 7020R4, 24x25GbE SFP, 2x100GbE QSFP, 2x400GbE QSFP-DD, 2x400GbE QSFP112 switch router, rear to front air, 2 x AC, FLX license</t>
  </si>
  <si>
    <t>DCS-7020R4-24Y-6QDF-FLX#</t>
  </si>
  <si>
    <t>Arista 7020R4, 24x25GbE SFP, 2x100GbE QSFP, 2x400GbE QSFP-DD, 2x400GbE QSFP112 switch router, configurable fans and psu, FLX license</t>
  </si>
  <si>
    <t>DCS-7020R4-24Y-6QDF-DC-F</t>
  </si>
  <si>
    <t>Arista 7020R4, 24x25GbE SFP, 2x100GbE QSFP, 2x400GbE QSFP-DD, 2x400GbE QSFP112 switch router, front to rear air, 2 x DC</t>
  </si>
  <si>
    <t>DCS-7020R4-24Y-6QDF-DC-R</t>
  </si>
  <si>
    <t>Arista 7020R4, 24x25GbE SFP, 2x100GbE QSFP, 2x400GbE QSFP-DD, 2x400GbE QSFP112 switch router, rear to front air, 2 x DC</t>
  </si>
  <si>
    <t>DCS-7020R4-24Y-6QDF-F</t>
  </si>
  <si>
    <t>Arista 7020R4, 24x25GbE SFP, 2x100GbE QSFP, 2x400GbE QSFP-DD, 2x400GbE QSFP112 switch router, front to rear air, 2 x AC</t>
  </si>
  <si>
    <t>DCS-7020R4-24Y-6QDF-R</t>
  </si>
  <si>
    <t>Arista 7020R4, 24x25GbE SFP, 2x100GbE QSFP, 2x400GbE QSFP-DD, 2x400GbE QSFP112 switch router, rear to front air, 2 x AC</t>
  </si>
  <si>
    <t>DCS-7020R4-24Y-6QDF#</t>
  </si>
  <si>
    <t>Arista 7020R4, 24x25GbE SFP, 2x100GbE QSFP, 2x400GbE QSFP-DD, 2x400GbE QSFP112 switch router, configurable fans and psu</t>
  </si>
  <si>
    <t>DCS-7020R4M-10QC-4DF-DC-FLX-F</t>
  </si>
  <si>
    <t>Arista 7020R4, 10x100GbE QSFP and 4x400GbE QSFP-DD switch router, enh. encryption, front to rear air, 2 x DC, FLX license</t>
  </si>
  <si>
    <t>DCS-7020R4M-10QC-4DF-DC-FLX-R</t>
  </si>
  <si>
    <t>Arista 7020R4, 10x100GbE QSFP and 4x400GbE QSFP-DD switch router, enh. encryption, rear to front air, 2 x DC, FLX license</t>
  </si>
  <si>
    <t>DCS-7020R4M-10QC-4DF-FLX-F</t>
  </si>
  <si>
    <t>Arista 7020R4, 10x100GbE QSFP and 4x400GbE QSFP-DD switch router, enh. encryption, front to rear air, 2 x AC, FLX license</t>
  </si>
  <si>
    <t>DCS-7020R4M-10QC-4DF-FLX-R</t>
  </si>
  <si>
    <t>Arista 7020R4, 10x100GbE QSFP and 4x400GbE QSFP-DD switch router, enh. encryption, rear to front air, 2 x AC, FLX license</t>
  </si>
  <si>
    <t>DCS-7020R4M-10QC-4DF-FLX#</t>
  </si>
  <si>
    <t>Arista 7020R4, 10x100GbE QSFP and 4x400GbE QSFP-DD switch router, enh. encryption, configurable fans and psu, FLX license</t>
  </si>
  <si>
    <t>DCS-7020R4M-10QC-4DF-DC-F</t>
  </si>
  <si>
    <t>Arista 7020R4, 10x100GbE QSFP and 4x400GbE QSFP-DD switch router, enh. encryption, front to rear air, 2 x DC</t>
  </si>
  <si>
    <t>DCS-7020R4M-10QC-4DF-DC-R</t>
  </si>
  <si>
    <t>Arista 7020R4, 10x100GbE QSFP and 4x400GbE QSFP-DD switch router, enh. encryption, rear to front air, 2 x DC</t>
  </si>
  <si>
    <t>DCS-7020R4M-10QC-4DF-F</t>
  </si>
  <si>
    <t>Arista 7020R4, 10x100GbE QSFP and 4x400GbE QSFP-DD switch router, enh. encryption, front to rear air, 2 x AC</t>
  </si>
  <si>
    <t>DCS-7020R4M-10QC-4DF-R</t>
  </si>
  <si>
    <t>Arista 7020R4, 10x100GbE QSFP and 4x400GbE QSFP-DD switch router, enh. encryption, rear to front air, 2 x AC</t>
  </si>
  <si>
    <t>DCS-7020R4M-10QC-4DF#</t>
  </si>
  <si>
    <t>Arista 7020R4, 10x100GbE QSFP and 4x400GbE QSFP-DD switch router, enh. encryption, configurable fans and psu</t>
  </si>
  <si>
    <t>DCS-7020R4M-24Y-4QC-DC-FLX-F</t>
  </si>
  <si>
    <t>Arista 7020R4, 24x25GbE SFP and 4x100GbE QSFP switch router, enh. encryption, front to rear air, 2 x DC, FLX license</t>
  </si>
  <si>
    <t>DCS-7020R4M-24Y-4QC-DC-FLX-R</t>
  </si>
  <si>
    <t>Arista 7020R4, 24x25GbE SFP and 4x100GbE QSFP switch router, enh. encryption, rear to front air, 2 x DC, FLX license</t>
  </si>
  <si>
    <t>DCS-7020R4M-24Y-4QC-FLX-F</t>
  </si>
  <si>
    <t>Arista 7020R4, 24x25GbE SFP and 4x100GbE QSFP switch router, enh. encryption, front to rear air, 2 x AC, FLX license</t>
  </si>
  <si>
    <t>DCS-7020R4M-24Y-4QC-FLX-R</t>
  </si>
  <si>
    <t>Arista 7020R4, 24x25GbE SFP and 4x100GbE QSFP switch router, enh. encryption, rear to front air, 2 x AC, FLX license</t>
  </si>
  <si>
    <t>DCS-7020R4M-24Y-4QC-FLX#</t>
  </si>
  <si>
    <t>Arista 7020R4, 24x25GbE SFP and 4x100GbE QSFP switch router, enh. encryption, configurable fans and psu, FLX license</t>
  </si>
  <si>
    <t>DCS-7020R4M-24Y-4QC-DC-F</t>
  </si>
  <si>
    <t>Arista 7020R4, 24x25GbE SFP and 4x100GbE QSFP switch router, enh. encryption, front to rear air, 2 x DC</t>
  </si>
  <si>
    <t>DCS-7020R4M-24Y-4QC-DC-R</t>
  </si>
  <si>
    <t>Arista 7020R4, 24x25GbE SFP and 4x100GbE QSFP switch router, enh. encryption, rear to front air, 2 x DC</t>
  </si>
  <si>
    <t>DCS-7020R4M-24Y-4QC-F</t>
  </si>
  <si>
    <t>Arista 7020R4, 24x25GbE SFP and 4x100GbE QSFP switch router, enh. encryption, front to rear air, 2 x AC</t>
  </si>
  <si>
    <t>DCS-7020R4M-24Y-4QC-R</t>
  </si>
  <si>
    <t>Arista 7020R4, 24x25GbE SFP and 4x100GbE QSFP switch router, enh. encryption, rear to front air, 2 x AC</t>
  </si>
  <si>
    <t>DCS-7020R4M-24Y-4QC#</t>
  </si>
  <si>
    <t>Arista 7020R4, 24x25GbE SFP and 4x100GbE QSFP switch router, enh. encryption, configurable fans and psu</t>
  </si>
  <si>
    <t>DCS-7020R4M-24Y-6QDF-DC-FLX-F</t>
  </si>
  <si>
    <t>Arista 7020R4, 24x25GbE SFP, 2x100GbE QSFP, 2x400GbE QSFP-DD, 2x400GbE QSFP112 switch router, enh. encryption, front to rear air, 2 x DC, FLX license</t>
  </si>
  <si>
    <t>DCS-7020R4M-24Y-6QDF-DC-FLX-R</t>
  </si>
  <si>
    <t>Arista 7020R4, 24x25GbE SFP, 2x100GbE QSFP, 2x400GbE QSFP-DD, 2x400GbE QSFP112 switch router, enh. encryption, rear to front air, 2 x DC, FLX License</t>
  </si>
  <si>
    <t>DCS-7020R4M-24Y-6QDF-FLX-F</t>
  </si>
  <si>
    <t>Arista 7020R4, 24x25GbE SFP, 2x100GbE QSFP, 2x400GbE QSFP-DD, 2x400GbE QSFP112 switch router, enh. encryption, front to rear air, 2 x AC, FLX license</t>
  </si>
  <si>
    <t>DCS-7020R4M-24Y-6QDF-FLX-R</t>
  </si>
  <si>
    <t>Arista 7020R4, 24x25GbE SFP, 2x100GbE QSFP, 2x400GbE QSFP-DD, 2x400GbE QSFP112 switch router, enh. encryption, rear to front air, 2 x AC, FLX license</t>
  </si>
  <si>
    <t>DCS-7020R4M-24Y-6QDF-FLX#</t>
  </si>
  <si>
    <t>Arista 7020R4, 24x25GbE SFP, 2x100GbE QSFP, 2x400GbE QSFP-DD, 2x400GbE QSFP112 switch router, enh. encryption, configurable fans and psu, FLX license</t>
  </si>
  <si>
    <t>DCS-7020R4M-24Y-6QDF-DC-F</t>
  </si>
  <si>
    <t>Arista 7020R4, 24x25GbE SFP, 2x100GbE QSFP, 2x400GbE QSFP-DD, 2x400GbE QSFP112 switch router, enh. encryption, front to rear air, 2 x DC</t>
  </si>
  <si>
    <t>DCS-7020R4M-24Y-6QDF-DC-R</t>
  </si>
  <si>
    <t>Arista 7020R4, 24x25GbE SFP, 2x100GbE QSFP, 2x400GbE QSFP-DD, 2x400GbE QSFP112 switch router, enh. encryption, rear to front air, 2 x DC</t>
  </si>
  <si>
    <t>DCS-7020R4M-24Y-6QDF-F</t>
  </si>
  <si>
    <t>Arista 7020R4, 24x25GbE SFP, 2x100GbE QSFP, 2x400GbE QSFP-DD, 2x400GbE QSFP112 switch router, enh. encryption, front to rear air, 2 x AC</t>
  </si>
  <si>
    <t>DCS-7020R4M-24Y-6QDF-R</t>
  </si>
  <si>
    <t>Arista 7020R4, 24x25GbE SFP, 2x100GbE QSFP, 2x400GbE QSFP-DD, 2x400GbE QSFP112 switch router, enh. encryption, rear to front air, 2 x AC</t>
  </si>
  <si>
    <t>DCS-7020R4M-24Y-6QDF#</t>
  </si>
  <si>
    <t>Arista 7020R4, 24x25GbE SFP, 2x100GbE QSFP, 2x400GbE QSFP-DD, 2x400GbE QSFP112 switch router, enh. encryption, configurable fans and psu</t>
  </si>
  <si>
    <t>OC-7010TX-48C-DC-RV3A-F</t>
  </si>
  <si>
    <t>Oracle: Arista 7010TX, 48x10/100/1000 RJ45 &amp; 4x25G SFP (1/10/25GbE) switch, front to rear air, 2xDC PSU, ORv3A Rack Kit</t>
  </si>
  <si>
    <t>AWE-7230R-4TX-4S-F</t>
  </si>
  <si>
    <t>Arista 7230R Router up to 30Gbps, 4x 10GBASE-T ports (w/2x fail to wire ports) 4x 10G SFP+ ports, 2 expn. slots, front to rear air, 2x AC</t>
  </si>
  <si>
    <t>AWE-7220RP-5TH-2S-F</t>
  </si>
  <si>
    <t>Arista 7220R Router up to 5Gbps, 4x 1GBASE-T POE++ ports, 1x 1GBASE-T port, 2x 10G SFP+ ports, front to rear air, 1x AC</t>
  </si>
  <si>
    <t>LIC-WAN4-FLX</t>
  </si>
  <si>
    <t>FlexRoute license for Arista WAN platforms Band 4 - Full Routing up to system limits</t>
  </si>
  <si>
    <t>LIC-WAN2-FLX</t>
  </si>
  <si>
    <t>FLexRoute license for Arista WAN platforms Band 2 - Full Routing up to system limits</t>
  </si>
  <si>
    <t>LIC-WAN1-FLX</t>
  </si>
  <si>
    <t>FLX License for Arista WAN platforms Band 1 - Full Routing up to system limits</t>
  </si>
  <si>
    <t>SVC-7909R5-1M-NB</t>
  </si>
  <si>
    <t>1-Month A-Care Software &amp; 8x5xNBD Hardware Replacement/Same Day Ship for 7909R5</t>
  </si>
  <si>
    <t>SVC-7909R5-1M-4H</t>
  </si>
  <si>
    <t>1-Month A-Care 24x7x4 Software &amp; Hardware Replacement for 7909R5</t>
  </si>
  <si>
    <t>SVC-7909R5-1M-2H</t>
  </si>
  <si>
    <t>1-Month A-Care 24x7x2 Software &amp; Hardware Replacement for 7909R5</t>
  </si>
  <si>
    <t>SVC-7918R5-1M-NB</t>
  </si>
  <si>
    <t>1-Month A-Care Software &amp; 8x5xNBD Hardware Replacement/Same Day Ship for 7918R5</t>
  </si>
  <si>
    <t>SVC-7918R5-1M-4H</t>
  </si>
  <si>
    <t>1-Month A-Care 24x7x4 Software &amp; Hardware Replacement for 7918R5</t>
  </si>
  <si>
    <t>SVC-7918R5-1M-2H</t>
  </si>
  <si>
    <t>1-Month A-Care 24x7x2 Software &amp; Hardware Replacement for 7918R5</t>
  </si>
  <si>
    <t>SVC-7060XE7-128PE-1M-NB</t>
  </si>
  <si>
    <t>1 Month A-Care Software &amp; NBD Hardware Replacement/Same Day Ship for 7060XE7-128PE</t>
  </si>
  <si>
    <t>SVC-7060XE7-128PE-1M-4H</t>
  </si>
  <si>
    <t>1-Month A-Care Software &amp; 24x7x4 Hour Hardware Replacement for 7060XE7-128PE</t>
  </si>
  <si>
    <t>SVC-7060XE7-128PE-1M-2H</t>
  </si>
  <si>
    <t>1-Month A-Care Software &amp; 24x7x2 Hour Hardware Replacement for 7060XE7-128PE</t>
  </si>
  <si>
    <t>SVC-7060XE7-64PRS-1M-2H</t>
  </si>
  <si>
    <t>1-Month A-Care Software &amp; 24x7x2 Hour Hardware Replacement for 7060XE7-64PRS</t>
  </si>
  <si>
    <t>SVC-7060XE7-64PRS-1M-4H</t>
  </si>
  <si>
    <t>1-Month A-Care Software &amp; 24x7x4 Hour Hardware Replacement for 7060XE7-64PRS</t>
  </si>
  <si>
    <t>SVC-7060XE7-64PRS-1M-NB</t>
  </si>
  <si>
    <t>1 Month A-Care Software &amp; NBD Hardware Replacement/Same Day Ship for 7060XE7-64PRS</t>
  </si>
  <si>
    <t>SVC-7060XE7-64PRS-RV3-L-1M-2H</t>
  </si>
  <si>
    <t>1-Month A-Care Software &amp; 24x7x2 Hour Hardware Replacement for 7060XE7-64PRS-RV3-L</t>
  </si>
  <si>
    <t>SVC-7060XE7-64PRS-RV3-L-1M-4H</t>
  </si>
  <si>
    <t>1-Month A-Care Software &amp; 24x7x4 Hour Hardware Replacement for 7060XE7-64PRS-RV3-L</t>
  </si>
  <si>
    <t>SVC-7060XE7-64PRS-RV3-L-1M-NB</t>
  </si>
  <si>
    <t>1 Month A-Care Software &amp; NBD Hardware Replacement/Same Day Ship for 7060XE7-64PRS-RV3-L</t>
  </si>
  <si>
    <t>SVC-7060XE7-64PRS-MV3-L-1M-NB</t>
  </si>
  <si>
    <t>1 Month A-Care Software &amp; NBD Hardware Replacement/Same Day Ship for 7060XE7-64PRS-MV3-L</t>
  </si>
  <si>
    <t>SVC-7060XE7-64PRS-MV3-L-1M-4H</t>
  </si>
  <si>
    <t>1-Month A-Care Software &amp; 24x7x4 Hour Hardware Replacement for 7060XE7-64PRS-MV3-L</t>
  </si>
  <si>
    <t>SVC-7060XE7-64PRS-MV3-L-1M-2H</t>
  </si>
  <si>
    <t>1-Month A-Care Software &amp; 24x7x2 Hour Hardware Replacement for 7060XE7-64PRS-MV3-L</t>
  </si>
  <si>
    <t>SVC-7060XE7-64PS-1M-2H</t>
  </si>
  <si>
    <t>1-Month A-Care Software &amp; 24x7x2 Hour Hardware Replacement for 7060XE7-64PS</t>
  </si>
  <si>
    <t>SVC-7060XE7-64PS-1M-4H</t>
  </si>
  <si>
    <t>1-Month A-Care Software &amp; 24x7x4 Hour Hardware Replacement for 7060XE7-64PS</t>
  </si>
  <si>
    <t>SVC-7060XE7-64PS-1M-NB</t>
  </si>
  <si>
    <t>1 Month A-Care Software &amp; NBD Hardware Replacement/Same Day Ship for 7060XE7-64PS</t>
  </si>
  <si>
    <t>SVC-OC-7060XE7-64PS-1M-NB</t>
  </si>
  <si>
    <t>1 Month A-Care Software &amp; NBD Hardware Replacement/Same Day Ship for OC-7060XE7-64PS-F</t>
  </si>
  <si>
    <t>SVC-OC-7060X6-64PE-1M-NB</t>
  </si>
  <si>
    <t>1-Month A-Care Software &amp; NBD Hardware Replacement/Same Day Ship for OC-7060X6-64PE</t>
  </si>
  <si>
    <t>SVC-OC-7060DX4-32-1M-NB</t>
  </si>
  <si>
    <t>1 Month A-Care Software &amp; NBD Hardware Replacement/Same Day Ship for OC-7060DX4-32</t>
  </si>
  <si>
    <t>SVC-OC-7060DX5-32-1M-NB</t>
  </si>
  <si>
    <t>1 Month A-Care Software &amp; NBD Hardware Replacement/Same Day Ship for OC-7060DX5-32</t>
  </si>
  <si>
    <t>SVC-7020HR4-10QC-4DF-1M-2H</t>
  </si>
  <si>
    <t>1-Month A-Care Software &amp; 24x7x2 Hour Hardware Replacement for 7020HR4-10QC-4DF</t>
  </si>
  <si>
    <t>SVC-7020HR4-10QC-4DF-1M-4H</t>
  </si>
  <si>
    <t>1-Month A-Care Software &amp; 24x7x4 Hour Hardware Replacement for 7020HR4-10QC-4DF</t>
  </si>
  <si>
    <t>SVC-7020HR4-10QC-4DF-1M-NB</t>
  </si>
  <si>
    <t>1 Month A-Care Software &amp; NBD Hardware Replacement/Same Day Ship for 7020HR4-10QC-4DF</t>
  </si>
  <si>
    <t>SVC-7020HR4-24Y-4QC-1M-2H</t>
  </si>
  <si>
    <t>1-Month A-Care Software &amp; 24x7x2 Hour Hardware Replacement for 7020HR4-24Y-4QC</t>
  </si>
  <si>
    <t>SVC-7020HR4-24Y-4QC-1M-4H</t>
  </si>
  <si>
    <t>1-Month A-Care Software &amp; 24x7x4 Hour Hardware Replacement for 7020HR4-24Y-4QC</t>
  </si>
  <si>
    <t>SVC-7020HR4-24Y-4QC-1M-NB</t>
  </si>
  <si>
    <t>1 Month A-Care Software &amp; NBD Hardware Replacement/Same Day Ship for 7020HR4-24Y-4QC</t>
  </si>
  <si>
    <t>SVC-7020HR4-24Y-6QDF-1M-2H</t>
  </si>
  <si>
    <t>1-Month A-Care Software &amp; 24x7x2 Hour Hardware Replacement for 7020HR4-24Y-6QDF</t>
  </si>
  <si>
    <t>SVC-7020HR4-24Y-6QDF-1M-4H</t>
  </si>
  <si>
    <t>1-Month A-Care Software &amp; 24x7x4 Hour Hardware Replacement for 7020HR4-24Y-6QDF</t>
  </si>
  <si>
    <t>SVC-7020HR4-24Y-6QDF-1M-NB</t>
  </si>
  <si>
    <t>1 Month A-Care Software &amp; NBD Hardware Replacement/Same Day Ship for 7020HR4-24Y-6QDF</t>
  </si>
  <si>
    <t>SVC-7020HR4-32SYL-2DF-1M-2H</t>
  </si>
  <si>
    <t>1-Month A-Care Software &amp; 24x7x2 Hour Hardware Replacement for 7020HR4-32SYL-2DF</t>
  </si>
  <si>
    <t>SVC-7020HR4-32SYL-2DF-1M-4H</t>
  </si>
  <si>
    <t>1-Month A-Care Software &amp; 24x7x4 Hour Hardware Replacement for 7020HR4-32SYL-2DF</t>
  </si>
  <si>
    <t>SVC-7020HR4-32SYL-2DF-1M-NB</t>
  </si>
  <si>
    <t>1 Month A-Care Software &amp; NBD Hardware Replacement/Same Day Ship for 7020HR4-32SYL-2DF</t>
  </si>
  <si>
    <t>SVC-7020HR4M-10QC-4DF-1M-2H</t>
  </si>
  <si>
    <t>1-Month A-Care Software &amp; 24x7x2 Hour Hardware Replacement for 7020HR4M-10QC-4DF</t>
  </si>
  <si>
    <t>SVC-7020HR4M-10QC-4DF-1M-4H</t>
  </si>
  <si>
    <t>1-Month A-Care Software &amp; 24x7x4 Hour Hardware Replacement for 7020HR4M-10QC-4DF</t>
  </si>
  <si>
    <t>SVC-7020HR4M-10QC-4DF-1M-NB</t>
  </si>
  <si>
    <t>1 Month A-Care Software &amp; NBD Hardware Replacement/Same Day Ship for 7020HR4M-10QC-4DF</t>
  </si>
  <si>
    <t>SVC-7020HR4M-24Y-4QC-1M-2H</t>
  </si>
  <si>
    <t>1-Month A-Care Software &amp; 24x7x2 Hour Hardware Replacement for 7020HR4M-24Y-4QC</t>
  </si>
  <si>
    <t>SVC-7020HR4M-24Y-4QC-1M-4H</t>
  </si>
  <si>
    <t>1-Month A-Care Software &amp; 24x7x4 Hour Hardware Replacement for 7020HR4M-24Y-4QC</t>
  </si>
  <si>
    <t>SVC-7020HR4M-24Y-4QC-1M-NB</t>
  </si>
  <si>
    <t>1 Month A-Care Software &amp; NBD Hardware Replacement/Same Day Ship for 7020HR4M-24Y-4QC</t>
  </si>
  <si>
    <t>SVC-7020HR4M-24Y-6QDF-1M-2H</t>
  </si>
  <si>
    <t>1-Month A-Care Software &amp; 24x7x2 Hour Hardware Replacement for 7020HR4M-24Y-6QDF</t>
  </si>
  <si>
    <t>SVC-7020HR4M-24Y-6QDF-1M-4H</t>
  </si>
  <si>
    <t>1-Month A-Care Software &amp; 24x7x4 Hour Hardware Replacement for 7020HR4M-24Y-6QDF</t>
  </si>
  <si>
    <t>SVC-7020HR4M-24Y-6QDF-1M-NB</t>
  </si>
  <si>
    <t>1 Month A-Care Software &amp; NBD Hardware Replacement/Same Day Ship for 7020HR4M-24Y-6QDF</t>
  </si>
  <si>
    <t>SVC-7020HR4M-32SYL-2DF-1M-2H</t>
  </si>
  <si>
    <t>1-Month A-Care Software &amp; 24x7x2 Hour Hardware Replacement for 7020HR4M-32SYL-2DF</t>
  </si>
  <si>
    <t>SVC-7020HR4M-32SYL-2DF-1M-4H</t>
  </si>
  <si>
    <t>1-Month A-Care Software &amp; 24x7x4 Hour Hardware Replacement for 7020HR4M-32SYL-2DF</t>
  </si>
  <si>
    <t>SVC-7020HR4M-32SYL-2DF-1M-NB</t>
  </si>
  <si>
    <t>1 Month A-Care Software &amp; NBD Hardware Replacement/Same Day Ship for 7020HR4M-32SYL-2DF</t>
  </si>
  <si>
    <t>SVC-7020R4-10QC-4DF-1M-2H</t>
  </si>
  <si>
    <t>1-Month A-Care Software &amp; 24x7x2 Hour Hardware Replacement for 7020R4-10QC-4DF</t>
  </si>
  <si>
    <t>SVC-7020R4-10QC-4DF-1M-4H</t>
  </si>
  <si>
    <t>1-Month A-Care Software &amp; 24x7x4 Hour Hardware Replacement for 7020R4-10QC-4DF</t>
  </si>
  <si>
    <t>SVC-7020R4-10QC-4DF-1M-NB</t>
  </si>
  <si>
    <t>1 Month A-Care Software &amp; NBD Hardware Replacement/Same Day Ship for 7020R4-10QC-4DF</t>
  </si>
  <si>
    <t>SVC-7020R4-24Y-4QC-1M-2H</t>
  </si>
  <si>
    <t>1-Month A-Care Software &amp; 24x7x2 Hour Hardware Replacement for 7020R4-24Y-4QC</t>
  </si>
  <si>
    <t>SVC-7020R4-24Y-4QC-1M-4H</t>
  </si>
  <si>
    <t>1-Month A-Care Software &amp; 24x7x4 Hour Hardware Replacement for 7020R4-24Y-4QC</t>
  </si>
  <si>
    <t>SVC-7020R4-24Y-4QC-1M-NB</t>
  </si>
  <si>
    <t>1 Month A-Care Software &amp; NBD Hardware Replacement/Same Day Ship for 7020R4-24Y-4QC</t>
  </si>
  <si>
    <t>SVC-7020R4-24Y-6QDF-1M-2H</t>
  </si>
  <si>
    <t>1-Month A-Care Software &amp; 24x7x2 Hour Hardware Replacement for 7020R4-24Y-6QDF</t>
  </si>
  <si>
    <t>SVC-7020R4-24Y-6QDF-1M-4H</t>
  </si>
  <si>
    <t>1-Month A-Care Software &amp; 24x7x4 Hour Hardware Replacement for 7020R4-24Y-6QDF</t>
  </si>
  <si>
    <t>SVC-7020R4-24Y-6QDF-1M-NB</t>
  </si>
  <si>
    <t>1 Month A-Care Software &amp; NBD Hardware Replacement/Same Day Ship for 7020R4-24Y-6QDF</t>
  </si>
  <si>
    <t>SVC-7020R4M-10QC-4DF-1M-2H</t>
  </si>
  <si>
    <t>1-Month A-Care Software &amp; 24x7x2 Hour Hardware Replacement for 7020R4M-10QC-4DF</t>
  </si>
  <si>
    <t>SVC-7020R4M-10QC-4DF-1M-4H</t>
  </si>
  <si>
    <t>1-Month A-Care Software &amp; 24x7x4 Hour Hardware Replacement for 7020R4M-10QC-4DF</t>
  </si>
  <si>
    <t>SVC-7020R4M-10QC-4DF-1M-NB</t>
  </si>
  <si>
    <t>1 Month A-Care Software &amp; NBD Hardware Replacement/Same Day Ship for 7020R4M-10QC-4DF</t>
  </si>
  <si>
    <t>SVC-7020R4M-24Y-4QC-1M-2H</t>
  </si>
  <si>
    <t>1-Month A-Care Software &amp; 24x7x2 Hour Hardware Replacement for 7020R4M-24Y-4QC</t>
  </si>
  <si>
    <t>SVC-7020R4M-24Y-4QC-1M-4H</t>
  </si>
  <si>
    <t>1-Month A-Care Software &amp; 24x7x4 Hour Hardware Replacement for 7020R4M-24Y-4QC</t>
  </si>
  <si>
    <t>SVC-7020R4M-24Y-4QC-1M-NB</t>
  </si>
  <si>
    <t>1 Month A-Care Software &amp; NBD Hardware Replacement/Same Day Ship for 7020R4M-24Y-4QC</t>
  </si>
  <si>
    <t>SVC-7020R4M-24Y-6QDF-1M-2H</t>
  </si>
  <si>
    <t>1-Month A-Care Software &amp; 24x7x2 Hour Hardware Replacement for 7020R4M-24Y-6QDF</t>
  </si>
  <si>
    <t>SVC-7020R4M-24Y-6QDF-1M-4H</t>
  </si>
  <si>
    <t>1-Month A-Care Software &amp; 24x7x4 Hour Hardware Replacement for 7020R4M-24Y-6QDF</t>
  </si>
  <si>
    <t>SVC-7020R4M-24Y-6QDF-1M-NB</t>
  </si>
  <si>
    <t>1 Month A-Care Software &amp; NBD Hardware Replacement/Same Day Ship for 7020R4M-24Y-6QDF</t>
  </si>
  <si>
    <t>SVC-OC-7010TX-48C-O3A-1M-NB</t>
  </si>
  <si>
    <t>1 Month A-Care Software &amp; NBD Hardware Replacement/Same Day Ship for OC-7010TX-48C-DC-RV3A</t>
  </si>
  <si>
    <t>OSV-7020HR4-10QC-4DF-1M-4H</t>
  </si>
  <si>
    <t>Onsite Service: 1-Month A-Care Software &amp; 24x7x4 Hour Hardware Replacement for 7020HR4-10QC-4DF</t>
  </si>
  <si>
    <t>OSV-7020HR4-10QC-4DF-1M-NB</t>
  </si>
  <si>
    <t>Onsite Service: 1 Month A-Care Software &amp; NBD Hardware Replacement/Same Day Ship for 7020HR4-10QC-4DF</t>
  </si>
  <si>
    <t>OSV-7020HR4-24Y-4QC-1M-4H</t>
  </si>
  <si>
    <t>Onsite Service: 1-Month A-Care Software &amp; 24x7x4 Hour Hardware Replacement for 7020HR4-24Y-4QC</t>
  </si>
  <si>
    <t>OSV-7020HR4-24Y-4QC-1M-NB</t>
  </si>
  <si>
    <t>Onsite Service: 1 Month A-Care Software &amp; NBD Hardware Replacement/Same Day Ship for 7020HR4-24Y-4QC</t>
  </si>
  <si>
    <t>OSV-7020HR4-24Y-6QDF-1M-4H</t>
  </si>
  <si>
    <t>Onsite Service: 1-Month A-Care Software &amp; 24x7x4 Hour Hardware Replacement for 7020HR4-24Y-6QDF</t>
  </si>
  <si>
    <t>OSV-7020HR4-24Y-6QDF-1M-NB</t>
  </si>
  <si>
    <t>Onsite Service: 1 Month A-Care Software &amp; NBD Hardware Replacement/Same Day Ship for 7020HR4-24Y-6QDF</t>
  </si>
  <si>
    <t>OSV-7020HR4-32SYL-2DF-1M-4H</t>
  </si>
  <si>
    <t>Onsite Service: 1-Month A-Care Software &amp; 24x7x4 Hour Hardware Replacement for 7020HR4-32SYL-2DF</t>
  </si>
  <si>
    <t>OSV-7020HR4-32SYL-2DF-1M-NB</t>
  </si>
  <si>
    <t>Onsite Service: 1 Month A-Care Software &amp; NBD Hardware Replacement/Same Day Ship for 7020HR4-32SYL-2DF</t>
  </si>
  <si>
    <t>OSV-7020HR4M-10QC-4DF-1M-4H</t>
  </si>
  <si>
    <t>Onsite Service: 1-Month A-Care Software &amp; 24x7x4 Hour Hardware Replacement for 7020HR4M-10QC-4DF</t>
  </si>
  <si>
    <t>OSV-7020HR4M-10QC-4DF-1M-NB</t>
  </si>
  <si>
    <t>Onsite Service: 1 Month A-Care Software &amp; NBD Hardware Replacement/Same Day Ship for 7020HR4M-10QC-4DF</t>
  </si>
  <si>
    <t>OSV-7020HR4M-24Y-4QC-1M-4H</t>
  </si>
  <si>
    <t>Onsite Service: 1-Month A-Care Software &amp; 24x7x4 Hour Hardware Replacement for 7020HR4M-24Y-4QC</t>
  </si>
  <si>
    <t>OSV-7020HR4M-24Y-4QC-1M-NB</t>
  </si>
  <si>
    <t>Onsite Service: 1 Month A-Care Software &amp; NBD Hardware Replacement/Same Day Ship for 7020HR4M-24Y-4QC</t>
  </si>
  <si>
    <t>OSV-7020HR4M-24Y-6QDF-1M-4H</t>
  </si>
  <si>
    <t>Onsite Service: 1-Month A-Care Software &amp; 24x7x4 Hour Hardware Replacement for 7020HR4M-24Y-6QDF</t>
  </si>
  <si>
    <t>OSV-7020HR4M-24Y-6QDF-1M-NB</t>
  </si>
  <si>
    <t>Onsite Service: 1 Month A-Care Software &amp; NBD Hardware Replacement/Same Day Ship for 7020HR4M-24Y-6QDF</t>
  </si>
  <si>
    <t>OSV-7020HR4M-32SYL-2DF-1M-4H</t>
  </si>
  <si>
    <t>Onsite Service: 1-Month A-Care Software &amp; 24x7x4 Hour Hardware Replacement for 7020HR4M-32SYL-2DF</t>
  </si>
  <si>
    <t>OSV-7020HR4M-32SYL-2DF-1M-NB</t>
  </si>
  <si>
    <t>Onsite Service: 1 Month A-Care Software &amp; NBD Hardware Replacement/Same Day Ship for 7020HR4M-32SYL-2DF</t>
  </si>
  <si>
    <t>OSV-7020R4-10QC-4DF-1M-4H</t>
  </si>
  <si>
    <t>Onsite Service: 1-Month A-Care Software &amp; 24x7x4 Hour Hardware Replacement for 7020R4-10QC-4DF</t>
  </si>
  <si>
    <t>OSV-7020R4-10QC-4DF-1M-NB</t>
  </si>
  <si>
    <t>Onsite Service: 1 Month A-Care Software &amp; NBD Hardware Replacement/Same Day Ship for 7020R4-10QC-4DF</t>
  </si>
  <si>
    <t>OSV-7020R4-24Y-4QC-1M-4H</t>
  </si>
  <si>
    <t>Onsite Service: 1-Month A-Care Software &amp; 24x7x4 Hour Hardware Replacement for 7020R4-24Y-4QC</t>
  </si>
  <si>
    <t>OSV-7020R4-24Y-4QC-1M-NB</t>
  </si>
  <si>
    <t>Onsite Service: 1 Month A-Care Software &amp; NBD Hardware Replacement/Same Day Ship for 7020R4-24Y-4QC</t>
  </si>
  <si>
    <t>OSV-7020R4-24Y-6QDF-1M-4H</t>
  </si>
  <si>
    <t>Onsite Service: 1-Month A-Care Software &amp; 24x7x4 Hour Hardware Replacement for 7020R4-24Y-6QDF</t>
  </si>
  <si>
    <t>OSV-7020R4-24Y-6QDF-1M-NB</t>
  </si>
  <si>
    <t>Onsite Service: 1 Month A-Care Software &amp; NBD Hardware Replacement/Same Day Ship for 7020R4-24Y-6QDF</t>
  </si>
  <si>
    <t>OSV-7020R4M-10QC-4DF-1M-4H</t>
  </si>
  <si>
    <t>Onsite Service: 1-Month A-Care Software &amp; 24x7x4 Hour Hardware Replacement for 7020R4M-10QC-4DF</t>
  </si>
  <si>
    <t>OSV-7020R4M-10QC-4DF-1M-NB</t>
  </si>
  <si>
    <t>Onsite Service: 1 Month A-Care Software &amp; NBD Hardware Replacement/Same Day Ship for 7020R4M-10QC-4DF</t>
  </si>
  <si>
    <t>OSV-7020R4M-24Y-4QC-1M-4H</t>
  </si>
  <si>
    <t>Onsite Service: 1-Month A-Care Software &amp; 24x7x4 Hour Hardware Replacement for 7020R4M-24Y-4QC</t>
  </si>
  <si>
    <t>OSV-7020R4M-24Y-4QC-1M-NB</t>
  </si>
  <si>
    <t>Onsite Service: 1 Month A-Care Software &amp; NBD Hardware Replacement/Same Day Ship for 7020R4M-24Y-4QC</t>
  </si>
  <si>
    <t>OSV-7020R4M-24Y-6QDF-1M-4H</t>
  </si>
  <si>
    <t>Onsite Service: 1-Month A-Care Software &amp; 24x7x4 Hour Hardware Replacement for 7020R4M-24Y-6QDF</t>
  </si>
  <si>
    <t>OSV-7020R4M-24Y-6QDF-1M-NB</t>
  </si>
  <si>
    <t>Onsite Service: 1 Month A-Care Software &amp; NBD Hardware Replacement/Same Day Ship for 7020R4M-24Y-6QDF</t>
  </si>
  <si>
    <t>SVC-7282R4-32PE-1M-SH4</t>
  </si>
  <si>
    <t>1-Month Shared Service Contract for 7282R4-32PE, SW and 24x7x4 Hour Replacement</t>
  </si>
  <si>
    <t>SVC-7282R4-32PE-1M-SHR</t>
  </si>
  <si>
    <t>1-Month Shared Service Contract for 7282R4-32PE, SW and NBD/Same Day Ship Replacement</t>
  </si>
  <si>
    <t>SVC-7282R4K-32PE-1M-SH4</t>
  </si>
  <si>
    <t>1-Month Shared Service Contract for 7282R4K-32PE, SW and 24x7x4 Hour Replacement</t>
  </si>
  <si>
    <t>SVC-7282R4K-32PE-1M-SHR</t>
  </si>
  <si>
    <t>1-Month Shared Service Contract for 7282R4K-32PE, SW and NBD/Same Day Ship Replacement</t>
  </si>
  <si>
    <t>SVC-7282R4-64QC-10PE-1M-SH4</t>
  </si>
  <si>
    <t>1-Month Shared Service Contract for 7282R4-64QC-10PE, SW and 24x7x4 Hour Replacement</t>
  </si>
  <si>
    <t>SVC-7282R4-64QC-10PE-1M-SHR</t>
  </si>
  <si>
    <t>1-Month Shared Service Contract for 7282R4-64QC-10PE, SW and NBD/Same Day Ship Replacement</t>
  </si>
  <si>
    <t>SVC-7282R4K-64QC-10PE-1M-SH4</t>
  </si>
  <si>
    <t>1-Month Shared Service Contract for 7282R4K-64QC-10PE, SW and 24x7x4 Hour Replacement</t>
  </si>
  <si>
    <t>SVC-7282R4K-64QC-10PE-1M-SHR</t>
  </si>
  <si>
    <t>1-Month Shared Service Contract for 7282R4K-64QC-10PE, SW and NBD/Same Day Ship Replacement</t>
  </si>
  <si>
    <t>SVC-7060XE7-64PRS-1M-SH4</t>
  </si>
  <si>
    <t>1-Month Shared Service Contract for 7060XE7-64PRS, SW and 24x7x4 Hour Replacement</t>
  </si>
  <si>
    <t>SVC-7060XE7-64PRS-1M-SHR</t>
  </si>
  <si>
    <t>1-Month Shared Service Contract for 7060XE7-64PRS, SW and NBD/Same Day Ship Replacement</t>
  </si>
  <si>
    <t>SVC-7060XE7-64PRS-RV3-L-1M-SH4</t>
  </si>
  <si>
    <t>1-Month Shared Service Contract for 7060XE7-64PRS-RV3-L, SW and 24x7x4 Hour Replacement</t>
  </si>
  <si>
    <t>SVC-7060XE7-64PRS-RV3-L-1M-SHR</t>
  </si>
  <si>
    <t>1-Month Shared Service Contract for 7060XE7-64PRS-RV3-L, SW and NBD/Same Day Ship Replacement</t>
  </si>
  <si>
    <t>SVC-7060XE7-64PS-1M-SH4</t>
  </si>
  <si>
    <t>1-Month Shared Service Contract for 7060XE7-64PS, SW and 24x7x4 Hour Replacement</t>
  </si>
  <si>
    <t>SVC-7060XE7-64PS-1M-SHR</t>
  </si>
  <si>
    <t>1-Month Shared Service Contract for 7060XE7-64PS, SW and NBD/Same Day Ship Replacement</t>
  </si>
  <si>
    <t>SVC-7020R4-24Y-4QC-1M-SHR</t>
  </si>
  <si>
    <t>1-Month Shared Service Contract for 7020R4-24Y-4QC, SW and NBD/Same Day Ship Replacement</t>
  </si>
  <si>
    <t>SVC-7020R4-24Y-4QC-1M-SH4</t>
  </si>
  <si>
    <t>1-Month Shared Service Contract for 7020R4-24Y-4QC, SW and 24x7x4 Hour Replacement</t>
  </si>
  <si>
    <t>SVC-7020R4M-24Y-4QC-1M-SHR</t>
  </si>
  <si>
    <t>1-Month Shared Service Contract for 7020R4M-24Y-4QC, SW and NBD/Same Day Ship Replacement</t>
  </si>
  <si>
    <t>SVC-7020R4M-24Y-4QC-1M-SH4</t>
  </si>
  <si>
    <t>1-Month Shared Service Contract for 7020R4M-24Y-4QC, SW and 24x7x4 Hour Replacement</t>
  </si>
  <si>
    <t>SVC-7020HR4-24Y-4QC-1M-SHR</t>
  </si>
  <si>
    <t>1-Month Shared Service Contract for 7020HR4-24Y-4QC, SW and NBD/Same Day Ship Replacement</t>
  </si>
  <si>
    <t>SVC-7020HR4-24Y-4QC-1M-SH4</t>
  </si>
  <si>
    <t>1-Month Shared Service Contract for 7020HR4-24Y-4QC, SW and 24x7x4 Hour Replacement</t>
  </si>
  <si>
    <t>SVC-7020HR4M-24Y-4QC-1M-SHR</t>
  </si>
  <si>
    <t>1-Month Shared Service Contract for 7020HR4M-24Y-4QC, SW and NBD/Same Day Ship Replacement</t>
  </si>
  <si>
    <t>SVC-7020HR4M-24Y-4QC-1M-SH4</t>
  </si>
  <si>
    <t>1-Month Shared Service Contract for 7020HR4M-24Y-4QC, SW and 24x7x4 Hour Replacement</t>
  </si>
  <si>
    <t>SVC-7020R4-24Y-6QDF-1M-SHR</t>
  </si>
  <si>
    <t>1-Month Shared Service Contract for 7020R4-24Y-6QDF, SW and NBD/Same Day Ship Replacement</t>
  </si>
  <si>
    <t>SVC-7020R4-24Y-6QDF-1M-SH4</t>
  </si>
  <si>
    <t>1-Month Shared Service Contract for 7020R4-24Y-6QDF, SW and 24x7x4 Hour Replacement</t>
  </si>
  <si>
    <t>SVC-7020R4M-24Y-6QDF-1M-SHR</t>
  </si>
  <si>
    <t>1-Month Shared Service Contract for 7020R4M-24Y-6QDF, SW and NBD/Same Day Ship Replacement</t>
  </si>
  <si>
    <t>SVC-7020R4M-24Y-6QDF-1M-SH4</t>
  </si>
  <si>
    <t>1-Month Shared Service Contract for 7020R4M-24Y-6QDF, SW and 24x7x4 Hour Replacement</t>
  </si>
  <si>
    <t>SVC-7020HR4-24Y-6QDF-1M-SHR</t>
  </si>
  <si>
    <t>1-Month Shared Service Contract for 7020HR4-24Y-6QDF, SW and NBD/Same Day Ship Replacement</t>
  </si>
  <si>
    <t>SVC-7020HR4-24Y-6QDF-1M-SH4</t>
  </si>
  <si>
    <t>1-Month Shared Service Contract for 7020HR4-24Y-6QDF, SW and 24x7x4 Hour Replacement</t>
  </si>
  <si>
    <t>SVC-7020HR4M-24Y-6QDF-1M-SHR</t>
  </si>
  <si>
    <t>1-Month Shared Service Contract for 7020HR4M-24Y-6QDF, SW and NBD/Same Day Ship Replacement</t>
  </si>
  <si>
    <t>SVC-7020HR4M-24Y-6QDF-1M-SH4</t>
  </si>
  <si>
    <t>1-Month Shared Service Contract for 7020HR4M-24Y-6QDF, SW and 24x7x4 Hour Replacement</t>
  </si>
  <si>
    <t>SVC-7020HR4-32SYL-2DF-1M-SHR</t>
  </si>
  <si>
    <t>1-Month Shared Service Contract for 7020HR4-32SYL-2DF, SW and NBD/Same Day Ship Replacement</t>
  </si>
  <si>
    <t>SVC-7020HR4-32SYL-2DF-1M-SH4</t>
  </si>
  <si>
    <t>1-Month Shared Service Contract for 7020HR4-32SYL-2DF, SW and 24x7x4 Hour Replacement</t>
  </si>
  <si>
    <t>SVC-7020HR4M-32SYL-2DF-1M-SHR</t>
  </si>
  <si>
    <t>1-Month Shared Service Contract for 7020HR4M-32SYL-2DF, SW and NBD/Same Day Ship Replacement</t>
  </si>
  <si>
    <t>SVC-7020HR4M-32SYL-2DF-1M-SH4</t>
  </si>
  <si>
    <t>1-Month Shared Service Contract for 7020HR4M-32SYL-2DF, SW and 24x7x4 Hour Replacement</t>
  </si>
  <si>
    <t>SVC-7020R4-10QC-4DF-1M-SHR</t>
  </si>
  <si>
    <t>1-Month Shared Service Contract for 7020R4-10QC-4DF, SW and NBD/Same Day Ship Replacement</t>
  </si>
  <si>
    <t>SVC-7020R4-10QC-4DF-1M-SH4</t>
  </si>
  <si>
    <t>1-Month Shared Service Contract for 7020R4-10QC-4DF, SW and 24x7x4 Hour Replacement</t>
  </si>
  <si>
    <t>SVC-7020R4M-10QC-4DF-1M-SHR</t>
  </si>
  <si>
    <t>1-Month Shared Service Contract for 7020R4M-10QC-4DF, SW and NBD/Same Day Ship Replacement</t>
  </si>
  <si>
    <t>SVC-7020R4M-10QC-4DF-1M-SH4</t>
  </si>
  <si>
    <t>1-Month Shared Service Contract for 7020R4M-10QC-4DF, SW and 24x7x4 Hour Replacement</t>
  </si>
  <si>
    <t>SVC-7020HR4-10QC-4DF-1M-SHR</t>
  </si>
  <si>
    <t>1-Month Shared Service Contract for 7020HR4-10QC-4DF, SW and NBD/Same Day Ship Replacement</t>
  </si>
  <si>
    <t>SVC-7020HR4-10QC-4DF-1M-SH4</t>
  </si>
  <si>
    <t>1-Month Shared Service Contract for 7020HR4-10QC-4DF, SW and 24x7x4 Hour Replacement</t>
  </si>
  <si>
    <t>SVC-7020HR4M-10QC-4DF-1M-SHR</t>
  </si>
  <si>
    <t>1-Month Shared Service Contract for 7020HR4M-10QC-4DF, SW and NBD/Same Day Ship Replacement</t>
  </si>
  <si>
    <t>SVC-7020HR4M-10QC-4DF-1M-SH4</t>
  </si>
  <si>
    <t>1-Month Shared Service Contract for 7020HR4M-10QC-4DF, SW and 24x7x4 Hour Replacement</t>
  </si>
  <si>
    <t>3NB-7050SX3-48YC8-F</t>
  </si>
  <si>
    <t>MSFT Only: Arista 7050SX3, 48x25GbE SFP &amp; 8 x 100G QSFP switch, AC, front to rear air, with 3Yr NBD, E+Z License.</t>
  </si>
  <si>
    <t>3NB-7280CR3-32P4-F</t>
  </si>
  <si>
    <t>Arista 7280R3, 32x100GbE QSFP and 4x400GbE OSFP switch router, front to rear air, 2 x AC,  3 yrs NB support</t>
  </si>
  <si>
    <t>3NB-7280CR3-96-F</t>
  </si>
  <si>
    <t>Arista 7280R3, 96x100GbE QSFP switch router, front to rear air, 2 x AC,  3 years NBD support</t>
  </si>
  <si>
    <t>3NB-7280CR3K-32P4-F</t>
  </si>
  <si>
    <t>Arista 7280R3, 32x100GbE QSFP and 4x400GbE OSFP switch router, large route, front to rear air, 2 x AC, 3 years NBD support</t>
  </si>
  <si>
    <t>3NB-7280SR3-48YC8-F</t>
  </si>
  <si>
    <t>Arista 7280R3, 48x25GbE SFP and 8x100G QSFP switch router, front to rear air, 2 x AC, 3 years NBD support</t>
  </si>
  <si>
    <t>5NB-7050DX4-32S-F</t>
  </si>
  <si>
    <t>Arista 7050X4, 32x400GbE QSFP-DD &amp; 2xSFP+ switch, front-to-rear air, 2xAC - Includes 5YR NBD Support</t>
  </si>
  <si>
    <t>5NB-7280SR3-48YC8-F</t>
  </si>
  <si>
    <t>Arista 7280R3, 48x25GbE SFP and 8x100G QSFP switch router, front to rear air, 2 x AC - Includes 5YR NBD Support</t>
  </si>
  <si>
    <t>5NB-7280SR3-48YC8-R</t>
  </si>
  <si>
    <t>Arista 7280R3, 48x25GbE SFP and 8x100G QSFP switch router, rear to front air, 2 x AC, 60 months NB support</t>
  </si>
  <si>
    <t>5NB-7308X3-BND2-D-F</t>
  </si>
  <si>
    <t>Arista 7308X3 chassis bundle. Includes 7308 chassis, 4x3KW PS, 4x 7300X3 Fabrics/fans, 1x Supervisor2 &amp; SSD (F-R) - Includes 5YR NBD Support</t>
  </si>
  <si>
    <t>7NB-7050SX3-24YC4C-S-F</t>
  </si>
  <si>
    <t>Arista 7050SX3-24YC4C-S with Bundled Licensing and Support</t>
  </si>
  <si>
    <t>7NB-7050SX3-48YC8C-F</t>
  </si>
  <si>
    <t>Arista 7050SX3-48YC8C with Bundled Licensing and Support</t>
  </si>
  <si>
    <t>7NB-7304X3-BND2-D-F</t>
  </si>
  <si>
    <t>Arista 7304X3, with Chassis Bundle, Licensing and Support</t>
  </si>
  <si>
    <t>7NB-7308X3-BND2-D-F</t>
  </si>
  <si>
    <t>Arista 7308X3, with Chassis Bundle, Licensing and Support</t>
  </si>
  <si>
    <t>DCS-7050CX3-32C-F-3Y-EDU2</t>
  </si>
  <si>
    <t>Arista 7050X3C, 32x100GbE QSFP+ &amp; 2xSFP+ switch, expn memory, SSD, front-to-rear air, 2xAC, 2xC13-C14 cords with 3-year NBD support</t>
  </si>
  <si>
    <t>DCS-7050CX3-32C-F-5Y-EDU2</t>
  </si>
  <si>
    <t>Arista 7050X3C, 32x100GbE QSFP+ &amp; 2xSFP+ switch, expn memory, SSD, front-to-rear air, 2xAC, 2xC13-C14 cords with 5-year NBD support</t>
  </si>
  <si>
    <t>DCS-7050CX3-32C-F-7Y-EDU2</t>
  </si>
  <si>
    <t>Arista 7050X3C, 32x100GbE QSFP+ &amp; 2xSFP+ switch, expn memory, SSD, front-to-rear air, 2xAC, 2xC13-C14 cords with 7-year NBD support</t>
  </si>
  <si>
    <t>DCS-7050CX3-32C-R-3Y-EDU2</t>
  </si>
  <si>
    <t>Arista 7050X3C, 32x100GbE QSFP+ &amp; 2xSFP+ switch, expn memory, SSD, rear-to-front air, 2xAC, 2xC13-C14 cords with 3-year NBD support</t>
  </si>
  <si>
    <t>DCS-7050CX3-32C-R-5Y-EDU2</t>
  </si>
  <si>
    <t>Arista 7050X3C, 32x100GbE QSFP+ &amp; 2xSFP+ switch, expn memory, SSD, rear-to-front air, 2xAC, 2xC13-C14 cords with 5-year NBD support</t>
  </si>
  <si>
    <t>DCS-7050CX3-32C-R-7Y-EDU2</t>
  </si>
  <si>
    <t>Arista 7050X3C, 32x100GbE QSFP+ &amp; 2xSFP+ switch, expn memory, SSD, rear-to-front air, 2xAC, 2xC13-C14 cords with 7-year NBD support</t>
  </si>
  <si>
    <t>Arista 7050X4, 32x400GbE QSFP-DD &amp; 2xSFP+ switch, Full Routing Up to 256K Routes, EVPN, VXLAN, front-to-rear air, 2xAC</t>
  </si>
  <si>
    <t>Arista 7050X4, 32x400GbE QSFP-DD &amp; 2xSFP+ switch, Full Routing Up to 256K Routes, EVPN, VXLAN, rear-to-front air, 2xAC</t>
  </si>
  <si>
    <t>DCS-7050SX3-24YC4C-S-F-3Y-EDU2</t>
  </si>
  <si>
    <t>Arista 7050X3, 24x25GbE SFP &amp; 4x100GbE QSFP switch, front-to-rear air, 2xAC, 2xC13-C14 cords with 3 year NBD support</t>
  </si>
  <si>
    <t>DCS-7050SX3-24YC4C-S-F-5Y-EDU2</t>
  </si>
  <si>
    <t>Arista 7050X3, 24x25GbE SFP &amp; 4x100GbE QSFP switch, front-to-rear air, 2xAC, 2xC13-C14 cords, with 5 year NBD support</t>
  </si>
  <si>
    <t>DCS-7050SX3-24YC4C-S-F-7Y-EDU2</t>
  </si>
  <si>
    <t>Arista 7050X3, 24x25GbE SFP &amp; 4x100GbE QSFP switch, front-to-rear air, 2xAC, 2xC13-C14 cords with 7-year NBD support</t>
  </si>
  <si>
    <t>DCS-7050SX3-24YC4C-S-R-3Y-EDU2</t>
  </si>
  <si>
    <t>Arista 7050X3, 24x25GbE SFP &amp; 4x100GbE QSFP switch, rear-to-front air, 2xAC, 2xC13-C14 cords, with 3 year NBD support</t>
  </si>
  <si>
    <t>DCS-7050SX3-24YC4C-S-R-5Y-EDU2</t>
  </si>
  <si>
    <t>Arista 7050X3, 24x25GbE SFP &amp; 4x100GbE QSFP switch, rear-to-front air, 2xAC, 2xC13-C14 cords, with 5 year NBD support</t>
  </si>
  <si>
    <t>DCS-7050SX3-24YC4C-S-R-7Y-EDU2</t>
  </si>
  <si>
    <t>Arista 7050X3, 24x25GbE SFP &amp; 4x100GbE QSFP switch, rear-to-front air, 2xAC, 2xC13-C14 cords with 7-year NBD support</t>
  </si>
  <si>
    <t>DCS-7050SX3-48YC8-F-3Y-EDU2</t>
  </si>
  <si>
    <t>Arista 7050X3, 48x25GbE SFP &amp; 8x100GbE QSFP switch, front-to-rear air, 2xAC, 2xC13-C14 cords with 3 year NBD support</t>
  </si>
  <si>
    <t>DCS-7050SX3-48YC8-F-5Y-EDU2</t>
  </si>
  <si>
    <t>Arista 7050X3, 48x25GbE SFP &amp; 8x100GbE QSFP switch, front-to-rear air, 2xAC, 2xC13-C14 cords with 5 year NBD support</t>
  </si>
  <si>
    <t>DCS-7050SX3-48YC8-F-7Y-EDU2</t>
  </si>
  <si>
    <t>Arista 7050X3, 48x25GbE SFP &amp; 8x100GbE QSFP switch, front-to-rear air, 2xAC, 2xC13-C14 cords with 7 year NBD support</t>
  </si>
  <si>
    <t>DCS-7050SX3-48YC8-F-DM3Y</t>
  </si>
  <si>
    <t>Arista 7050SX3-48YC8-F switch + 1 DMF switch SW (max 2000G BW) lic. 3Y sub.</t>
  </si>
  <si>
    <t>DCS-7050SX3-48YC8-F-DM5Y</t>
  </si>
  <si>
    <t>Arista 7050SX3-48YC8-F switch + 1 DMF switch SW (max 2000G BW) lic. 5Y sub.</t>
  </si>
  <si>
    <t>DCS-7050SX3-48YC8-R-3Y-EDU2</t>
  </si>
  <si>
    <t>Arista 7050X3, 48x25GbE SFP &amp; 8x100GbE QSFP switch, rear-to-front air, 2xAC, 2xC13-C14 cords with 3 year NBD support</t>
  </si>
  <si>
    <t>DCS-7050SX3-48YC8-R-5Y-EDU2</t>
  </si>
  <si>
    <t>Arista 7050X3, 48x25GbE SFP &amp; 8x100GbE QSFP switch, rear-to-front air, 2xAC, 2xC13-C14 cords with 5 year NBD support</t>
  </si>
  <si>
    <t>DCS-7050SX3-48YC8C-F-3Y-EDU2</t>
  </si>
  <si>
    <t>Arista 7050X3, 48x25GbE SFP &amp; 8x100GbE QSFP switch, front-to-rear air, 2xAC, 2xC13-C14 cords, with 3 year NBD support</t>
  </si>
  <si>
    <t>DCS-7050SX3-48YC8C-F-5Y-EDU2</t>
  </si>
  <si>
    <t>DCS-7050SX3-48YC8C-F-7Y-EDU2</t>
  </si>
  <si>
    <t>DCS-7050SX3-48YC8C-R-3Y-EDU2</t>
  </si>
  <si>
    <t>DCS-7050SX3-48YC8C-R-5Y-EDU2</t>
  </si>
  <si>
    <t>DCS-7050SX3-48YC8C-R-7Y-EDU2</t>
  </si>
  <si>
    <t>Arista 7050X3, 48x25GbE SFP &amp; 8x100GbE QSFP switch, rear-to-front air, 2xAC, 2xC13-C14 cords with 7 year NBD support</t>
  </si>
  <si>
    <t>DCS-7060CX-32S-DC-F</t>
  </si>
  <si>
    <t>Arista 7060X, 32x100GbE QSFP &amp; 2xSFP+ switch, front-to-rear air, 2xDC</t>
  </si>
  <si>
    <t>DCS-7060CX-32S-DC-R</t>
  </si>
  <si>
    <t>Arista 7060X, 32x100GbE QSFP &amp; 2xSFP+ switch, rear-to-front air, 2xDC</t>
  </si>
  <si>
    <t>DCS-7060CX2-32S-DC-F</t>
  </si>
  <si>
    <t>Arista 7060X2, 32x100GbE QSFP &amp; 2xSFP+ switch, front-to-rear air, 2xDC</t>
  </si>
  <si>
    <t>DCS-7060CX2-32S-DC-R</t>
  </si>
  <si>
    <t>Arista 7060X2, 32x100GbE QSFP &amp; 2xSFP+ switch, rear-to-front air, 2xDC</t>
  </si>
  <si>
    <t>DCS-7060DX5-32-DC-F</t>
  </si>
  <si>
    <t>Arista 7060X5, 32x400GbE QSFP-DD switch, front-to-rear air, 2xDC</t>
  </si>
  <si>
    <t>DCS-7060PX4-32-DC-F</t>
  </si>
  <si>
    <t>Arista 7060X4, 32x400GbE OSFP switch, front-to-rear air, 2xDC</t>
  </si>
  <si>
    <t>DCS-7280CR3-32D4-M-FLX-R</t>
  </si>
  <si>
    <t>Arista 7280R3, 32x100GbE QSFP and 4x400GbE QSFP-DD switch router, expn mem, rear to front air, 2 x AC. Over 256K Routes, MPLS and VXLAN</t>
  </si>
  <si>
    <t>DCS-7280CR3A-24D12-DC-FLX-F</t>
  </si>
  <si>
    <t>Arista 7280R3A, 24x100GbE QSFP and 12x400GbE QSFP-DD switch router, front to rear air, 2 x DC, Over 256K Routes, MPLS and VXLAN</t>
  </si>
  <si>
    <t>DCS-7280CR3AK-24D12-DC-FLX-F</t>
  </si>
  <si>
    <t>Arista 7280R3A, 24x100GbE QSFP and 12x400GbE QSFP-DD switch router, large routes and Enh MACsec, front to rear air, 2 x DC, Over 256K Routes, MPLS and VXLAN</t>
  </si>
  <si>
    <t>DCS-7280CR3AM-24D12-DC-FLX-F</t>
  </si>
  <si>
    <t>Arista 7280R3A, 24x100GbE QSFP and 12x400GbE QSFP-DD switch router, Enh MACsec, front to rear air, 2 x DC, Over 256K Routes, MPLS and VXLAN</t>
  </si>
  <si>
    <t>DCS-7280CR3MK-32P4-FLX#</t>
  </si>
  <si>
    <t>Arista 7280R3, 32x100GbE QSFP and 4x400GbE OSFP switch router, large route, MACsec, configurable fans and psu. Over 256K Routes, MPLS and VXLAN</t>
  </si>
  <si>
    <t>DCS-7280CR3MK-32P4-FLX-F</t>
  </si>
  <si>
    <t>Arista 7280R3, 32x100GbE QSFP and 4x400GbE OSFP switch router, MACsec, large route, front to rear air, 2 x AC. Over 256K Routes, MPLS and VXLAN</t>
  </si>
  <si>
    <t>DCS-7280CR3MK-32P4-FLX-R</t>
  </si>
  <si>
    <t>Arista 7280R3, 32x100GbE QSFP and 4x400GbE OSFP switch router, large route, MACsec, rear to front air, 2 x AC. Over 256K Routes, MPLS and VXLAN</t>
  </si>
  <si>
    <t>Arista 7280R3, 24x400GbE QSFP-DD switch router, front to rear air, 2 x DC</t>
  </si>
  <si>
    <t>Arista 7280R3, 24x400GbE QSFP-DD switch router, expn mem, front to rear air, 2 x DC</t>
  </si>
  <si>
    <t>Arista 7280R3A, 36x400GbE QSFP-DD switch router (9x400GbE Starter Kit), front to rear air, 2 x AC</t>
  </si>
  <si>
    <t>Arista 7280R3, 24x400GbE QSFP-DD switch router, large route, front to rear air, 2 x DC</t>
  </si>
  <si>
    <t>Arista 7280R3, 24x400GbE OSFP switch router, front to rear air, 2 x DC</t>
  </si>
  <si>
    <t>Arista 7280R3, 24x400GbE OSFP switch router, expn mem, front to rear air, 2 x DC</t>
  </si>
  <si>
    <t>Arista 7280R3, 24x400GbE OSFP switch router, large route, front to rear air, 2 x DC</t>
  </si>
  <si>
    <t>DCS-7300-SUP2-D#</t>
  </si>
  <si>
    <t>Supervisor-2 for 7300 Series chassis, with SSD (Ships in chassis)</t>
  </si>
  <si>
    <t>DCS-7368-SUP#</t>
  </si>
  <si>
    <t>Supervisor module for 7368 Series (Ships in chassis)</t>
  </si>
  <si>
    <t>DCS-7800-SUP1A#</t>
  </si>
  <si>
    <t>Supervisor1A module for 7800 series chassis (Ships in chassis)</t>
  </si>
  <si>
    <t>DCS-7800R3-48CQ2-LC#</t>
  </si>
  <si>
    <t>7800R3 Series 48 port 100GbE QSFP line-card with CPU (Ships in chassis)</t>
  </si>
  <si>
    <t>DCS-7800R3-48CQM2-LC#</t>
  </si>
  <si>
    <t>7800R3 Series 48 port 100GbE QSFP with Enh MACSec line-card with CPU (Ships in chassis)</t>
  </si>
  <si>
    <t>7800R3A Series 36 port 400GbE QSFP-DD with Enh MACsec line card with CPU (ships in chassis)</t>
  </si>
  <si>
    <t>7800R3A Series 36 port 400GbE QSFP-DD line card with large routes and CPU (MACsec) (ships in chassis)</t>
  </si>
  <si>
    <t>DCS-7800R4K-36PE-LC-HW</t>
  </si>
  <si>
    <t>HW: 7800R4 Series 36 port 800GbE OSFP line card with Enh. Encryption and Large Routes (spare)</t>
  </si>
  <si>
    <t>DCS-7808R3-BNDS-S2-SK</t>
  </si>
  <si>
    <t>Arista 7808R Chassis bundle. Includes 7808 chassis, 8x3kW PS, 6xFM-R3, 2x7800-Sup1S (Standard Rack Kit)</t>
  </si>
  <si>
    <t>DCS-7808R4-BND-DC-U-12PS</t>
  </si>
  <si>
    <t>Arista 7808R Chassis bundle. Includes 7808 chassis, 12x3kW DC PS, 5xFM-R4, 1xFCM, 1x7800-Sup1A (Extended Rack Kit)</t>
  </si>
  <si>
    <t>DCS-7808R4-BNDA-DC-U</t>
  </si>
  <si>
    <t>Arista 7808R Chassis bundle. Includes 7808 chassis, 8x3kW DC PS, 5xFM-R4, 1xFCM, 1x7800-Sup1A (Extended Rack Kit)</t>
  </si>
  <si>
    <t>DCS-7812R3-BND-18PS</t>
  </si>
  <si>
    <t>Arista 7812R Chassis bundle. Includes 7812 chassis, 18x3kW PS, 6xFM-R3, 1x7816-Sup</t>
  </si>
  <si>
    <t>DCS-7812R4-BND-U-18PS</t>
  </si>
  <si>
    <t>Arista 7812R Chassis bundle. Includes 7812 chassis, 18x3kW PS, 5xFM-R4, 1x7816-Sup1S</t>
  </si>
  <si>
    <t>DCS-7812R4-BNDA-CFG-U</t>
  </si>
  <si>
    <t>Arista 7812R configured chassis bundle. Includes 7812 chassis, 10x3kW AC PS, 5xFM-R4, 1xFCM, 1x7816-Sup (Extended Rack Kit)</t>
  </si>
  <si>
    <t>DCS-7812R4-BNDA-U</t>
  </si>
  <si>
    <t>DCS-7816LR3-BND-S2-MFM</t>
  </si>
  <si>
    <t>Arista 7816R Chassis bundle. Includes 7816L chassis, 12x3kW PS, 2x7816-Sup (requires 6 DCS-7816LR3-FM Fabric Modules Sold Separately)</t>
  </si>
  <si>
    <t>DCS-7816LR4-BND-S2-U</t>
  </si>
  <si>
    <t>Arista 7816R Chassis bundle. Includes 7816L chassis, 12x3kW HV PS, 5xFM-R4, 1xFCM, 2x7816-Sup1 (Extended Rack Kit)</t>
  </si>
  <si>
    <t>DCS-7816R3-BND-MFM</t>
  </si>
  <si>
    <t>Arista 7816R Chassis bundle. Includes 7816 chassis, 12x3kW PS, 1x7816-Sup (requires 12 DCS-7816R3-FM Fabric Modules Sold Separately)</t>
  </si>
  <si>
    <t>DCS-7816R3-BND-S2-MFM</t>
  </si>
  <si>
    <t>Arista 7816R Chassis bundle. Includes 7816 chassis, 12x3kW PS, 2x7816-Sup (requires 12 DCS-7816R3-FM Fabric Modules Sold Separately)</t>
  </si>
  <si>
    <t>FB-7060DX4-32S-F</t>
  </si>
  <si>
    <t>Arista 7060X4S 32x400GbE QSFP-DD switch, with PEM, Spinner and Fans</t>
  </si>
  <si>
    <t>FB-7388-16CD#</t>
  </si>
  <si>
    <t>Arista 7388X-16CD module for 7388X Series, 16 port 200GbE QSFP100-DD (Ships in chassis)</t>
  </si>
  <si>
    <t>FB-7388-8D#</t>
  </si>
  <si>
    <t>FB-7388-SUP-D#</t>
  </si>
  <si>
    <t>Supervisor module for 7388 Series, with SSD (Ships in chassis)</t>
  </si>
  <si>
    <t>FB-7388X5-SC#</t>
  </si>
  <si>
    <t>FB-7808R4-BND-1SA-DC-U-12PS-BK220-RV3N-SK</t>
  </si>
  <si>
    <t>Meta Bundle - 1x 7808-CH, 12x D2 DC PSUs, 7x CAB-DC-BK220-TAIL-4A-2M8 cables, KIT, 5x 7808R FM, 1x 7808R4 FCM, 1x 7800 SUP1A  no Secure Boot</t>
  </si>
  <si>
    <t>FB-7808R4-BND-DC-U-12PS-RV3N-SK</t>
  </si>
  <si>
    <t>Arista 7808R Chassis bundle for ORv3N rack. Includes 7808 chassis, 12x3kW DC PS, 5xFM-R4, 1xFCM, 1x7800-Sup1A</t>
  </si>
  <si>
    <t>Arista 7808R Chassis bundle. Includes 7808 chassis, 12x3kW DC PS, 5xFM-R4, 1xFCM, 1x7800-Sup1A (Standard Rack Kit)</t>
  </si>
  <si>
    <t>FB-7808R4-BNDA-CFG-U</t>
  </si>
  <si>
    <t>FB-7812R4-BND-1S-N-DC-14PS-BK220-RV3N-SK</t>
  </si>
  <si>
    <t>Meta Bundle - 1x 7812-CH, 14x D2 DC PSUs, 7x CAB-DC-BK220-TAIL-4A-2M8 cables, KIT, 5x 7812R FM, 1x 7812R4 FCM, 1x 7816 SUP no Secure Boot</t>
  </si>
  <si>
    <t>FB-7812R4-BND-N-DC-14PS-RV3N-CFG-SK</t>
  </si>
  <si>
    <t>Arista 7812R configured chassis bundle. Includes 7812 chassis, 14x3kW DC PS,7PS cables, 5xFM-R4, 1xFCM, 1x7800-Sup2-N (Standard Rack Kit)</t>
  </si>
  <si>
    <t>FB-7812R4-BND-N-DC-14PS-RV3N-SK</t>
  </si>
  <si>
    <t>Arista 7812R Chassis bundle. Includes 7812 chassis, 14x3kW DC PS,7PS cables, 5xFM-R4, 1xFCM, 1x7800-Sup2-N (Standard Rack Kit)</t>
  </si>
  <si>
    <t>FB-7812R4-BND-N-DC-14PS-SK</t>
  </si>
  <si>
    <t>Arista 7812R Chassis bundle. Includes 7812 chassis, 14x3kW DC PS,5xFM-R4, 1xFCM, 1x7800-Sup2-N (Standard Rack Kit)</t>
  </si>
  <si>
    <t>FB-7812R4-BNDA-CFG-U</t>
  </si>
  <si>
    <t>GG-7808R3-BNDS-2S-0LC-CFG</t>
  </si>
  <si>
    <t>Arista 7808R3 Configured Chassis bundle. Includes 7808 chassis, 12xAC PS, 6xR3-FM, 2xSup1S, 0xR3AK-36DM-LC (Inc. extended rack kit)</t>
  </si>
  <si>
    <t>GG-7808R3-BNDS-2S-2LC-CFG</t>
  </si>
  <si>
    <t>Arista 7808R3 Configured Chassis bundle. Includes 7808 chassis, 12xAC PS, 6xR3-FM, 2xSup1S, 2xR3AK-36DM-LC (Inc. extended rack kit)</t>
  </si>
  <si>
    <t>GG-7808R3-BNDS-2S1-0LC-CFG-NK</t>
  </si>
  <si>
    <t>Arista 7808R3 Configured Chassis bundle. Includes 7808 chassis, 12x3kW AC PS, 6xR3-FM, 2xSup1S,  no R3AK-36DM-LC (No rack kit)</t>
  </si>
  <si>
    <t>GG-7808R3-BNDS-2S1-0LC-CFG-NKC</t>
  </si>
  <si>
    <t>Arista 7808R3 Configured Chassis bundle. Includes 7808 chassis, 12x3kW AC PS, 6xR3-FM, 2xSup1S, 0xR3AK-36DM-LC (No rack kit), no power cords</t>
  </si>
  <si>
    <t>GG-7808R3-BNDS-2S1-2LC-CFG-NK</t>
  </si>
  <si>
    <t>Arista 7808R3 Configured Chassis bundle. Includes 7808 chassis, 12x3kW AC PS, 6xR3-FM, 2xSup1S, 2xR3AK-36DM-LC (No rack kit)</t>
  </si>
  <si>
    <t>GG-7808R3-BNDS-2S1-2LC-CFG-NKC</t>
  </si>
  <si>
    <t>Arista 7808R3 Configured Chassis bundle. Includes 7808 chassis, 12x3kW AC PS, 6xR3-FM, 2xSup1S, 2xR3AK-36DM-LC (No rack kit), no power cords</t>
  </si>
  <si>
    <t>GG-7808R3-BNDS-2S2-0LC-CFG-NKC</t>
  </si>
  <si>
    <t>Arista 7808R3 Configured Chassis bundle. Includes 7808 chassis, 12x3kW AC PS, 6xR3-FM, 2xSup2, 0xR3AK-36DM-LC (No rack kit), no power cords</t>
  </si>
  <si>
    <t>GG-7808R3-BNDS-2S2-2LC-CFG-NKC</t>
  </si>
  <si>
    <t>Arista 7808R3 Configured Chassis bundle. Includes 7808 chassis, 12x3kW AC PS, 6xR3-FM, 2xSup2, 2xR3AK-36DM-LC (No rack kit), no power cords</t>
  </si>
  <si>
    <t>GG-7808R4-BND-2S-0LC-CFG</t>
  </si>
  <si>
    <t>Arista 7808R4 Configured Chassis bundle. Includes 7808 chassis, 12x3kW HV PS, 5xR4-FM, 1xFCM, 2xSup2, 0xR4K-36PE-LC (Inc. extended rack kit)</t>
  </si>
  <si>
    <t>GG-7808R4-BND-2S-2LC-CFG</t>
  </si>
  <si>
    <t>Arista 7808R4 Configured Chassis bundle. Includes 7808 chassis, 12x3kW HV PS, 5xR4-FM, 1xFCM, 2xSup2, 2xR4K-36PE-LC (Inc. extended rack kit)</t>
  </si>
  <si>
    <t>GG-7808R4-BNDS-2S1-0LC-CFG-NKC</t>
  </si>
  <si>
    <t>Arista 7808R4 Configured Chassis bundle. Includes 7808 chassis, 12x3kW HV PS, 5xR4-FM, 1xFCM,  2xSup1S, 0xR4K-36PE-LC (No rack kit),  no power cords</t>
  </si>
  <si>
    <t>GG-7808R4-BNDS-2S1-2LC-CFG-NKC</t>
  </si>
  <si>
    <t>Arista 7808R4 Configured Chassis bundle. Includes 7808 chassis, 12x3kW HV PS, 5xR4-FM, 1xFCM,  2xSup1S, 2xR4K-36PE-LC (No kit), no power cords</t>
  </si>
  <si>
    <t>GG-7808R4-BNDS-2S2-0LC-CFG-NKC</t>
  </si>
  <si>
    <t>GG-7808R4-BNDS-2S2-2LC-CFG-NK</t>
  </si>
  <si>
    <t>Arista 7808R4 Configured Chassis bundle. Includes 7808 chassis, 12x3kW HV PS, 5xR4-FM, 1xFCM,  2xSup2, 2xR4K-36PE-LC (No rack kit)</t>
  </si>
  <si>
    <t>GG-7808R4-BNDS-2S2-2LC-CFG-NKC</t>
  </si>
  <si>
    <t>Arista 7808R4 Configured Chassis bundle. Includes 7808 chassis, 12x3kW HV PS, 5xR4-FM, 1xFCM,  2xSup2, 2xR4K-36PE-LC (No kit), no power cords</t>
  </si>
  <si>
    <t>GG-7816LR3-BNDS-2S-0LC-CFG</t>
  </si>
  <si>
    <t>Arista 7816LR3 Configured Chassis bundle. Includes 7816L chassis, 18xAC PS, 6xR3-FM, 2xSup1S, 0xR3AK-36DM-LC (Inc. extended rack kit)</t>
  </si>
  <si>
    <t>GG-7816LR3-BNDS-2S-4LC-CFG-NK</t>
  </si>
  <si>
    <t>Arista 7816LR3 Configured Chassis bundle. Includes 7816L chassis, 18xAC PS, 6xR3-FM, 2xSup1S, 4xR3AK-36DM-LC (No rack kit)</t>
  </si>
  <si>
    <t>GG-7816LR3-BNDS-2S1-0LC-CFG-NKC</t>
  </si>
  <si>
    <t>Arista 7816LR3 Configured Chassis bundle. Includes 7816L chassis, 18x3kW AC PS, 6xR3-FM, 2xSup1S, 0xR3AK-36DM-LC (No rack kit), no power cords</t>
  </si>
  <si>
    <t>GG-7816LR3-BNDS-2S1-2LC-CFG-NKC</t>
  </si>
  <si>
    <t>Arista 7816LR3 Configured Chassis bundle. Includes 7816L chassis, 18x3kW AC PS, 6xR3-FM, 2xSup1S, 2xR3AK-36DM-LC (No rack kit), no power cords</t>
  </si>
  <si>
    <t>GG-7816LR3-BNDS-2S2-0LC-CFG-NKC</t>
  </si>
  <si>
    <t>GG-7816LR3-BNDS-2S2-2LC-CFG-NKC</t>
  </si>
  <si>
    <t>Arista 7816LR3 Configured Chassis bundle. Includes 7816L chassis, 18x3kW AC PS, 6xR3-FM, 2xSup2, 2xR3AK-36DM-LC (No rack kit), no power cords</t>
  </si>
  <si>
    <t>GG-7816LR4-BND-2S-0LC-CFG</t>
  </si>
  <si>
    <t>Arista 7816R4 Configured Chassis bundle. Includes 7816L chassis, 18x3kW HV PS, 5xR4-FM, 1xFCM, 2xSup2, 0xR4K-36PE-LC (Inc. extended rack kit)</t>
  </si>
  <si>
    <t>GG-7816LR4-BND-2S-0LC-CFG-U</t>
  </si>
  <si>
    <t>Arista 7816R4 Configured Chassis bundle. Includes 7816L chassis, 18xAC PS, 5xR4-FM, 1xFCM,  2xSup1S, 0xR4K-36PE-LC (Inc. extended rack kit)</t>
  </si>
  <si>
    <t>GG-7816LR4-BND-2S-4LC-CFG-NK</t>
  </si>
  <si>
    <t>Arista 7816R4 Configured Chassis bundle. Includes 7816L chassis, 18x3kW HV PS, 5xR4-FM, 1xFCM, 2xSup2, 4xR4K-36PE-LC (No rack kit)</t>
  </si>
  <si>
    <t>LIC-FIX-1-E-EDU2</t>
  </si>
  <si>
    <t>LIC-FIX-1-FLX-L-EDU2</t>
  </si>
  <si>
    <t>OC-7060DX5-32-MV3-F</t>
  </si>
  <si>
    <t>Oracle: Arista 7060X5, 32x400GbE QSFP-DD switch, front-to-rear air, 2xDC, MGX</t>
  </si>
  <si>
    <t>SDE-4100-NBD-1Y-EDU2</t>
  </si>
  <si>
    <t>Arista Edge 4100 E-Rate Bundle, Premium Edition V2 (Hosted Orchestrator+Controller;Hosted Gateway) - 10Gbps, NB, 1Y term</t>
  </si>
  <si>
    <t>SDE-4100-NBD-3Y-EDU2</t>
  </si>
  <si>
    <t>Arista Edge 4100 E-Rate Bundle, Premium Edition V2 (Hosted Orchestrator+Controller;Hosted Gateway) - 10Gbps, NB, 3Y term</t>
  </si>
  <si>
    <t>SDE-4100-NBD-5Y-EDU2</t>
  </si>
  <si>
    <t>Arista Edge 4100 E-Rate Bundle, Premium Edition V2 (Hosted Orchestrator+Controller;Hosted Gateway) - 10Gbps, NB, 5Y term</t>
  </si>
  <si>
    <t>SDE-4100-NBD-HA-1Y-EDU2</t>
  </si>
  <si>
    <t>Arista Edge 4100 E-Rate Bundle, Premium Edition V2 (Hosted Orchestrator+Controller;Hosted Gateway) - 10Gbps, NB, 1Y term, HA</t>
  </si>
  <si>
    <t>SDE-4100-NBD-HA-3Y-EDU2</t>
  </si>
  <si>
    <t>Arista Edge 4100 E-Rate Bundle, Premium Edition V2 (Hosted Orchestrator+Controller;Hosted Gateway) - 10Gbps, NB, 3Y term, HA</t>
  </si>
  <si>
    <t>SDE-4100-NBD-HA-5Y-EDU2</t>
  </si>
  <si>
    <t>Arista Edge 4100 E-Rate Bundle, Premium Edition V2 (Hosted Orchestrator+Controller;Hosted Gateway) - 10Gbps, NB, 5Y term, HA</t>
  </si>
  <si>
    <t>SDE-710W-NBD-1Y-EDU2</t>
  </si>
  <si>
    <t>Arista Edge 710 E-Rate Bundle, Premium Edition V2 (Hosted Orchestrator+Controller;Hosted Gateway) - 100 Mbps, NB, 1Y term</t>
  </si>
  <si>
    <t>SDE-710W-NBD-3Y-EDU2</t>
  </si>
  <si>
    <t>Arista Edge 710 E-Rate Bundle, Premium Edition V2 (Hosted Orchestrator+Controller;Hosted Gateway) - 100 Mbps, NB, 3Y term</t>
  </si>
  <si>
    <t>SDE-710W-NBD-5Y-EDU2</t>
  </si>
  <si>
    <t>Arista Edge 710 E-Rate Bundle, Premium Edition V2 (Hosted Orchestrator+Controller;Hosted Gateway) - 100 Mbps, NB, 5Y term</t>
  </si>
  <si>
    <t>SDE-710W-NBD-HA-1Y-EDU2</t>
  </si>
  <si>
    <t>Arista Edge 710 E-Rate Bundle, Premium Edition V2 (Hosted Orchestrator+Controller;Hosted Gateway) - 100 Mbps, NB, 1Y term,HA</t>
  </si>
  <si>
    <t>SDE-710W-NBD-HA-3Y-EDU2</t>
  </si>
  <si>
    <t>Arista Edge 710 E-Rate Bundle, Premium Edition V2 (Hosted Orchestrator+Controller;Hosted Gateway) - 100 Mbps, NB, 3Y term, HA</t>
  </si>
  <si>
    <t>SDE-710W-NBD-HA-5Y-EDU2</t>
  </si>
  <si>
    <t>Arista Edge 710 E-Rate Bundle, Premium Edition V2 (Hosted Orchestrator+Controller;Hosted Gateway) - 100 Mbps, NB, 5Y term, HA</t>
  </si>
  <si>
    <t>SDE-720-NBD-1Y-EDU2</t>
  </si>
  <si>
    <t>Arista Edge 720 E-Rate Bundle, Premium Edition V2 (Hosted Orchestrator+Controller;Hosted Gateway) - 1Gbps, NB, 1Y term</t>
  </si>
  <si>
    <t>SDE-720-NBD-3Y-EDU2</t>
  </si>
  <si>
    <t>Arista Edge 720 E-Rate Bundle, Premium Edition V2 (Hosted Orchestrator+Controller;Hosted Gateway) - 1Gbps, NB, 3Y term</t>
  </si>
  <si>
    <t>SDE-720-NBD-5Y-EDU2</t>
  </si>
  <si>
    <t>Arista Edge 720 E-Rate Bundle, Premium Edition V2 (Hosted Orchestrator+Controller;Hosted Gateway) - 1Gbps, NB, 5Y term</t>
  </si>
  <si>
    <t>SDE-720-NBD-HA-1Y-EDU2</t>
  </si>
  <si>
    <t>Arista Edge 720 E-Rate Bundle, Premium Edition V2 (Hosted Orchestrator+Controller;Hosted Gateway) - 1Gbps, NB, 1Y term, HA</t>
  </si>
  <si>
    <t>SDE-720-NBD-HA-3Y-EDU2</t>
  </si>
  <si>
    <t>Arista Edge 720 E-Rate Bundle, Premium Edition V2 (Hosted Orchestrator+Controller;Hosted Gateway) - 1Gbps, NB, 3Y term, HA</t>
  </si>
  <si>
    <t>SDE-720-NBD-HA-5Y-EDU2</t>
  </si>
  <si>
    <t>Arista Edge 720 E-Rate Bundle, Premium Edition V2 (Hosted Orchestrator+Controller;Hosted Gateway) - 1Gbps, NB, 5Y term, HA</t>
  </si>
  <si>
    <t>SDE-EDG-4100-3Y-EDU2</t>
  </si>
  <si>
    <t>Arista Edge 4100 VeloCloud Edge OS appliance with 3-year NBD support</t>
  </si>
  <si>
    <t>SDE-EDG-4100-5Y-EDU2</t>
  </si>
  <si>
    <t>Arista Edge 4100 VeloCloud Edge OS appliance with 5-year NBD support</t>
  </si>
  <si>
    <t>SDE-EDG-720-3Y-EDU2</t>
  </si>
  <si>
    <t>Arista Edge 720 VeloCloud Edge OS appliance with 3-year NBD support</t>
  </si>
  <si>
    <t>SDE-EDG-720-5Y-EDU2</t>
  </si>
  <si>
    <t>Arista Edge 720 VeloCloud Edge OS appliance with 5-year NBD support</t>
  </si>
  <si>
    <t>SDE-EDG-740-3Y-EDU2</t>
  </si>
  <si>
    <t>Arista Edge 740 VeloCloud Edge OS appliance with 3-year NBD support</t>
  </si>
  <si>
    <t>SDE-EDG-740-5Y-EDU2</t>
  </si>
  <si>
    <t>Arista Edge 740 VeloCloud Edge OS appliance with 5-year NBD support</t>
  </si>
  <si>
    <t>SDE-ENT-HO-10G-1M-EDU2</t>
  </si>
  <si>
    <t>SDE-ENT-HO-1G-1M-EDU2</t>
  </si>
  <si>
    <t>SDE-ENT-HO-200M-1M-EDU2</t>
  </si>
  <si>
    <t>SDE-ENT-HO-2G-1M-EDU2</t>
  </si>
  <si>
    <t>SDE-ENT-HO-500M-1M-EDU2</t>
  </si>
  <si>
    <t>Access Point</t>
  </si>
  <si>
    <t>Switch</t>
  </si>
  <si>
    <t>Cable</t>
  </si>
  <si>
    <t>Optic</t>
  </si>
  <si>
    <t>Subscription</t>
  </si>
  <si>
    <t>Service</t>
  </si>
  <si>
    <t>Access Point</t>
    <phoneticPr fontId="9" type="noConversion"/>
  </si>
  <si>
    <t>Switch</t>
    <phoneticPr fontId="9" type="noConversion"/>
  </si>
  <si>
    <t>Other</t>
    <phoneticPr fontId="9" type="noConversion"/>
  </si>
  <si>
    <t>Optic</t>
    <phoneticPr fontId="9" type="noConversion"/>
  </si>
  <si>
    <t>License</t>
    <phoneticPr fontId="27" type="noConversion"/>
  </si>
  <si>
    <r>
      <rPr>
        <b/>
        <sz val="10"/>
        <rFont val="Malgun Gothic"/>
        <family val="2"/>
        <charset val="129"/>
      </rPr>
      <t>총판</t>
    </r>
    <r>
      <rPr>
        <b/>
        <sz val="10"/>
        <rFont val="Arial"/>
        <family val="2"/>
      </rPr>
      <t xml:space="preserve"> </t>
    </r>
    <r>
      <rPr>
        <b/>
        <sz val="10"/>
        <rFont val="Malgun Gothic"/>
        <family val="2"/>
        <charset val="129"/>
      </rPr>
      <t>원가</t>
    </r>
    <r>
      <rPr>
        <b/>
        <sz val="10"/>
        <rFont val="Arial"/>
        <family val="2"/>
      </rPr>
      <t xml:space="preserve">
(Partner)</t>
    </r>
    <phoneticPr fontId="9" type="noConversion"/>
  </si>
  <si>
    <t>Disty_DVAR LP</t>
    <phoneticPr fontId="9" type="noConversion"/>
  </si>
  <si>
    <t>Cable</t>
    <phoneticPr fontId="27" type="noConversion"/>
  </si>
  <si>
    <t>Arista Networks Product Configurator  - [Distributor Name / DVAR Name]</t>
    <phoneticPr fontId="9" type="noConversion"/>
  </si>
  <si>
    <t>개월</t>
    <phoneticPr fontId="9" type="noConversion"/>
  </si>
  <si>
    <t>수량</t>
    <phoneticPr fontId="9" type="noConversion"/>
  </si>
  <si>
    <r>
      <rPr>
        <b/>
        <sz val="9"/>
        <color rgb="FFFFFFFF"/>
        <rFont val="Malgun Gothic"/>
        <family val="2"/>
        <charset val="129"/>
      </rPr>
      <t>제품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상세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설명</t>
    </r>
    <phoneticPr fontId="9" type="noConversion"/>
  </si>
  <si>
    <r>
      <rPr>
        <b/>
        <sz val="9"/>
        <color rgb="FFFFFFFF"/>
        <rFont val="Malgun Gothic"/>
        <family val="2"/>
        <charset val="129"/>
      </rPr>
      <t>제품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상세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설명</t>
    </r>
    <phoneticPr fontId="27" type="noConversion"/>
  </si>
  <si>
    <t>제품 상세 설명</t>
    <phoneticPr fontId="27" type="noConversion"/>
  </si>
  <si>
    <r>
      <rPr>
        <b/>
        <sz val="9"/>
        <color rgb="FFFFFFFF"/>
        <rFont val="Malgun Gothic"/>
        <family val="2"/>
        <charset val="129"/>
      </rPr>
      <t>제품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코드</t>
    </r>
    <phoneticPr fontId="9" type="noConversion"/>
  </si>
  <si>
    <r>
      <rPr>
        <b/>
        <sz val="9"/>
        <color rgb="FFFFFFFF"/>
        <rFont val="Malgun Gothic"/>
        <family val="2"/>
        <charset val="129"/>
      </rPr>
      <t>제품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그룹</t>
    </r>
    <phoneticPr fontId="9" type="noConversion"/>
  </si>
  <si>
    <t>정리</t>
    <phoneticPr fontId="9" type="noConversion"/>
  </si>
  <si>
    <t>매출액</t>
    <phoneticPr fontId="9" type="noConversion"/>
  </si>
  <si>
    <t>합계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</si>
</sst>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&quot;₩&quot;#,##0_);[Red]\(&quot;₩&quot;#,##0\)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&quot;$&quot;#,##0"/>
    <numFmt numFmtId="180" formatCode="_(&quot;$&quot;* #,##0_);_(&quot;$&quot;* \(#,##0\);_(&quot;$&quot;* &quot;-&quot;??_);_(@_)"/>
    <numFmt numFmtId="181" formatCode="[$$-409]#,##0"/>
    <numFmt numFmtId="182" formatCode="0.0%"/>
    <numFmt numFmtId="183" formatCode="&quot;₩&quot;#,##0"/>
    <numFmt numFmtId="184" formatCode="&quot;₩&quot;#,##0.00_);[Red]\(&quot;₩&quot;#,##0.00\)"/>
  </numFmts>
  <fonts count="59">
    <font>
      <sz val="10"/>
      <name val="Arial"/>
      <family val="2"/>
    </font>
    <font>
      <sz val="12"/>
      <color theme="1"/>
      <name val="맑은 고딕"/>
      <family val="2"/>
      <charset val="204"/>
      <scheme val="minor"/>
    </font>
    <font>
      <sz val="12"/>
      <color theme="1"/>
      <name val="맑은 고딕"/>
      <family val="2"/>
      <charset val="204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9"/>
      <name val="Arial"/>
      <family val="2"/>
    </font>
    <font>
      <sz val="8"/>
      <name val="Verdana"/>
      <family val="2"/>
    </font>
    <font>
      <b/>
      <sz val="12"/>
      <color indexed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u/>
      <sz val="10"/>
      <color indexed="20"/>
      <name val="Arial"/>
      <family val="2"/>
    </font>
    <font>
      <u/>
      <sz val="10"/>
      <color theme="11"/>
      <name val="Arial"/>
      <family val="2"/>
    </font>
    <font>
      <b/>
      <u/>
      <sz val="16"/>
      <name val="Arial"/>
      <family val="2"/>
    </font>
    <font>
      <u/>
      <sz val="10"/>
      <color theme="10"/>
      <name val="Arial"/>
      <family val="2"/>
    </font>
    <font>
      <sz val="10"/>
      <name val="Verdana"/>
      <family val="2"/>
    </font>
    <font>
      <sz val="11"/>
      <color theme="1"/>
      <name val="맑은 고딕"/>
      <family val="2"/>
      <scheme val="minor"/>
    </font>
    <font>
      <i/>
      <u/>
      <sz val="14"/>
      <name val="Arial"/>
      <family val="2"/>
    </font>
    <font>
      <i/>
      <sz val="14"/>
      <name val="Arial"/>
      <family val="2"/>
    </font>
    <font>
      <i/>
      <sz val="12"/>
      <name val="Arial"/>
      <family val="2"/>
    </font>
    <font>
      <sz val="8"/>
      <name val="돋움"/>
      <family val="3"/>
      <charset val="129"/>
    </font>
    <font>
      <b/>
      <u/>
      <sz val="4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u/>
      <sz val="12"/>
      <name val="Arial"/>
      <family val="2"/>
    </font>
    <font>
      <b/>
      <sz val="10"/>
      <name val="Arial Unicode MS"/>
      <family val="2"/>
      <charset val="129"/>
    </font>
    <font>
      <i/>
      <u/>
      <sz val="10"/>
      <name val="Arial"/>
      <family val="2"/>
    </font>
    <font>
      <sz val="9"/>
      <name val="돋움"/>
      <family val="2"/>
      <charset val="129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9"/>
      <name val="Arial Unicode MS"/>
      <family val="2"/>
      <charset val="129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C00000"/>
      <name val="맑은 고딕"/>
      <family val="2"/>
      <charset val="129"/>
    </font>
    <font>
      <b/>
      <sz val="9"/>
      <color rgb="FFFF0000"/>
      <name val="Arial Unicode MS"/>
      <family val="3"/>
      <charset val="129"/>
    </font>
    <font>
      <b/>
      <sz val="10"/>
      <color theme="1"/>
      <name val="Arial"/>
      <family val="2"/>
    </font>
    <font>
      <sz val="11"/>
      <name val="Arial Unicode MS"/>
      <family val="2"/>
      <charset val="129"/>
    </font>
    <font>
      <b/>
      <sz val="14"/>
      <color theme="1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  <charset val="129"/>
    </font>
    <font>
      <sz val="8"/>
      <name val="나눔명조"/>
      <family val="3"/>
      <charset val="129"/>
    </font>
    <font>
      <sz val="1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Aptos Narrow"/>
      <family val="2"/>
    </font>
    <font>
      <b/>
      <sz val="1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b/>
      <sz val="9"/>
      <color rgb="FFFFFFFF"/>
      <name val="Arial"/>
      <family val="2"/>
      <charset val="129"/>
    </font>
    <font>
      <sz val="9"/>
      <color rgb="FFFF0000"/>
      <name val="Arial"/>
      <family val="2"/>
    </font>
    <font>
      <sz val="10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22"/>
      </patternFill>
    </fill>
    <fill>
      <patternFill patternType="solid">
        <fgColor indexed="65"/>
        <bgColor indexed="22"/>
      </patternFill>
    </fill>
    <fill>
      <patternFill patternType="solid">
        <fgColor indexed="23"/>
        <bgColor indexed="22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325">
    <xf numFmtId="0" fontId="0" fillId="0" borderId="0"/>
    <xf numFmtId="177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78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" fillId="0" borderId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  <xf numFmtId="178" fontId="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1" fontId="5" fillId="0" borderId="0" applyFont="0" applyFill="0" applyBorder="0" applyAlignment="0" applyProtection="0">
      <alignment vertical="center"/>
    </xf>
  </cellStyleXfs>
  <cellXfs count="121">
    <xf numFmtId="0" fontId="0" fillId="0" borderId="0" xfId="0"/>
    <xf numFmtId="0" fontId="0" fillId="0" borderId="0" xfId="0" pivotButton="1"/>
    <xf numFmtId="0" fontId="8" fillId="7" borderId="1" xfId="637" applyFont="1" applyFill="1" applyBorder="1" applyAlignment="1" applyProtection="1">
      <alignment horizontal="center" vertical="center" wrapText="1"/>
      <protection locked="0"/>
    </xf>
    <xf numFmtId="1" fontId="8" fillId="5" borderId="1" xfId="637" applyNumberFormat="1" applyFont="1" applyFill="1" applyBorder="1" applyAlignment="1" applyProtection="1">
      <alignment horizontal="center" vertical="center"/>
      <protection locked="0"/>
    </xf>
    <xf numFmtId="0" fontId="8" fillId="4" borderId="1" xfId="5" applyFont="1" applyFill="1" applyBorder="1" applyAlignment="1" applyProtection="1">
      <alignment vertical="center"/>
      <protection locked="0"/>
    </xf>
    <xf numFmtId="0" fontId="8" fillId="6" borderId="1" xfId="5" applyFont="1" applyFill="1" applyBorder="1" applyAlignment="1" applyProtection="1">
      <alignment vertical="center"/>
      <protection locked="0"/>
    </xf>
    <xf numFmtId="180" fontId="14" fillId="3" borderId="1" xfId="2" applyNumberFormat="1" applyFont="1" applyFill="1" applyBorder="1" applyAlignment="1" applyProtection="1">
      <alignment horizontal="center" vertical="center" wrapText="1"/>
      <protection locked="0"/>
    </xf>
    <xf numFmtId="178" fontId="8" fillId="6" borderId="1" xfId="2" applyFont="1" applyFill="1" applyBorder="1" applyAlignment="1" applyProtection="1">
      <alignment vertical="center"/>
      <protection locked="0"/>
    </xf>
    <xf numFmtId="180" fontId="8" fillId="6" borderId="1" xfId="2" applyNumberFormat="1" applyFont="1" applyFill="1" applyBorder="1" applyAlignment="1" applyProtection="1">
      <alignment vertical="center"/>
      <protection locked="0"/>
    </xf>
    <xf numFmtId="0" fontId="8" fillId="2" borderId="0" xfId="637" applyFont="1" applyFill="1" applyAlignment="1" applyProtection="1">
      <alignment vertical="center"/>
      <protection locked="0"/>
    </xf>
    <xf numFmtId="0" fontId="7" fillId="2" borderId="0" xfId="637" applyFont="1" applyFill="1" applyAlignment="1" applyProtection="1">
      <alignment vertical="center"/>
      <protection locked="0"/>
    </xf>
    <xf numFmtId="0" fontId="7" fillId="2" borderId="0" xfId="5" applyFont="1" applyFill="1" applyAlignment="1" applyProtection="1">
      <alignment vertical="center"/>
      <protection locked="0"/>
    </xf>
    <xf numFmtId="0" fontId="8" fillId="11" borderId="0" xfId="5" applyFont="1" applyFill="1" applyAlignment="1" applyProtection="1">
      <alignment vertical="center"/>
      <protection locked="0"/>
    </xf>
    <xf numFmtId="0" fontId="8" fillId="11" borderId="0" xfId="248" applyNumberFormat="1" applyFont="1" applyFill="1" applyBorder="1" applyAlignment="1" applyProtection="1">
      <alignment vertical="center"/>
      <protection locked="0"/>
    </xf>
    <xf numFmtId="180" fontId="8" fillId="11" borderId="0" xfId="2" applyNumberFormat="1" applyFont="1" applyFill="1" applyBorder="1" applyAlignment="1" applyProtection="1">
      <alignment vertical="center"/>
      <protection locked="0"/>
    </xf>
    <xf numFmtId="181" fontId="14" fillId="0" borderId="0" xfId="2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79" fontId="0" fillId="0" borderId="0" xfId="2" applyNumberFormat="1" applyFont="1" applyFill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9" fontId="15" fillId="0" borderId="0" xfId="6" applyFont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12" fillId="0" borderId="0" xfId="5" applyAlignment="1" applyProtection="1">
      <alignment vertical="center"/>
      <protection locked="0"/>
    </xf>
    <xf numFmtId="0" fontId="12" fillId="10" borderId="0" xfId="5" applyFill="1" applyAlignment="1" applyProtection="1">
      <alignment vertical="center"/>
      <protection locked="0"/>
    </xf>
    <xf numFmtId="0" fontId="25" fillId="0" borderId="0" xfId="5" applyFont="1" applyAlignment="1" applyProtection="1">
      <alignment vertical="center"/>
      <protection locked="0"/>
    </xf>
    <xf numFmtId="180" fontId="34" fillId="11" borderId="0" xfId="2" applyNumberFormat="1" applyFont="1" applyFill="1" applyBorder="1" applyAlignment="1" applyProtection="1">
      <alignment vertical="center"/>
      <protection locked="0"/>
    </xf>
    <xf numFmtId="1" fontId="12" fillId="0" borderId="0" xfId="5" applyNumberForma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0" fillId="0" borderId="0" xfId="5" applyFont="1" applyAlignment="1" applyProtection="1">
      <alignment vertical="center"/>
      <protection locked="0"/>
    </xf>
    <xf numFmtId="9" fontId="31" fillId="0" borderId="0" xfId="6" applyFont="1" applyAlignment="1" applyProtection="1">
      <alignment horizontal="center" vertical="center"/>
      <protection locked="0"/>
    </xf>
    <xf numFmtId="9" fontId="12" fillId="0" borderId="0" xfId="6" applyFont="1" applyAlignment="1" applyProtection="1">
      <alignment vertical="center"/>
      <protection locked="0"/>
    </xf>
    <xf numFmtId="0" fontId="24" fillId="0" borderId="0" xfId="5" applyFont="1" applyAlignment="1" applyProtection="1">
      <alignment vertical="center"/>
      <protection locked="0"/>
    </xf>
    <xf numFmtId="178" fontId="33" fillId="0" borderId="0" xfId="2" applyFont="1" applyAlignment="1" applyProtection="1">
      <alignment vertical="center"/>
      <protection locked="0"/>
    </xf>
    <xf numFmtId="178" fontId="24" fillId="0" borderId="0" xfId="2" applyFont="1" applyAlignment="1" applyProtection="1">
      <alignment vertical="center"/>
      <protection locked="0"/>
    </xf>
    <xf numFmtId="0" fontId="25" fillId="0" borderId="0" xfId="637" applyFont="1" applyAlignment="1" applyProtection="1">
      <alignment vertical="center"/>
      <protection locked="0"/>
    </xf>
    <xf numFmtId="176" fontId="8" fillId="4" borderId="1" xfId="2" applyNumberFormat="1" applyFont="1" applyFill="1" applyBorder="1" applyAlignment="1" applyProtection="1">
      <alignment horizontal="right" vertical="center"/>
      <protection locked="0"/>
    </xf>
    <xf numFmtId="176" fontId="8" fillId="11" borderId="1" xfId="2" applyNumberFormat="1" applyFont="1" applyFill="1" applyBorder="1" applyAlignment="1" applyProtection="1">
      <alignment horizontal="right" vertical="center"/>
      <protection locked="0"/>
    </xf>
    <xf numFmtId="1" fontId="8" fillId="6" borderId="1" xfId="637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vertical="center"/>
      <protection locked="0"/>
    </xf>
    <xf numFmtId="1" fontId="8" fillId="11" borderId="0" xfId="637" applyNumberFormat="1" applyFont="1" applyFill="1" applyAlignment="1" applyProtection="1">
      <alignment horizontal="center" vertical="center"/>
      <protection locked="0"/>
    </xf>
    <xf numFmtId="41" fontId="17" fillId="0" borderId="0" xfId="1324" applyFont="1" applyFill="1" applyBorder="1" applyAlignment="1" applyProtection="1">
      <alignment vertical="center"/>
      <protection locked="0"/>
    </xf>
    <xf numFmtId="1" fontId="5" fillId="2" borderId="0" xfId="637" applyNumberFormat="1" applyFill="1" applyAlignment="1" applyProtection="1">
      <alignment horizontal="center" vertical="center"/>
      <protection locked="0"/>
    </xf>
    <xf numFmtId="178" fontId="34" fillId="11" borderId="0" xfId="2" applyFont="1" applyFill="1" applyBorder="1" applyAlignment="1" applyProtection="1">
      <alignment vertical="center"/>
      <protection locked="0"/>
    </xf>
    <xf numFmtId="0" fontId="35" fillId="0" borderId="0" xfId="637" applyFont="1" applyAlignment="1" applyProtection="1">
      <alignment vertical="center"/>
      <protection locked="0"/>
    </xf>
    <xf numFmtId="0" fontId="36" fillId="2" borderId="0" xfId="5" applyFont="1" applyFill="1" applyAlignment="1" applyProtection="1">
      <alignment vertical="center"/>
      <protection locked="0"/>
    </xf>
    <xf numFmtId="181" fontId="37" fillId="10" borderId="2" xfId="2" applyNumberFormat="1" applyFont="1" applyFill="1" applyBorder="1" applyAlignment="1" applyProtection="1">
      <alignment horizontal="center" vertical="center"/>
      <protection locked="0"/>
    </xf>
    <xf numFmtId="178" fontId="36" fillId="2" borderId="0" xfId="2" applyFont="1" applyFill="1" applyAlignment="1" applyProtection="1">
      <alignment vertical="center"/>
      <protection locked="0"/>
    </xf>
    <xf numFmtId="0" fontId="36" fillId="0" borderId="0" xfId="5" applyFont="1" applyAlignment="1" applyProtection="1">
      <alignment vertical="center"/>
      <protection locked="0"/>
    </xf>
    <xf numFmtId="0" fontId="39" fillId="0" borderId="0" xfId="0" applyFont="1"/>
    <xf numFmtId="178" fontId="40" fillId="2" borderId="0" xfId="2" applyFont="1" applyFill="1" applyAlignment="1" applyProtection="1">
      <alignment horizontal="right" vertical="center"/>
      <protection locked="0"/>
    </xf>
    <xf numFmtId="0" fontId="42" fillId="0" borderId="0" xfId="0" applyFont="1" applyAlignment="1">
      <alignment vertical="center" wrapText="1"/>
    </xf>
    <xf numFmtId="0" fontId="8" fillId="0" borderId="1" xfId="5" applyFont="1" applyBorder="1" applyAlignment="1" applyProtection="1">
      <alignment vertical="center"/>
      <protection locked="0"/>
    </xf>
    <xf numFmtId="0" fontId="32" fillId="8" borderId="1" xfId="637" applyFont="1" applyFill="1" applyBorder="1" applyAlignment="1" applyProtection="1">
      <alignment horizontal="center" vertical="center"/>
      <protection locked="0"/>
    </xf>
    <xf numFmtId="176" fontId="6" fillId="8" borderId="1" xfId="637" applyNumberFormat="1" applyFont="1" applyFill="1" applyBorder="1" applyAlignment="1" applyProtection="1">
      <alignment vertical="center"/>
      <protection locked="0"/>
    </xf>
    <xf numFmtId="0" fontId="26" fillId="0" borderId="0" xfId="5" applyFont="1" applyAlignment="1" applyProtection="1">
      <alignment horizontal="center" vertical="center"/>
      <protection locked="0"/>
    </xf>
    <xf numFmtId="0" fontId="45" fillId="0" borderId="0" xfId="0" applyFont="1"/>
    <xf numFmtId="176" fontId="32" fillId="8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/>
    </xf>
    <xf numFmtId="176" fontId="48" fillId="9" borderId="1" xfId="0" applyNumberFormat="1" applyFont="1" applyFill="1" applyBorder="1" applyAlignment="1">
      <alignment horizontal="center" vertical="center" wrapText="1"/>
    </xf>
    <xf numFmtId="9" fontId="0" fillId="0" borderId="0" xfId="6" applyFont="1" applyAlignment="1">
      <alignment horizontal="center" vertical="center"/>
    </xf>
    <xf numFmtId="0" fontId="45" fillId="0" borderId="0" xfId="0" applyFont="1" applyAlignment="1">
      <alignment vertical="center"/>
    </xf>
    <xf numFmtId="0" fontId="8" fillId="0" borderId="1" xfId="637" applyFont="1" applyBorder="1" applyAlignment="1" applyProtection="1">
      <alignment vertical="center"/>
      <protection locked="0"/>
    </xf>
    <xf numFmtId="182" fontId="0" fillId="0" borderId="0" xfId="6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wrapText="1"/>
    </xf>
    <xf numFmtId="0" fontId="50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39" fillId="0" borderId="1" xfId="0" applyFont="1" applyBorder="1"/>
    <xf numFmtId="179" fontId="47" fillId="0" borderId="1" xfId="0" applyNumberFormat="1" applyFont="1" applyBorder="1" applyAlignment="1">
      <alignment horizontal="left" wrapText="1"/>
    </xf>
    <xf numFmtId="179" fontId="47" fillId="0" borderId="1" xfId="0" applyNumberFormat="1" applyFont="1" applyBorder="1" applyAlignment="1">
      <alignment wrapText="1"/>
    </xf>
    <xf numFmtId="0" fontId="51" fillId="0" borderId="1" xfId="0" applyFont="1" applyBorder="1" applyAlignment="1">
      <alignment wrapText="1"/>
    </xf>
    <xf numFmtId="9" fontId="38" fillId="0" borderId="2" xfId="6" applyFont="1" applyBorder="1" applyAlignment="1">
      <alignment horizontal="center" vertical="center"/>
    </xf>
    <xf numFmtId="0" fontId="52" fillId="0" borderId="0" xfId="0" applyFont="1"/>
    <xf numFmtId="176" fontId="0" fillId="0" borderId="1" xfId="2" applyNumberFormat="1" applyFont="1" applyFill="1" applyBorder="1" applyAlignment="1">
      <alignment horizontal="center" vertical="center"/>
    </xf>
    <xf numFmtId="179" fontId="0" fillId="0" borderId="1" xfId="2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/>
    </xf>
    <xf numFmtId="0" fontId="47" fillId="0" borderId="1" xfId="0" applyFont="1" applyBorder="1"/>
    <xf numFmtId="179" fontId="47" fillId="0" borderId="1" xfId="0" applyNumberFormat="1" applyFont="1" applyBorder="1" applyAlignment="1">
      <alignment horizontal="left"/>
    </xf>
    <xf numFmtId="0" fontId="5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179" fontId="0" fillId="0" borderId="1" xfId="0" applyNumberFormat="1" applyBorder="1" applyAlignment="1">
      <alignment horizontal="left" wrapText="1"/>
    </xf>
    <xf numFmtId="179" fontId="0" fillId="0" borderId="1" xfId="0" applyNumberFormat="1" applyBorder="1" applyAlignment="1">
      <alignment wrapText="1"/>
    </xf>
    <xf numFmtId="0" fontId="0" fillId="0" borderId="1" xfId="0" quotePrefix="1" applyBorder="1" applyAlignment="1">
      <alignment wrapText="1"/>
    </xf>
    <xf numFmtId="176" fontId="0" fillId="0" borderId="1" xfId="0" applyNumberFormat="1" applyBorder="1" applyAlignment="1">
      <alignment vertical="center"/>
    </xf>
    <xf numFmtId="179" fontId="0" fillId="0" borderId="1" xfId="0" applyNumberFormat="1" applyBorder="1" applyAlignment="1">
      <alignment horizontal="left"/>
    </xf>
    <xf numFmtId="0" fontId="53" fillId="0" borderId="1" xfId="0" applyFont="1" applyBorder="1"/>
    <xf numFmtId="9" fontId="15" fillId="0" borderId="2" xfId="6" applyFont="1" applyBorder="1" applyAlignment="1">
      <alignment vertical="center"/>
    </xf>
    <xf numFmtId="183" fontId="47" fillId="0" borderId="1" xfId="1324" applyNumberFormat="1" applyFont="1" applyBorder="1" applyAlignment="1">
      <alignment wrapText="1"/>
    </xf>
    <xf numFmtId="183" fontId="47" fillId="0" borderId="1" xfId="1324" applyNumberFormat="1" applyFont="1" applyBorder="1" applyAlignment="1">
      <alignment horizontal="left" wrapText="1"/>
    </xf>
    <xf numFmtId="183" fontId="0" fillId="0" borderId="1" xfId="1324" applyNumberFormat="1" applyFont="1" applyBorder="1" applyAlignment="1">
      <alignment wrapText="1"/>
    </xf>
    <xf numFmtId="183" fontId="51" fillId="0" borderId="1" xfId="1324" applyNumberFormat="1" applyFont="1" applyBorder="1" applyAlignment="1">
      <alignment wrapText="1"/>
    </xf>
    <xf numFmtId="183" fontId="39" fillId="0" borderId="1" xfId="1324" applyNumberFormat="1" applyFont="1" applyBorder="1" applyAlignment="1">
      <alignment wrapText="1"/>
    </xf>
    <xf numFmtId="183" fontId="39" fillId="0" borderId="1" xfId="1324" applyNumberFormat="1" applyFont="1" applyBorder="1" applyAlignment="1"/>
    <xf numFmtId="183" fontId="39" fillId="0" borderId="1" xfId="1324" applyNumberFormat="1" applyFont="1" applyBorder="1" applyAlignment="1">
      <alignment horizontal="left"/>
    </xf>
    <xf numFmtId="183" fontId="47" fillId="0" borderId="1" xfId="1324" applyNumberFormat="1" applyFont="1" applyBorder="1" applyAlignment="1"/>
    <xf numFmtId="183" fontId="47" fillId="0" borderId="1" xfId="1324" applyNumberFormat="1" applyFont="1" applyBorder="1" applyAlignment="1">
      <alignment horizontal="left"/>
    </xf>
    <xf numFmtId="183" fontId="53" fillId="0" borderId="1" xfId="1324" applyNumberFormat="1" applyFont="1" applyBorder="1" applyAlignment="1"/>
    <xf numFmtId="183" fontId="52" fillId="0" borderId="1" xfId="1324" applyNumberFormat="1" applyFont="1" applyBorder="1" applyAlignment="1"/>
    <xf numFmtId="0" fontId="43" fillId="12" borderId="0" xfId="0" applyFont="1" applyFill="1" applyAlignment="1">
      <alignment horizontal="center"/>
    </xf>
    <xf numFmtId="0" fontId="55" fillId="3" borderId="1" xfId="637" applyFont="1" applyFill="1" applyBorder="1" applyAlignment="1" applyProtection="1">
      <alignment horizontal="center" vertical="center" wrapText="1"/>
      <protection locked="0"/>
    </xf>
    <xf numFmtId="1" fontId="55" fillId="3" borderId="1" xfId="637" applyNumberFormat="1" applyFont="1" applyFill="1" applyBorder="1" applyAlignment="1" applyProtection="1">
      <alignment horizontal="center" vertical="center"/>
      <protection locked="0"/>
    </xf>
    <xf numFmtId="0" fontId="56" fillId="3" borderId="1" xfId="5" applyFont="1" applyFill="1" applyBorder="1" applyAlignment="1" applyProtection="1">
      <alignment horizontal="center" vertical="center" wrapText="1"/>
      <protection locked="0"/>
    </xf>
    <xf numFmtId="0" fontId="56" fillId="3" borderId="1" xfId="5" applyFont="1" applyFill="1" applyBorder="1" applyAlignment="1" applyProtection="1">
      <alignment horizontal="center" vertical="center"/>
      <protection locked="0"/>
    </xf>
    <xf numFmtId="0" fontId="56" fillId="3" borderId="1" xfId="637" applyFont="1" applyFill="1" applyBorder="1" applyAlignment="1" applyProtection="1">
      <alignment horizontal="center" vertical="center" wrapText="1"/>
      <protection locked="0"/>
    </xf>
    <xf numFmtId="0" fontId="8" fillId="3" borderId="1" xfId="637" applyFont="1" applyFill="1" applyBorder="1" applyAlignment="1" applyProtection="1">
      <alignment horizontal="center" vertical="center"/>
      <protection locked="0"/>
    </xf>
    <xf numFmtId="0" fontId="8" fillId="4" borderId="1" xfId="637" applyFont="1" applyFill="1" applyBorder="1" applyAlignment="1" applyProtection="1">
      <alignment vertical="center" wrapText="1"/>
      <protection locked="0"/>
    </xf>
    <xf numFmtId="0" fontId="8" fillId="4" borderId="1" xfId="637" applyFont="1" applyFill="1" applyBorder="1" applyAlignment="1" applyProtection="1">
      <alignment vertical="center"/>
      <protection locked="0"/>
    </xf>
    <xf numFmtId="0" fontId="8" fillId="6" borderId="1" xfId="248" applyNumberFormat="1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6" fillId="0" borderId="0" xfId="5" applyFont="1" applyAlignment="1" applyProtection="1">
      <alignment horizontal="center" vertical="center"/>
      <protection locked="0"/>
    </xf>
    <xf numFmtId="0" fontId="55" fillId="3" borderId="1" xfId="637" applyFont="1" applyFill="1" applyBorder="1" applyAlignment="1" applyProtection="1">
      <alignment horizontal="center" vertical="center" wrapText="1"/>
      <protection locked="0"/>
    </xf>
    <xf numFmtId="0" fontId="57" fillId="0" borderId="1" xfId="5" applyFont="1" applyBorder="1" applyAlignment="1" applyProtection="1">
      <alignment vertical="center"/>
      <protection locked="0"/>
    </xf>
    <xf numFmtId="184" fontId="12" fillId="0" borderId="0" xfId="5" applyNumberFormat="1" applyAlignment="1" applyProtection="1">
      <alignment vertical="center"/>
      <protection locked="0"/>
    </xf>
    <xf numFmtId="0" fontId="58" fillId="0" borderId="0" xfId="5" applyFont="1" applyAlignment="1" applyProtection="1">
      <alignment vertical="center"/>
      <protection locked="0"/>
    </xf>
    <xf numFmtId="41" fontId="12" fillId="0" borderId="0" xfId="1324" applyFont="1" applyAlignment="1" applyProtection="1">
      <alignment vertical="center"/>
      <protection locked="0"/>
    </xf>
    <xf numFmtId="41" fontId="12" fillId="0" borderId="0" xfId="5" applyNumberFormat="1" applyAlignment="1" applyProtection="1">
      <alignment vertical="center"/>
      <protection locked="0"/>
    </xf>
  </cellXfs>
  <cellStyles count="1325">
    <cellStyle name="Comma 2" xfId="1" xr:uid="{00000000-0005-0000-0000-000001000000}"/>
    <cellStyle name="Currency 2" xfId="3" xr:uid="{00000000-0005-0000-0000-000003000000}"/>
    <cellStyle name="Currency 2 99" xfId="248" xr:uid="{00000000-0005-0000-0000-000004000000}"/>
    <cellStyle name="Currency 5" xfId="776" xr:uid="{00000000-0005-0000-0000-000005000000}"/>
    <cellStyle name="Hyperlink 2" xfId="4" xr:uid="{00000000-0005-0000-0000-000020050000}"/>
    <cellStyle name="Normal 10" xfId="775" xr:uid="{00000000-0005-0000-0000-000022050000}"/>
    <cellStyle name="Normal 131 2" xfId="1098" xr:uid="{00000000-0005-0000-0000-000023050000}"/>
    <cellStyle name="Normal 132" xfId="1101" xr:uid="{00000000-0005-0000-0000-000024050000}"/>
    <cellStyle name="Normal 135" xfId="1095" xr:uid="{00000000-0005-0000-0000-000025050000}"/>
    <cellStyle name="Normal 2" xfId="5" xr:uid="{00000000-0005-0000-0000-000026050000}"/>
    <cellStyle name="Normal 2 101" xfId="637" xr:uid="{00000000-0005-0000-0000-000027050000}"/>
    <cellStyle name="Normal 3" xfId="924" xr:uid="{00000000-0005-0000-0000-000028050000}"/>
    <cellStyle name="Normal 3 10" xfId="857" xr:uid="{00000000-0005-0000-0000-000029050000}"/>
    <cellStyle name="Normal 4" xfId="698" xr:uid="{00000000-0005-0000-0000-00002A050000}"/>
    <cellStyle name="Percent 2" xfId="7" xr:uid="{00000000-0005-0000-0000-00002C050000}"/>
    <cellStyle name="백분율" xfId="6" builtinId="5"/>
    <cellStyle name="쉼표 [0]" xfId="1324" builtinId="6"/>
    <cellStyle name="열어 본 하이퍼링크" xfId="8" builtinId="9" hidden="1"/>
    <cellStyle name="열어 본 하이퍼링크" xfId="9" builtinId="9" hidden="1"/>
    <cellStyle name="열어 본 하이퍼링크" xfId="10" builtinId="9" hidden="1"/>
    <cellStyle name="열어 본 하이퍼링크" xfId="11" builtinId="9" hidden="1"/>
    <cellStyle name="열어 본 하이퍼링크" xfId="12" builtinId="9" hidden="1"/>
    <cellStyle name="열어 본 하이퍼링크" xfId="13" builtinId="9" hidden="1"/>
    <cellStyle name="열어 본 하이퍼링크" xfId="14" builtinId="9" hidden="1"/>
    <cellStyle name="열어 본 하이퍼링크" xfId="15" builtinId="9" hidden="1"/>
    <cellStyle name="열어 본 하이퍼링크" xfId="16" builtinId="9" hidden="1"/>
    <cellStyle name="열어 본 하이퍼링크" xfId="17" builtinId="9" hidden="1"/>
    <cellStyle name="열어 본 하이퍼링크" xfId="18" builtinId="9" hidden="1"/>
    <cellStyle name="열어 본 하이퍼링크" xfId="19" builtinId="9" hidden="1"/>
    <cellStyle name="열어 본 하이퍼링크" xfId="20" builtinId="9" hidden="1"/>
    <cellStyle name="열어 본 하이퍼링크" xfId="21" builtinId="9" hidden="1"/>
    <cellStyle name="열어 본 하이퍼링크" xfId="22" builtinId="9" hidden="1"/>
    <cellStyle name="열어 본 하이퍼링크" xfId="23" builtinId="9" hidden="1"/>
    <cellStyle name="열어 본 하이퍼링크" xfId="24" builtinId="9" hidden="1"/>
    <cellStyle name="열어 본 하이퍼링크" xfId="25" builtinId="9" hidden="1"/>
    <cellStyle name="열어 본 하이퍼링크" xfId="26" builtinId="9" hidden="1"/>
    <cellStyle name="열어 본 하이퍼링크" xfId="27" builtinId="9" hidden="1"/>
    <cellStyle name="열어 본 하이퍼링크" xfId="28" builtinId="9" hidden="1"/>
    <cellStyle name="열어 본 하이퍼링크" xfId="29" builtinId="9" hidden="1"/>
    <cellStyle name="열어 본 하이퍼링크" xfId="30" builtinId="9" hidden="1"/>
    <cellStyle name="열어 본 하이퍼링크" xfId="31" builtinId="9" hidden="1"/>
    <cellStyle name="열어 본 하이퍼링크" xfId="32" builtinId="9" hidden="1"/>
    <cellStyle name="열어 본 하이퍼링크" xfId="33" builtinId="9" hidden="1"/>
    <cellStyle name="열어 본 하이퍼링크" xfId="34" builtinId="9" hidden="1"/>
    <cellStyle name="열어 본 하이퍼링크" xfId="35" builtinId="9" hidden="1"/>
    <cellStyle name="열어 본 하이퍼링크" xfId="36" builtinId="9" hidden="1"/>
    <cellStyle name="열어 본 하이퍼링크" xfId="37" builtinId="9" hidden="1"/>
    <cellStyle name="열어 본 하이퍼링크" xfId="38" builtinId="9" hidden="1"/>
    <cellStyle name="열어 본 하이퍼링크" xfId="39" builtinId="9" hidden="1"/>
    <cellStyle name="열어 본 하이퍼링크" xfId="40" builtinId="9" hidden="1"/>
    <cellStyle name="열어 본 하이퍼링크" xfId="41" builtinId="9" hidden="1"/>
    <cellStyle name="열어 본 하이퍼링크" xfId="42" builtinId="9" hidden="1"/>
    <cellStyle name="열어 본 하이퍼링크" xfId="43" builtinId="9" hidden="1"/>
    <cellStyle name="열어 본 하이퍼링크" xfId="44" builtinId="9" hidden="1"/>
    <cellStyle name="열어 본 하이퍼링크" xfId="45" builtinId="9" hidden="1"/>
    <cellStyle name="열어 본 하이퍼링크" xfId="46" builtinId="9" hidden="1"/>
    <cellStyle name="열어 본 하이퍼링크" xfId="47" builtinId="9" hidden="1"/>
    <cellStyle name="열어 본 하이퍼링크" xfId="48" builtinId="9" hidden="1"/>
    <cellStyle name="열어 본 하이퍼링크" xfId="49" builtinId="9" hidden="1"/>
    <cellStyle name="열어 본 하이퍼링크" xfId="50" builtinId="9" hidden="1"/>
    <cellStyle name="열어 본 하이퍼링크" xfId="51" builtinId="9" hidden="1"/>
    <cellStyle name="열어 본 하이퍼링크" xfId="52" builtinId="9" hidden="1"/>
    <cellStyle name="열어 본 하이퍼링크" xfId="53" builtinId="9" hidden="1"/>
    <cellStyle name="열어 본 하이퍼링크" xfId="54" builtinId="9" hidden="1"/>
    <cellStyle name="열어 본 하이퍼링크" xfId="55" builtinId="9" hidden="1"/>
    <cellStyle name="열어 본 하이퍼링크" xfId="56" builtinId="9" hidden="1"/>
    <cellStyle name="열어 본 하이퍼링크" xfId="57" builtinId="9" hidden="1"/>
    <cellStyle name="열어 본 하이퍼링크" xfId="58" builtinId="9" hidden="1"/>
    <cellStyle name="열어 본 하이퍼링크" xfId="59" builtinId="9" hidden="1"/>
    <cellStyle name="열어 본 하이퍼링크" xfId="60" builtinId="9" hidden="1"/>
    <cellStyle name="열어 본 하이퍼링크" xfId="61" builtinId="9" hidden="1"/>
    <cellStyle name="열어 본 하이퍼링크" xfId="62" builtinId="9" hidden="1"/>
    <cellStyle name="열어 본 하이퍼링크" xfId="63" builtinId="9" hidden="1"/>
    <cellStyle name="열어 본 하이퍼링크" xfId="64" builtinId="9" hidden="1"/>
    <cellStyle name="열어 본 하이퍼링크" xfId="65" builtinId="9" hidden="1"/>
    <cellStyle name="열어 본 하이퍼링크" xfId="66" builtinId="9" hidden="1"/>
    <cellStyle name="열어 본 하이퍼링크" xfId="67" builtinId="9" hidden="1"/>
    <cellStyle name="열어 본 하이퍼링크" xfId="68" builtinId="9" hidden="1"/>
    <cellStyle name="열어 본 하이퍼링크" xfId="69" builtinId="9" hidden="1"/>
    <cellStyle name="열어 본 하이퍼링크" xfId="70" builtinId="9" hidden="1"/>
    <cellStyle name="열어 본 하이퍼링크" xfId="71" builtinId="9" hidden="1"/>
    <cellStyle name="열어 본 하이퍼링크" xfId="72" builtinId="9" hidden="1"/>
    <cellStyle name="열어 본 하이퍼링크" xfId="73" builtinId="9" hidden="1"/>
    <cellStyle name="열어 본 하이퍼링크" xfId="74" builtinId="9" hidden="1"/>
    <cellStyle name="열어 본 하이퍼링크" xfId="75" builtinId="9" hidden="1"/>
    <cellStyle name="열어 본 하이퍼링크" xfId="76" builtinId="9" hidden="1"/>
    <cellStyle name="열어 본 하이퍼링크" xfId="77" builtinId="9" hidden="1"/>
    <cellStyle name="열어 본 하이퍼링크" xfId="78" builtinId="9" hidden="1"/>
    <cellStyle name="열어 본 하이퍼링크" xfId="79" builtinId="9" hidden="1"/>
    <cellStyle name="열어 본 하이퍼링크" xfId="80" builtinId="9" hidden="1"/>
    <cellStyle name="열어 본 하이퍼링크" xfId="81" builtinId="9" hidden="1"/>
    <cellStyle name="열어 본 하이퍼링크" xfId="82" builtinId="9" hidden="1"/>
    <cellStyle name="열어 본 하이퍼링크" xfId="83" builtinId="9" hidden="1"/>
    <cellStyle name="열어 본 하이퍼링크" xfId="84" builtinId="9" hidden="1"/>
    <cellStyle name="열어 본 하이퍼링크" xfId="85" builtinId="9" hidden="1"/>
    <cellStyle name="열어 본 하이퍼링크" xfId="86" builtinId="9" hidden="1"/>
    <cellStyle name="열어 본 하이퍼링크" xfId="87" builtinId="9" hidden="1"/>
    <cellStyle name="열어 본 하이퍼링크" xfId="88" builtinId="9" hidden="1"/>
    <cellStyle name="열어 본 하이퍼링크" xfId="89" builtinId="9" hidden="1"/>
    <cellStyle name="열어 본 하이퍼링크" xfId="90" builtinId="9" hidden="1"/>
    <cellStyle name="열어 본 하이퍼링크" xfId="91" builtinId="9" hidden="1"/>
    <cellStyle name="열어 본 하이퍼링크" xfId="92" builtinId="9" hidden="1"/>
    <cellStyle name="열어 본 하이퍼링크" xfId="93" builtinId="9" hidden="1"/>
    <cellStyle name="열어 본 하이퍼링크" xfId="94" builtinId="9" hidden="1"/>
    <cellStyle name="열어 본 하이퍼링크" xfId="95" builtinId="9" hidden="1"/>
    <cellStyle name="열어 본 하이퍼링크" xfId="96" builtinId="9" hidden="1"/>
    <cellStyle name="열어 본 하이퍼링크" xfId="97" builtinId="9" hidden="1"/>
    <cellStyle name="열어 본 하이퍼링크" xfId="98" builtinId="9" hidden="1"/>
    <cellStyle name="열어 본 하이퍼링크" xfId="99" builtinId="9" hidden="1"/>
    <cellStyle name="열어 본 하이퍼링크" xfId="100" builtinId="9" hidden="1"/>
    <cellStyle name="열어 본 하이퍼링크" xfId="101" builtinId="9" hidden="1"/>
    <cellStyle name="열어 본 하이퍼링크" xfId="102" builtinId="9" hidden="1"/>
    <cellStyle name="열어 본 하이퍼링크" xfId="103" builtinId="9" hidden="1"/>
    <cellStyle name="열어 본 하이퍼링크" xfId="104" builtinId="9" hidden="1"/>
    <cellStyle name="열어 본 하이퍼링크" xfId="105" builtinId="9" hidden="1"/>
    <cellStyle name="열어 본 하이퍼링크" xfId="107" builtinId="9" hidden="1"/>
    <cellStyle name="열어 본 하이퍼링크" xfId="109" builtinId="9" hidden="1"/>
    <cellStyle name="열어 본 하이퍼링크" xfId="111" builtinId="9" hidden="1"/>
    <cellStyle name="열어 본 하이퍼링크" xfId="113" builtinId="9" hidden="1"/>
    <cellStyle name="열어 본 하이퍼링크" xfId="115" builtinId="9" hidden="1"/>
    <cellStyle name="열어 본 하이퍼링크" xfId="117" builtinId="9" hidden="1"/>
    <cellStyle name="열어 본 하이퍼링크" xfId="119" builtinId="9" hidden="1"/>
    <cellStyle name="열어 본 하이퍼링크" xfId="121" builtinId="9" hidden="1"/>
    <cellStyle name="열어 본 하이퍼링크" xfId="123" builtinId="9" hidden="1"/>
    <cellStyle name="열어 본 하이퍼링크" xfId="125" builtinId="9" hidden="1"/>
    <cellStyle name="열어 본 하이퍼링크" xfId="127" builtinId="9" hidden="1"/>
    <cellStyle name="열어 본 하이퍼링크" xfId="129" builtinId="9" hidden="1"/>
    <cellStyle name="열어 본 하이퍼링크" xfId="131" builtinId="9" hidden="1"/>
    <cellStyle name="열어 본 하이퍼링크" xfId="133" builtinId="9" hidden="1"/>
    <cellStyle name="열어 본 하이퍼링크" xfId="135" builtinId="9" hidden="1"/>
    <cellStyle name="열어 본 하이퍼링크" xfId="137" builtinId="9" hidden="1"/>
    <cellStyle name="열어 본 하이퍼링크" xfId="139" builtinId="9" hidden="1"/>
    <cellStyle name="열어 본 하이퍼링크" xfId="141" builtinId="9" hidden="1"/>
    <cellStyle name="열어 본 하이퍼링크" xfId="143" builtinId="9" hidden="1"/>
    <cellStyle name="열어 본 하이퍼링크" xfId="145" builtinId="9" hidden="1"/>
    <cellStyle name="열어 본 하이퍼링크" xfId="147" builtinId="9" hidden="1"/>
    <cellStyle name="열어 본 하이퍼링크" xfId="149" builtinId="9" hidden="1"/>
    <cellStyle name="열어 본 하이퍼링크" xfId="151" builtinId="9" hidden="1"/>
    <cellStyle name="열어 본 하이퍼링크" xfId="153" builtinId="9" hidden="1"/>
    <cellStyle name="열어 본 하이퍼링크" xfId="155" builtinId="9" hidden="1"/>
    <cellStyle name="열어 본 하이퍼링크" xfId="157" builtinId="9" hidden="1"/>
    <cellStyle name="열어 본 하이퍼링크" xfId="159" builtinId="9" hidden="1"/>
    <cellStyle name="열어 본 하이퍼링크" xfId="161" builtinId="9" hidden="1"/>
    <cellStyle name="열어 본 하이퍼링크" xfId="163" builtinId="9" hidden="1"/>
    <cellStyle name="열어 본 하이퍼링크" xfId="165" builtinId="9" hidden="1"/>
    <cellStyle name="열어 본 하이퍼링크" xfId="167" builtinId="9" hidden="1"/>
    <cellStyle name="열어 본 하이퍼링크" xfId="169" builtinId="9" hidden="1"/>
    <cellStyle name="열어 본 하이퍼링크" xfId="171" builtinId="9" hidden="1"/>
    <cellStyle name="열어 본 하이퍼링크" xfId="173" builtinId="9" hidden="1"/>
    <cellStyle name="열어 본 하이퍼링크" xfId="175" builtinId="9" hidden="1"/>
    <cellStyle name="열어 본 하이퍼링크" xfId="177" builtinId="9" hidden="1"/>
    <cellStyle name="열어 본 하이퍼링크" xfId="179" builtinId="9" hidden="1"/>
    <cellStyle name="열어 본 하이퍼링크" xfId="181" builtinId="9" hidden="1"/>
    <cellStyle name="열어 본 하이퍼링크" xfId="183" builtinId="9" hidden="1"/>
    <cellStyle name="열어 본 하이퍼링크" xfId="185" builtinId="9" hidden="1"/>
    <cellStyle name="열어 본 하이퍼링크" xfId="187" builtinId="9" hidden="1"/>
    <cellStyle name="열어 본 하이퍼링크" xfId="189" builtinId="9" hidden="1"/>
    <cellStyle name="열어 본 하이퍼링크" xfId="191" builtinId="9" hidden="1"/>
    <cellStyle name="열어 본 하이퍼링크" xfId="193" builtinId="9" hidden="1"/>
    <cellStyle name="열어 본 하이퍼링크" xfId="195" builtinId="9" hidden="1"/>
    <cellStyle name="열어 본 하이퍼링크" xfId="197" builtinId="9" hidden="1"/>
    <cellStyle name="열어 본 하이퍼링크" xfId="199" builtinId="9" hidden="1"/>
    <cellStyle name="열어 본 하이퍼링크" xfId="201" builtinId="9" hidden="1"/>
    <cellStyle name="열어 본 하이퍼링크" xfId="203" builtinId="9" hidden="1"/>
    <cellStyle name="열어 본 하이퍼링크" xfId="205" builtinId="9" hidden="1"/>
    <cellStyle name="열어 본 하이퍼링크" xfId="207" builtinId="9" hidden="1"/>
    <cellStyle name="열어 본 하이퍼링크" xfId="209" builtinId="9" hidden="1"/>
    <cellStyle name="열어 본 하이퍼링크" xfId="211" builtinId="9" hidden="1"/>
    <cellStyle name="열어 본 하이퍼링크" xfId="213" builtinId="9" hidden="1"/>
    <cellStyle name="열어 본 하이퍼링크" xfId="215" builtinId="9" hidden="1"/>
    <cellStyle name="열어 본 하이퍼링크" xfId="217" builtinId="9" hidden="1"/>
    <cellStyle name="열어 본 하이퍼링크" xfId="219" builtinId="9" hidden="1"/>
    <cellStyle name="열어 본 하이퍼링크" xfId="221" builtinId="9" hidden="1"/>
    <cellStyle name="열어 본 하이퍼링크" xfId="223" builtinId="9" hidden="1"/>
    <cellStyle name="열어 본 하이퍼링크" xfId="225" builtinId="9" hidden="1"/>
    <cellStyle name="열어 본 하이퍼링크" xfId="227" builtinId="9" hidden="1"/>
    <cellStyle name="열어 본 하이퍼링크" xfId="229" builtinId="9" hidden="1"/>
    <cellStyle name="열어 본 하이퍼링크" xfId="231" builtinId="9" hidden="1"/>
    <cellStyle name="열어 본 하이퍼링크" xfId="233" builtinId="9" hidden="1"/>
    <cellStyle name="열어 본 하이퍼링크" xfId="235" builtinId="9" hidden="1"/>
    <cellStyle name="열어 본 하이퍼링크" xfId="237" builtinId="9" hidden="1"/>
    <cellStyle name="열어 본 하이퍼링크" xfId="239" builtinId="9" hidden="1"/>
    <cellStyle name="열어 본 하이퍼링크" xfId="241" builtinId="9" hidden="1"/>
    <cellStyle name="열어 본 하이퍼링크" xfId="243" builtinId="9" hidden="1"/>
    <cellStyle name="열어 본 하이퍼링크" xfId="245" builtinId="9" hidden="1"/>
    <cellStyle name="열어 본 하이퍼링크" xfId="247" builtinId="9" hidden="1"/>
    <cellStyle name="열어 본 하이퍼링크" xfId="250" builtinId="9" hidden="1"/>
    <cellStyle name="열어 본 하이퍼링크" xfId="252" builtinId="9" hidden="1"/>
    <cellStyle name="열어 본 하이퍼링크" xfId="254" builtinId="9" hidden="1"/>
    <cellStyle name="열어 본 하이퍼링크" xfId="256" builtinId="9" hidden="1"/>
    <cellStyle name="열어 본 하이퍼링크" xfId="258" builtinId="9" hidden="1"/>
    <cellStyle name="열어 본 하이퍼링크" xfId="260" builtinId="9" hidden="1"/>
    <cellStyle name="열어 본 하이퍼링크" xfId="262" builtinId="9" hidden="1"/>
    <cellStyle name="열어 본 하이퍼링크" xfId="264" builtinId="9" hidden="1"/>
    <cellStyle name="열어 본 하이퍼링크" xfId="266" builtinId="9" hidden="1"/>
    <cellStyle name="열어 본 하이퍼링크" xfId="268" builtinId="9" hidden="1"/>
    <cellStyle name="열어 본 하이퍼링크" xfId="270" builtinId="9" hidden="1"/>
    <cellStyle name="열어 본 하이퍼링크" xfId="272" builtinId="9" hidden="1"/>
    <cellStyle name="열어 본 하이퍼링크" xfId="274" builtinId="9" hidden="1"/>
    <cellStyle name="열어 본 하이퍼링크" xfId="276" builtinId="9" hidden="1"/>
    <cellStyle name="열어 본 하이퍼링크" xfId="278" builtinId="9" hidden="1"/>
    <cellStyle name="열어 본 하이퍼링크" xfId="280" builtinId="9" hidden="1"/>
    <cellStyle name="열어 본 하이퍼링크" xfId="282" builtinId="9" hidden="1"/>
    <cellStyle name="열어 본 하이퍼링크" xfId="284" builtinId="9" hidden="1"/>
    <cellStyle name="열어 본 하이퍼링크" xfId="286" builtinId="9" hidden="1"/>
    <cellStyle name="열어 본 하이퍼링크" xfId="288" builtinId="9" hidden="1"/>
    <cellStyle name="열어 본 하이퍼링크" xfId="290" builtinId="9" hidden="1"/>
    <cellStyle name="열어 본 하이퍼링크" xfId="292" builtinId="9" hidden="1"/>
    <cellStyle name="열어 본 하이퍼링크" xfId="294" builtinId="9" hidden="1"/>
    <cellStyle name="열어 본 하이퍼링크" xfId="296" builtinId="9" hidden="1"/>
    <cellStyle name="열어 본 하이퍼링크" xfId="298" builtinId="9" hidden="1"/>
    <cellStyle name="열어 본 하이퍼링크" xfId="300" builtinId="9" hidden="1"/>
    <cellStyle name="열어 본 하이퍼링크" xfId="302" builtinId="9" hidden="1"/>
    <cellStyle name="열어 본 하이퍼링크" xfId="304" builtinId="9" hidden="1"/>
    <cellStyle name="열어 본 하이퍼링크" xfId="306" builtinId="9" hidden="1"/>
    <cellStyle name="열어 본 하이퍼링크" xfId="308" builtinId="9" hidden="1"/>
    <cellStyle name="열어 본 하이퍼링크" xfId="310" builtinId="9" hidden="1"/>
    <cellStyle name="열어 본 하이퍼링크" xfId="312" builtinId="9" hidden="1"/>
    <cellStyle name="열어 본 하이퍼링크" xfId="314" builtinId="9" hidden="1"/>
    <cellStyle name="열어 본 하이퍼링크" xfId="316" builtinId="9" hidden="1"/>
    <cellStyle name="열어 본 하이퍼링크" xfId="318" builtinId="9" hidden="1"/>
    <cellStyle name="열어 본 하이퍼링크" xfId="320" builtinId="9" hidden="1"/>
    <cellStyle name="열어 본 하이퍼링크" xfId="322" builtinId="9" hidden="1"/>
    <cellStyle name="열어 본 하이퍼링크" xfId="324" builtinId="9" hidden="1"/>
    <cellStyle name="열어 본 하이퍼링크" xfId="326" builtinId="9" hidden="1"/>
    <cellStyle name="열어 본 하이퍼링크" xfId="328" builtinId="9" hidden="1"/>
    <cellStyle name="열어 본 하이퍼링크" xfId="330" builtinId="9" hidden="1"/>
    <cellStyle name="열어 본 하이퍼링크" xfId="332" builtinId="9" hidden="1"/>
    <cellStyle name="열어 본 하이퍼링크" xfId="334" builtinId="9" hidden="1"/>
    <cellStyle name="열어 본 하이퍼링크" xfId="336" builtinId="9" hidden="1"/>
    <cellStyle name="열어 본 하이퍼링크" xfId="338" builtinId="9" hidden="1"/>
    <cellStyle name="열어 본 하이퍼링크" xfId="340" builtinId="9" hidden="1"/>
    <cellStyle name="열어 본 하이퍼링크" xfId="342" builtinId="9" hidden="1"/>
    <cellStyle name="열어 본 하이퍼링크" xfId="344" builtinId="9" hidden="1"/>
    <cellStyle name="열어 본 하이퍼링크" xfId="346" builtinId="9" hidden="1"/>
    <cellStyle name="열어 본 하이퍼링크" xfId="348" builtinId="9" hidden="1"/>
    <cellStyle name="열어 본 하이퍼링크" xfId="350" builtinId="9" hidden="1"/>
    <cellStyle name="열어 본 하이퍼링크" xfId="352" builtinId="9" hidden="1"/>
    <cellStyle name="열어 본 하이퍼링크" xfId="354" builtinId="9" hidden="1"/>
    <cellStyle name="열어 본 하이퍼링크" xfId="356" builtinId="9" hidden="1"/>
    <cellStyle name="열어 본 하이퍼링크" xfId="358" builtinId="9" hidden="1"/>
    <cellStyle name="열어 본 하이퍼링크" xfId="360" builtinId="9" hidden="1"/>
    <cellStyle name="열어 본 하이퍼링크" xfId="362" builtinId="9" hidden="1"/>
    <cellStyle name="열어 본 하이퍼링크" xfId="364" builtinId="9" hidden="1"/>
    <cellStyle name="열어 본 하이퍼링크" xfId="366" builtinId="9" hidden="1"/>
    <cellStyle name="열어 본 하이퍼링크" xfId="368" builtinId="9" hidden="1"/>
    <cellStyle name="열어 본 하이퍼링크" xfId="370" builtinId="9" hidden="1"/>
    <cellStyle name="열어 본 하이퍼링크" xfId="372" builtinId="9" hidden="1"/>
    <cellStyle name="열어 본 하이퍼링크" xfId="374" builtinId="9" hidden="1"/>
    <cellStyle name="열어 본 하이퍼링크" xfId="376" builtinId="9" hidden="1"/>
    <cellStyle name="열어 본 하이퍼링크" xfId="378" builtinId="9" hidden="1"/>
    <cellStyle name="열어 본 하이퍼링크" xfId="380" builtinId="9" hidden="1"/>
    <cellStyle name="열어 본 하이퍼링크" xfId="382" builtinId="9" hidden="1"/>
    <cellStyle name="열어 본 하이퍼링크" xfId="384" builtinId="9" hidden="1"/>
    <cellStyle name="열어 본 하이퍼링크" xfId="386" builtinId="9" hidden="1"/>
    <cellStyle name="열어 본 하이퍼링크" xfId="388" builtinId="9" hidden="1"/>
    <cellStyle name="열어 본 하이퍼링크" xfId="390" builtinId="9" hidden="1"/>
    <cellStyle name="열어 본 하이퍼링크" xfId="392" builtinId="9" hidden="1"/>
    <cellStyle name="열어 본 하이퍼링크" xfId="394" builtinId="9" hidden="1"/>
    <cellStyle name="열어 본 하이퍼링크" xfId="396" builtinId="9" hidden="1"/>
    <cellStyle name="열어 본 하이퍼링크" xfId="398" builtinId="9" hidden="1"/>
    <cellStyle name="열어 본 하이퍼링크" xfId="400" builtinId="9" hidden="1"/>
    <cellStyle name="열어 본 하이퍼링크" xfId="402" builtinId="9" hidden="1"/>
    <cellStyle name="열어 본 하이퍼링크" xfId="404" builtinId="9" hidden="1"/>
    <cellStyle name="열어 본 하이퍼링크" xfId="406" builtinId="9" hidden="1"/>
    <cellStyle name="열어 본 하이퍼링크" xfId="408" builtinId="9" hidden="1"/>
    <cellStyle name="열어 본 하이퍼링크" xfId="410" builtinId="9" hidden="1"/>
    <cellStyle name="열어 본 하이퍼링크" xfId="412" builtinId="9" hidden="1"/>
    <cellStyle name="열어 본 하이퍼링크" xfId="414" builtinId="9" hidden="1"/>
    <cellStyle name="열어 본 하이퍼링크" xfId="416" builtinId="9" hidden="1"/>
    <cellStyle name="열어 본 하이퍼링크" xfId="418" builtinId="9" hidden="1"/>
    <cellStyle name="열어 본 하이퍼링크" xfId="420" builtinId="9" hidden="1"/>
    <cellStyle name="열어 본 하이퍼링크" xfId="422" builtinId="9" hidden="1"/>
    <cellStyle name="열어 본 하이퍼링크" xfId="424" builtinId="9" hidden="1"/>
    <cellStyle name="열어 본 하이퍼링크" xfId="426" builtinId="9" hidden="1"/>
    <cellStyle name="열어 본 하이퍼링크" xfId="428" builtinId="9" hidden="1"/>
    <cellStyle name="열어 본 하이퍼링크" xfId="430" builtinId="9" hidden="1"/>
    <cellStyle name="열어 본 하이퍼링크" xfId="432" builtinId="9" hidden="1"/>
    <cellStyle name="열어 본 하이퍼링크" xfId="434" builtinId="9" hidden="1"/>
    <cellStyle name="열어 본 하이퍼링크" xfId="436" builtinId="9" hidden="1"/>
    <cellStyle name="열어 본 하이퍼링크" xfId="438" builtinId="9" hidden="1"/>
    <cellStyle name="열어 본 하이퍼링크" xfId="440" builtinId="9" hidden="1"/>
    <cellStyle name="열어 본 하이퍼링크" xfId="442" builtinId="9" hidden="1"/>
    <cellStyle name="열어 본 하이퍼링크" xfId="444" builtinId="9" hidden="1"/>
    <cellStyle name="열어 본 하이퍼링크" xfId="446" builtinId="9" hidden="1"/>
    <cellStyle name="열어 본 하이퍼링크" xfId="448" builtinId="9" hidden="1"/>
    <cellStyle name="열어 본 하이퍼링크" xfId="450" builtinId="9" hidden="1"/>
    <cellStyle name="열어 본 하이퍼링크" xfId="452" builtinId="9" hidden="1"/>
    <cellStyle name="열어 본 하이퍼링크" xfId="454" builtinId="9" hidden="1"/>
    <cellStyle name="열어 본 하이퍼링크" xfId="456" builtinId="9" hidden="1"/>
    <cellStyle name="열어 본 하이퍼링크" xfId="458" builtinId="9" hidden="1"/>
    <cellStyle name="열어 본 하이퍼링크" xfId="460" builtinId="9" hidden="1"/>
    <cellStyle name="열어 본 하이퍼링크" xfId="462" builtinId="9" hidden="1"/>
    <cellStyle name="열어 본 하이퍼링크" xfId="464" builtinId="9" hidden="1"/>
    <cellStyle name="열어 본 하이퍼링크" xfId="466" builtinId="9" hidden="1"/>
    <cellStyle name="열어 본 하이퍼링크" xfId="468" builtinId="9" hidden="1"/>
    <cellStyle name="열어 본 하이퍼링크" xfId="470" builtinId="9" hidden="1"/>
    <cellStyle name="열어 본 하이퍼링크" xfId="472" builtinId="9" hidden="1"/>
    <cellStyle name="열어 본 하이퍼링크" xfId="474" builtinId="9" hidden="1"/>
    <cellStyle name="열어 본 하이퍼링크" xfId="476" builtinId="9" hidden="1"/>
    <cellStyle name="열어 본 하이퍼링크" xfId="478" builtinId="9" hidden="1"/>
    <cellStyle name="열어 본 하이퍼링크" xfId="480" builtinId="9" hidden="1"/>
    <cellStyle name="열어 본 하이퍼링크" xfId="482" builtinId="9" hidden="1"/>
    <cellStyle name="열어 본 하이퍼링크" xfId="484" builtinId="9" hidden="1"/>
    <cellStyle name="열어 본 하이퍼링크" xfId="486" builtinId="9" hidden="1"/>
    <cellStyle name="열어 본 하이퍼링크" xfId="488" builtinId="9" hidden="1"/>
    <cellStyle name="열어 본 하이퍼링크" xfId="490" builtinId="9" hidden="1"/>
    <cellStyle name="열어 본 하이퍼링크" xfId="492" builtinId="9" hidden="1"/>
    <cellStyle name="열어 본 하이퍼링크" xfId="494" builtinId="9" hidden="1"/>
    <cellStyle name="열어 본 하이퍼링크" xfId="496" builtinId="9" hidden="1"/>
    <cellStyle name="열어 본 하이퍼링크" xfId="498" builtinId="9" hidden="1"/>
    <cellStyle name="열어 본 하이퍼링크" xfId="500" builtinId="9" hidden="1"/>
    <cellStyle name="열어 본 하이퍼링크" xfId="502" builtinId="9" hidden="1"/>
    <cellStyle name="열어 본 하이퍼링크" xfId="504" builtinId="9" hidden="1"/>
    <cellStyle name="열어 본 하이퍼링크" xfId="506" builtinId="9" hidden="1"/>
    <cellStyle name="열어 본 하이퍼링크" xfId="508" builtinId="9" hidden="1"/>
    <cellStyle name="열어 본 하이퍼링크" xfId="510" builtinId="9" hidden="1"/>
    <cellStyle name="열어 본 하이퍼링크" xfId="512" builtinId="9" hidden="1"/>
    <cellStyle name="열어 본 하이퍼링크" xfId="514" builtinId="9" hidden="1"/>
    <cellStyle name="열어 본 하이퍼링크" xfId="516" builtinId="9" hidden="1"/>
    <cellStyle name="열어 본 하이퍼링크" xfId="518" builtinId="9" hidden="1"/>
    <cellStyle name="열어 본 하이퍼링크" xfId="520" builtinId="9" hidden="1"/>
    <cellStyle name="열어 본 하이퍼링크" xfId="522" builtinId="9" hidden="1"/>
    <cellStyle name="열어 본 하이퍼링크" xfId="524" builtinId="9" hidden="1"/>
    <cellStyle name="열어 본 하이퍼링크" xfId="526" builtinId="9" hidden="1"/>
    <cellStyle name="열어 본 하이퍼링크" xfId="528" builtinId="9" hidden="1"/>
    <cellStyle name="열어 본 하이퍼링크" xfId="530" builtinId="9" hidden="1"/>
    <cellStyle name="열어 본 하이퍼링크" xfId="532" builtinId="9" hidden="1"/>
    <cellStyle name="열어 본 하이퍼링크" xfId="534" builtinId="9" hidden="1"/>
    <cellStyle name="열어 본 하이퍼링크" xfId="536" builtinId="9" hidden="1"/>
    <cellStyle name="열어 본 하이퍼링크" xfId="538" builtinId="9" hidden="1"/>
    <cellStyle name="열어 본 하이퍼링크" xfId="540" builtinId="9" hidden="1"/>
    <cellStyle name="열어 본 하이퍼링크" xfId="542" builtinId="9" hidden="1"/>
    <cellStyle name="열어 본 하이퍼링크" xfId="544" builtinId="9" hidden="1"/>
    <cellStyle name="열어 본 하이퍼링크" xfId="546" builtinId="9" hidden="1"/>
    <cellStyle name="열어 본 하이퍼링크" xfId="548" builtinId="9" hidden="1"/>
    <cellStyle name="열어 본 하이퍼링크" xfId="550" builtinId="9" hidden="1"/>
    <cellStyle name="열어 본 하이퍼링크" xfId="552" builtinId="9" hidden="1"/>
    <cellStyle name="열어 본 하이퍼링크" xfId="554" builtinId="9" hidden="1"/>
    <cellStyle name="열어 본 하이퍼링크" xfId="556" builtinId="9" hidden="1"/>
    <cellStyle name="열어 본 하이퍼링크" xfId="558" builtinId="9" hidden="1"/>
    <cellStyle name="열어 본 하이퍼링크" xfId="560" builtinId="9" hidden="1"/>
    <cellStyle name="열어 본 하이퍼링크" xfId="562" builtinId="9" hidden="1"/>
    <cellStyle name="열어 본 하이퍼링크" xfId="564" builtinId="9" hidden="1"/>
    <cellStyle name="열어 본 하이퍼링크" xfId="566" builtinId="9" hidden="1"/>
    <cellStyle name="열어 본 하이퍼링크" xfId="568" builtinId="9" hidden="1"/>
    <cellStyle name="열어 본 하이퍼링크" xfId="570" builtinId="9" hidden="1"/>
    <cellStyle name="열어 본 하이퍼링크" xfId="572" builtinId="9" hidden="1"/>
    <cellStyle name="열어 본 하이퍼링크" xfId="574" builtinId="9" hidden="1"/>
    <cellStyle name="열어 본 하이퍼링크" xfId="576" builtinId="9" hidden="1"/>
    <cellStyle name="열어 본 하이퍼링크" xfId="578" builtinId="9" hidden="1"/>
    <cellStyle name="열어 본 하이퍼링크" xfId="580" builtinId="9" hidden="1"/>
    <cellStyle name="열어 본 하이퍼링크" xfId="582" builtinId="9" hidden="1"/>
    <cellStyle name="열어 본 하이퍼링크" xfId="584" builtinId="9" hidden="1"/>
    <cellStyle name="열어 본 하이퍼링크" xfId="586" builtinId="9" hidden="1"/>
    <cellStyle name="열어 본 하이퍼링크" xfId="588" builtinId="9" hidden="1"/>
    <cellStyle name="열어 본 하이퍼링크" xfId="590" builtinId="9" hidden="1"/>
    <cellStyle name="열어 본 하이퍼링크" xfId="592" builtinId="9" hidden="1"/>
    <cellStyle name="열어 본 하이퍼링크" xfId="594" builtinId="9" hidden="1"/>
    <cellStyle name="열어 본 하이퍼링크" xfId="596" builtinId="9" hidden="1"/>
    <cellStyle name="열어 본 하이퍼링크" xfId="598" builtinId="9" hidden="1"/>
    <cellStyle name="열어 본 하이퍼링크" xfId="600" builtinId="9" hidden="1"/>
    <cellStyle name="열어 본 하이퍼링크" xfId="602" builtinId="9" hidden="1"/>
    <cellStyle name="열어 본 하이퍼링크" xfId="604" builtinId="9" hidden="1"/>
    <cellStyle name="열어 본 하이퍼링크" xfId="606" builtinId="9" hidden="1"/>
    <cellStyle name="열어 본 하이퍼링크" xfId="608" builtinId="9" hidden="1"/>
    <cellStyle name="열어 본 하이퍼링크" xfId="610" builtinId="9" hidden="1"/>
    <cellStyle name="열어 본 하이퍼링크" xfId="612" builtinId="9" hidden="1"/>
    <cellStyle name="열어 본 하이퍼링크" xfId="614" builtinId="9" hidden="1"/>
    <cellStyle name="열어 본 하이퍼링크" xfId="616" builtinId="9" hidden="1"/>
    <cellStyle name="열어 본 하이퍼링크" xfId="618" builtinId="9" hidden="1"/>
    <cellStyle name="열어 본 하이퍼링크" xfId="620" builtinId="9" hidden="1"/>
    <cellStyle name="열어 본 하이퍼링크" xfId="622" builtinId="9" hidden="1"/>
    <cellStyle name="열어 본 하이퍼링크" xfId="624" builtinId="9" hidden="1"/>
    <cellStyle name="열어 본 하이퍼링크" xfId="626" builtinId="9" hidden="1"/>
    <cellStyle name="열어 본 하이퍼링크" xfId="628" builtinId="9" hidden="1"/>
    <cellStyle name="열어 본 하이퍼링크" xfId="630" builtinId="9" hidden="1"/>
    <cellStyle name="열어 본 하이퍼링크" xfId="632" builtinId="9" hidden="1"/>
    <cellStyle name="열어 본 하이퍼링크" xfId="634" builtinId="9" hidden="1"/>
    <cellStyle name="열어 본 하이퍼링크" xfId="636" builtinId="9" hidden="1"/>
    <cellStyle name="열어 본 하이퍼링크" xfId="639" builtinId="9" hidden="1"/>
    <cellStyle name="열어 본 하이퍼링크" xfId="641" builtinId="9" hidden="1"/>
    <cellStyle name="열어 본 하이퍼링크" xfId="643" builtinId="9" hidden="1"/>
    <cellStyle name="열어 본 하이퍼링크" xfId="645" builtinId="9" hidden="1"/>
    <cellStyle name="열어 본 하이퍼링크" xfId="647" builtinId="9" hidden="1"/>
    <cellStyle name="열어 본 하이퍼링크" xfId="649" builtinId="9" hidden="1"/>
    <cellStyle name="열어 본 하이퍼링크" xfId="651" builtinId="9" hidden="1"/>
    <cellStyle name="열어 본 하이퍼링크" xfId="653" builtinId="9" hidden="1"/>
    <cellStyle name="열어 본 하이퍼링크" xfId="655" builtinId="9" hidden="1"/>
    <cellStyle name="열어 본 하이퍼링크" xfId="657" builtinId="9" hidden="1"/>
    <cellStyle name="열어 본 하이퍼링크" xfId="659" builtinId="9" hidden="1"/>
    <cellStyle name="열어 본 하이퍼링크" xfId="661" builtinId="9" hidden="1"/>
    <cellStyle name="열어 본 하이퍼링크" xfId="663" builtinId="9" hidden="1"/>
    <cellStyle name="열어 본 하이퍼링크" xfId="665" builtinId="9" hidden="1"/>
    <cellStyle name="열어 본 하이퍼링크" xfId="667" builtinId="9" hidden="1"/>
    <cellStyle name="열어 본 하이퍼링크" xfId="669" builtinId="9" hidden="1"/>
    <cellStyle name="열어 본 하이퍼링크" xfId="671" builtinId="9" hidden="1"/>
    <cellStyle name="열어 본 하이퍼링크" xfId="673" builtinId="9" hidden="1"/>
    <cellStyle name="열어 본 하이퍼링크" xfId="675" builtinId="9" hidden="1"/>
    <cellStyle name="열어 본 하이퍼링크" xfId="677" builtinId="9" hidden="1"/>
    <cellStyle name="열어 본 하이퍼링크" xfId="679" builtinId="9" hidden="1"/>
    <cellStyle name="열어 본 하이퍼링크" xfId="681" builtinId="9" hidden="1"/>
    <cellStyle name="열어 본 하이퍼링크" xfId="683" builtinId="9" hidden="1"/>
    <cellStyle name="열어 본 하이퍼링크" xfId="685" builtinId="9" hidden="1"/>
    <cellStyle name="열어 본 하이퍼링크" xfId="687" builtinId="9" hidden="1"/>
    <cellStyle name="열어 본 하이퍼링크" xfId="689" builtinId="9" hidden="1"/>
    <cellStyle name="열어 본 하이퍼링크" xfId="691" builtinId="9" hidden="1"/>
    <cellStyle name="열어 본 하이퍼링크" xfId="693" builtinId="9" hidden="1"/>
    <cellStyle name="열어 본 하이퍼링크" xfId="695" builtinId="9" hidden="1"/>
    <cellStyle name="열어 본 하이퍼링크" xfId="697" builtinId="9" hidden="1"/>
    <cellStyle name="열어 본 하이퍼링크" xfId="700" builtinId="9" hidden="1"/>
    <cellStyle name="열어 본 하이퍼링크" xfId="702" builtinId="9" hidden="1"/>
    <cellStyle name="열어 본 하이퍼링크" xfId="704" builtinId="9" hidden="1"/>
    <cellStyle name="열어 본 하이퍼링크" xfId="706" builtinId="9" hidden="1"/>
    <cellStyle name="열어 본 하이퍼링크" xfId="708" builtinId="9" hidden="1"/>
    <cellStyle name="열어 본 하이퍼링크" xfId="710" builtinId="9" hidden="1"/>
    <cellStyle name="열어 본 하이퍼링크" xfId="712" builtinId="9" hidden="1"/>
    <cellStyle name="열어 본 하이퍼링크" xfId="714" builtinId="9" hidden="1"/>
    <cellStyle name="열어 본 하이퍼링크" xfId="716" builtinId="9" hidden="1"/>
    <cellStyle name="열어 본 하이퍼링크" xfId="718" builtinId="9" hidden="1"/>
    <cellStyle name="열어 본 하이퍼링크" xfId="720" builtinId="9" hidden="1"/>
    <cellStyle name="열어 본 하이퍼링크" xfId="722" builtinId="9" hidden="1"/>
    <cellStyle name="열어 본 하이퍼링크" xfId="724" builtinId="9" hidden="1"/>
    <cellStyle name="열어 본 하이퍼링크" xfId="726" builtinId="9" hidden="1"/>
    <cellStyle name="열어 본 하이퍼링크" xfId="728" builtinId="9" hidden="1"/>
    <cellStyle name="열어 본 하이퍼링크" xfId="730" builtinId="9" hidden="1"/>
    <cellStyle name="열어 본 하이퍼링크" xfId="732" builtinId="9" hidden="1"/>
    <cellStyle name="열어 본 하이퍼링크" xfId="734" builtinId="9" hidden="1"/>
    <cellStyle name="열어 본 하이퍼링크" xfId="736" builtinId="9" hidden="1"/>
    <cellStyle name="열어 본 하이퍼링크" xfId="738" builtinId="9" hidden="1"/>
    <cellStyle name="열어 본 하이퍼링크" xfId="740" builtinId="9" hidden="1"/>
    <cellStyle name="열어 본 하이퍼링크" xfId="742" builtinId="9" hidden="1"/>
    <cellStyle name="열어 본 하이퍼링크" xfId="744" builtinId="9" hidden="1"/>
    <cellStyle name="열어 본 하이퍼링크" xfId="746" builtinId="9" hidden="1"/>
    <cellStyle name="열어 본 하이퍼링크" xfId="748" builtinId="9" hidden="1"/>
    <cellStyle name="열어 본 하이퍼링크" xfId="750" builtinId="9" hidden="1"/>
    <cellStyle name="열어 본 하이퍼링크" xfId="752" builtinId="9" hidden="1"/>
    <cellStyle name="열어 본 하이퍼링크" xfId="754" builtinId="9" hidden="1"/>
    <cellStyle name="열어 본 하이퍼링크" xfId="756" builtinId="9" hidden="1"/>
    <cellStyle name="열어 본 하이퍼링크" xfId="758" builtinId="9" hidden="1"/>
    <cellStyle name="열어 본 하이퍼링크" xfId="760" builtinId="9" hidden="1"/>
    <cellStyle name="열어 본 하이퍼링크" xfId="762" builtinId="9" hidden="1"/>
    <cellStyle name="열어 본 하이퍼링크" xfId="764" builtinId="9" hidden="1"/>
    <cellStyle name="열어 본 하이퍼링크" xfId="766" builtinId="9" hidden="1"/>
    <cellStyle name="열어 본 하이퍼링크" xfId="768" builtinId="9" hidden="1"/>
    <cellStyle name="열어 본 하이퍼링크" xfId="770" builtinId="9" hidden="1"/>
    <cellStyle name="열어 본 하이퍼링크" xfId="772" builtinId="9" hidden="1"/>
    <cellStyle name="열어 본 하이퍼링크" xfId="774" builtinId="9" hidden="1"/>
    <cellStyle name="열어 본 하이퍼링크" xfId="778" builtinId="9" hidden="1"/>
    <cellStyle name="열어 본 하이퍼링크" xfId="780" builtinId="9" hidden="1"/>
    <cellStyle name="열어 본 하이퍼링크" xfId="782" builtinId="9" hidden="1"/>
    <cellStyle name="열어 본 하이퍼링크" xfId="784" builtinId="9" hidden="1"/>
    <cellStyle name="열어 본 하이퍼링크" xfId="786" builtinId="9" hidden="1"/>
    <cellStyle name="열어 본 하이퍼링크" xfId="788" builtinId="9" hidden="1"/>
    <cellStyle name="열어 본 하이퍼링크" xfId="790" builtinId="9" hidden="1"/>
    <cellStyle name="열어 본 하이퍼링크" xfId="792" builtinId="9" hidden="1"/>
    <cellStyle name="열어 본 하이퍼링크" xfId="794" builtinId="9" hidden="1"/>
    <cellStyle name="열어 본 하이퍼링크" xfId="796" builtinId="9" hidden="1"/>
    <cellStyle name="열어 본 하이퍼링크" xfId="798" builtinId="9" hidden="1"/>
    <cellStyle name="열어 본 하이퍼링크" xfId="800" builtinId="9" hidden="1"/>
    <cellStyle name="열어 본 하이퍼링크" xfId="802" builtinId="9" hidden="1"/>
    <cellStyle name="열어 본 하이퍼링크" xfId="804" builtinId="9" hidden="1"/>
    <cellStyle name="열어 본 하이퍼링크" xfId="806" builtinId="9" hidden="1"/>
    <cellStyle name="열어 본 하이퍼링크" xfId="808" builtinId="9" hidden="1"/>
    <cellStyle name="열어 본 하이퍼링크" xfId="810" builtinId="9" hidden="1"/>
    <cellStyle name="열어 본 하이퍼링크" xfId="812" builtinId="9" hidden="1"/>
    <cellStyle name="열어 본 하이퍼링크" xfId="814" builtinId="9" hidden="1"/>
    <cellStyle name="열어 본 하이퍼링크" xfId="816" builtinId="9" hidden="1"/>
    <cellStyle name="열어 본 하이퍼링크" xfId="818" builtinId="9" hidden="1"/>
    <cellStyle name="열어 본 하이퍼링크" xfId="820" builtinId="9" hidden="1"/>
    <cellStyle name="열어 본 하이퍼링크" xfId="822" builtinId="9" hidden="1"/>
    <cellStyle name="열어 본 하이퍼링크" xfId="824" builtinId="9" hidden="1"/>
    <cellStyle name="열어 본 하이퍼링크" xfId="826" builtinId="9" hidden="1"/>
    <cellStyle name="열어 본 하이퍼링크" xfId="828" builtinId="9" hidden="1"/>
    <cellStyle name="열어 본 하이퍼링크" xfId="830" builtinId="9" hidden="1"/>
    <cellStyle name="열어 본 하이퍼링크" xfId="832" builtinId="9" hidden="1"/>
    <cellStyle name="열어 본 하이퍼링크" xfId="834" builtinId="9" hidden="1"/>
    <cellStyle name="열어 본 하이퍼링크" xfId="836" builtinId="9" hidden="1"/>
    <cellStyle name="열어 본 하이퍼링크" xfId="838" builtinId="9" hidden="1"/>
    <cellStyle name="열어 본 하이퍼링크" xfId="840" builtinId="9" hidden="1"/>
    <cellStyle name="열어 본 하이퍼링크" xfId="842" builtinId="9" hidden="1"/>
    <cellStyle name="열어 본 하이퍼링크" xfId="844" builtinId="9" hidden="1"/>
    <cellStyle name="열어 본 하이퍼링크" xfId="846" builtinId="9" hidden="1"/>
    <cellStyle name="열어 본 하이퍼링크" xfId="848" builtinId="9" hidden="1"/>
    <cellStyle name="열어 본 하이퍼링크" xfId="850" builtinId="9" hidden="1"/>
    <cellStyle name="열어 본 하이퍼링크" xfId="852" builtinId="9" hidden="1"/>
    <cellStyle name="열어 본 하이퍼링크" xfId="854" builtinId="9" hidden="1"/>
    <cellStyle name="열어 본 하이퍼링크" xfId="856" builtinId="9" hidden="1"/>
    <cellStyle name="열어 본 하이퍼링크" xfId="859" builtinId="9" hidden="1"/>
    <cellStyle name="열어 본 하이퍼링크" xfId="861" builtinId="9" hidden="1"/>
    <cellStyle name="열어 본 하이퍼링크" xfId="863" builtinId="9" hidden="1"/>
    <cellStyle name="열어 본 하이퍼링크" xfId="865" builtinId="9" hidden="1"/>
    <cellStyle name="열어 본 하이퍼링크" xfId="867" builtinId="9" hidden="1"/>
    <cellStyle name="열어 본 하이퍼링크" xfId="869" builtinId="9" hidden="1"/>
    <cellStyle name="열어 본 하이퍼링크" xfId="871" builtinId="9" hidden="1"/>
    <cellStyle name="열어 본 하이퍼링크" xfId="873" builtinId="9" hidden="1"/>
    <cellStyle name="열어 본 하이퍼링크" xfId="875" builtinId="9" hidden="1"/>
    <cellStyle name="열어 본 하이퍼링크" xfId="877" builtinId="9" hidden="1"/>
    <cellStyle name="열어 본 하이퍼링크" xfId="879" builtinId="9" hidden="1"/>
    <cellStyle name="열어 본 하이퍼링크" xfId="881" builtinId="9" hidden="1"/>
    <cellStyle name="열어 본 하이퍼링크" xfId="883" builtinId="9" hidden="1"/>
    <cellStyle name="열어 본 하이퍼링크" xfId="885" builtinId="9" hidden="1"/>
    <cellStyle name="열어 본 하이퍼링크" xfId="887" builtinId="9" hidden="1"/>
    <cellStyle name="열어 본 하이퍼링크" xfId="889" builtinId="9" hidden="1"/>
    <cellStyle name="열어 본 하이퍼링크" xfId="891" builtinId="9" hidden="1"/>
    <cellStyle name="열어 본 하이퍼링크" xfId="893" builtinId="9" hidden="1"/>
    <cellStyle name="열어 본 하이퍼링크" xfId="895" builtinId="9" hidden="1"/>
    <cellStyle name="열어 본 하이퍼링크" xfId="897" builtinId="9" hidden="1"/>
    <cellStyle name="열어 본 하이퍼링크" xfId="899" builtinId="9" hidden="1"/>
    <cellStyle name="열어 본 하이퍼링크" xfId="901" builtinId="9" hidden="1"/>
    <cellStyle name="열어 본 하이퍼링크" xfId="903" builtinId="9" hidden="1"/>
    <cellStyle name="열어 본 하이퍼링크" xfId="905" builtinId="9" hidden="1"/>
    <cellStyle name="열어 본 하이퍼링크" xfId="907" builtinId="9" hidden="1"/>
    <cellStyle name="열어 본 하이퍼링크" xfId="909" builtinId="9" hidden="1"/>
    <cellStyle name="열어 본 하이퍼링크" xfId="911" builtinId="9" hidden="1"/>
    <cellStyle name="열어 본 하이퍼링크" xfId="913" builtinId="9" hidden="1"/>
    <cellStyle name="열어 본 하이퍼링크" xfId="915" builtinId="9" hidden="1"/>
    <cellStyle name="열어 본 하이퍼링크" xfId="917" builtinId="9" hidden="1"/>
    <cellStyle name="열어 본 하이퍼링크" xfId="919" builtinId="9" hidden="1"/>
    <cellStyle name="열어 본 하이퍼링크" xfId="921" builtinId="9" hidden="1"/>
    <cellStyle name="열어 본 하이퍼링크" xfId="923" builtinId="9" hidden="1"/>
    <cellStyle name="열어 본 하이퍼링크" xfId="926" builtinId="9" hidden="1"/>
    <cellStyle name="열어 본 하이퍼링크" xfId="928" builtinId="9" hidden="1"/>
    <cellStyle name="열어 본 하이퍼링크" xfId="930" builtinId="9" hidden="1"/>
    <cellStyle name="열어 본 하이퍼링크" xfId="932" builtinId="9" hidden="1"/>
    <cellStyle name="열어 본 하이퍼링크" xfId="934" builtinId="9" hidden="1"/>
    <cellStyle name="열어 본 하이퍼링크" xfId="936" builtinId="9" hidden="1"/>
    <cellStyle name="열어 본 하이퍼링크" xfId="938" builtinId="9" hidden="1"/>
    <cellStyle name="열어 본 하이퍼링크" xfId="940" builtinId="9" hidden="1"/>
    <cellStyle name="열어 본 하이퍼링크" xfId="942" builtinId="9" hidden="1"/>
    <cellStyle name="열어 본 하이퍼링크" xfId="944" builtinId="9" hidden="1"/>
    <cellStyle name="열어 본 하이퍼링크" xfId="946" builtinId="9" hidden="1"/>
    <cellStyle name="열어 본 하이퍼링크" xfId="948" builtinId="9" hidden="1"/>
    <cellStyle name="열어 본 하이퍼링크" xfId="950" builtinId="9" hidden="1"/>
    <cellStyle name="열어 본 하이퍼링크" xfId="952" builtinId="9" hidden="1"/>
    <cellStyle name="열어 본 하이퍼링크" xfId="954" builtinId="9" hidden="1"/>
    <cellStyle name="열어 본 하이퍼링크" xfId="956" builtinId="9" hidden="1"/>
    <cellStyle name="열어 본 하이퍼링크" xfId="958" builtinId="9" hidden="1"/>
    <cellStyle name="열어 본 하이퍼링크" xfId="960" builtinId="9" hidden="1"/>
    <cellStyle name="열어 본 하이퍼링크" xfId="962" builtinId="9" hidden="1"/>
    <cellStyle name="열어 본 하이퍼링크" xfId="964" builtinId="9" hidden="1"/>
    <cellStyle name="열어 본 하이퍼링크" xfId="966" builtinId="9" hidden="1"/>
    <cellStyle name="열어 본 하이퍼링크" xfId="968" builtinId="9" hidden="1"/>
    <cellStyle name="열어 본 하이퍼링크" xfId="970" builtinId="9" hidden="1"/>
    <cellStyle name="열어 본 하이퍼링크" xfId="972" builtinId="9" hidden="1"/>
    <cellStyle name="열어 본 하이퍼링크" xfId="974" builtinId="9" hidden="1"/>
    <cellStyle name="열어 본 하이퍼링크" xfId="976" builtinId="9" hidden="1"/>
    <cellStyle name="열어 본 하이퍼링크" xfId="978" builtinId="9" hidden="1"/>
    <cellStyle name="열어 본 하이퍼링크" xfId="980" builtinId="9" hidden="1"/>
    <cellStyle name="열어 본 하이퍼링크" xfId="982" builtinId="9" hidden="1"/>
    <cellStyle name="열어 본 하이퍼링크" xfId="984" builtinId="9" hidden="1"/>
    <cellStyle name="열어 본 하이퍼링크" xfId="986" builtinId="9" hidden="1"/>
    <cellStyle name="열어 본 하이퍼링크" xfId="988" builtinId="9" hidden="1"/>
    <cellStyle name="열어 본 하이퍼링크" xfId="990" builtinId="9" hidden="1"/>
    <cellStyle name="열어 본 하이퍼링크" xfId="992" builtinId="9" hidden="1"/>
    <cellStyle name="열어 본 하이퍼링크" xfId="994" builtinId="9" hidden="1"/>
    <cellStyle name="열어 본 하이퍼링크" xfId="996" builtinId="9" hidden="1"/>
    <cellStyle name="열어 본 하이퍼링크" xfId="998" builtinId="9" hidden="1"/>
    <cellStyle name="열어 본 하이퍼링크" xfId="1000" builtinId="9" hidden="1"/>
    <cellStyle name="열어 본 하이퍼링크" xfId="1002" builtinId="9" hidden="1"/>
    <cellStyle name="열어 본 하이퍼링크" xfId="1004" builtinId="9" hidden="1"/>
    <cellStyle name="열어 본 하이퍼링크" xfId="1006" builtinId="9" hidden="1"/>
    <cellStyle name="열어 본 하이퍼링크" xfId="1008" builtinId="9" hidden="1"/>
    <cellStyle name="열어 본 하이퍼링크" xfId="1010" builtinId="9" hidden="1"/>
    <cellStyle name="열어 본 하이퍼링크" xfId="1012" builtinId="9" hidden="1"/>
    <cellStyle name="열어 본 하이퍼링크" xfId="1014" builtinId="9" hidden="1"/>
    <cellStyle name="열어 본 하이퍼링크" xfId="1016" builtinId="9" hidden="1"/>
    <cellStyle name="열어 본 하이퍼링크" xfId="1018" builtinId="9" hidden="1"/>
    <cellStyle name="열어 본 하이퍼링크" xfId="1020" builtinId="9" hidden="1"/>
    <cellStyle name="열어 본 하이퍼링크" xfId="1022" builtinId="9" hidden="1"/>
    <cellStyle name="열어 본 하이퍼링크" xfId="1024" builtinId="9" hidden="1"/>
    <cellStyle name="열어 본 하이퍼링크" xfId="1026" builtinId="9" hidden="1"/>
    <cellStyle name="열어 본 하이퍼링크" xfId="1028" builtinId="9" hidden="1"/>
    <cellStyle name="열어 본 하이퍼링크" xfId="1030" builtinId="9" hidden="1"/>
    <cellStyle name="열어 본 하이퍼링크" xfId="1032" builtinId="9" hidden="1"/>
    <cellStyle name="열어 본 하이퍼링크" xfId="1034" builtinId="9" hidden="1"/>
    <cellStyle name="열어 본 하이퍼링크" xfId="1036" builtinId="9" hidden="1"/>
    <cellStyle name="열어 본 하이퍼링크" xfId="1038" builtinId="9" hidden="1"/>
    <cellStyle name="열어 본 하이퍼링크" xfId="1040" builtinId="9" hidden="1"/>
    <cellStyle name="열어 본 하이퍼링크" xfId="1042" builtinId="9" hidden="1"/>
    <cellStyle name="열어 본 하이퍼링크" xfId="1044" builtinId="9" hidden="1"/>
    <cellStyle name="열어 본 하이퍼링크" xfId="1046" builtinId="9" hidden="1"/>
    <cellStyle name="열어 본 하이퍼링크" xfId="1048" builtinId="9" hidden="1"/>
    <cellStyle name="열어 본 하이퍼링크" xfId="1050" builtinId="9" hidden="1"/>
    <cellStyle name="열어 본 하이퍼링크" xfId="1052" builtinId="9" hidden="1"/>
    <cellStyle name="열어 본 하이퍼링크" xfId="1054" builtinId="9" hidden="1"/>
    <cellStyle name="열어 본 하이퍼링크" xfId="1056" builtinId="9" hidden="1"/>
    <cellStyle name="열어 본 하이퍼링크" xfId="1058" builtinId="9" hidden="1"/>
    <cellStyle name="열어 본 하이퍼링크" xfId="1060" builtinId="9" hidden="1"/>
    <cellStyle name="열어 본 하이퍼링크" xfId="1062" builtinId="9" hidden="1"/>
    <cellStyle name="열어 본 하이퍼링크" xfId="1064" builtinId="9" hidden="1"/>
    <cellStyle name="열어 본 하이퍼링크" xfId="1066" builtinId="9" hidden="1"/>
    <cellStyle name="열어 본 하이퍼링크" xfId="1068" builtinId="9" hidden="1"/>
    <cellStyle name="열어 본 하이퍼링크" xfId="1070" builtinId="9" hidden="1"/>
    <cellStyle name="열어 본 하이퍼링크" xfId="1072" builtinId="9" hidden="1"/>
    <cellStyle name="열어 본 하이퍼링크" xfId="1074" builtinId="9" hidden="1"/>
    <cellStyle name="열어 본 하이퍼링크" xfId="1076" builtinId="9" hidden="1"/>
    <cellStyle name="열어 본 하이퍼링크" xfId="1078" builtinId="9" hidden="1"/>
    <cellStyle name="열어 본 하이퍼링크" xfId="1080" builtinId="9" hidden="1"/>
    <cellStyle name="열어 본 하이퍼링크" xfId="1082" builtinId="9" hidden="1"/>
    <cellStyle name="열어 본 하이퍼링크" xfId="1084" builtinId="9" hidden="1"/>
    <cellStyle name="열어 본 하이퍼링크" xfId="1086" builtinId="9" hidden="1"/>
    <cellStyle name="열어 본 하이퍼링크" xfId="1088" builtinId="9" hidden="1"/>
    <cellStyle name="열어 본 하이퍼링크" xfId="1090" builtinId="9" hidden="1"/>
    <cellStyle name="열어 본 하이퍼링크" xfId="1092" builtinId="9" hidden="1"/>
    <cellStyle name="열어 본 하이퍼링크" xfId="1094" builtinId="9" hidden="1"/>
    <cellStyle name="열어 본 하이퍼링크" xfId="1097" builtinId="9" hidden="1"/>
    <cellStyle name="열어 본 하이퍼링크" xfId="1100" builtinId="9" hidden="1"/>
    <cellStyle name="열어 본 하이퍼링크" xfId="1103" builtinId="9" hidden="1"/>
    <cellStyle name="열어 본 하이퍼링크" xfId="1105" builtinId="9" hidden="1"/>
    <cellStyle name="열어 본 하이퍼링크" xfId="1107" builtinId="9" hidden="1"/>
    <cellStyle name="열어 본 하이퍼링크" xfId="1109" builtinId="9" hidden="1"/>
    <cellStyle name="열어 본 하이퍼링크" xfId="1111" builtinId="9" hidden="1"/>
    <cellStyle name="열어 본 하이퍼링크" xfId="1113" builtinId="9" hidden="1"/>
    <cellStyle name="열어 본 하이퍼링크" xfId="1115" builtinId="9" hidden="1"/>
    <cellStyle name="열어 본 하이퍼링크" xfId="1117" builtinId="9" hidden="1"/>
    <cellStyle name="열어 본 하이퍼링크" xfId="1119" builtinId="9" hidden="1"/>
    <cellStyle name="열어 본 하이퍼링크" xfId="1121" builtinId="9" hidden="1"/>
    <cellStyle name="열어 본 하이퍼링크" xfId="1123" builtinId="9" hidden="1"/>
    <cellStyle name="열어 본 하이퍼링크" xfId="1125" builtinId="9" hidden="1"/>
    <cellStyle name="열어 본 하이퍼링크" xfId="1127" builtinId="9" hidden="1"/>
    <cellStyle name="열어 본 하이퍼링크" xfId="1129" builtinId="9" hidden="1"/>
    <cellStyle name="열어 본 하이퍼링크" xfId="1131" builtinId="9" hidden="1"/>
    <cellStyle name="열어 본 하이퍼링크" xfId="1133" builtinId="9" hidden="1"/>
    <cellStyle name="열어 본 하이퍼링크" xfId="1135" builtinId="9" hidden="1"/>
    <cellStyle name="열어 본 하이퍼링크" xfId="1137" builtinId="9" hidden="1"/>
    <cellStyle name="열어 본 하이퍼링크" xfId="1139" builtinId="9" hidden="1"/>
    <cellStyle name="열어 본 하이퍼링크" xfId="1141" builtinId="9" hidden="1"/>
    <cellStyle name="열어 본 하이퍼링크" xfId="1143" builtinId="9" hidden="1"/>
    <cellStyle name="열어 본 하이퍼링크" xfId="1145" builtinId="9" hidden="1"/>
    <cellStyle name="열어 본 하이퍼링크" xfId="1147" builtinId="9" hidden="1"/>
    <cellStyle name="열어 본 하이퍼링크" xfId="1149" builtinId="9" hidden="1"/>
    <cellStyle name="열어 본 하이퍼링크" xfId="1151" builtinId="9" hidden="1"/>
    <cellStyle name="열어 본 하이퍼링크" xfId="1153" builtinId="9" hidden="1"/>
    <cellStyle name="열어 본 하이퍼링크" xfId="1155" builtinId="9" hidden="1"/>
    <cellStyle name="열어 본 하이퍼링크" xfId="1157" builtinId="9" hidden="1"/>
    <cellStyle name="열어 본 하이퍼링크" xfId="1159" builtinId="9" hidden="1"/>
    <cellStyle name="열어 본 하이퍼링크" xfId="1161" builtinId="9" hidden="1"/>
    <cellStyle name="열어 본 하이퍼링크" xfId="1163" builtinId="9" hidden="1"/>
    <cellStyle name="열어 본 하이퍼링크" xfId="1165" builtinId="9" hidden="1"/>
    <cellStyle name="열어 본 하이퍼링크" xfId="1167" builtinId="9" hidden="1"/>
    <cellStyle name="열어 본 하이퍼링크" xfId="1169" builtinId="9" hidden="1"/>
    <cellStyle name="열어 본 하이퍼링크" xfId="1171" builtinId="9" hidden="1"/>
    <cellStyle name="열어 본 하이퍼링크" xfId="1173" builtinId="9" hidden="1"/>
    <cellStyle name="열어 본 하이퍼링크" xfId="1175" builtinId="9" hidden="1"/>
    <cellStyle name="열어 본 하이퍼링크" xfId="1177" builtinId="9" hidden="1"/>
    <cellStyle name="열어 본 하이퍼링크" xfId="1179" builtinId="9" hidden="1"/>
    <cellStyle name="열어 본 하이퍼링크" xfId="1181" builtinId="9" hidden="1"/>
    <cellStyle name="열어 본 하이퍼링크" xfId="1183" builtinId="9" hidden="1"/>
    <cellStyle name="열어 본 하이퍼링크" xfId="1185" builtinId="9" hidden="1"/>
    <cellStyle name="열어 본 하이퍼링크" xfId="1187" builtinId="9" hidden="1"/>
    <cellStyle name="열어 본 하이퍼링크" xfId="1189" builtinId="9" hidden="1"/>
    <cellStyle name="열어 본 하이퍼링크" xfId="1191" builtinId="9" hidden="1"/>
    <cellStyle name="열어 본 하이퍼링크" xfId="1193" builtinId="9" hidden="1"/>
    <cellStyle name="열어 본 하이퍼링크" xfId="1195" builtinId="9" hidden="1"/>
    <cellStyle name="열어 본 하이퍼링크" xfId="1197" builtinId="9" hidden="1"/>
    <cellStyle name="열어 본 하이퍼링크" xfId="1199" builtinId="9" hidden="1"/>
    <cellStyle name="열어 본 하이퍼링크" xfId="1201" builtinId="9" hidden="1"/>
    <cellStyle name="열어 본 하이퍼링크" xfId="1203" builtinId="9" hidden="1"/>
    <cellStyle name="열어 본 하이퍼링크" xfId="1205" builtinId="9" hidden="1"/>
    <cellStyle name="열어 본 하이퍼링크" xfId="1207" builtinId="9" hidden="1"/>
    <cellStyle name="열어 본 하이퍼링크" xfId="1209" builtinId="9" hidden="1"/>
    <cellStyle name="열어 본 하이퍼링크" xfId="1211" builtinId="9" hidden="1"/>
    <cellStyle name="열어 본 하이퍼링크" xfId="1213" builtinId="9" hidden="1"/>
    <cellStyle name="열어 본 하이퍼링크" xfId="1215" builtinId="9" hidden="1"/>
    <cellStyle name="열어 본 하이퍼링크" xfId="1217" builtinId="9" hidden="1"/>
    <cellStyle name="열어 본 하이퍼링크" xfId="1219" builtinId="9" hidden="1"/>
    <cellStyle name="열어 본 하이퍼링크" xfId="1221" builtinId="9" hidden="1"/>
    <cellStyle name="열어 본 하이퍼링크" xfId="1223" builtinId="9" hidden="1"/>
    <cellStyle name="열어 본 하이퍼링크" xfId="1225" builtinId="9" hidden="1"/>
    <cellStyle name="열어 본 하이퍼링크" xfId="1227" builtinId="9" hidden="1"/>
    <cellStyle name="열어 본 하이퍼링크" xfId="1229" builtinId="9" hidden="1"/>
    <cellStyle name="열어 본 하이퍼링크" xfId="1231" builtinId="9" hidden="1"/>
    <cellStyle name="열어 본 하이퍼링크" xfId="1233" builtinId="9" hidden="1"/>
    <cellStyle name="열어 본 하이퍼링크" xfId="1235" builtinId="9" hidden="1"/>
    <cellStyle name="열어 본 하이퍼링크" xfId="1237" builtinId="9" hidden="1"/>
    <cellStyle name="열어 본 하이퍼링크" xfId="1239" builtinId="9" hidden="1"/>
    <cellStyle name="열어 본 하이퍼링크" xfId="1241" builtinId="9" hidden="1"/>
    <cellStyle name="열어 본 하이퍼링크" xfId="1243" builtinId="9" hidden="1"/>
    <cellStyle name="열어 본 하이퍼링크" xfId="1245" builtinId="9" hidden="1"/>
    <cellStyle name="열어 본 하이퍼링크" xfId="1247" builtinId="9" hidden="1"/>
    <cellStyle name="열어 본 하이퍼링크" xfId="1249" builtinId="9" hidden="1"/>
    <cellStyle name="열어 본 하이퍼링크" xfId="1251" builtinId="9" hidden="1"/>
    <cellStyle name="열어 본 하이퍼링크" xfId="1253" builtinId="9" hidden="1"/>
    <cellStyle name="열어 본 하이퍼링크" xfId="1255" builtinId="9" hidden="1"/>
    <cellStyle name="열어 본 하이퍼링크" xfId="1257" builtinId="9" hidden="1"/>
    <cellStyle name="열어 본 하이퍼링크" xfId="1259" builtinId="9" hidden="1"/>
    <cellStyle name="열어 본 하이퍼링크" xfId="1261" builtinId="9" hidden="1"/>
    <cellStyle name="열어 본 하이퍼링크" xfId="1263" builtinId="9" hidden="1"/>
    <cellStyle name="열어 본 하이퍼링크" xfId="1265" builtinId="9" hidden="1"/>
    <cellStyle name="열어 본 하이퍼링크" xfId="1267" builtinId="9" hidden="1"/>
    <cellStyle name="열어 본 하이퍼링크" xfId="1269" builtinId="9" hidden="1"/>
    <cellStyle name="열어 본 하이퍼링크" xfId="1271" builtinId="9" hidden="1"/>
    <cellStyle name="열어 본 하이퍼링크" xfId="1273" builtinId="9" hidden="1"/>
    <cellStyle name="열어 본 하이퍼링크" xfId="1275" builtinId="9" hidden="1"/>
    <cellStyle name="열어 본 하이퍼링크" xfId="1277" builtinId="9" hidden="1"/>
    <cellStyle name="열어 본 하이퍼링크" xfId="1279" builtinId="9" hidden="1"/>
    <cellStyle name="열어 본 하이퍼링크" xfId="1281" builtinId="9" hidden="1"/>
    <cellStyle name="열어 본 하이퍼링크" xfId="1283" builtinId="9" hidden="1"/>
    <cellStyle name="열어 본 하이퍼링크" xfId="1285" builtinId="9" hidden="1"/>
    <cellStyle name="열어 본 하이퍼링크" xfId="1287" builtinId="9" hidden="1"/>
    <cellStyle name="열어 본 하이퍼링크" xfId="1289" builtinId="9" hidden="1"/>
    <cellStyle name="열어 본 하이퍼링크" xfId="1291" builtinId="9" hidden="1"/>
    <cellStyle name="열어 본 하이퍼링크" xfId="1293" builtinId="9" hidden="1"/>
    <cellStyle name="열어 본 하이퍼링크" xfId="1295" builtinId="9" hidden="1"/>
    <cellStyle name="열어 본 하이퍼링크" xfId="1297" builtinId="9" hidden="1"/>
    <cellStyle name="열어 본 하이퍼링크" xfId="1299" builtinId="9" hidden="1"/>
    <cellStyle name="열어 본 하이퍼링크" xfId="1301" builtinId="9" hidden="1"/>
    <cellStyle name="열어 본 하이퍼링크" xfId="1303" builtinId="9" hidden="1"/>
    <cellStyle name="열어 본 하이퍼링크" xfId="1305" builtinId="9" hidden="1"/>
    <cellStyle name="열어 본 하이퍼링크" xfId="1307" builtinId="9" hidden="1"/>
    <cellStyle name="열어 본 하이퍼링크" xfId="1309" builtinId="9" hidden="1"/>
    <cellStyle name="열어 본 하이퍼링크" xfId="1311" builtinId="9" hidden="1"/>
    <cellStyle name="열어 본 하이퍼링크" xfId="1313" builtinId="9" hidden="1"/>
    <cellStyle name="열어 본 하이퍼링크" xfId="1315" builtinId="9" hidden="1"/>
    <cellStyle name="열어 본 하이퍼링크" xfId="1317" builtinId="9" hidden="1"/>
    <cellStyle name="열어 본 하이퍼링크" xfId="1319" builtinId="9" hidden="1"/>
    <cellStyle name="열어 본 하이퍼링크" xfId="1321" builtinId="9" hidden="1"/>
    <cellStyle name="열어 본 하이퍼링크" xfId="1323" builtinId="9" hidden="1"/>
    <cellStyle name="통화" xfId="2" builtinId="4"/>
    <cellStyle name="표준" xfId="0" builtinId="0"/>
    <cellStyle name="하이퍼링크" xfId="106" builtinId="8" hidden="1"/>
    <cellStyle name="하이퍼링크" xfId="108" builtinId="8" hidden="1"/>
    <cellStyle name="하이퍼링크" xfId="110" builtinId="8" hidden="1"/>
    <cellStyle name="하이퍼링크" xfId="112" builtinId="8" hidden="1"/>
    <cellStyle name="하이퍼링크" xfId="114" builtinId="8" hidden="1"/>
    <cellStyle name="하이퍼링크" xfId="116" builtinId="8" hidden="1"/>
    <cellStyle name="하이퍼링크" xfId="118" builtinId="8" hidden="1"/>
    <cellStyle name="하이퍼링크" xfId="120" builtinId="8" hidden="1"/>
    <cellStyle name="하이퍼링크" xfId="122" builtinId="8" hidden="1"/>
    <cellStyle name="하이퍼링크" xfId="124" builtinId="8" hidden="1"/>
    <cellStyle name="하이퍼링크" xfId="126" builtinId="8" hidden="1"/>
    <cellStyle name="하이퍼링크" xfId="128" builtinId="8" hidden="1"/>
    <cellStyle name="하이퍼링크" xfId="130" builtinId="8" hidden="1"/>
    <cellStyle name="하이퍼링크" xfId="132" builtinId="8" hidden="1"/>
    <cellStyle name="하이퍼링크" xfId="134" builtinId="8" hidden="1"/>
    <cellStyle name="하이퍼링크" xfId="136" builtinId="8" hidden="1"/>
    <cellStyle name="하이퍼링크" xfId="138" builtinId="8" hidden="1"/>
    <cellStyle name="하이퍼링크" xfId="140" builtinId="8" hidden="1"/>
    <cellStyle name="하이퍼링크" xfId="142" builtinId="8" hidden="1"/>
    <cellStyle name="하이퍼링크" xfId="144" builtinId="8" hidden="1"/>
    <cellStyle name="하이퍼링크" xfId="146" builtinId="8" hidden="1"/>
    <cellStyle name="하이퍼링크" xfId="148" builtinId="8" hidden="1"/>
    <cellStyle name="하이퍼링크" xfId="150" builtinId="8" hidden="1"/>
    <cellStyle name="하이퍼링크" xfId="152" builtinId="8" hidden="1"/>
    <cellStyle name="하이퍼링크" xfId="154" builtinId="8" hidden="1"/>
    <cellStyle name="하이퍼링크" xfId="156" builtinId="8" hidden="1"/>
    <cellStyle name="하이퍼링크" xfId="158" builtinId="8" hidden="1"/>
    <cellStyle name="하이퍼링크" xfId="160" builtinId="8" hidden="1"/>
    <cellStyle name="하이퍼링크" xfId="162" builtinId="8" hidden="1"/>
    <cellStyle name="하이퍼링크" xfId="164" builtinId="8" hidden="1"/>
    <cellStyle name="하이퍼링크" xfId="166" builtinId="8" hidden="1"/>
    <cellStyle name="하이퍼링크" xfId="168" builtinId="8" hidden="1"/>
    <cellStyle name="하이퍼링크" xfId="170" builtinId="8" hidden="1"/>
    <cellStyle name="하이퍼링크" xfId="172" builtinId="8" hidden="1"/>
    <cellStyle name="하이퍼링크" xfId="174" builtinId="8" hidden="1"/>
    <cellStyle name="하이퍼링크" xfId="176" builtinId="8" hidden="1"/>
    <cellStyle name="하이퍼링크" xfId="178" builtinId="8" hidden="1"/>
    <cellStyle name="하이퍼링크" xfId="180" builtinId="8" hidden="1"/>
    <cellStyle name="하이퍼링크" xfId="182" builtinId="8" hidden="1"/>
    <cellStyle name="하이퍼링크" xfId="184" builtinId="8" hidden="1"/>
    <cellStyle name="하이퍼링크" xfId="186" builtinId="8" hidden="1"/>
    <cellStyle name="하이퍼링크" xfId="188" builtinId="8" hidden="1"/>
    <cellStyle name="하이퍼링크" xfId="190" builtinId="8" hidden="1"/>
    <cellStyle name="하이퍼링크" xfId="192" builtinId="8" hidden="1"/>
    <cellStyle name="하이퍼링크" xfId="194" builtinId="8" hidden="1"/>
    <cellStyle name="하이퍼링크" xfId="196" builtinId="8" hidden="1"/>
    <cellStyle name="하이퍼링크" xfId="198" builtinId="8" hidden="1"/>
    <cellStyle name="하이퍼링크" xfId="200" builtinId="8" hidden="1"/>
    <cellStyle name="하이퍼링크" xfId="202" builtinId="8" hidden="1"/>
    <cellStyle name="하이퍼링크" xfId="204" builtinId="8" hidden="1"/>
    <cellStyle name="하이퍼링크" xfId="206" builtinId="8" hidden="1"/>
    <cellStyle name="하이퍼링크" xfId="208" builtinId="8" hidden="1"/>
    <cellStyle name="하이퍼링크" xfId="210" builtinId="8" hidden="1"/>
    <cellStyle name="하이퍼링크" xfId="212" builtinId="8" hidden="1"/>
    <cellStyle name="하이퍼링크" xfId="214" builtinId="8" hidden="1"/>
    <cellStyle name="하이퍼링크" xfId="216" builtinId="8" hidden="1"/>
    <cellStyle name="하이퍼링크" xfId="218" builtinId="8" hidden="1"/>
    <cellStyle name="하이퍼링크" xfId="220" builtinId="8" hidden="1"/>
    <cellStyle name="하이퍼링크" xfId="222" builtinId="8" hidden="1"/>
    <cellStyle name="하이퍼링크" xfId="224" builtinId="8" hidden="1"/>
    <cellStyle name="하이퍼링크" xfId="226" builtinId="8" hidden="1"/>
    <cellStyle name="하이퍼링크" xfId="228" builtinId="8" hidden="1"/>
    <cellStyle name="하이퍼링크" xfId="230" builtinId="8" hidden="1"/>
    <cellStyle name="하이퍼링크" xfId="232" builtinId="8" hidden="1"/>
    <cellStyle name="하이퍼링크" xfId="234" builtinId="8" hidden="1"/>
    <cellStyle name="하이퍼링크" xfId="236" builtinId="8" hidden="1"/>
    <cellStyle name="하이퍼링크" xfId="238" builtinId="8" hidden="1"/>
    <cellStyle name="하이퍼링크" xfId="240" builtinId="8" hidden="1"/>
    <cellStyle name="하이퍼링크" xfId="242" builtinId="8" hidden="1"/>
    <cellStyle name="하이퍼링크" xfId="244" builtinId="8" hidden="1"/>
    <cellStyle name="하이퍼링크" xfId="246" builtinId="8" hidden="1"/>
    <cellStyle name="하이퍼링크" xfId="249" builtinId="8" hidden="1"/>
    <cellStyle name="하이퍼링크" xfId="251" builtinId="8" hidden="1"/>
    <cellStyle name="하이퍼링크" xfId="253" builtinId="8" hidden="1"/>
    <cellStyle name="하이퍼링크" xfId="255" builtinId="8" hidden="1"/>
    <cellStyle name="하이퍼링크" xfId="257" builtinId="8" hidden="1"/>
    <cellStyle name="하이퍼링크" xfId="259" builtinId="8" hidden="1"/>
    <cellStyle name="하이퍼링크" xfId="261" builtinId="8" hidden="1"/>
    <cellStyle name="하이퍼링크" xfId="263" builtinId="8" hidden="1"/>
    <cellStyle name="하이퍼링크" xfId="265" builtinId="8" hidden="1"/>
    <cellStyle name="하이퍼링크" xfId="267" builtinId="8" hidden="1"/>
    <cellStyle name="하이퍼링크" xfId="269" builtinId="8" hidden="1"/>
    <cellStyle name="하이퍼링크" xfId="271" builtinId="8" hidden="1"/>
    <cellStyle name="하이퍼링크" xfId="273" builtinId="8" hidden="1"/>
    <cellStyle name="하이퍼링크" xfId="275" builtinId="8" hidden="1"/>
    <cellStyle name="하이퍼링크" xfId="277" builtinId="8" hidden="1"/>
    <cellStyle name="하이퍼링크" xfId="279" builtinId="8" hidden="1"/>
    <cellStyle name="하이퍼링크" xfId="281" builtinId="8" hidden="1"/>
    <cellStyle name="하이퍼링크" xfId="283" builtinId="8" hidden="1"/>
    <cellStyle name="하이퍼링크" xfId="285" builtinId="8" hidden="1"/>
    <cellStyle name="하이퍼링크" xfId="287" builtinId="8" hidden="1"/>
    <cellStyle name="하이퍼링크" xfId="289" builtinId="8" hidden="1"/>
    <cellStyle name="하이퍼링크" xfId="291" builtinId="8" hidden="1"/>
    <cellStyle name="하이퍼링크" xfId="293" builtinId="8" hidden="1"/>
    <cellStyle name="하이퍼링크" xfId="295" builtinId="8" hidden="1"/>
    <cellStyle name="하이퍼링크" xfId="297" builtinId="8" hidden="1"/>
    <cellStyle name="하이퍼링크" xfId="299" builtinId="8" hidden="1"/>
    <cellStyle name="하이퍼링크" xfId="301" builtinId="8" hidden="1"/>
    <cellStyle name="하이퍼링크" xfId="303" builtinId="8" hidden="1"/>
    <cellStyle name="하이퍼링크" xfId="305" builtinId="8" hidden="1"/>
    <cellStyle name="하이퍼링크" xfId="307" builtinId="8" hidden="1"/>
    <cellStyle name="하이퍼링크" xfId="309" builtinId="8" hidden="1"/>
    <cellStyle name="하이퍼링크" xfId="311" builtinId="8" hidden="1"/>
    <cellStyle name="하이퍼링크" xfId="313" builtinId="8" hidden="1"/>
    <cellStyle name="하이퍼링크" xfId="315" builtinId="8" hidden="1"/>
    <cellStyle name="하이퍼링크" xfId="317" builtinId="8" hidden="1"/>
    <cellStyle name="하이퍼링크" xfId="319" builtinId="8" hidden="1"/>
    <cellStyle name="하이퍼링크" xfId="321" builtinId="8" hidden="1"/>
    <cellStyle name="하이퍼링크" xfId="323" builtinId="8" hidden="1"/>
    <cellStyle name="하이퍼링크" xfId="325" builtinId="8" hidden="1"/>
    <cellStyle name="하이퍼링크" xfId="327" builtinId="8" hidden="1"/>
    <cellStyle name="하이퍼링크" xfId="329" builtinId="8" hidden="1"/>
    <cellStyle name="하이퍼링크" xfId="331" builtinId="8" hidden="1"/>
    <cellStyle name="하이퍼링크" xfId="333" builtinId="8" hidden="1"/>
    <cellStyle name="하이퍼링크" xfId="335" builtinId="8" hidden="1"/>
    <cellStyle name="하이퍼링크" xfId="337" builtinId="8" hidden="1"/>
    <cellStyle name="하이퍼링크" xfId="339" builtinId="8" hidden="1"/>
    <cellStyle name="하이퍼링크" xfId="341" builtinId="8" hidden="1"/>
    <cellStyle name="하이퍼링크" xfId="343" builtinId="8" hidden="1"/>
    <cellStyle name="하이퍼링크" xfId="345" builtinId="8" hidden="1"/>
    <cellStyle name="하이퍼링크" xfId="347" builtinId="8" hidden="1"/>
    <cellStyle name="하이퍼링크" xfId="349" builtinId="8" hidden="1"/>
    <cellStyle name="하이퍼링크" xfId="351" builtinId="8" hidden="1"/>
    <cellStyle name="하이퍼링크" xfId="353" builtinId="8" hidden="1"/>
    <cellStyle name="하이퍼링크" xfId="355" builtinId="8" hidden="1"/>
    <cellStyle name="하이퍼링크" xfId="357" builtinId="8" hidden="1"/>
    <cellStyle name="하이퍼링크" xfId="359" builtinId="8" hidden="1"/>
    <cellStyle name="하이퍼링크" xfId="361" builtinId="8" hidden="1"/>
    <cellStyle name="하이퍼링크" xfId="363" builtinId="8" hidden="1"/>
    <cellStyle name="하이퍼링크" xfId="365" builtinId="8" hidden="1"/>
    <cellStyle name="하이퍼링크" xfId="367" builtinId="8" hidden="1"/>
    <cellStyle name="하이퍼링크" xfId="369" builtinId="8" hidden="1"/>
    <cellStyle name="하이퍼링크" xfId="371" builtinId="8" hidden="1"/>
    <cellStyle name="하이퍼링크" xfId="373" builtinId="8" hidden="1"/>
    <cellStyle name="하이퍼링크" xfId="375" builtinId="8" hidden="1"/>
    <cellStyle name="하이퍼링크" xfId="377" builtinId="8" hidden="1"/>
    <cellStyle name="하이퍼링크" xfId="379" builtinId="8" hidden="1"/>
    <cellStyle name="하이퍼링크" xfId="381" builtinId="8" hidden="1"/>
    <cellStyle name="하이퍼링크" xfId="383" builtinId="8" hidden="1"/>
    <cellStyle name="하이퍼링크" xfId="385" builtinId="8" hidden="1"/>
    <cellStyle name="하이퍼링크" xfId="387" builtinId="8" hidden="1"/>
    <cellStyle name="하이퍼링크" xfId="389" builtinId="8" hidden="1"/>
    <cellStyle name="하이퍼링크" xfId="391" builtinId="8" hidden="1"/>
    <cellStyle name="하이퍼링크" xfId="393" builtinId="8" hidden="1"/>
    <cellStyle name="하이퍼링크" xfId="395" builtinId="8" hidden="1"/>
    <cellStyle name="하이퍼링크" xfId="397" builtinId="8" hidden="1"/>
    <cellStyle name="하이퍼링크" xfId="399" builtinId="8" hidden="1"/>
    <cellStyle name="하이퍼링크" xfId="401" builtinId="8" hidden="1"/>
    <cellStyle name="하이퍼링크" xfId="403" builtinId="8" hidden="1"/>
    <cellStyle name="하이퍼링크" xfId="405" builtinId="8" hidden="1"/>
    <cellStyle name="하이퍼링크" xfId="407" builtinId="8" hidden="1"/>
    <cellStyle name="하이퍼링크" xfId="409" builtinId="8" hidden="1"/>
    <cellStyle name="하이퍼링크" xfId="411" builtinId="8" hidden="1"/>
    <cellStyle name="하이퍼링크" xfId="413" builtinId="8" hidden="1"/>
    <cellStyle name="하이퍼링크" xfId="415" builtinId="8" hidden="1"/>
    <cellStyle name="하이퍼링크" xfId="417" builtinId="8" hidden="1"/>
    <cellStyle name="하이퍼링크" xfId="419" builtinId="8" hidden="1"/>
    <cellStyle name="하이퍼링크" xfId="421" builtinId="8" hidden="1"/>
    <cellStyle name="하이퍼링크" xfId="423" builtinId="8" hidden="1"/>
    <cellStyle name="하이퍼링크" xfId="425" builtinId="8" hidden="1"/>
    <cellStyle name="하이퍼링크" xfId="427" builtinId="8" hidden="1"/>
    <cellStyle name="하이퍼링크" xfId="429" builtinId="8" hidden="1"/>
    <cellStyle name="하이퍼링크" xfId="431" builtinId="8" hidden="1"/>
    <cellStyle name="하이퍼링크" xfId="433" builtinId="8" hidden="1"/>
    <cellStyle name="하이퍼링크" xfId="435" builtinId="8" hidden="1"/>
    <cellStyle name="하이퍼링크" xfId="437" builtinId="8" hidden="1"/>
    <cellStyle name="하이퍼링크" xfId="439" builtinId="8" hidden="1"/>
    <cellStyle name="하이퍼링크" xfId="441" builtinId="8" hidden="1"/>
    <cellStyle name="하이퍼링크" xfId="443" builtinId="8" hidden="1"/>
    <cellStyle name="하이퍼링크" xfId="445" builtinId="8" hidden="1"/>
    <cellStyle name="하이퍼링크" xfId="447" builtinId="8" hidden="1"/>
    <cellStyle name="하이퍼링크" xfId="449" builtinId="8" hidden="1"/>
    <cellStyle name="하이퍼링크" xfId="451" builtinId="8" hidden="1"/>
    <cellStyle name="하이퍼링크" xfId="453" builtinId="8" hidden="1"/>
    <cellStyle name="하이퍼링크" xfId="455" builtinId="8" hidden="1"/>
    <cellStyle name="하이퍼링크" xfId="457" builtinId="8" hidden="1"/>
    <cellStyle name="하이퍼링크" xfId="459" builtinId="8" hidden="1"/>
    <cellStyle name="하이퍼링크" xfId="461" builtinId="8" hidden="1"/>
    <cellStyle name="하이퍼링크" xfId="463" builtinId="8" hidden="1"/>
    <cellStyle name="하이퍼링크" xfId="465" builtinId="8" hidden="1"/>
    <cellStyle name="하이퍼링크" xfId="467" builtinId="8" hidden="1"/>
    <cellStyle name="하이퍼링크" xfId="469" builtinId="8" hidden="1"/>
    <cellStyle name="하이퍼링크" xfId="471" builtinId="8" hidden="1"/>
    <cellStyle name="하이퍼링크" xfId="473" builtinId="8" hidden="1"/>
    <cellStyle name="하이퍼링크" xfId="475" builtinId="8" hidden="1"/>
    <cellStyle name="하이퍼링크" xfId="477" builtinId="8" hidden="1"/>
    <cellStyle name="하이퍼링크" xfId="479" builtinId="8" hidden="1"/>
    <cellStyle name="하이퍼링크" xfId="481" builtinId="8" hidden="1"/>
    <cellStyle name="하이퍼링크" xfId="483" builtinId="8" hidden="1"/>
    <cellStyle name="하이퍼링크" xfId="485" builtinId="8" hidden="1"/>
    <cellStyle name="하이퍼링크" xfId="487" builtinId="8" hidden="1"/>
    <cellStyle name="하이퍼링크" xfId="489" builtinId="8" hidden="1"/>
    <cellStyle name="하이퍼링크" xfId="491" builtinId="8" hidden="1"/>
    <cellStyle name="하이퍼링크" xfId="493" builtinId="8" hidden="1"/>
    <cellStyle name="하이퍼링크" xfId="495" builtinId="8" hidden="1"/>
    <cellStyle name="하이퍼링크" xfId="497" builtinId="8" hidden="1"/>
    <cellStyle name="하이퍼링크" xfId="499" builtinId="8" hidden="1"/>
    <cellStyle name="하이퍼링크" xfId="501" builtinId="8" hidden="1"/>
    <cellStyle name="하이퍼링크" xfId="503" builtinId="8" hidden="1"/>
    <cellStyle name="하이퍼링크" xfId="505" builtinId="8" hidden="1"/>
    <cellStyle name="하이퍼링크" xfId="507" builtinId="8" hidden="1"/>
    <cellStyle name="하이퍼링크" xfId="509" builtinId="8" hidden="1"/>
    <cellStyle name="하이퍼링크" xfId="511" builtinId="8" hidden="1"/>
    <cellStyle name="하이퍼링크" xfId="513" builtinId="8" hidden="1"/>
    <cellStyle name="하이퍼링크" xfId="515" builtinId="8" hidden="1"/>
    <cellStyle name="하이퍼링크" xfId="517" builtinId="8" hidden="1"/>
    <cellStyle name="하이퍼링크" xfId="519" builtinId="8" hidden="1"/>
    <cellStyle name="하이퍼링크" xfId="521" builtinId="8" hidden="1"/>
    <cellStyle name="하이퍼링크" xfId="523" builtinId="8" hidden="1"/>
    <cellStyle name="하이퍼링크" xfId="525" builtinId="8" hidden="1"/>
    <cellStyle name="하이퍼링크" xfId="527" builtinId="8" hidden="1"/>
    <cellStyle name="하이퍼링크" xfId="529" builtinId="8" hidden="1"/>
    <cellStyle name="하이퍼링크" xfId="531" builtinId="8" hidden="1"/>
    <cellStyle name="하이퍼링크" xfId="533" builtinId="8" hidden="1"/>
    <cellStyle name="하이퍼링크" xfId="535" builtinId="8" hidden="1"/>
    <cellStyle name="하이퍼링크" xfId="537" builtinId="8" hidden="1"/>
    <cellStyle name="하이퍼링크" xfId="539" builtinId="8" hidden="1"/>
    <cellStyle name="하이퍼링크" xfId="541" builtinId="8" hidden="1"/>
    <cellStyle name="하이퍼링크" xfId="543" builtinId="8" hidden="1"/>
    <cellStyle name="하이퍼링크" xfId="545" builtinId="8" hidden="1"/>
    <cellStyle name="하이퍼링크" xfId="547" builtinId="8" hidden="1"/>
    <cellStyle name="하이퍼링크" xfId="549" builtinId="8" hidden="1"/>
    <cellStyle name="하이퍼링크" xfId="551" builtinId="8" hidden="1"/>
    <cellStyle name="하이퍼링크" xfId="553" builtinId="8" hidden="1"/>
    <cellStyle name="하이퍼링크" xfId="555" builtinId="8" hidden="1"/>
    <cellStyle name="하이퍼링크" xfId="557" builtinId="8" hidden="1"/>
    <cellStyle name="하이퍼링크" xfId="559" builtinId="8" hidden="1"/>
    <cellStyle name="하이퍼링크" xfId="561" builtinId="8" hidden="1"/>
    <cellStyle name="하이퍼링크" xfId="563" builtinId="8" hidden="1"/>
    <cellStyle name="하이퍼링크" xfId="565" builtinId="8" hidden="1"/>
    <cellStyle name="하이퍼링크" xfId="567" builtinId="8" hidden="1"/>
    <cellStyle name="하이퍼링크" xfId="569" builtinId="8" hidden="1"/>
    <cellStyle name="하이퍼링크" xfId="571" builtinId="8" hidden="1"/>
    <cellStyle name="하이퍼링크" xfId="573" builtinId="8" hidden="1"/>
    <cellStyle name="하이퍼링크" xfId="575" builtinId="8" hidden="1"/>
    <cellStyle name="하이퍼링크" xfId="577" builtinId="8" hidden="1"/>
    <cellStyle name="하이퍼링크" xfId="579" builtinId="8" hidden="1"/>
    <cellStyle name="하이퍼링크" xfId="581" builtinId="8" hidden="1"/>
    <cellStyle name="하이퍼링크" xfId="583" builtinId="8" hidden="1"/>
    <cellStyle name="하이퍼링크" xfId="585" builtinId="8" hidden="1"/>
    <cellStyle name="하이퍼링크" xfId="587" builtinId="8" hidden="1"/>
    <cellStyle name="하이퍼링크" xfId="589" builtinId="8" hidden="1"/>
    <cellStyle name="하이퍼링크" xfId="591" builtinId="8" hidden="1"/>
    <cellStyle name="하이퍼링크" xfId="593" builtinId="8" hidden="1"/>
    <cellStyle name="하이퍼링크" xfId="595" builtinId="8" hidden="1"/>
    <cellStyle name="하이퍼링크" xfId="597" builtinId="8" hidden="1"/>
    <cellStyle name="하이퍼링크" xfId="599" builtinId="8" hidden="1"/>
    <cellStyle name="하이퍼링크" xfId="601" builtinId="8" hidden="1"/>
    <cellStyle name="하이퍼링크" xfId="603" builtinId="8" hidden="1"/>
    <cellStyle name="하이퍼링크" xfId="605" builtinId="8" hidden="1"/>
    <cellStyle name="하이퍼링크" xfId="607" builtinId="8" hidden="1"/>
    <cellStyle name="하이퍼링크" xfId="609" builtinId="8" hidden="1"/>
    <cellStyle name="하이퍼링크" xfId="611" builtinId="8" hidden="1"/>
    <cellStyle name="하이퍼링크" xfId="613" builtinId="8" hidden="1"/>
    <cellStyle name="하이퍼링크" xfId="615" builtinId="8" hidden="1"/>
    <cellStyle name="하이퍼링크" xfId="617" builtinId="8" hidden="1"/>
    <cellStyle name="하이퍼링크" xfId="619" builtinId="8" hidden="1"/>
    <cellStyle name="하이퍼링크" xfId="621" builtinId="8" hidden="1"/>
    <cellStyle name="하이퍼링크" xfId="623" builtinId="8" hidden="1"/>
    <cellStyle name="하이퍼링크" xfId="625" builtinId="8" hidden="1"/>
    <cellStyle name="하이퍼링크" xfId="627" builtinId="8" hidden="1"/>
    <cellStyle name="하이퍼링크" xfId="629" builtinId="8" hidden="1"/>
    <cellStyle name="하이퍼링크" xfId="631" builtinId="8" hidden="1"/>
    <cellStyle name="하이퍼링크" xfId="633" builtinId="8" hidden="1"/>
    <cellStyle name="하이퍼링크" xfId="635" builtinId="8" hidden="1"/>
    <cellStyle name="하이퍼링크" xfId="638" builtinId="8" hidden="1"/>
    <cellStyle name="하이퍼링크" xfId="640" builtinId="8" hidden="1"/>
    <cellStyle name="하이퍼링크" xfId="642" builtinId="8" hidden="1"/>
    <cellStyle name="하이퍼링크" xfId="644" builtinId="8" hidden="1"/>
    <cellStyle name="하이퍼링크" xfId="646" builtinId="8" hidden="1"/>
    <cellStyle name="하이퍼링크" xfId="648" builtinId="8" hidden="1"/>
    <cellStyle name="하이퍼링크" xfId="650" builtinId="8" hidden="1"/>
    <cellStyle name="하이퍼링크" xfId="652" builtinId="8" hidden="1"/>
    <cellStyle name="하이퍼링크" xfId="654" builtinId="8" hidden="1"/>
    <cellStyle name="하이퍼링크" xfId="656" builtinId="8" hidden="1"/>
    <cellStyle name="하이퍼링크" xfId="658" builtinId="8" hidden="1"/>
    <cellStyle name="하이퍼링크" xfId="660" builtinId="8" hidden="1"/>
    <cellStyle name="하이퍼링크" xfId="662" builtinId="8" hidden="1"/>
    <cellStyle name="하이퍼링크" xfId="664" builtinId="8" hidden="1"/>
    <cellStyle name="하이퍼링크" xfId="666" builtinId="8" hidden="1"/>
    <cellStyle name="하이퍼링크" xfId="668" builtinId="8" hidden="1"/>
    <cellStyle name="하이퍼링크" xfId="670" builtinId="8" hidden="1"/>
    <cellStyle name="하이퍼링크" xfId="672" builtinId="8" hidden="1"/>
    <cellStyle name="하이퍼링크" xfId="674" builtinId="8" hidden="1"/>
    <cellStyle name="하이퍼링크" xfId="676" builtinId="8" hidden="1"/>
    <cellStyle name="하이퍼링크" xfId="678" builtinId="8" hidden="1"/>
    <cellStyle name="하이퍼링크" xfId="680" builtinId="8" hidden="1"/>
    <cellStyle name="하이퍼링크" xfId="682" builtinId="8" hidden="1"/>
    <cellStyle name="하이퍼링크" xfId="684" builtinId="8" hidden="1"/>
    <cellStyle name="하이퍼링크" xfId="686" builtinId="8" hidden="1"/>
    <cellStyle name="하이퍼링크" xfId="688" builtinId="8" hidden="1"/>
    <cellStyle name="하이퍼링크" xfId="690" builtinId="8" hidden="1"/>
    <cellStyle name="하이퍼링크" xfId="692" builtinId="8" hidden="1"/>
    <cellStyle name="하이퍼링크" xfId="694" builtinId="8" hidden="1"/>
    <cellStyle name="하이퍼링크" xfId="696" builtinId="8" hidden="1"/>
    <cellStyle name="하이퍼링크" xfId="699" builtinId="8" hidden="1"/>
    <cellStyle name="하이퍼링크" xfId="701" builtinId="8" hidden="1"/>
    <cellStyle name="하이퍼링크" xfId="703" builtinId="8" hidden="1"/>
    <cellStyle name="하이퍼링크" xfId="705" builtinId="8" hidden="1"/>
    <cellStyle name="하이퍼링크" xfId="707" builtinId="8" hidden="1"/>
    <cellStyle name="하이퍼링크" xfId="709" builtinId="8" hidden="1"/>
    <cellStyle name="하이퍼링크" xfId="711" builtinId="8" hidden="1"/>
    <cellStyle name="하이퍼링크" xfId="713" builtinId="8" hidden="1"/>
    <cellStyle name="하이퍼링크" xfId="715" builtinId="8" hidden="1"/>
    <cellStyle name="하이퍼링크" xfId="717" builtinId="8" hidden="1"/>
    <cellStyle name="하이퍼링크" xfId="719" builtinId="8" hidden="1"/>
    <cellStyle name="하이퍼링크" xfId="721" builtinId="8" hidden="1"/>
    <cellStyle name="하이퍼링크" xfId="723" builtinId="8" hidden="1"/>
    <cellStyle name="하이퍼링크" xfId="725" builtinId="8" hidden="1"/>
    <cellStyle name="하이퍼링크" xfId="727" builtinId="8" hidden="1"/>
    <cellStyle name="하이퍼링크" xfId="729" builtinId="8" hidden="1"/>
    <cellStyle name="하이퍼링크" xfId="731" builtinId="8" hidden="1"/>
    <cellStyle name="하이퍼링크" xfId="733" builtinId="8" hidden="1"/>
    <cellStyle name="하이퍼링크" xfId="735" builtinId="8" hidden="1"/>
    <cellStyle name="하이퍼링크" xfId="737" builtinId="8" hidden="1"/>
    <cellStyle name="하이퍼링크" xfId="739" builtinId="8" hidden="1"/>
    <cellStyle name="하이퍼링크" xfId="741" builtinId="8" hidden="1"/>
    <cellStyle name="하이퍼링크" xfId="743" builtinId="8" hidden="1"/>
    <cellStyle name="하이퍼링크" xfId="745" builtinId="8" hidden="1"/>
    <cellStyle name="하이퍼링크" xfId="747" builtinId="8" hidden="1"/>
    <cellStyle name="하이퍼링크" xfId="749" builtinId="8" hidden="1"/>
    <cellStyle name="하이퍼링크" xfId="751" builtinId="8" hidden="1"/>
    <cellStyle name="하이퍼링크" xfId="753" builtinId="8" hidden="1"/>
    <cellStyle name="하이퍼링크" xfId="755" builtinId="8" hidden="1"/>
    <cellStyle name="하이퍼링크" xfId="757" builtinId="8" hidden="1"/>
    <cellStyle name="하이퍼링크" xfId="759" builtinId="8" hidden="1"/>
    <cellStyle name="하이퍼링크" xfId="761" builtinId="8" hidden="1"/>
    <cellStyle name="하이퍼링크" xfId="763" builtinId="8" hidden="1"/>
    <cellStyle name="하이퍼링크" xfId="765" builtinId="8" hidden="1"/>
    <cellStyle name="하이퍼링크" xfId="767" builtinId="8" hidden="1"/>
    <cellStyle name="하이퍼링크" xfId="769" builtinId="8" hidden="1"/>
    <cellStyle name="하이퍼링크" xfId="771" builtinId="8" hidden="1"/>
    <cellStyle name="하이퍼링크" xfId="773" builtinId="8" hidden="1"/>
    <cellStyle name="하이퍼링크" xfId="777" builtinId="8" hidden="1"/>
    <cellStyle name="하이퍼링크" xfId="779" builtinId="8" hidden="1"/>
    <cellStyle name="하이퍼링크" xfId="781" builtinId="8" hidden="1"/>
    <cellStyle name="하이퍼링크" xfId="783" builtinId="8" hidden="1"/>
    <cellStyle name="하이퍼링크" xfId="785" builtinId="8" hidden="1"/>
    <cellStyle name="하이퍼링크" xfId="787" builtinId="8" hidden="1"/>
    <cellStyle name="하이퍼링크" xfId="789" builtinId="8" hidden="1"/>
    <cellStyle name="하이퍼링크" xfId="791" builtinId="8" hidden="1"/>
    <cellStyle name="하이퍼링크" xfId="793" builtinId="8" hidden="1"/>
    <cellStyle name="하이퍼링크" xfId="795" builtinId="8" hidden="1"/>
    <cellStyle name="하이퍼링크" xfId="797" builtinId="8" hidden="1"/>
    <cellStyle name="하이퍼링크" xfId="799" builtinId="8" hidden="1"/>
    <cellStyle name="하이퍼링크" xfId="801" builtinId="8" hidden="1"/>
    <cellStyle name="하이퍼링크" xfId="803" builtinId="8" hidden="1"/>
    <cellStyle name="하이퍼링크" xfId="805" builtinId="8" hidden="1"/>
    <cellStyle name="하이퍼링크" xfId="807" builtinId="8" hidden="1"/>
    <cellStyle name="하이퍼링크" xfId="809" builtinId="8" hidden="1"/>
    <cellStyle name="하이퍼링크" xfId="811" builtinId="8" hidden="1"/>
    <cellStyle name="하이퍼링크" xfId="813" builtinId="8" hidden="1"/>
    <cellStyle name="하이퍼링크" xfId="815" builtinId="8" hidden="1"/>
    <cellStyle name="하이퍼링크" xfId="817" builtinId="8" hidden="1"/>
    <cellStyle name="하이퍼링크" xfId="819" builtinId="8" hidden="1"/>
    <cellStyle name="하이퍼링크" xfId="821" builtinId="8" hidden="1"/>
    <cellStyle name="하이퍼링크" xfId="823" builtinId="8" hidden="1"/>
    <cellStyle name="하이퍼링크" xfId="825" builtinId="8" hidden="1"/>
    <cellStyle name="하이퍼링크" xfId="827" builtinId="8" hidden="1"/>
    <cellStyle name="하이퍼링크" xfId="829" builtinId="8" hidden="1"/>
    <cellStyle name="하이퍼링크" xfId="831" builtinId="8" hidden="1"/>
    <cellStyle name="하이퍼링크" xfId="833" builtinId="8" hidden="1"/>
    <cellStyle name="하이퍼링크" xfId="835" builtinId="8" hidden="1"/>
    <cellStyle name="하이퍼링크" xfId="837" builtinId="8" hidden="1"/>
    <cellStyle name="하이퍼링크" xfId="839" builtinId="8" hidden="1"/>
    <cellStyle name="하이퍼링크" xfId="841" builtinId="8" hidden="1"/>
    <cellStyle name="하이퍼링크" xfId="843" builtinId="8" hidden="1"/>
    <cellStyle name="하이퍼링크" xfId="845" builtinId="8" hidden="1"/>
    <cellStyle name="하이퍼링크" xfId="847" builtinId="8" hidden="1"/>
    <cellStyle name="하이퍼링크" xfId="849" builtinId="8" hidden="1"/>
    <cellStyle name="하이퍼링크" xfId="851" builtinId="8" hidden="1"/>
    <cellStyle name="하이퍼링크" xfId="853" builtinId="8" hidden="1"/>
    <cellStyle name="하이퍼링크" xfId="855" builtinId="8" hidden="1"/>
    <cellStyle name="하이퍼링크" xfId="858" builtinId="8" hidden="1"/>
    <cellStyle name="하이퍼링크" xfId="860" builtinId="8" hidden="1"/>
    <cellStyle name="하이퍼링크" xfId="862" builtinId="8" hidden="1"/>
    <cellStyle name="하이퍼링크" xfId="864" builtinId="8" hidden="1"/>
    <cellStyle name="하이퍼링크" xfId="866" builtinId="8" hidden="1"/>
    <cellStyle name="하이퍼링크" xfId="868" builtinId="8" hidden="1"/>
    <cellStyle name="하이퍼링크" xfId="870" builtinId="8" hidden="1"/>
    <cellStyle name="하이퍼링크" xfId="872" builtinId="8" hidden="1"/>
    <cellStyle name="하이퍼링크" xfId="874" builtinId="8" hidden="1"/>
    <cellStyle name="하이퍼링크" xfId="876" builtinId="8" hidden="1"/>
    <cellStyle name="하이퍼링크" xfId="878" builtinId="8" hidden="1"/>
    <cellStyle name="하이퍼링크" xfId="880" builtinId="8" hidden="1"/>
    <cellStyle name="하이퍼링크" xfId="882" builtinId="8" hidden="1"/>
    <cellStyle name="하이퍼링크" xfId="884" builtinId="8" hidden="1"/>
    <cellStyle name="하이퍼링크" xfId="886" builtinId="8" hidden="1"/>
    <cellStyle name="하이퍼링크" xfId="888" builtinId="8" hidden="1"/>
    <cellStyle name="하이퍼링크" xfId="890" builtinId="8" hidden="1"/>
    <cellStyle name="하이퍼링크" xfId="892" builtinId="8" hidden="1"/>
    <cellStyle name="하이퍼링크" xfId="894" builtinId="8" hidden="1"/>
    <cellStyle name="하이퍼링크" xfId="896" builtinId="8" hidden="1"/>
    <cellStyle name="하이퍼링크" xfId="898" builtinId="8" hidden="1"/>
    <cellStyle name="하이퍼링크" xfId="900" builtinId="8" hidden="1"/>
    <cellStyle name="하이퍼링크" xfId="902" builtinId="8" hidden="1"/>
    <cellStyle name="하이퍼링크" xfId="904" builtinId="8" hidden="1"/>
    <cellStyle name="하이퍼링크" xfId="906" builtinId="8" hidden="1"/>
    <cellStyle name="하이퍼링크" xfId="908" builtinId="8" hidden="1"/>
    <cellStyle name="하이퍼링크" xfId="910" builtinId="8" hidden="1"/>
    <cellStyle name="하이퍼링크" xfId="912" builtinId="8" hidden="1"/>
    <cellStyle name="하이퍼링크" xfId="914" builtinId="8" hidden="1"/>
    <cellStyle name="하이퍼링크" xfId="916" builtinId="8" hidden="1"/>
    <cellStyle name="하이퍼링크" xfId="918" builtinId="8" hidden="1"/>
    <cellStyle name="하이퍼링크" xfId="920" builtinId="8" hidden="1"/>
    <cellStyle name="하이퍼링크" xfId="922" builtinId="8" hidden="1"/>
    <cellStyle name="하이퍼링크" xfId="925" builtinId="8" hidden="1"/>
    <cellStyle name="하이퍼링크" xfId="927" builtinId="8" hidden="1"/>
    <cellStyle name="하이퍼링크" xfId="929" builtinId="8" hidden="1"/>
    <cellStyle name="하이퍼링크" xfId="931" builtinId="8" hidden="1"/>
    <cellStyle name="하이퍼링크" xfId="933" builtinId="8" hidden="1"/>
    <cellStyle name="하이퍼링크" xfId="935" builtinId="8" hidden="1"/>
    <cellStyle name="하이퍼링크" xfId="937" builtinId="8" hidden="1"/>
    <cellStyle name="하이퍼링크" xfId="939" builtinId="8" hidden="1"/>
    <cellStyle name="하이퍼링크" xfId="941" builtinId="8" hidden="1"/>
    <cellStyle name="하이퍼링크" xfId="943" builtinId="8" hidden="1"/>
    <cellStyle name="하이퍼링크" xfId="945" builtinId="8" hidden="1"/>
    <cellStyle name="하이퍼링크" xfId="947" builtinId="8" hidden="1"/>
    <cellStyle name="하이퍼링크" xfId="949" builtinId="8" hidden="1"/>
    <cellStyle name="하이퍼링크" xfId="951" builtinId="8" hidden="1"/>
    <cellStyle name="하이퍼링크" xfId="953" builtinId="8" hidden="1"/>
    <cellStyle name="하이퍼링크" xfId="955" builtinId="8" hidden="1"/>
    <cellStyle name="하이퍼링크" xfId="957" builtinId="8" hidden="1"/>
    <cellStyle name="하이퍼링크" xfId="959" builtinId="8" hidden="1"/>
    <cellStyle name="하이퍼링크" xfId="961" builtinId="8" hidden="1"/>
    <cellStyle name="하이퍼링크" xfId="963" builtinId="8" hidden="1"/>
    <cellStyle name="하이퍼링크" xfId="965" builtinId="8" hidden="1"/>
    <cellStyle name="하이퍼링크" xfId="967" builtinId="8" hidden="1"/>
    <cellStyle name="하이퍼링크" xfId="969" builtinId="8" hidden="1"/>
    <cellStyle name="하이퍼링크" xfId="971" builtinId="8" hidden="1"/>
    <cellStyle name="하이퍼링크" xfId="973" builtinId="8" hidden="1"/>
    <cellStyle name="하이퍼링크" xfId="975" builtinId="8" hidden="1"/>
    <cellStyle name="하이퍼링크" xfId="977" builtinId="8" hidden="1"/>
    <cellStyle name="하이퍼링크" xfId="979" builtinId="8" hidden="1"/>
    <cellStyle name="하이퍼링크" xfId="981" builtinId="8" hidden="1"/>
    <cellStyle name="하이퍼링크" xfId="983" builtinId="8" hidden="1"/>
    <cellStyle name="하이퍼링크" xfId="985" builtinId="8" hidden="1"/>
    <cellStyle name="하이퍼링크" xfId="987" builtinId="8" hidden="1"/>
    <cellStyle name="하이퍼링크" xfId="989" builtinId="8" hidden="1"/>
    <cellStyle name="하이퍼링크" xfId="991" builtinId="8" hidden="1"/>
    <cellStyle name="하이퍼링크" xfId="993" builtinId="8" hidden="1"/>
    <cellStyle name="하이퍼링크" xfId="995" builtinId="8" hidden="1"/>
    <cellStyle name="하이퍼링크" xfId="997" builtinId="8" hidden="1"/>
    <cellStyle name="하이퍼링크" xfId="999" builtinId="8" hidden="1"/>
    <cellStyle name="하이퍼링크" xfId="1001" builtinId="8" hidden="1"/>
    <cellStyle name="하이퍼링크" xfId="1003" builtinId="8" hidden="1"/>
    <cellStyle name="하이퍼링크" xfId="1005" builtinId="8" hidden="1"/>
    <cellStyle name="하이퍼링크" xfId="1007" builtinId="8" hidden="1"/>
    <cellStyle name="하이퍼링크" xfId="1009" builtinId="8" hidden="1"/>
    <cellStyle name="하이퍼링크" xfId="1011" builtinId="8" hidden="1"/>
    <cellStyle name="하이퍼링크" xfId="1013" builtinId="8" hidden="1"/>
    <cellStyle name="하이퍼링크" xfId="1015" builtinId="8" hidden="1"/>
    <cellStyle name="하이퍼링크" xfId="1017" builtinId="8" hidden="1"/>
    <cellStyle name="하이퍼링크" xfId="1019" builtinId="8" hidden="1"/>
    <cellStyle name="하이퍼링크" xfId="1021" builtinId="8" hidden="1"/>
    <cellStyle name="하이퍼링크" xfId="1023" builtinId="8" hidden="1"/>
    <cellStyle name="하이퍼링크" xfId="1025" builtinId="8" hidden="1"/>
    <cellStyle name="하이퍼링크" xfId="1027" builtinId="8" hidden="1"/>
    <cellStyle name="하이퍼링크" xfId="1029" builtinId="8" hidden="1"/>
    <cellStyle name="하이퍼링크" xfId="1031" builtinId="8" hidden="1"/>
    <cellStyle name="하이퍼링크" xfId="1033" builtinId="8" hidden="1"/>
    <cellStyle name="하이퍼링크" xfId="1035" builtinId="8" hidden="1"/>
    <cellStyle name="하이퍼링크" xfId="1037" builtinId="8" hidden="1"/>
    <cellStyle name="하이퍼링크" xfId="1039" builtinId="8" hidden="1"/>
    <cellStyle name="하이퍼링크" xfId="1041" builtinId="8" hidden="1"/>
    <cellStyle name="하이퍼링크" xfId="1043" builtinId="8" hidden="1"/>
    <cellStyle name="하이퍼링크" xfId="1045" builtinId="8" hidden="1"/>
    <cellStyle name="하이퍼링크" xfId="1047" builtinId="8" hidden="1"/>
    <cellStyle name="하이퍼링크" xfId="1049" builtinId="8" hidden="1"/>
    <cellStyle name="하이퍼링크" xfId="1051" builtinId="8" hidden="1"/>
    <cellStyle name="하이퍼링크" xfId="1053" builtinId="8" hidden="1"/>
    <cellStyle name="하이퍼링크" xfId="1055" builtinId="8" hidden="1"/>
    <cellStyle name="하이퍼링크" xfId="1057" builtinId="8" hidden="1"/>
    <cellStyle name="하이퍼링크" xfId="1059" builtinId="8" hidden="1"/>
    <cellStyle name="하이퍼링크" xfId="1061" builtinId="8" hidden="1"/>
    <cellStyle name="하이퍼링크" xfId="1063" builtinId="8" hidden="1"/>
    <cellStyle name="하이퍼링크" xfId="1065" builtinId="8" hidden="1"/>
    <cellStyle name="하이퍼링크" xfId="1067" builtinId="8" hidden="1"/>
    <cellStyle name="하이퍼링크" xfId="1069" builtinId="8" hidden="1"/>
    <cellStyle name="하이퍼링크" xfId="1071" builtinId="8" hidden="1"/>
    <cellStyle name="하이퍼링크" xfId="1073" builtinId="8" hidden="1"/>
    <cellStyle name="하이퍼링크" xfId="1075" builtinId="8" hidden="1"/>
    <cellStyle name="하이퍼링크" xfId="1077" builtinId="8" hidden="1"/>
    <cellStyle name="하이퍼링크" xfId="1079" builtinId="8" hidden="1"/>
    <cellStyle name="하이퍼링크" xfId="1081" builtinId="8" hidden="1"/>
    <cellStyle name="하이퍼링크" xfId="1083" builtinId="8" hidden="1"/>
    <cellStyle name="하이퍼링크" xfId="1085" builtinId="8" hidden="1"/>
    <cellStyle name="하이퍼링크" xfId="1087" builtinId="8" hidden="1"/>
    <cellStyle name="하이퍼링크" xfId="1089" builtinId="8" hidden="1"/>
    <cellStyle name="하이퍼링크" xfId="1091" builtinId="8" hidden="1"/>
    <cellStyle name="하이퍼링크" xfId="1093" builtinId="8" hidden="1"/>
    <cellStyle name="하이퍼링크" xfId="1096" builtinId="8" hidden="1"/>
    <cellStyle name="하이퍼링크" xfId="1099" builtinId="8" hidden="1"/>
    <cellStyle name="하이퍼링크" xfId="1102" builtinId="8" hidden="1"/>
    <cellStyle name="하이퍼링크" xfId="1104" builtinId="8" hidden="1"/>
    <cellStyle name="하이퍼링크" xfId="1106" builtinId="8" hidden="1"/>
    <cellStyle name="하이퍼링크" xfId="1108" builtinId="8" hidden="1"/>
    <cellStyle name="하이퍼링크" xfId="1110" builtinId="8" hidden="1"/>
    <cellStyle name="하이퍼링크" xfId="1112" builtinId="8" hidden="1"/>
    <cellStyle name="하이퍼링크" xfId="1114" builtinId="8" hidden="1"/>
    <cellStyle name="하이퍼링크" xfId="1116" builtinId="8" hidden="1"/>
    <cellStyle name="하이퍼링크" xfId="1118" builtinId="8" hidden="1"/>
    <cellStyle name="하이퍼링크" xfId="1120" builtinId="8" hidden="1"/>
    <cellStyle name="하이퍼링크" xfId="1122" builtinId="8" hidden="1"/>
    <cellStyle name="하이퍼링크" xfId="1124" builtinId="8" hidden="1"/>
    <cellStyle name="하이퍼링크" xfId="1126" builtinId="8" hidden="1"/>
    <cellStyle name="하이퍼링크" xfId="1128" builtinId="8" hidden="1"/>
    <cellStyle name="하이퍼링크" xfId="1130" builtinId="8" hidden="1"/>
    <cellStyle name="하이퍼링크" xfId="1132" builtinId="8" hidden="1"/>
    <cellStyle name="하이퍼링크" xfId="1134" builtinId="8" hidden="1"/>
    <cellStyle name="하이퍼링크" xfId="1136" builtinId="8" hidden="1"/>
    <cellStyle name="하이퍼링크" xfId="1138" builtinId="8" hidden="1"/>
    <cellStyle name="하이퍼링크" xfId="1140" builtinId="8" hidden="1"/>
    <cellStyle name="하이퍼링크" xfId="1142" builtinId="8" hidden="1"/>
    <cellStyle name="하이퍼링크" xfId="1144" builtinId="8" hidden="1"/>
    <cellStyle name="하이퍼링크" xfId="1146" builtinId="8" hidden="1"/>
    <cellStyle name="하이퍼링크" xfId="1148" builtinId="8" hidden="1"/>
    <cellStyle name="하이퍼링크" xfId="1150" builtinId="8" hidden="1"/>
    <cellStyle name="하이퍼링크" xfId="1152" builtinId="8" hidden="1"/>
    <cellStyle name="하이퍼링크" xfId="1154" builtinId="8" hidden="1"/>
    <cellStyle name="하이퍼링크" xfId="1156" builtinId="8" hidden="1"/>
    <cellStyle name="하이퍼링크" xfId="1158" builtinId="8" hidden="1"/>
    <cellStyle name="하이퍼링크" xfId="1160" builtinId="8" hidden="1"/>
    <cellStyle name="하이퍼링크" xfId="1162" builtinId="8" hidden="1"/>
    <cellStyle name="하이퍼링크" xfId="1164" builtinId="8" hidden="1"/>
    <cellStyle name="하이퍼링크" xfId="1166" builtinId="8" hidden="1"/>
    <cellStyle name="하이퍼링크" xfId="1168" builtinId="8" hidden="1"/>
    <cellStyle name="하이퍼링크" xfId="1170" builtinId="8" hidden="1"/>
    <cellStyle name="하이퍼링크" xfId="1172" builtinId="8" hidden="1"/>
    <cellStyle name="하이퍼링크" xfId="1174" builtinId="8" hidden="1"/>
    <cellStyle name="하이퍼링크" xfId="1176" builtinId="8" hidden="1"/>
    <cellStyle name="하이퍼링크" xfId="1178" builtinId="8" hidden="1"/>
    <cellStyle name="하이퍼링크" xfId="1180" builtinId="8" hidden="1"/>
    <cellStyle name="하이퍼링크" xfId="1182" builtinId="8" hidden="1"/>
    <cellStyle name="하이퍼링크" xfId="1184" builtinId="8" hidden="1"/>
    <cellStyle name="하이퍼링크" xfId="1186" builtinId="8" hidden="1"/>
    <cellStyle name="하이퍼링크" xfId="1188" builtinId="8" hidden="1"/>
    <cellStyle name="하이퍼링크" xfId="1190" builtinId="8" hidden="1"/>
    <cellStyle name="하이퍼링크" xfId="1192" builtinId="8" hidden="1"/>
    <cellStyle name="하이퍼링크" xfId="1194" builtinId="8" hidden="1"/>
    <cellStyle name="하이퍼링크" xfId="1196" builtinId="8" hidden="1"/>
    <cellStyle name="하이퍼링크" xfId="1198" builtinId="8" hidden="1"/>
    <cellStyle name="하이퍼링크" xfId="1200" builtinId="8" hidden="1"/>
    <cellStyle name="하이퍼링크" xfId="1202" builtinId="8" hidden="1"/>
    <cellStyle name="하이퍼링크" xfId="1204" builtinId="8" hidden="1"/>
    <cellStyle name="하이퍼링크" xfId="1206" builtinId="8" hidden="1"/>
    <cellStyle name="하이퍼링크" xfId="1208" builtinId="8" hidden="1"/>
    <cellStyle name="하이퍼링크" xfId="1210" builtinId="8" hidden="1"/>
    <cellStyle name="하이퍼링크" xfId="1212" builtinId="8" hidden="1"/>
    <cellStyle name="하이퍼링크" xfId="1214" builtinId="8" hidden="1"/>
    <cellStyle name="하이퍼링크" xfId="1216" builtinId="8" hidden="1"/>
    <cellStyle name="하이퍼링크" xfId="1218" builtinId="8" hidden="1"/>
    <cellStyle name="하이퍼링크" xfId="1220" builtinId="8" hidden="1"/>
    <cellStyle name="하이퍼링크" xfId="1222" builtinId="8" hidden="1"/>
    <cellStyle name="하이퍼링크" xfId="1224" builtinId="8" hidden="1"/>
    <cellStyle name="하이퍼링크" xfId="1226" builtinId="8" hidden="1"/>
    <cellStyle name="하이퍼링크" xfId="1228" builtinId="8" hidden="1"/>
    <cellStyle name="하이퍼링크" xfId="1230" builtinId="8" hidden="1"/>
    <cellStyle name="하이퍼링크" xfId="1232" builtinId="8" hidden="1"/>
    <cellStyle name="하이퍼링크" xfId="1234" builtinId="8" hidden="1"/>
    <cellStyle name="하이퍼링크" xfId="1236" builtinId="8" hidden="1"/>
    <cellStyle name="하이퍼링크" xfId="1238" builtinId="8" hidden="1"/>
    <cellStyle name="하이퍼링크" xfId="1240" builtinId="8" hidden="1"/>
    <cellStyle name="하이퍼링크" xfId="1242" builtinId="8" hidden="1"/>
    <cellStyle name="하이퍼링크" xfId="1244" builtinId="8" hidden="1"/>
    <cellStyle name="하이퍼링크" xfId="1246" builtinId="8" hidden="1"/>
    <cellStyle name="하이퍼링크" xfId="1248" builtinId="8" hidden="1"/>
    <cellStyle name="하이퍼링크" xfId="1250" builtinId="8" hidden="1"/>
    <cellStyle name="하이퍼링크" xfId="1252" builtinId="8" hidden="1"/>
    <cellStyle name="하이퍼링크" xfId="1254" builtinId="8" hidden="1"/>
    <cellStyle name="하이퍼링크" xfId="1256" builtinId="8" hidden="1"/>
    <cellStyle name="하이퍼링크" xfId="1258" builtinId="8" hidden="1"/>
    <cellStyle name="하이퍼링크" xfId="1260" builtinId="8" hidden="1"/>
    <cellStyle name="하이퍼링크" xfId="1262" builtinId="8" hidden="1"/>
    <cellStyle name="하이퍼링크" xfId="1264" builtinId="8" hidden="1"/>
    <cellStyle name="하이퍼링크" xfId="1266" builtinId="8" hidden="1"/>
    <cellStyle name="하이퍼링크" xfId="1268" builtinId="8" hidden="1"/>
    <cellStyle name="하이퍼링크" xfId="1270" builtinId="8" hidden="1"/>
    <cellStyle name="하이퍼링크" xfId="1272" builtinId="8" hidden="1"/>
    <cellStyle name="하이퍼링크" xfId="1274" builtinId="8" hidden="1"/>
    <cellStyle name="하이퍼링크" xfId="1276" builtinId="8" hidden="1"/>
    <cellStyle name="하이퍼링크" xfId="1278" builtinId="8" hidden="1"/>
    <cellStyle name="하이퍼링크" xfId="1280" builtinId="8" hidden="1"/>
    <cellStyle name="하이퍼링크" xfId="1282" builtinId="8" hidden="1"/>
    <cellStyle name="하이퍼링크" xfId="1284" builtinId="8" hidden="1"/>
    <cellStyle name="하이퍼링크" xfId="1286" builtinId="8" hidden="1"/>
    <cellStyle name="하이퍼링크" xfId="1288" builtinId="8" hidden="1"/>
    <cellStyle name="하이퍼링크" xfId="1290" builtinId="8" hidden="1"/>
    <cellStyle name="하이퍼링크" xfId="1292" builtinId="8" hidden="1"/>
    <cellStyle name="하이퍼링크" xfId="1294" builtinId="8" hidden="1"/>
    <cellStyle name="하이퍼링크" xfId="1296" builtinId="8" hidden="1"/>
    <cellStyle name="하이퍼링크" xfId="1298" builtinId="8" hidden="1"/>
    <cellStyle name="하이퍼링크" xfId="1300" builtinId="8" hidden="1"/>
    <cellStyle name="하이퍼링크" xfId="1302" builtinId="8" hidden="1"/>
    <cellStyle name="하이퍼링크" xfId="1304" builtinId="8" hidden="1"/>
    <cellStyle name="하이퍼링크" xfId="1306" builtinId="8" hidden="1"/>
    <cellStyle name="하이퍼링크" xfId="1308" builtinId="8" hidden="1"/>
    <cellStyle name="하이퍼링크" xfId="1310" builtinId="8" hidden="1"/>
    <cellStyle name="하이퍼링크" xfId="1312" builtinId="8" hidden="1"/>
    <cellStyle name="하이퍼링크" xfId="1314" builtinId="8" hidden="1"/>
    <cellStyle name="하이퍼링크" xfId="1316" builtinId="8" hidden="1"/>
    <cellStyle name="하이퍼링크" xfId="1318" builtinId="8" hidden="1"/>
    <cellStyle name="하이퍼링크" xfId="1320" builtinId="8" hidden="1"/>
    <cellStyle name="하이퍼링크" xfId="1322" builtinId="8" hidden="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EBFFEB"/>
      <color rgb="FFF2DCDB"/>
      <color rgb="FFDAEEF3"/>
      <color rgb="FFCCFFCC"/>
      <color rgb="FFFBE2FE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466181</xdr:colOff>
      <xdr:row>4</xdr:row>
      <xdr:rowOff>497416</xdr:rowOff>
    </xdr:from>
    <xdr:to>
      <xdr:col>10</xdr:col>
      <xdr:colOff>0</xdr:colOff>
      <xdr:row>5</xdr:row>
      <xdr:rowOff>130629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E191D-2339-42CD-A5DC-76AA8A0D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3895" y="1150559"/>
          <a:ext cx="2701562" cy="5149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192975</xdr:colOff>
      <xdr:row>0</xdr:row>
      <xdr:rowOff>216066</xdr:rowOff>
    </xdr:from>
    <xdr:to>
      <xdr:col>1</xdr:col>
      <xdr:colOff>2576808</xdr:colOff>
      <xdr:row>1</xdr:row>
      <xdr:rowOff>196274</xdr:rowOff>
    </xdr:to>
    <xdr:pic>
      <xdr:nvPicPr>
        <xdr:cNvPr id="4" name="Picture 1" descr="C:\Documents and Settings\Mark Foss\Desktop\Arastra\Arista Collateral\Arista Pictures\arista_200pt_FINAL.jpg">
          <a:extLst>
            <a:ext uri="{FF2B5EF4-FFF2-40B4-BE49-F238E27FC236}">
              <a16:creationId xmlns:a16="http://schemas.microsoft.com/office/drawing/2014/main" id="{18D00B24-0500-4559-B564-73763A49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339" y="216066"/>
          <a:ext cx="2383833" cy="31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eho Kim" refreshedDate="46301.64922673611" createdVersion="8" refreshedVersion="8" minRefreshableVersion="3" recordCount="4362" xr:uid="{14DDFDAE-2AF7-6A4E-9FA7-B80485B55611}">
  <cacheSource type="worksheet">
    <worksheetSource ref="A5:B4367" sheet="Lookup"/>
  </cacheSource>
  <cacheFields count="2">
    <cacheField name="Category" numFmtId="0">
      <sharedItems containsSemiMixedTypes="0" containsString="0" containsNumber="1" containsInteger="1" minValue="1" maxValue="7" count="6">
        <n v="1"/>
        <n v="3"/>
        <n v="5"/>
        <n v="4"/>
        <n v="7"/>
        <n v="2" u="1"/>
      </sharedItems>
    </cacheField>
    <cacheField name="Product Number" numFmtId="0">
      <sharedItems count="5210">
        <s v="AP-W318-SS-5Y"/>
        <s v="AP-W318-SS-PREM-5Y"/>
        <s v="AP-W318-SS-3Y"/>
        <s v="AP-W318-SS-PREM-3Y"/>
        <s v="AP-W318"/>
        <s v="AP-W318-RW-SS-5Y"/>
        <s v="AP-W318-RW-SS-PREM-5Y"/>
        <s v="AP-W318-RW-SS-3Y"/>
        <s v="AP-W318-RW-SS-PREM-3Y"/>
        <s v="AP-W318-RW"/>
        <s v="AP-O435"/>
        <s v="AP-O435-SS-3Y"/>
        <s v="AP-O435-SS-5Y"/>
        <s v="AP-O435-SS-PREM-3Y"/>
        <s v="AP-O435-SS-PREM-5Y"/>
        <s v="AP-O435E"/>
        <s v="AP-O435E-SS-3Y"/>
        <s v="AP-O435E-SS-5Y"/>
        <s v="AP-O435E-SS-PREM-3Y"/>
        <s v="AP-O435E-SS-PREM-5Y"/>
        <s v="AP-O235-SS-5Y"/>
        <s v="AP-O235-SS-3Y"/>
        <s v="AP-O235"/>
        <s v="AP-O235E-SS-5Y"/>
        <s v="AP-O235E-SS-3Y"/>
        <s v="AP-O235E"/>
        <s v="AP-C400-SS-5Y"/>
        <s v="AP-C400-SS-PREM-5Y"/>
        <s v="AP-C400-SS-3Y"/>
        <s v="AP-C400-SS-PREM-3Y"/>
        <s v="AP-C400"/>
        <s v="AP-C430-SS-5Y"/>
        <s v="AP-C430-SS-PREM-5Y"/>
        <s v="AP-C430-SS-3Y"/>
        <s v="AP-C430-SS-PREM-3Y"/>
        <s v="AP-C430"/>
        <s v="AP-C460E-SS-5Y"/>
        <s v="AP-C460E-SS-PREM-5Y"/>
        <s v="AP-C460E-SS-3Y"/>
        <s v="AP-C460E-SS-PREM-3Y"/>
        <s v="AP-C460E"/>
        <s v="AP-C460-SS-5Y"/>
        <s v="AP-C460-SS-PREM-5Y"/>
        <s v="AP-C460-SS-3Y"/>
        <s v="AP-C460-SS-PREM-3Y"/>
        <s v="AP-C460"/>
        <s v="AP-C360-SS-5Y"/>
        <s v="AP-C360-SS-PREM-5Y"/>
        <s v="AP-C360-SS-3Y"/>
        <s v="AP-C360-SS-PREM-3Y"/>
        <s v="AP-C360"/>
        <s v="AP-C330-SS-5Y"/>
        <s v="AP-C330-SS-PREM-5Y"/>
        <s v="AP-C330-SS-3Y"/>
        <s v="AP-C330-SS-PREM-3Y"/>
        <s v="AP-C330"/>
        <s v="AP-C260-SS-5Y"/>
        <s v="AP-C260-SS-3Y"/>
        <s v="AP-C260"/>
        <s v="AP-C230-SS-5Y"/>
        <s v="AP-C230-SS-3Y"/>
        <s v="AP-C230"/>
        <s v="AP-C230E-SS-5Y"/>
        <s v="AP-C230E-SS-3Y"/>
        <s v="AP-C230E"/>
        <s v="AP-C200"/>
        <s v="AP-C200-SS-3Y"/>
        <s v="AP-C200-SS-5Y"/>
        <s v="MNT-AP-A-ADAPTER-1"/>
        <s v="MNT-AP-U-ADAPTER-1"/>
        <s v="MNT-AP-15MM-ADAPTER"/>
        <s v="MNT-AP-24MM-ADAPTER"/>
        <s v="MNT-AP-INTSIL"/>
        <s v="MNT-AP-15MM"/>
        <s v="MNT-AP-24MM"/>
        <s v="MNT-AP-FLAT-14CM"/>
        <s v="PWR-AP-W5"/>
        <s v="PWR-AP-W4"/>
        <s v="PWR-AP-W3"/>
        <s v="PWR-AP-W2"/>
        <s v="AP-C200-SS-PREM-3Y"/>
        <s v="AP-C200-SS-PREM-5Y"/>
        <s v="AP-C230E-SS-PREM-3Y"/>
        <s v="AP-C230E-SS-PREM-5Y"/>
        <s v="AP-C230-SS-PREM-3Y"/>
        <s v="AP-C230-SS-PREM-5Y"/>
        <s v="AP-C260-SS-PREM-3Y"/>
        <s v="AP-C260-SS-PREM-5Y"/>
        <s v="AP-O235E-SS-PREM-3Y"/>
        <s v="AP-O235E-SS-PREM-5Y"/>
        <s v="AP-O235-SS-PREM-3Y"/>
        <s v="AP-O235-SS-PREM-5Y"/>
        <s v="LIC-CV-REINS"/>
        <s v="LIC-CVS-REINS"/>
        <s v="LIC-MOD-7816R4-MACSEC"/>
        <s v="LIC-MOD-7812R4-MACSEC"/>
        <s v="LIC-MOD-7808R4-MACSEC"/>
        <s v="LIC-MOD-7804R4-MACSEC"/>
        <s v="LIC-MOD-7816R4-ENCR"/>
        <s v="LIC-MOD-7812R4-ENCR"/>
        <s v="LIC-MOD-7808R4-ENCR"/>
        <s v="LIC-MOD-7804R4-ENCR"/>
        <s v="LIC-MOD-7816R4-FLX"/>
        <s v="LIC-MOD-7812R4-FLX"/>
        <s v="LIC-MOD-7808R4-FLX"/>
        <s v="LIC-MOD-7804R4-FLX"/>
        <s v="LIC-MOD-7816R4-FLX-L"/>
        <s v="LIC-MOD-7812R4-FLX-L"/>
        <s v="LIC-MOD-7808R4-FLX-L"/>
        <s v="LIC-MOD-7804R4-FLX-L"/>
        <s v="LIC-MOD-7816R4-E"/>
        <s v="LIC-MOD-7812R4-E"/>
        <s v="LIC-MOD-7808R4-E"/>
        <s v="LIC-MOD-7804R4-E"/>
        <s v="LIC-MOD-7816R4-V"/>
        <s v="LIC-MOD-7812R4-V"/>
        <s v="LIC-MOD-7808R4-V"/>
        <s v="LIC-MOD-7804R4-V"/>
        <s v="LIC-MOD-7816R4-V2"/>
        <s v="LIC-MOD-7812R4-V2"/>
        <s v="LIC-MOD-7808R4-V2"/>
        <s v="LIC-MOD-7804R4-V2"/>
        <s v="LIC-MOD-7816R4-Z"/>
        <s v="LIC-MOD-7812R4-Z"/>
        <s v="LIC-MOD-7808R4-Z"/>
        <s v="LIC-MOD-4-FLX-L"/>
        <s v="LIC-MOD-2-FLX-L"/>
        <s v="LIC-MOD-3-FLX-L"/>
        <s v="LIC-MOD-1-FLX-L"/>
        <s v="LIC-MOD-4-FLX"/>
        <s v="LIC-MOD-3-FLX"/>
        <s v="LIC-MOD-2-FLX"/>
        <s v="LIC-MOD-1-FLX"/>
        <s v="LIC-MOD-4-V"/>
        <s v="LIC-MOD-2-V"/>
        <s v="LIC-MOD-3-V"/>
        <s v="LIC-MOD-1-V"/>
        <s v="LIC-MOD-4-V2"/>
        <s v="LIC-MOD-3-V2"/>
        <s v="LIC-MOD-2-V2"/>
        <s v="LIC-MOD-1-V2"/>
        <s v="LIC-MOD-4-Z"/>
        <s v="LIC-MOD-2-Z"/>
        <s v="LIC-MOD-3-Z"/>
        <s v="LIC-MOD-1-Z"/>
        <s v="LIC-MOD-4-E"/>
        <s v="LIC-MOD-2-E"/>
        <s v="LIC-MOD-3-E"/>
        <s v="LIC-MOD-1-E"/>
        <s v="LIC-MOD-4-MACSEC"/>
        <s v="LIC-MOD-3-MACSEC"/>
        <s v="LIC-MOD-2-MACSEC"/>
        <s v="LIC-MOD-1-MACSEC"/>
        <s v="LIC-MOD-G-MACSEC"/>
        <s v="LIC-MOD-G-FLX-L"/>
        <s v="LIC-MOD-G-E"/>
        <s v="LIC-MOD-G-V2"/>
        <s v="LIC-MOD-SLOT-FLX"/>
        <s v="LIC-MOD-SLOT-FLX-L"/>
        <s v="LIC-MOD-4-ENCR"/>
        <s v="LIC-MOD-3-ENCR"/>
        <s v="LIC-MOD-2-ENCR"/>
        <s v="LIC-MOD-1-ENCR"/>
        <s v="LIC-DL-FLX"/>
        <s v="LIC-DL-ENCR"/>
        <s v="LIC-DL-MACSEC"/>
        <s v="LIC-DL-FLX-L"/>
        <s v="LIC-DL-E"/>
        <s v="LIC-DL-Z"/>
        <s v="LIC-DL-V2"/>
        <s v="LIC-FIX-1-FLX"/>
        <s v="LIC-FIX-2-FLX"/>
        <s v="LIC-FIX-3-FLX"/>
        <s v="LIC-FIX-4-FLX"/>
        <s v="LIC-FIX-5-FLX"/>
        <s v="LIC-FIX-1-FLX-L"/>
        <s v="LIC-FIX-2-FLX-L"/>
        <s v="LIC-FIX-3-FLX-L"/>
        <s v="LIC-FIX-4-FLX-L"/>
        <s v="LIC-FIX-5-FLX-L"/>
        <s v="LIC-FIX-1-E"/>
        <s v="LIC-FIX-2-E"/>
        <s v="LIC-FIX-3-E"/>
        <s v="LIC-FIX-4-E"/>
        <s v="LIC-FIX-5-E"/>
        <s v="LIC-FIX-1-Z"/>
        <s v="LIC-FIX-2-Z"/>
        <s v="LIC-FIX-3-Z"/>
        <s v="LIC-FIX-4-Z"/>
        <s v="LIC-FIX-5-Z"/>
        <s v="LIC-FIX-1-V"/>
        <s v="LIC-FIX-2-V"/>
        <s v="LIC-FIX-3-V"/>
        <s v="LIC-FIX-4-V"/>
        <s v="LIC-FIX-5-V"/>
        <s v="LIC-FIX-1-V2"/>
        <s v="LIC-FIX-2-V2"/>
        <s v="LIC-FIX-3-V2"/>
        <s v="LIC-FIX-4-V2"/>
        <s v="LIC-FIX-5-V2"/>
        <s v="LIC-FIX-1-EOS-IPSEC"/>
        <s v="LIC-FIX-1-IPSEC"/>
        <s v="LIC-FIX-2-MACSEC"/>
        <s v="LIC-FIX-3-MACSEC"/>
        <s v="LIC-FIX-4-MACSEC"/>
        <s v="LIC-FIX-5-MACSEC"/>
        <s v="LIC-FIX-CG-FLX-L"/>
        <s v="LIC-FIX-G0-FLX-L"/>
        <s v="LIC-FIX-G-E"/>
        <s v="LIC-FIX-G-V2"/>
        <s v="LIC-FIX-G-FLX-L"/>
        <s v="LIC-FIX-G-FLX"/>
        <s v="LIC-FIX-G-MACSEC"/>
        <s v="LIC-FIX-G1-FLX-L"/>
        <s v="LIC-FIX-G2-FLX-L"/>
        <s v="LIC-FIX-G2-E"/>
        <s v="LIC-FIX-G2-V2"/>
        <s v="LIC-FIX-G2-MACSEC"/>
        <s v="LIC-FIX-G3-FLX"/>
        <s v="LIC-FIX-G3-FLX-L"/>
        <s v="LIC-FIX-G3-E"/>
        <s v="LIC-FIX-G3-V2"/>
        <s v="LIC-FIX-G3-MACSEC"/>
        <s v="LIC-FIX-ENH1"/>
        <s v="LIC-FIX-5-ENCR"/>
        <s v="LIC-FIX-4-ENCR"/>
        <s v="LIC-FIX-3-ENCR"/>
        <s v="LIC-FIX-2-ENCR"/>
        <s v="LIC-DM-CVM"/>
        <s v="LIC-CC-CVMM"/>
        <s v="LIC-CC-CVMS"/>
        <s v="LIC-WAN4-ENCR"/>
        <s v="LIC-WAN2-ENCR"/>
        <s v="LIC-WAN1-ENCR"/>
        <s v="LIC-WAN4-Z"/>
        <s v="LIC-WAN2-Z"/>
        <s v="LIC-WAN1-Z"/>
        <s v="DCA-350E-CV"/>
        <s v="DCA-300-CV"/>
        <s v="DCA-250-CV"/>
        <s v="DCA-DM-RN760L"/>
        <s v="DCA-DM-SN760L"/>
        <s v="DCA-DM-RN760"/>
        <s v="DCA-DM-SNR660"/>
        <s v="DCA-DM-SC2"/>
        <s v="DCA-DM-AN450"/>
        <s v="DCA-DM-C450"/>
        <s v="DCA-CC-C450"/>
        <s v="DCA-NDR-A5"/>
        <s v="DCA-NDR-S10"/>
        <s v="DCA-NDR-S5"/>
        <s v="DCA-NDR-S1"/>
        <s v="DCA-NDR-S100MB"/>
        <s v="DCA-NDR-NCC10"/>
        <s v="DCS-7816LR4-BND-FLX"/>
        <s v="DCS-7816LR4-BND-DC-S2"/>
        <s v="DCS-7816LR4-BND-S2"/>
        <s v="DCS-7816LR4-BND-N-S2"/>
        <s v="DCS-7816LR4-BND-DC"/>
        <s v="DCS-7816LR4-BND-N-DC"/>
        <s v="DCS-7816LR4-BND"/>
        <s v="DCS-7816LR4-BND-N"/>
        <s v="DCS-7812R4-BND-FLX"/>
        <s v="DCS-7812R4-BND-DC-S2"/>
        <s v="DCS-7812R4-BND-S2"/>
        <s v="DCS-7812R4-BND-DC"/>
        <s v="DCS-7812R4-BND"/>
        <s v="DCS-7812R4-BND-N-DC"/>
        <s v="DCS-7812R4-BND-N"/>
        <s v="DCS-7812R4-BND-U"/>
        <s v="DCS-7812R4-BNDS-U"/>
        <s v="DCS-7808R4-BND-FLX"/>
        <s v="DCS-7808R4-BND-DC-S2"/>
        <s v="DCS-7808R4-BND-S2"/>
        <s v="DCS-7808R4-BND-DC"/>
        <s v="DCS-7808R4-BND-N-DC"/>
        <s v="DCS-7808R4-BND"/>
        <s v="DCS-7808R4-BND-N"/>
        <s v="DCS-7808R4-BND-U"/>
        <s v="DCS-7808R4-BNDS-U"/>
        <s v="DCS-7808R4-BNDA-U"/>
        <s v="DCS-7804R4-BNDA-U"/>
        <s v="DCS-7804R4-BNDS-U"/>
        <s v="DCS-7804R4-BND-FLX"/>
        <s v="DCS-7804R4-BND-DC-S2"/>
        <s v="DCS-7804R4-BND-S2"/>
        <s v="DCS-7804R4-BND-DC"/>
        <s v="DCS-7804R4-BND"/>
        <s v="DCS-7804R4-BND-N-DC"/>
        <s v="DCS-7804R4-BND-N"/>
        <s v="DCS-7800R4K-36PE-LC"/>
        <s v="DCS-7800R4K-36PE-LC#"/>
        <s v="DCS-7800R4-36PE-LC"/>
        <s v="DCS-7800R4-36PE-LC#"/>
        <s v="DCS-7800R4C-36PE-LC"/>
        <s v="DCS-7800R4C-36PE-LC#"/>
        <s v="DCS-7808-SUP2"/>
        <s v="DCS-7808-SUP2#"/>
        <s v="DCS-7808-SUP2-N"/>
        <s v="DCS-7808-SUP2-N#"/>
        <s v="DCS-7816-SUP2"/>
        <s v="DCS-7816-SUP2#"/>
        <s v="DCS-7816-SUP2-N"/>
        <s v="DCS-7816-SUP2-N#"/>
        <s v="DCS-7816LR4-FM"/>
        <s v="DCS-7816L-FCM"/>
        <s v="DCS-7804R3-BND-FLX"/>
        <s v="DCS-7804R3-BND-DC-S2"/>
        <s v="DCS-7804R3-BND-S2"/>
        <s v="DCS-7804R3-BND-DC"/>
        <s v="DCS-7804R3-BND"/>
        <s v="DCS-7804R3-BNDS-DC"/>
        <s v="DCS-7804R3-BNDS"/>
        <s v="DCS-7808R3-BND-FLX"/>
        <s v="DCS-7808R3-BND-DC-S2"/>
        <s v="DCS-7808R3-BND-S2"/>
        <s v="DCS-7808R3-BND-DC"/>
        <s v="DCS-7808R3-BND"/>
        <s v="DCS-7808R3A-BND"/>
        <s v="DCS-7808R3-BNDS-S2"/>
        <s v="DCS-7808R3-BNDS-DC"/>
        <s v="DCS-7808R3-BNDS"/>
        <s v="DCS-7812R3-BND-DC-S2"/>
        <s v="DCS-7812R3-BND-S2"/>
        <s v="DCS-7812R3-BND-DC"/>
        <s v="DCS-7812R3-BNDS-DC"/>
        <s v="DCS-7812R3-BND"/>
        <s v="DCS-7812R3-BNDS"/>
        <s v="DCS-7816LR3-BND-FLX"/>
        <s v="DCS-7816LR3-BND-DC-S2"/>
        <s v="DCS-7816LR3-BND-S2"/>
        <s v="DCS-7816LR3-BND-DC"/>
        <s v="DCS-7816LR3-BNDS-DC"/>
        <s v="DCS-7816LR3-BND"/>
        <s v="DCS-7816LR3-BNDS-S2"/>
        <s v="DCS-7816LR3-BNDS"/>
        <s v="DCS-7816R3-BND-FLX"/>
        <s v="DCS-7816R3-BND-DC-S2"/>
        <s v="DCS-7816R3-BND-S2"/>
        <s v="DCS-7816R3-BND-DC"/>
        <s v="DCS-7816R3-BND"/>
        <s v="DCS-7816R3-BNDS-DC"/>
        <s v="DCS-7816R3-BNDS"/>
        <s v="DCS-7800R3K-48CQ-LC"/>
        <s v="DCS-7800R3K-48CQ-LC#"/>
        <s v="DCS-7800R3K-72Y-LC"/>
        <s v="DCS-7800R3K-72Y-LC#"/>
        <s v="DCS-7800R3-36D-LC"/>
        <s v="DCS-7800R3-36D-LC#"/>
        <s v="DCS-7800R3-36P-LC"/>
        <s v="DCS-7800R3-36P-LC#"/>
        <s v="DCS-7800R3-48CQM-LC"/>
        <s v="DCS-7800R3-48CQM-LC#"/>
        <s v="DCS-7800R3-48CQMS-LC"/>
        <s v="DCS-7800R3-48CQMS-LC#"/>
        <s v="DCS-7800R3-48CQ-LC"/>
        <s v="DCS-7800R3-48CQ-LC#"/>
        <s v="DCS-7800R3AK-36DM-LC"/>
        <s v="DCS-7800R3AK-36DM-LC#"/>
        <s v="DCS-7800R3AK-36PM-LC"/>
        <s v="DCS-7800R3AK-36PM-LC#"/>
        <s v="DCS-7800R3A-36PM-LC"/>
        <s v="DCS-7800R3A-36PM-LC#"/>
        <s v="DCS-7800R3A-36DM-LC"/>
        <s v="DCS-7800R3A-36DM-LC#"/>
        <s v="DCS-7800R3A-36D-LC"/>
        <s v="DCS-7800R3A-36D-LC#"/>
        <s v="DCS-7800R3A-36P-LC"/>
        <s v="DCS-7800R3A-36P-LC#"/>
        <s v="DCS-7816L-CH"/>
        <s v="DCS-7816-CH"/>
        <s v="DCS-7812-CH"/>
        <s v="DCS-7808-CH"/>
        <s v="DCS-7804-CH"/>
        <s v="DCS-7804-FCM"/>
        <s v="DCS-7804R3-FM"/>
        <s v="DCS-7804R4-FM"/>
        <s v="DCS-7808-FCM"/>
        <s v="DCS-7808R3-FM"/>
        <s v="DCS-7808R3-FM2"/>
        <s v="DCS-7808R4-FM"/>
        <s v="DCS-7812-FCM"/>
        <s v="DCS-7812R3-FM"/>
        <s v="DCS-7812R4-FM"/>
        <s v="DCS-7816LR3-FM"/>
        <s v="DCS-7816R3-FM"/>
        <s v="DCS-7816-SUP"/>
        <s v="DCS-7816-SUP#"/>
        <s v="DCS-7816-SUP1S#"/>
        <s v="DCS-7816-SUP1S"/>
        <s v="DCS-7800-SUP1A"/>
        <s v="DCS-7800-SUP1S"/>
        <s v="DCS-7800-SUP1S#"/>
        <s v="DCS-7800-FCVR"/>
        <s v="DCS-7800-LCVR"/>
        <s v="DCS-7800-SCVR"/>
        <s v="DCS-7800-PCVR"/>
        <s v="PWR-D4-3041-AC-BLUE"/>
        <s v="PWR-D4-3041-AC-BLUE#"/>
        <s v="PWR-D1-3041-AC-BLUE"/>
        <s v="PWR-D2-3041-DC-BLUE"/>
        <s v="PWR-3KT-AC-RED"/>
        <s v="PWR-3KT-AC-RED#"/>
        <s v="PWR-3K-DC-RED"/>
        <s v="PWR-3K-DC-RED#"/>
        <s v="PWR-3KT-HV-RED"/>
        <s v="PWR-3KT-HV-RED#"/>
        <s v="PWR-3K-DC-BLUE"/>
        <s v="PWR-3K-DC-BLUE#"/>
        <s v="PWR-3KT-AC-BLUE"/>
        <s v="PWR-3KT-AC-BLUE#"/>
        <s v="PWR-2411-MC-RED"/>
        <s v="PWR-2421-HV-RED"/>
        <s v="PWR-2421-HV-RED#"/>
        <s v="PWR-280-ADP"/>
        <s v="PWR-280-ADP#"/>
        <s v="PWR-150-ADP"/>
        <s v="PWR-150-ADP#"/>
        <s v="PWR-322-AC-RED"/>
        <s v="PWR-322-AC-BLUE"/>
        <s v="PWR-322-DC-RED"/>
        <s v="PWR-322-DC-BLUE"/>
        <s v="PWR-521-DC-RED"/>
        <s v="PWR-721-DC-RED"/>
        <s v="PWR-2021-AC-RED"/>
        <s v="PWR-2021-AC-RED#"/>
        <s v="PWR-1021-AC-RED"/>
        <s v="PWR-1021-AC-RED#"/>
        <s v="PWR-1022-AC-RED"/>
        <s v="PWR-1022-AC-BLUE"/>
        <s v="PWR-1022-AC-BLUE#"/>
        <s v="PWR-2022-AC-RED"/>
        <s v="PWR-461-AC-H"/>
        <s v="PWR-462-DC-ADP-H"/>
        <s v="PWR-462-AC-ADP-H"/>
        <s v="PWR-621-AC-RED"/>
        <s v="PWR-621-AC-RED#"/>
        <s v="PWR-621-AC-BLUE"/>
        <s v="PWR-621-AC-BLUE#"/>
        <s v="PWR-3351-AC-RED"/>
        <s v="PWR-3K3T-RET"/>
        <s v="PWR-500AC-F"/>
        <s v="PWR-500AC-R"/>
        <s v="PWR-500AC-F#"/>
        <s v="PWR-500AC-R#"/>
        <s v="PWR-500-DC-F"/>
        <s v="PWR-500-DC-F#"/>
        <s v="PWR-500-DC-R"/>
        <s v="PWR-500-DC-R#"/>
        <s v="PWR-501AC-F"/>
        <s v="PWR-501AC-R"/>
        <s v="PWR-501AC-F#"/>
        <s v="PWR-501AC-R#"/>
        <s v="PWR-511-AC-BLUE"/>
        <s v="PWR-511-AC-BLUE#"/>
        <s v="PWR-511-AC-RED"/>
        <s v="PWR-511-AC-RED#"/>
        <s v="PWR-511-DC-BLUE"/>
        <s v="PWR-511-DC-BLUE#"/>
        <s v="PWR-511-DC-RED"/>
        <s v="PWR-511-DC-RED#"/>
        <s v="PWR-561-AC-RED"/>
        <s v="PWR-745AC-F"/>
        <s v="PWR-745AC-F#"/>
        <s v="PWR-745AC-R"/>
        <s v="PWR-745AC-R#"/>
        <s v="PWR-747AC-BLUE"/>
        <s v="PWR-747AC-BLUE#"/>
        <s v="PWR-747AC-RED"/>
        <s v="PWR-747AC-RED#"/>
        <s v="PWR-861-AC-RED"/>
        <s v="PWR-1011-AC-BLUE"/>
        <s v="PWR-1011-AC-BLUE#"/>
        <s v="PWR-1011-AC-RED"/>
        <s v="PWR-1011-AC-RED#"/>
        <s v="PWR-1011-DC-BLUE"/>
        <s v="PWR-1011-DC-BLUE#"/>
        <s v="PWR-1011-DC-RED"/>
        <s v="PWR-1011-DC-RED#"/>
        <s v="PWR-1600AC-F"/>
        <s v="PWR-1600AC-F#"/>
        <s v="PWR-1900AC-F"/>
        <s v="PWR-1900AC-F#"/>
        <s v="PWR-1900AC-R"/>
        <s v="PWR-1900AC-R#"/>
        <s v="PWR-1900-DC-F"/>
        <s v="PWR-1900-DC-F#"/>
        <s v="PWR-1900-DC-R"/>
        <s v="PWR-1900-DC-R#"/>
        <s v="PWR-400-DC-BLUE"/>
        <s v="PWR-400-DC-BLUE#"/>
        <s v="PWR-400-DC-RED"/>
        <s v="PWR-400-DC-RED#"/>
        <s v="PWR-400AC-BLUE"/>
        <s v="PWR-400AC-BLUE#"/>
        <s v="PWR-400AC-RED"/>
        <s v="PWR-400AC-RED#"/>
        <s v="PWR-1511-AC-RED"/>
        <s v="PWR-1511-AC-RED#"/>
        <s v="PWR-1511-AC-BLUE"/>
        <s v="PWR-1511-AC-BLUE#"/>
        <s v="PWR-1511-DC-RED"/>
        <s v="PWR-1511-DC-RED#"/>
        <s v="PWR-1511-DC-BLUE"/>
        <s v="PWR-1511-DC-BLUE#"/>
        <s v="PWR-1512-AC-BLUE"/>
        <s v="PWR-1512-AC-BLUE#"/>
        <s v="PWR-1512-AC-RED"/>
        <s v="PWR-1512-AC-RED#"/>
        <s v="PWR-1513-AC-RED"/>
        <s v="PWR-1513-AC-BLUE"/>
        <s v="PWR-1513-AC-RED#"/>
        <s v="PWR-1513-AC-BLUE#"/>
        <s v="PWR-1611-AC-RED"/>
        <s v="PWR-1611-AC-RED#"/>
        <s v="PWR-1611-DC-RED"/>
        <s v="PWR-1611-DC-RED#"/>
        <s v="PWR-2411-AC-RED"/>
        <s v="PWR-2411-AC-BLUE"/>
        <s v="PWR-2411-DC-RED"/>
        <s v="PWR-2411-DC-BLUE"/>
        <s v="PWR-3001-AC-RED"/>
        <s v="PWR-3001-DC-RED"/>
        <s v="PWR-3211-DC-RED"/>
        <s v="PWR-3211-DC-RED#"/>
        <s v="PWR-3211-HV-RED"/>
        <s v="PWR-3211-HV-RED#"/>
        <s v="PWR-2011-AC-RED"/>
        <s v="CAB-AC-20A-SG-C20-1M"/>
        <s v="CAB-AC-20A-SG-C20-2M"/>
        <s v="CAB-AC-20A-SG-C20-3M"/>
        <s v="CAB-AC-20A-SG-C20-4M"/>
        <s v="CAB-DC-BK150-TAIL-4A-2M5"/>
        <s v="CAB-C19-C20"/>
        <s v="CAB-C19-L6-20P"/>
        <s v="CAB-C19-C20-1M"/>
        <s v="CAB-C14-C15"/>
        <s v="CAB-C15-ITY"/>
        <s v="CAB-C15-ARG"/>
        <s v="CAB-C15-AUS"/>
        <s v="CAB-C15-BRZ"/>
        <s v="CAB-C15-CHN"/>
        <s v="CAB-C15-EUR"/>
        <s v="CAB-C15-IND"/>
        <s v="CAB-C15-ISR"/>
        <s v="CAB-C15-JPN"/>
        <s v="CAB-C15-NA"/>
        <s v="CAB-C15-SWZ"/>
        <s v="CAB-C15-UK"/>
        <s v="CAB-C19-L6-30P"/>
        <s v="CAB-C19-6-30"/>
        <s v="CAB-C19-6-20"/>
        <s v="CAB-C19-316P6"/>
        <s v="CAB-C19-EUR"/>
        <s v="CAB-C19-NA"/>
        <s v="CAB-C19-AUS"/>
        <s v="CAB-C19-ITY"/>
        <s v="CAB-C19-ISR"/>
        <s v="CAB-C19-CHN"/>
        <s v="CAB-C19-IN"/>
        <s v="CAB-C13-IN"/>
        <s v="CAB-C13-SWZ"/>
        <s v="CAB-C13-C14-INTL"/>
        <s v="CAB-C13-US"/>
        <s v="CAB-C13-EU"/>
        <s v="CAB-C13-UK"/>
        <s v="CAB-C13-AUS"/>
        <s v="CAB-C13-IT"/>
        <s v="CAB-C13-AR"/>
        <s v="CAB-SYNCE-RJ"/>
        <s v="CAB-LC16-CS"/>
        <s v="CAB-LC8-CS"/>
        <s v="CAB-O-O-400G-3M"/>
        <s v="CAB-O-O-400G-2M"/>
        <s v="CAB-O-O-400G-1M"/>
        <s v="CAB-O-2Q-400G-3M"/>
        <s v="CAB-O-2Q-400G-2M"/>
        <s v="CAB-O-2Q-400G-1M"/>
        <s v="CAB-O-4Q-400G-3M"/>
        <s v="CAB-O-4Q-400G-2M"/>
        <s v="CAB-O-4Q-400G-1M"/>
        <s v="CAB-O-8S-400G-3M"/>
        <s v="CAB-O-8S-400G-2M"/>
        <s v="CAB-O-8S-400G-1M"/>
        <s v="CAB-D-D-400G-3M"/>
        <s v="CAB-D-D-400-2.5"/>
        <s v="CAB-D-D-400G-2M"/>
        <s v="CAB-D-D-400G-1M"/>
        <s v="CAB-D-2Q-400G-3M"/>
        <s v="CAB-D-2Q-400-2.5"/>
        <s v="CAB-D-2Q-400G-2M"/>
        <s v="CAB-D-2Q-400G-1M"/>
        <s v="CAB-D-4Q-400G-3M"/>
        <s v="CAB-D-4Q-400-2.5"/>
        <s v="CAB-D-4Q-400G-2M"/>
        <s v="CAB-D-4Q-400G-1M"/>
        <s v="CAB-D-8S-400-2.5"/>
        <s v="CAB-D-8S-400G-2M"/>
        <s v="CAB-D-8S-400G-1M"/>
        <s v="CAB-O-8S-200G-3M"/>
        <s v="CAB-O-8S-200G-2M"/>
        <s v="CAB-O-8S-200G-1M"/>
        <s v="CAB-O-4Q-200G-3M"/>
        <s v="CAB-O-4Q-200G-2M"/>
        <s v="CAB-O-4Q-200G-1M"/>
        <s v="CAB-O-2Q-200G-3M"/>
        <s v="CAB-O-2Q-200G-2M"/>
        <s v="CAB-O-2Q-200G-1M"/>
        <s v="CAB-D-2Q-200-2.5"/>
        <s v="CAB-D-2Q-200G-2M"/>
        <s v="CAB-D-2Q-200G-1M"/>
        <s v="CAB-D-4Q-200G-1M"/>
        <s v="CAB-D-4Q-200G-2M"/>
        <s v="CAB-D-4Q-200-2.5"/>
        <s v="CAB-D-8S-200-2.5"/>
        <s v="CAB-D-8S-200G-2M"/>
        <s v="CAB-D-8S-200G-1M"/>
        <s v="CAB-LC-CS-0.2M"/>
        <s v="CAB-Q-Q-100G-0.5"/>
        <s v="CAB-Q-Q-100G-1M"/>
        <s v="CAB-Q-Q-100G-1.5"/>
        <s v="CAB-Q-Q-100G-2M"/>
        <s v="CAB-Q-Q-100G-2.5"/>
        <s v="CAB-Q-Q-100G-3M"/>
        <s v="CAB-Q-Q-100G-5M"/>
        <s v="CAB-Q-4S-100G-1M"/>
        <s v="CAB-Q-4S-100G-2M"/>
        <s v="CAB-Q-4S-100G-3M"/>
        <s v="CAB-Q-4S-100G-5M"/>
        <s v="CAB-Q-2Q-100G-1M"/>
        <s v="CAB-Q-2Q-100G-2M"/>
        <s v="CAB-Q-2Q-100G-3M"/>
        <s v="CAB-Q-2Q-100G-5M"/>
        <s v="CAB-Q-Q-0.5M"/>
        <s v="CAB-Q-Q-1M"/>
        <s v="CAB-Q-Q-2M"/>
        <s v="CAB-Q-Q-3M"/>
        <s v="CAB-Q-Q-5M"/>
        <s v="CAB-S-S-25G-0.5M"/>
        <s v="CAB-S-S-25G-1.5M"/>
        <s v="CAB-S-S-25G-1M"/>
        <s v="CAB-S-S-25G-2.5M"/>
        <s v="CAB-S-S-25G-2M"/>
        <s v="CAB-S-S-25G-3M"/>
        <s v="CAB-S-S-25G-5M"/>
        <s v="CAB-SFP-SFP-0.5M"/>
        <s v="CAB-SFP-SFP-1M"/>
        <s v="CAB-SFP-SFP-1.5M"/>
        <s v="CAB-SFP-SFP-2M"/>
        <s v="CAB-SFP-SFP-2.5M"/>
        <s v="CAB-SFP-SFP-3M"/>
        <s v="CAB-SFP-SFP-5M"/>
        <s v="CAB-Q-S-0.5M"/>
        <s v="CAB-Q-S-1M"/>
        <s v="CAB-Q-S-2M"/>
        <s v="CAB-Q-S-3M"/>
        <s v="CAB-Q-S-5M"/>
        <s v="AOC-D-D-400G-1M"/>
        <s v="AOC-D-D-400G-3M"/>
        <s v="AOC-D-D-400G-5M"/>
        <s v="AOC-D-D-400G-7M"/>
        <s v="AOC-D-D-400G-10M"/>
        <s v="AOC-D-D-400G-15M"/>
        <s v="AOC-D-D-400G-20M"/>
        <s v="AOC-D-D-400G-25M"/>
        <s v="AOC-D-D-400G-30M"/>
        <s v="AOC-O-O-400G-1M"/>
        <s v="AOC-O-O-400G-3M"/>
        <s v="AOC-O-O-400G-5M"/>
        <s v="AOC-O-O-400G-7M"/>
        <s v="AOC-O-O-400G-10M"/>
        <s v="AOC-O-O-400G-15M"/>
        <s v="AOC-O-O-400G-20M"/>
        <s v="AOC-O-O-400G-25M"/>
        <s v="AOC-O-O-400G-30M"/>
        <s v="AOC-Q-Q-100G-1M"/>
        <s v="AOC-Q-Q-100G-3M"/>
        <s v="AOC-Q-Q-100G-5M"/>
        <s v="AOC-Q-Q-100G-7M"/>
        <s v="AOC-Q-Q-100G-10M"/>
        <s v="AOC-Q-Q-100G-15M"/>
        <s v="AOC-Q-Q-100G-20M"/>
        <s v="AOC-Q-Q-100G-25M"/>
        <s v="AOC-Q-Q-100G-30M"/>
        <s v="AOC-Q-Q-40G-3M"/>
        <s v="AOC-Q-Q-40G-5M"/>
        <s v="AOC-Q-Q-40G-7M"/>
        <s v="AOC-Q-Q-40G-10M"/>
        <s v="AOC-Q-Q-40G-15M"/>
        <s v="AOC-Q-Q-40G-20M"/>
        <s v="AOC-Q-Q-40G-25M"/>
        <s v="AOC-Q-Q-40G-30M"/>
        <s v="AOC-Q-Q-40G-50M"/>
        <s v="AOC-Q-Q-40G-75M"/>
        <s v="AOC-Q-Q-40G-100M"/>
        <s v="AOC-S-S-25G-3M"/>
        <s v="AOC-S-S-25G-5M"/>
        <s v="AOC-S-S-25G-7M"/>
        <s v="AOC-S-S-25G-10M"/>
        <s v="AOC-S-S-25G-15M"/>
        <s v="AOC-S-S-25G-20M"/>
        <s v="AOC-S-S-25G-25M"/>
        <s v="AOC-S-S-25G-30M"/>
        <s v="AOC-S-S-10G-3M"/>
        <s v="AOC-S-S-10G-5M"/>
        <s v="AOC-S-S-10G-7M"/>
        <s v="AOC-S-S-10G-10M"/>
        <s v="AOC-S-S-10G-15M"/>
        <s v="AOC-S-S-10G-20M"/>
        <s v="AOC-S-S-10G-25M"/>
        <s v="AOC-S-S-10G-30M"/>
        <s v="C-S50-S50-1M"/>
        <s v="C-S50-S50-2M"/>
        <s v="C-S50-S50-3M"/>
        <s v="CCA-ETM-Q20"/>
        <s v="CCA-ETM-Q12"/>
        <s v="CCA-ETM-Q8W"/>
        <s v="CCA-ETM-Q8"/>
        <s v="CCA-ETM-Q4"/>
        <s v="KIT-ETM-NGQ8"/>
        <s v="KIT-ETM-MEQ6E"/>
        <s v="FAN-7802-H"/>
        <s v="FAN-7800-HS"/>
        <s v="KIT-7816L-RK-HD"/>
        <s v="KIT-7816L"/>
        <s v="KIT-7816"/>
        <s v="KIT-7812"/>
        <s v="KIT-7808-RK-HD"/>
        <s v="KIT-7808"/>
        <s v="KIT-7804"/>
        <s v="KIT-7800-RK"/>
        <s v="KIT-7800-RK#"/>
        <s v="KIT-7800-RK-L"/>
        <s v="KIT-INST-7800-RTK"/>
        <s v="KIT-INST-7800-RTK-ADPT-7812"/>
        <s v="KIT-INST-7800-RTK-ADPT-7816"/>
        <s v="KIT-INST-7800-RTK-ADPT-7816L"/>
        <s v="DCS-7504R3-BND-DC-FLX"/>
        <s v="DCS-7504R3-BND-FLX"/>
        <s v="DCS-7504R3-BND-DC-S2"/>
        <s v="DCS-7504R3-BND-S2"/>
        <s v="DCS-7504R3-BND-DC-D"/>
        <s v="DCS-7504R3-BND-DC"/>
        <s v="DCS-7504R3-BND-D"/>
        <s v="DCS-7504R3-BND"/>
        <s v="DCS-7508R3-BND-DC-FLX"/>
        <s v="DCS-7508R3-BND-FLX"/>
        <s v="DCS-7508R3-BND-DC-S2"/>
        <s v="DCS-7508R3-BND-S2"/>
        <s v="DCS-7508R3-BND-DC-D"/>
        <s v="DCS-7508R3-BND-DC"/>
        <s v="DCS-7508R3-BND-D"/>
        <s v="DCS-7508R3-BND"/>
        <s v="DCS-7512R3-BND-DC-FLX"/>
        <s v="DCS-7512R3-BND-FLX"/>
        <s v="DCS-7512R3-BND-DC-S2"/>
        <s v="DCS-7512R3-BND-DC-D"/>
        <s v="DCS-7512R3-BND-DC"/>
        <s v="DCS-7512R3-BND-S2"/>
        <s v="DCS-7512R3-BND-D"/>
        <s v="DCS-7512R3-BND"/>
        <s v="DCS-7504R3-FM"/>
        <s v="DCS-7508R3-FM"/>
        <s v="DCS-7512R3-FM"/>
        <s v="DCS-7500R3-24P-LC"/>
        <s v="DCS-7500R3-24P-LC#"/>
        <s v="DCS-7500R3-24D-LC"/>
        <s v="DCS-7500R3-24D-LC#"/>
        <s v="DCS-7500R3K-36CQ-LC"/>
        <s v="DCS-7500R3K-36CQ-LC#"/>
        <s v="DCS-7500R3-36CQ-LC"/>
        <s v="DCS-7500R3-36CQ-LC#"/>
        <s v="DCS-7500R3K-48Y4D-LC"/>
        <s v="DCS-7500R3K-48Y4D-LC#"/>
        <s v="DCS-7500-SUP2"/>
        <s v="DCS-7500-SUP2#"/>
        <s v="DCS-7500-SUP2-D"/>
        <s v="DCS-7500-SUP2-D#"/>
        <s v="DCS-7504N-CH"/>
        <s v="DCS-7508N-CH"/>
        <s v="DCS-7512N-CH"/>
        <s v="DCS-7500-LCVR"/>
        <s v="DCS-7500-SCVR"/>
        <s v="DCS-7388X5-64D-F"/>
        <s v="DCS-7388X5-64DR-F"/>
        <s v="DCS-7388X5-128-BND-F"/>
        <s v="DCS-7388X5-80C-24DR-F"/>
        <s v="DCS-7388X5-32C-48DR-F"/>
        <s v="DCS-7388X5-BND-F"/>
        <s v="DCS-7388-CH"/>
        <s v="DCS-7368X-128-BND-D-F"/>
        <s v="DCS-7368X-128-BND-F"/>
        <s v="DCS-7368X-BND-D-F"/>
        <s v="DCS-7368X-BND-F"/>
        <s v="DCS-7368X4-SC-F"/>
        <s v="DCS-7368-CH"/>
        <s v="DCS-7368X-128-BND-D-R"/>
        <s v="DCS-7368X-128-BND-R"/>
        <s v="DCS-7368X-BND-D-R"/>
        <s v="DCS-7368X-BND-R"/>
        <s v="DCS-7368X4-SC-R"/>
        <s v="DCS-7358X-128-BND-D-F"/>
        <s v="DCS-7358X-128-BND-F"/>
        <s v="DCS-7358X-BND-D-F"/>
        <s v="DCS-7358X-BND-F"/>
        <s v="DCS-7358X4-SC-F"/>
        <s v="DCS-7358X4-SC-F#"/>
        <s v="DCS-7358X-128-BND-D-R"/>
        <s v="DCS-7358X-128-BND-R"/>
        <s v="DCS-7358X-BND-D-R"/>
        <s v="DCS-7358X-BND-R"/>
        <s v="DCS-7358X4-SC-R"/>
        <s v="DCS-7358X4-SC-R#"/>
        <s v="DCS-7304X3-BND2-DC-D-F"/>
        <s v="DCS-7304X3-BND2-D-F"/>
        <s v="DCS-7308X3-BND2-DC-D-F"/>
        <s v="DCS-7308X3-BND2-D-F"/>
        <s v="DCS-7388-SUP"/>
        <s v="DCS-7388X5-SC"/>
        <s v="DCS-7388X5-SC#"/>
        <s v="DCS-7388X5-SC-SPARE"/>
        <s v="DCS-7388-8D"/>
        <s v="DCS-7388-8D#"/>
        <s v="DCS-7388-8DR"/>
        <s v="DCS-7388-8DR#"/>
        <s v="DCS-7388-16CD2"/>
        <s v="DCS-7388-16CD2#"/>
        <s v="DCS-7358-16C"/>
        <s v="DCS-7358-16C#"/>
        <s v="DCS-7368-16C"/>
        <s v="DCS-7368-16C#"/>
        <s v="DCS-7368-16S"/>
        <s v="DCS-7368-16S#"/>
        <s v="DCS-7368-4D"/>
        <s v="DCS-7368-4D#"/>
        <s v="DCS-7368-4P"/>
        <s v="DCS-7368-4P#"/>
        <s v="DCS-7300X3-32C-LC"/>
        <s v="DCS-7300X3-32C-LC#"/>
        <s v="DCS-7300X3-48TC4-LC"/>
        <s v="DCS-7300X3-48TC4-LC#"/>
        <s v="DCS-7300X3-48YC4-LC"/>
        <s v="DCS-7300X3-48YC4-LC#"/>
        <s v="DCS-7368-SUP"/>
        <s v="DCS-7368-SUP-D"/>
        <s v="DCS-7300-SUP2-D"/>
        <s v="DCS-7308-CH"/>
        <s v="DCS-7304-CH"/>
        <s v="DCS-7308X3-FM-F"/>
        <s v="DCS-7308X3-FM-F#"/>
        <s v="DCS-7304X3-FM-F"/>
        <s v="DCS-7304X3-FM-F#"/>
        <s v="DCS-7300-LCVR"/>
        <s v="DCS-7300-SCVR"/>
        <s v="DCS-7300-PCVR"/>
        <s v="DCS-7368-PCVR"/>
        <s v="DCS-7368-LCVR"/>
        <s v="DCS-7388-LCVR"/>
        <s v="DCS-DS-7720R4-128PE"/>
        <s v="DCS-DL-7700R4C-38PE-B-F"/>
        <s v="DCS-DL-7700R4C-38PE-B-DC-F"/>
        <s v="DCS-DL-7700R4C-38PE-B#"/>
        <s v="DCS-DL-7700R4K-38PE-B#"/>
        <s v="DCS-DL-7700R4K-38PE-B-F"/>
        <s v="DCS-7280R4-32DE-FLX-F"/>
        <s v="DCS-7280R4-32PE-FLX-F"/>
        <s v="DCS-7280R4-32DE-DC-F"/>
        <s v="DCS-7280R4-32DE-F"/>
        <s v="DCS-7280R4-32PE-DC-F"/>
        <s v="DCS-7280R4-32PE-F"/>
        <s v="DCS-7280R4-32DE#"/>
        <s v="DCS-7280R4-32PE#"/>
        <s v="DCS-7280R4K-32DE-FLX-F"/>
        <s v="DCS-7280R4K-32PE-FLX-F"/>
        <s v="DCS-7280R4K-32DE-DC-F"/>
        <s v="DCS-7280R4K-32DE-F"/>
        <s v="DCS-7280R4K-32PE-DC-F"/>
        <s v="DCS-7280R4K-32PE-F"/>
        <s v="DCS-7280R4K-32DE#"/>
        <s v="DCS-7280R4K-32PE#"/>
        <s v="DCS-7280R4-64QC-10PE-FLX-F"/>
        <s v="DCS-7280R4-64QC-10PE-FLX-R"/>
        <s v="DCS-7280R4-64QC-10PE-DC-F"/>
        <s v="DCS-7280R4-64QC-10PE-DC-R"/>
        <s v="DCS-7280R4-64QC-10PE-F"/>
        <s v="DCS-7280R4-64QC-10PE-R"/>
        <s v="DCS-7280R4-64QC-10PE#"/>
        <s v="DCS-7280R4K-64QC-10PE-FLX-F"/>
        <s v="DCS-7280R4K-64QC-10PE-FLX-R"/>
        <s v="DCS-7280R4K-64QC-10PE-DC-F"/>
        <s v="DCS-7280R4K-64QC-10PE-DC-R"/>
        <s v="DCS-7280R4K-64QC-10PE-F"/>
        <s v="DCS-7280R4K-64QC-10PE-R"/>
        <s v="DCS-7280R4K-64QC-10PE#"/>
        <s v="DCS-7289R3A-BND-D-DC-F"/>
        <s v="DCS-7289R3A-BND-D-F"/>
        <s v="DCS-7289R3A-BNDS-D-DC-F"/>
        <s v="DCS-7289R3A-BNDS-D-F"/>
        <s v="DCS-7289R3AM-BND-D-DC-F"/>
        <s v="DCS-7289R3AM-BND-D-F"/>
        <s v="DCS-7289R3AM-BNDS-D-DC-F"/>
        <s v="DCS-7289R3AM-BNDS-D-F"/>
        <s v="DCS-7289R3AK-BND-D-DC-F"/>
        <s v="DCS-7289R3AK-BNDS-D-F"/>
        <s v="DCS-7289R3AK-BNDS-D-DC-F"/>
        <s v="DCS-7289R3AK-BND-D-F"/>
        <s v="DCS-7289R3AK-SC"/>
        <s v="DCS-7289R3AM-SC"/>
        <s v="DCS-7289R3A-SC"/>
        <s v="DCS-7289-SUPS-D"/>
        <s v="DCS-7289-SUPS-D#"/>
        <s v="DCS-7289-SUP-D"/>
        <s v="DCS-7289-SUP-D#"/>
        <s v="DCS-7289-CH"/>
        <s v="DCS-7280CR3K-96-FLX-F"/>
        <s v="DCS-7280CR3K-96-FLX#"/>
        <s v="DCS-7280CR3K-96-F"/>
        <s v="DCS-7280CR3K-96#"/>
        <s v="DCS-7280CR3-96-FLX-F"/>
        <s v="DCS-7280CR3-96-FLX#"/>
        <s v="DCS-7280CR3-96-F"/>
        <s v="DCS-7280CR3-96#"/>
        <s v="DCS-7280CR3A-72-FLX-F"/>
        <s v="DCS-7280CR3A-72-FLX-R"/>
        <s v="DCS-7280CR3A-72-F"/>
        <s v="DCS-7280CR3A-72-R"/>
        <s v="DCS-7280CR3A-72#"/>
        <s v="DCS-7280CR3AM-72-FLX-F"/>
        <s v="DCS-7280CR3AM-72-FLX-R"/>
        <s v="DCS-7280CR3AM-72-F"/>
        <s v="DCS-7280CR3AM-72-R"/>
        <s v="DCS-7280CR3AM-72#"/>
        <s v="DCS-7280CR3AK-72-FLX-F"/>
        <s v="DCS-7280CR3AK-72-FLX-R"/>
        <s v="DCS-7280CR3AK-72-F"/>
        <s v="DCS-7280CR3AK-72-R"/>
        <s v="DCS-7280CR3AK-72#"/>
        <s v="DCS-7280CR3A-48D6-FLX-F"/>
        <s v="DCS-7280CR3A-48D6-FLX-R"/>
        <s v="DCS-7280CR3A-48D6-F"/>
        <s v="DCS-7280CR3A-48D6-R"/>
        <s v="DCS-7280CR3A-48D6#"/>
        <s v="DCS-7280CR3AM-48D6-FLX-F"/>
        <s v="DCS-7280CR3AM-48D6-FLX-R"/>
        <s v="DCS-7280CR3AM-48D6-F"/>
        <s v="DCS-7280CR3AM-48D6-R"/>
        <s v="DCS-7280CR3AM-48D6#"/>
        <s v="DCS-7280CR3AK-48D6-FLX-F"/>
        <s v="DCS-7280CR3AK-48D6-FLX-R"/>
        <s v="DCS-7280CR3AK-48D6-F"/>
        <s v="DCS-7280CR3AK-48D6-R"/>
        <s v="DCS-7280CR3AK-48D6#"/>
        <s v="DCS-7280CR3-36S-FLX-F"/>
        <s v="DCS-7280CR3-36S-FLX-R"/>
        <s v="DCS-7280CR3-36S-FLX#"/>
        <s v="DCS-7280CR3-36S-F"/>
        <s v="DCS-7280CR3-36S-R"/>
        <s v="DCS-7280CR3-36S#"/>
        <s v="DCS-7280CR3K-36S-FLX-F"/>
        <s v="DCS-7280CR3K-36S-FLX#"/>
        <s v="DCS-7280CR3K-36S-F"/>
        <s v="DCS-7280CR3K-36S#"/>
        <s v="DCS-7280CR3K-36A-FLX-F"/>
        <s v="DCS-7280CR3K-36A-FLX-R"/>
        <s v="DCS-7280CR3K-36A-FLX#"/>
        <s v="DCS-7280CR3K-36A-R"/>
        <s v="DCS-7280CR3K-36A-F"/>
        <s v="DCS-7280CR3K-36A#"/>
        <s v="DCS-7280CR3A-32S-FLX#"/>
        <s v="DCS-7280CR3A-32S-FLX-F"/>
        <s v="DCS-7280CR3A-32S-FLX-R"/>
        <s v="DCS-7280CR3A-32S-F"/>
        <s v="DCS-7280CR3A-32S-R"/>
        <s v="DCS-7280CR3A-32S#"/>
        <s v="DCS-7280CR3AK-32S-FLX#"/>
        <s v="DCS-7280CR3AK-32S-FLX-F"/>
        <s v="DCS-7280CR3AK-32S-FLX-R"/>
        <s v="DCS-7280CR3AK-32S-R"/>
        <s v="DCS-7280CR3AK-32S-F"/>
        <s v="DCS-7280CR3AK-32S#"/>
        <s v="DCS-7280CR3AM-32S-FLX#"/>
        <s v="DCS-7280CR3AM-32S-FLX-F"/>
        <s v="DCS-7280CR3AM-32S-FLX-R"/>
        <s v="DCS-7280CR3AM-32S-F"/>
        <s v="DCS-7280CR3AM-32S-R"/>
        <s v="DCS-7280CR3AM-32S#"/>
        <s v="DCS-7280CR3K-32D4A-FLX-F"/>
        <s v="DCS-7280CR3K-32D4A-FLX-R"/>
        <s v="DCS-7280CR3K-32D4A-FLX#"/>
        <s v="DCS-7280CR3K-32D4A-F"/>
        <s v="DCS-7280CR3K-32D4A-R"/>
        <s v="DCS-7280CR3K-32D4A#"/>
        <s v="DCS-7280CR3MK-32D4A-S-FLX-F"/>
        <s v="DCS-7280CR3MK-32D4A-S-FLX-R"/>
        <s v="DCS-7280CR3MK-32D4A-S-FLX#"/>
        <s v="DCS-7280CR3MK-32D4A-S-F"/>
        <s v="DCS-7280CR3MK-32D4A-S-R"/>
        <s v="DCS-7280CR3MK-32D4A-S#"/>
        <s v="DCS-7280CR3MK-32D4S-FLX-F"/>
        <s v="DCS-7280CR3MK-32D4S-FLX-R"/>
        <s v="DCS-7280CR3MK-32D4S-FLX#"/>
        <s v="DCS-7280CR3MK-32D4S-F"/>
        <s v="DCS-7280CR3MK-32D4S-R"/>
        <s v="DCS-7280CR3MK-32D4S#"/>
        <s v="DCS-7280CR3K-32P4A-FLX-F"/>
        <s v="DCS-7280CR3K-32P4A-FLX-R"/>
        <s v="DCS-7280CR3K-32P4A-FLX#"/>
        <s v="DCS-7280CR3K-32P4A-F"/>
        <s v="DCS-7280CR3K-32P4A-R"/>
        <s v="DCS-7280CR3K-32P4A#"/>
        <s v="DCS-7280CR3MK-32P4S-FLX-F"/>
        <s v="DCS-7280CR3MK-32P4S-FLX-R"/>
        <s v="DCS-7280CR3MK-32P4S-FLX#"/>
        <s v="DCS-7280CR3MK-32P4S-F"/>
        <s v="DCS-7280CR3MK-32P4S-R"/>
        <s v="DCS-7280CR3MK-32P4S#"/>
        <s v="DCS-7280CR3A-24D12-FLX-F"/>
        <s v="DCS-7280CR3A-24D12-F"/>
        <s v="DCS-7280CR3A-24D12-R"/>
        <s v="DCS-7280CR3A-24D12#"/>
        <s v="DCS-7280CR3AM-24D12-FLX-F"/>
        <s v="DCS-7280CR3AM-24D12-F"/>
        <s v="DCS-7280CR3AM-24D12-R"/>
        <s v="DCS-7280CR3AM-24D12#"/>
        <s v="DCS-7280CR3AK-24D12-S-F"/>
        <s v="DCS-7280CR3AK-24D12-S-R"/>
        <s v="DCS-7280CR3AK-24D12-S#"/>
        <s v="DCS-7280CR3AK-24D12-FLX-F"/>
        <s v="DCS-7280CR3AK-24D12-F"/>
        <s v="DCS-7280CR3AK-24D12-R"/>
        <s v="DCS-7280CR3AK-24D12#"/>
        <s v="DCS-7280DR3A-54-FLX-F"/>
        <s v="DCS-7280DR3A-54-DC-F"/>
        <s v="DCS-7280DR3A-54-F"/>
        <s v="DCS-7280DR3A-54#"/>
        <s v="DCS-7280DR3AM-54-FLX-F"/>
        <s v="DCS-7280DR3AM-54-DC-F"/>
        <s v="DCS-7280DR3AM-54-F"/>
        <s v="DCS-7280DR3AM-54#"/>
        <s v="DCS-7280DR3AK-54-FLX-F"/>
        <s v="DCS-7280DR3AK-54-DC-F"/>
        <s v="DCS-7280DR3AK-54-F"/>
        <s v="DCS-7280DR3AK-54#"/>
        <s v="DCS-7280DR3A-36-FLX-F"/>
        <s v="DCS-7280DR3A-36-DC-F"/>
        <s v="DCS-7280DR3A-36-F"/>
        <s v="DCS-7280DR3A-36#"/>
        <s v="DCS-7280DR3AM-36-FLX-F"/>
        <s v="DCS-7280DR3AM-36-DC-F"/>
        <s v="DCS-7280DR3AM-36-F"/>
        <s v="DCS-7280DR3AM-36#"/>
        <s v="DCS-7280DR3AK-36S-F"/>
        <s v="DCS-7280DR3AK-36S#"/>
        <s v="DCS-7280DR3AK-36-FLX-F"/>
        <s v="DCS-7280DR3AK-36-DC-F"/>
        <s v="DCS-7280DR3AK-36-F"/>
        <s v="DCS-7280DR3AK-36#"/>
        <s v="DCS-7280DR3K-24-FLX-F"/>
        <s v="DCS-7280DR3K-24-FLX#"/>
        <s v="DCS-7280DR3K-24-F"/>
        <s v="DCS-7280DR3K-24#"/>
        <s v="DCS-7280DR3-24-M-FLX-F"/>
        <s v="DCS-7280DR3-24-M-FLX#"/>
        <s v="DCS-7280DR3-24-M#"/>
        <s v="DCS-7280DR3-24-F"/>
        <s v="DCS-7280DR3-24#"/>
        <s v="DCS-7280PR3K-24-FLX-F"/>
        <s v="DCS-7280PR3K-24-FLX#"/>
        <s v="DCS-7280PR3K-24-F"/>
        <s v="DCS-7280PR3K-24#"/>
        <s v="DCS-7280PR3-24-M-FLX-F"/>
        <s v="DCS-7280PR3-24-M-FLX#"/>
        <s v="DCS-7280PR3-24-M#"/>
        <s v="DCS-7280PR3-24-F"/>
        <s v="DCS-7280PR3-24#"/>
        <s v="DCS-7280CR3K-32P4-FLX-F"/>
        <s v="DCS-7280CR3K-32P4-FLX-R"/>
        <s v="DCS-7280CR3K-32P4-FLX#"/>
        <s v="DCS-7280CR3K-32P4-F"/>
        <s v="DCS-7280CR3K-32P4-R"/>
        <s v="DCS-7280CR3K-32P4#"/>
        <s v="DCS-7280CR3-32P4-M-FLX-F"/>
        <s v="DCS-7280CR3-32P4-M-FLX-R"/>
        <s v="DCS-7280CR3-32P4-M-FLX#"/>
        <s v="DCS-7280CR3-32P4-M#"/>
        <s v="DCS-7280CR3-32P4-F"/>
        <s v="DCS-7280CR3-32P4-R"/>
        <s v="DCS-7280CR3-32P4#"/>
        <s v="DCS-7280CR3K-32D4-FLX-F"/>
        <s v="DCS-7280CR3K-32D4-FLX-R"/>
        <s v="DCS-7280CR3K-32D4-FLX#"/>
        <s v="DCS-7280CR3K-32D4-F"/>
        <s v="DCS-7280CR3K-32D4-R"/>
        <s v="DCS-7280CR3K-32D4#"/>
        <s v="DCS-7280CR3-32D4-M-FLX-F"/>
        <s v="DCS-7280CR3-32D4-M-FLX#"/>
        <s v="DCS-7280CR3-32D4-M#"/>
        <s v="DCS-7280CR3-32D4-F"/>
        <s v="DCS-7280CR3-32D4-R"/>
        <s v="DCS-7280CR3-32D4#"/>
        <s v="DCS-7280SR3A-48YC8-FLX-F"/>
        <s v="DCS-7280SR3A-48YC8-FLX-R"/>
        <s v="DCS-7280SR3A-48YC8-FLX#"/>
        <s v="DCS-7280SR3A-48YC8-R"/>
        <s v="DCS-7280SR3A-48YC8-F"/>
        <s v="DCS-7280SR3A-48YC8#"/>
        <s v="DCS-7280SR3AK-48YC8-FLX-F"/>
        <s v="DCS-7280SR3AK-48YC8-FLX-R"/>
        <s v="DCS-7280SR3AK-48YC8-FLX#"/>
        <s v="DCS-7280SR3AK-48YC8-F"/>
        <s v="DCS-7280SR3AK-48YC8-R"/>
        <s v="DCS-7280SR3AK-48YC8#"/>
        <s v="DCS-7280SR3AM-48YC8-FLX-F"/>
        <s v="DCS-7280SR3AM-48YC8-FLX-R"/>
        <s v="DCS-7280SR3AM-48YC8-FLX#"/>
        <s v="DCS-7280SR3AM-48YC8-F"/>
        <s v="DCS-7280SR3AM-48YC8-R"/>
        <s v="DCS-7280SR3AM-48YC8#"/>
        <s v="DCS-7280SR3E-40YC6-M-F"/>
        <s v="DCS-7280SR3E-40YC6-M-R"/>
        <s v="DCS-7280SR3E-40YC6-M#"/>
        <s v="DCS-7280SR3-40YC6-FLX-F"/>
        <s v="DCS-7280SR3-40YC6-FLX-R"/>
        <s v="DCS-7280SR3-40YC6-FLX#"/>
        <s v="DCS-7280SR3-40YC6-F"/>
        <s v="DCS-7280SR3-40YC6-R"/>
        <s v="DCS-7280SR3-40YC6#"/>
        <s v="DCS-7280SR3-48YC8-FLX-F"/>
        <s v="DCS-7280SR3-48YC8-FLX-R"/>
        <s v="DCS-7280SR3-48YC8-FLX#"/>
        <s v="DCS-7280SR3-48YC8-F"/>
        <s v="DCS-7280SR3-48YC8-R"/>
        <s v="DCS-7280SR3-48YC8#"/>
        <s v="DCS-7280SR3K-48YC8-FLX-F"/>
        <s v="DCS-7280SR3K-48YC8-FLX-R"/>
        <s v="DCS-7280SR3K-48YC8-FLX#"/>
        <s v="DCS-7280SR3K-48YC8-DC-F"/>
        <s v="DCS-7280SR3K-48YC8-F"/>
        <s v="DCS-7280SR3K-48YC8-R"/>
        <s v="DCS-7280SR3K-48YC8#"/>
        <s v="DCS-7280SR3K-48YC8A-FLX-F"/>
        <s v="DCS-7280SR3K-48YC8A-FLX-R"/>
        <s v="DCS-7280SR3K-48YC8A-FLX-#"/>
        <s v="DCS-7280SR3K-48YC8A-DC-F"/>
        <s v="DCS-7280SR3K-48YC8A-F"/>
        <s v="DCS-7280SR3K-48YC8A-R"/>
        <s v="DCS-7280SR3K-48YC8A#"/>
        <s v="DCS-7280SR3M-48YC8-FLX-F"/>
        <s v="DCS-7280SR3M-48YC8-FLX-R"/>
        <s v="DCS-7280SR3M-48YC8-FLX#"/>
        <s v="DCS-7280SR3M-48YC8-F"/>
        <s v="DCS-7280SR3M-48YC8-R"/>
        <s v="DCS-7280SR3M-48YC8#"/>
        <s v="DCS-7280SR3MK-48YC8A-S-FLX-F"/>
        <s v="DCS-7280SR3MK-48YC8A-S-FLX-R"/>
        <s v="DCS-7280SR3MK-48YC8A-S-FLX#"/>
        <s v="DCS-7280SR3MK-48YC8A-S-F"/>
        <s v="DCS-7280SR3MK-48YC8A-S-R"/>
        <s v="DCS-7280SR3MK-48YC8A-S-DC-F"/>
        <s v="DCS-7280SR3MK-48YC8A-S#"/>
        <s v="DCS-7280TR3-40C6-FLX-F"/>
        <s v="DCS-7280TR3-40C6-FLX-R"/>
        <s v="DCS-7280TR3-40C6-FLX#"/>
        <s v="DCS-7280TR3-40C6-F"/>
        <s v="DCS-7280TR3-40C6-R"/>
        <s v="DCS-7280TR3-40C6#"/>
        <s v="DCS-7260CX3-64-F"/>
        <s v="DCS-7260CX3-64-R"/>
        <s v="DCS-7260CX3-64#"/>
        <s v="DCS-7260CX3-64E-DC-F"/>
        <s v="DCS-7260CX3-64E-DC-R"/>
        <s v="DCS-7260CX3-64E-F"/>
        <s v="DCS-7260CX3-64E-R"/>
        <s v="DCS-7260CX3-64E#"/>
        <s v="DCS-7135LB-48Y4C-F"/>
        <s v="DCS-7135LB-48Y4C-R"/>
        <s v="DCS-7135LB-48Y4C#"/>
        <s v="DCS-7132LB-48Y4C-F"/>
        <s v="DCS-7132LB-48Y4C-R"/>
        <s v="DCS-7132LB-48Y4C#"/>
        <s v="DCS-7130LBR-48S6YD-F"/>
        <s v="DCS-7130LBR-48S6YD-R"/>
        <s v="DCS-7130LBR-48S6YD#"/>
        <s v="DCS-7130LBR-48S6QD-F"/>
        <s v="DCS-7130LBR-48S6QD-R"/>
        <s v="DCS-7130LBR-48S6QD#"/>
        <s v="DCS-7130-48G3S-F"/>
        <s v="DCS-7130-48G3S-R"/>
        <s v="DCS-7130-48G3S#"/>
        <s v="DCS-7130-48EHS-F"/>
        <s v="DCS-7130-48EHS-R"/>
        <s v="DCS-7130-48EHS#"/>
        <s v="DCS-7130-48LBS-F"/>
        <s v="DCS-7130-48LBS-R"/>
        <s v="DCS-7130-48LBS#"/>
        <s v="DCS-7130-48LBAS-F"/>
        <s v="DCS-7130-48LBAS-R"/>
        <s v="DCS-7130-48LBAS#"/>
        <s v="DCS-7130-96S#"/>
        <s v="DCS-7130-96S-F"/>
        <s v="DCS-7130-96S-R"/>
        <s v="DCS-7130-96LBS#"/>
        <s v="DCS-7130-96LBS-F"/>
        <s v="DCS-7130-96LBS-R"/>
        <s v="DCS-7060X6-64PE-RV3"/>
        <s v="DCS-7060X6-64PE-B-F"/>
        <s v="DCS-7060X6-64PE-B-N-F"/>
        <s v="DCS-7060X6-64PE-B#"/>
        <s v="DCS-7060X6-32PE-F"/>
        <s v="DCS-7060X6-32PE#"/>
        <s v="DCS-7060X6-64PE-F"/>
        <s v="DCS-7060X6-64PE#"/>
        <s v="DCS-7060DX5-64-F"/>
        <s v="DCS-7060DX5-64#"/>
        <s v="DCS-7060DX5-64E-F"/>
        <s v="DCS-7060DX5-64E#"/>
        <s v="DCS-7060DX5-64S-RV3"/>
        <s v="DCS-7060DX5-64S-F"/>
        <s v="DCS-7060DX5-64S-R"/>
        <s v="DCS-7060DX5-64S#"/>
        <s v="DCS-7060DX5-32-F"/>
        <s v="DCS-7060DX5-32-R"/>
        <s v="DCS-7060DX5-32#"/>
        <s v="DCS-7060DX4-32C-RV3-F"/>
        <s v="DCS-7060DX4-32-DC-F"/>
        <s v="DCS-7060DX4-32C-RV3-1F"/>
        <s v="DCS-7060DX4-32-F"/>
        <s v="DCS-7060DX4-32#"/>
        <s v="DCS-7060PX5-64E-F"/>
        <s v="DCS-7060PX5-64E#"/>
        <s v="DCS-7060PX4-32-F"/>
        <s v="DCS-7060PX4-32#"/>
        <s v="DCS-7060CX5-56D8-F"/>
        <s v="DCS-7060CX5-56D8-R"/>
        <s v="DCS-7060CX5-56D8#"/>
        <s v="DCS-7060CX2-32S-F"/>
        <s v="DCS-7060CX2-32S-R"/>
        <s v="DCS-7060CX2-32S#"/>
        <s v="DCS-7060CX-32S-F"/>
        <s v="DCS-7060CX-32S-R"/>
        <s v="DCS-7060CX-32S#"/>
        <s v="DCS-7060SX2-48YC6-F"/>
        <s v="DCS-7060SX2-48YC6-R"/>
        <s v="DCS-7060SX2-48YC6#"/>
        <s v="DCS-7001-SUP-L"/>
        <s v="DCS-7001-SUP-A"/>
        <s v="DCS-7001-SUP-A-N"/>
        <s v="DCS-7050DX4M-32S-F"/>
        <s v="DCS-7050DX4M-32S#"/>
        <s v="DCS-7050DX4-32S-F"/>
        <s v="DCS-7050DX4-32S-R"/>
        <s v="DCS-7050DX4-32S#"/>
        <s v="DCS-7050PX4-32S-F"/>
        <s v="DCS-7050PX4-32S-R"/>
        <s v="DCS-7050PX4-32S#"/>
        <s v="DCS-7050CX4-24D8-F"/>
        <s v="DCS-7050CX4-24D8-R"/>
        <s v="DCS-7050CX4-24D8#"/>
        <s v="DCS-7050CX4M-48D8-F"/>
        <s v="DCS-7050CX4M-48D8-R"/>
        <s v="DCS-7050CX4M-48D8#"/>
        <s v="DCS-7050SPX4-48D8-F"/>
        <s v="DCS-7050SPX4-48D8-R"/>
        <s v="DCS-7050SPX4-48D8#"/>
        <s v="DCS-7050SDX4-48D8-F"/>
        <s v="DCS-7050SDX4-48D8-R"/>
        <s v="DCS-7050SDX4-48D8#"/>
        <s v="DCS-7050X4-48Y-4DF-F"/>
        <s v="DCS-7050X4-48Y-4DF-R"/>
        <s v="DCS-7050X4-48Y-4DF#"/>
        <s v="DCS-7050CX3-32C-DC-F"/>
        <s v="DCS-7050CX3-32C-DC-R"/>
        <s v="DCS-7050CX3-32C-F"/>
        <s v="DCS-7050CX3-32C-R"/>
        <s v="DCS-7050CX3-32C#"/>
        <s v="DCS-7050CX3M-32S-F"/>
        <s v="DCS-7050CX3M-32S-R"/>
        <s v="DCS-7050CX3M-32S#"/>
        <s v="DCS-7050CX3-32S-D-F"/>
        <s v="DCS-7050CX3-32S-D-R"/>
        <s v="DCS-7050CX3-32S-D#"/>
        <s v="DCS-7050CX3-32S-F"/>
        <s v="DCS-7050CX3-32S-R"/>
        <s v="DCS-7050CX3-32S#"/>
        <s v="DCS-7050SX3-24YC4C-S-F"/>
        <s v="DCS-7050SX3-24YC4C-S-R"/>
        <s v="DCS-7050SX3-24YC4C-S#"/>
        <s v="DCS-7050SX3-96YC8-F"/>
        <s v="DCS-7050SX3-96YC8-R"/>
        <s v="DCS-7050SX3-96YC8#"/>
        <s v="DCS-7050SX3-48YC12-F"/>
        <s v="DCS-7050SX3-48YC12#"/>
        <s v="DCS-7050SX3-48YC8C-DC-F"/>
        <s v="DCS-7050SX3-48YC8C-DC-R"/>
        <s v="DCS-7050SX3-48YC8C-F"/>
        <s v="DCS-7050SX3-48YC8C-R"/>
        <s v="DCS-7050SX3-48YC8C#"/>
        <s v="DCS-7050SX3-48YC8-DC-F"/>
        <s v="DCS-7050SX3-48YC8-DC-R"/>
        <s v="DCS-7050SX3-48YC8-F"/>
        <s v="DCS-7050SX3-48YC8-R"/>
        <s v="DCS-7050SX3-48YC8#"/>
        <s v="DCS-7050SX3-48C8C-DC-F"/>
        <s v="DCS-7050SX3-48C8C-DC-R"/>
        <s v="DCS-7050SX3-48C8C-F"/>
        <s v="DCS-7050SX3-48C8C-R"/>
        <s v="DCS-7050SX3-48C8C#"/>
        <s v="DCS-7050SX3-48C8-F"/>
        <s v="DCS-7050SX3-48C8-R"/>
        <s v="DCS-7050SX3-48C8-DC-F"/>
        <s v="DCS-7050SX3-48C8-DC-R"/>
        <s v="DCS-7050SX3-48C8#"/>
        <s v="DCS-7050TX3-48C8-F"/>
        <s v="DCS-7050TX3-48C8-R"/>
        <s v="DCS-7050TX3-48C8#"/>
        <s v="DCS-7020R4-48Y-8QC-FLX-F"/>
        <s v="DCS-7020R4-48Y-8QC-FLX-R"/>
        <s v="DCS-7020R4-48Y-8QC-FLX#"/>
        <s v="DCS-7020R4-48Y-8QC-DC-F"/>
        <s v="DCS-7020R4-48Y-8QC-DC-R"/>
        <s v="DCS-7020R4-48Y-8QC-F"/>
        <s v="DCS-7020R4-48Y-8QC-R"/>
        <s v="DCS-7020R4-48Y-8QC#"/>
        <s v="DCS-7020R4M-48Y-8QC-FLX-F"/>
        <s v="DCS-7020R4M-48Y-8QC-FLX-R"/>
        <s v="DCS-7020R4M-48Y-8QC-FLX#"/>
        <s v="DCS-7020R4M-48Y-8QC-DC-F"/>
        <s v="DCS-7020R4M-48Y-8QC-DC-R"/>
        <s v="DCS-7020R4M-48Y-8QC-F"/>
        <s v="DCS-7020R4M-48Y-8QC-R"/>
        <s v="DCS-7020R4M-48Y-8QC#"/>
        <s v="DCS-7020R4-48Y-4QC-FLX-F"/>
        <s v="DCS-7020R4-48Y-4QC-FLX-R"/>
        <s v="DCS-7020R4-48Y-4QC-FLX#"/>
        <s v="DCS-7020R4-48Y-4QC-DC-F"/>
        <s v="DCS-7020R4-48Y-4QC-DC-R"/>
        <s v="DCS-7020R4-48Y-4QC-F"/>
        <s v="DCS-7020R4-48Y-4QC-R"/>
        <s v="DCS-7020R4-48Y-4QC#"/>
        <s v="DCS-7020R4M-48Y-4QC-FLX-F"/>
        <s v="DCS-7020R4M-48Y-4QC-FLX-R"/>
        <s v="DCS-7020R4M-48Y-4QC-FLX#"/>
        <s v="DCS-7020R4M-48Y-4QC-DC-F"/>
        <s v="DCS-7020R4M-48Y-4QC-DC-R"/>
        <s v="DCS-7020R4M-48Y-4QC-F"/>
        <s v="DCS-7020R4M-48Y-4QC-R"/>
        <s v="DCS-7020R4M-48Y-4QC#"/>
        <s v="DCS-7020R4-48TX-4QC-F"/>
        <s v="DCS-7020R4-48TX-4QC-R"/>
        <s v="DCS-7020R4-48TX-4QC#"/>
        <s v="DCS-7020R4M-48TX-4QC-F"/>
        <s v="DCS-7020R4M-48TX-4QC-R"/>
        <s v="DCS-7020R4M-48TX-4QC#"/>
        <s v="DCS-7010TX-48C-DC-RV3A-F"/>
        <s v="DCS-7010TX-48C-DC-RV3-F"/>
        <s v="DCS-7010TX-48C-DC-F"/>
        <s v="DCS-7010TX-48C-DC-R"/>
        <s v="DCS-7010TX-48C-F"/>
        <s v="DCS-7010TX-48C-R"/>
        <s v="DCS-7010TX-48-DC-F"/>
        <s v="DCS-7010TX-48-DC-R"/>
        <s v="DCS-7010TX-48-F"/>
        <s v="DCS-7010TX-48-R"/>
        <s v="KIT-7516N"/>
        <s v="KIT-7516N-RK"/>
        <s v="KIT-7516N-RK-L"/>
        <s v="KIT-7512N"/>
        <s v="KIT-7508N"/>
        <s v="KIT-7508"/>
        <s v="KIT-7508N-RK-L"/>
        <s v="KIT-7504"/>
        <s v="KIT-7300-RCK-1000"/>
        <s v="KIT-7300-RCK-800"/>
        <s v="KIT-7368"/>
        <s v="KIT-7304"/>
        <s v="KIT-7308"/>
        <s v="KIT-7004-2UL"/>
        <s v="KIT-7004-2U"/>
        <s v="KIT-7300-4PR"/>
        <s v="KIT-7304-MMR"/>
        <s v="KIT-7308-MMR"/>
        <s v="KIT-7130-ACC"/>
        <s v="FAN-7130-1U-F"/>
        <s v="FAN-7130-1U-F#"/>
        <s v="FAN-7130-1U-R"/>
        <s v="FAN-7130-1U-R#"/>
        <s v="FAN-7130-2U-F"/>
        <s v="FAN-7130-2U-F#"/>
        <s v="FAN-7130-2U-R"/>
        <s v="FAN-7130-2U-R#"/>
        <s v="5NB-7010TX-48C-F"/>
        <s v="CCS-710P-16P"/>
        <s v="CCS-710P-16P-EU"/>
        <s v="CCS-710P-16P-JPN"/>
        <s v="CCS-710P-16P-NA"/>
        <s v="CCS-710P-16P-UK"/>
        <s v="CCS-710P-16P#"/>
        <s v="CCS-710P-12-EU"/>
        <s v="CCS-710P-12-JPN"/>
        <s v="CCS-710P-12-NA"/>
        <s v="CCS-710P-12-UK"/>
        <s v="CCS-710P-12"/>
        <s v="CCS-710P-12#"/>
        <s v="CCS-710HXP-28TXH-4S"/>
        <s v="CCS-710HXP-20TNH-4S"/>
        <s v="CCS-710XP-12TH-2S"/>
        <s v="CCS-722XPM-48Y4-2F-C14"/>
        <s v="CCS-722XPM-48Y4-2F-EU"/>
        <s v="CCS-722XPM-48Y4-2F-JPN"/>
        <s v="CCS-722XPM-48Y4-2F-NA"/>
        <s v="CCS-722XPM-48Y4-2F-UK"/>
        <s v="CCS-722XPM-48Y4-2F"/>
        <s v="CCS-722XPM-48Y4-F-C14"/>
        <s v="CCS-722XPM-48Y4-F-EU"/>
        <s v="CCS-722XPM-48Y4-F-JPN"/>
        <s v="CCS-722XPM-48Y4-F-NA"/>
        <s v="CCS-722XPM-48Y4-F-UK"/>
        <s v="CCS-722XPM-48Y4-F"/>
        <s v="CCS-722XPM-48Y4#"/>
        <s v="CCS-722XPM-48Y4-2R-C14"/>
        <s v="CCS-722XPM-48Y4-2R-EU"/>
        <s v="CCS-722XPM-48Y4-2R-JPN"/>
        <s v="CCS-722XPM-48Y4-2R-NA"/>
        <s v="CCS-722XPM-48Y4-2R-UK"/>
        <s v="CCS-722XPM-48Y4-2R"/>
        <s v="CCS-722XPM-48Y4-R-C14"/>
        <s v="CCS-722XPM-48Y4-R-EU"/>
        <s v="CCS-722XPM-48Y4-R-JPN"/>
        <s v="CCS-722XPM-48Y4-R-NA"/>
        <s v="CCS-722XPM-48Y4-R-UK"/>
        <s v="CCS-722XPM-48Y4-R"/>
        <s v="CCS-722XPM-48ZY8-2F-C14"/>
        <s v="CCS-722XPM-48ZY8-2F-EU"/>
        <s v="CCS-722XPM-48ZY8-2F-JPN"/>
        <s v="CCS-722XPM-48ZY8-2F-NA"/>
        <s v="CCS-722XPM-48ZY8-2F-UK"/>
        <s v="CCS-722XPM-48ZY8-2F"/>
        <s v="CCS-722XPM-48ZY8-F-C14"/>
        <s v="CCS-722XPM-48ZY8-F-EU"/>
        <s v="CCS-722XPM-48ZY8-F-JPN"/>
        <s v="CCS-722XPM-48ZY8-F-NA"/>
        <s v="CCS-722XPM-48ZY8-F-UK"/>
        <s v="CCS-722XPM-48ZY8-F"/>
        <s v="CCS-722XPM-48ZY8#"/>
        <s v="CCS-720XPM-48TH-6SY-2F"/>
        <s v="CCS-720XPM-48TH-6SY-F"/>
        <s v="CCS-720XDM-48T-6SY-2F"/>
        <s v="CCS-720XDM-48T-6SY-F"/>
        <s v="CCS-720XPM-48TH-6SY#"/>
        <s v="CCS-720XDM-48T-6SY#"/>
        <s v="CCS-720XP-24ZY4-2F-C14"/>
        <s v="CCS-720XP-24ZY4-2F-EU"/>
        <s v="CCS-720XP-24ZY4-2F-JPN"/>
        <s v="CCS-720XP-24ZY4-2F-NA"/>
        <s v="CCS-720XP-24ZY4-2F-UK"/>
        <s v="CCS-720XP-24ZY4-2F"/>
        <s v="CCS-720XP-24ZY4-F-C14"/>
        <s v="CCS-720XP-24ZY4-F-EU"/>
        <s v="CCS-720XP-24ZY4-F-JPN"/>
        <s v="CCS-720XP-24ZY4-F-NA"/>
        <s v="CCS-720XP-24ZY4-F-UK"/>
        <s v="CCS-720XP-24ZY4-F"/>
        <s v="CCS-720XP-24ZY4#"/>
        <s v="CCS-720XP-24Y6-2F-C14"/>
        <s v="CCS-720XP-24Y6-2F-EU"/>
        <s v="CCS-720XP-24Y6-2F-JPN"/>
        <s v="CCS-720XP-24Y6-2F-NA"/>
        <s v="CCS-720XP-24Y6-2F-UK"/>
        <s v="CCS-720XP-24Y6-2F"/>
        <s v="CCS-720XP-24Y6-F-C14"/>
        <s v="CCS-720XP-24Y6-F-EU"/>
        <s v="CCS-720XP-24Y6-F-JPN"/>
        <s v="CCS-720XP-24Y6-F-NA"/>
        <s v="CCS-720XP-24Y6-F-UK"/>
        <s v="CCS-720XP-24Y6-F"/>
        <s v="CCS-720XP-24Y6#"/>
        <s v="CCS-720XP-48TXH-2C-S-2F-NA"/>
        <s v="CCS-720XP-48TXH-2C-S-2F-UK"/>
        <s v="CCS-720XP-48TXH-2C-S-2F-EU"/>
        <s v="CCS-720XP-48TXH-2C-S-2F-C14"/>
        <s v="CCS-720XP-48TXH-2C-S-2F-JPN"/>
        <s v="CCS-720XP-48TXH-2C-S-2F"/>
        <s v="CCS-720XP-48TXH-2C-S#"/>
        <s v="CCS-720XP-48TXH-2C-S-5G-2F"/>
        <s v="CCS-720XP-48TXH-2C-5G-S#"/>
        <s v="CCS-720XP-48TXH-5G-10G-UPG"/>
        <s v="CCS-720XP-48ZC2-2F-C14"/>
        <s v="CCS-720XP-48ZC2-2F-EU"/>
        <s v="CCS-720XP-48ZC2-2F-JPN"/>
        <s v="CCS-720XP-48ZC2-2F-NA"/>
        <s v="CCS-720XP-48ZC2-2F-UK"/>
        <s v="CCS-720XP-48ZC2-2F"/>
        <s v="CCS-720XP-48ZC2-F-C14"/>
        <s v="CCS-720XP-48ZC2-F-EU"/>
        <s v="CCS-720XP-48ZC2-F-JPN"/>
        <s v="CCS-720XP-48ZC2-F-NA"/>
        <s v="CCS-720XP-48ZC2-F-UK"/>
        <s v="CCS-720XP-48ZC2-F"/>
        <s v="CCS-720XP-48ZC2#"/>
        <s v="CCS-720XP-48Y6-2F-C14"/>
        <s v="CCS-720XP-48Y6-2F-EU"/>
        <s v="CCS-720XP-48Y6-2F-JPN"/>
        <s v="CCS-720XP-48Y6-2F-NA"/>
        <s v="CCS-720XP-48Y6-2F-UK"/>
        <s v="CCS-720XP-48Y6-2F"/>
        <s v="CCS-720XP-48Y6-F-C14"/>
        <s v="CCS-720XP-48Y6-F-EU"/>
        <s v="CCS-720XP-48Y6-F-JPN"/>
        <s v="CCS-720XP-48Y6-F-NA"/>
        <s v="CCS-720XP-48Y6-F-UK"/>
        <s v="CCS-720XP-48Y6-F"/>
        <s v="CCS-720XP-48Y6#"/>
        <s v="CCS-720XP-96ZC2-M-S-4F-C14"/>
        <s v="CCS-720XP-96ZC2-M-S-4F-EU"/>
        <s v="CCS-720XP-96ZC2-M-S-4F-JPN"/>
        <s v="CCS-720XP-96ZC2-M-S-4F-NA"/>
        <s v="CCS-720XP-96ZC2-M-S-4F-UK"/>
        <s v="CCS-720XP-96ZC2-M-S-4F"/>
        <s v="CCS-720XP-96ZC2-M-S-2F-C14"/>
        <s v="CCS-720XP-96ZC2-M-S-2F-EU"/>
        <s v="CCS-720XP-96ZC2-M-S-2F-JPN"/>
        <s v="CCS-720XP-96ZC2-M-S-2F-NA"/>
        <s v="CCS-720XP-96ZC2-M-S-2F-UK"/>
        <s v="CCS-720XP-96ZC2-M-S-2F"/>
        <s v="CCS-720XP-96ZC2-M-S#"/>
        <s v="CCS-720XP-96ZC2-4F-C14"/>
        <s v="CCS-720XP-96ZC2-4F-EU"/>
        <s v="CCS-720XP-96ZC2-4F-JPN"/>
        <s v="CCS-720XP-96ZC2-4F-NA"/>
        <s v="CCS-720XP-96ZC2-4F-UK"/>
        <s v="CCS-720XP-96ZC2-4F"/>
        <s v="CCS-720XP-96ZC2-2F-C14"/>
        <s v="CCS-720XP-96ZC2-2F-EU"/>
        <s v="CCS-720XP-96ZC2-2F-JPN"/>
        <s v="CCS-720XP-96ZC2-2F-NA"/>
        <s v="CCS-720XP-96ZC2-2F-UK"/>
        <s v="CCS-720XP-96ZC2-2F"/>
        <s v="CCS-720XP-96ZC2#"/>
        <s v="CCS-720DP-48ZS-2F-C14"/>
        <s v="CCS-720DP-48ZS-2F-EU"/>
        <s v="CCS-720DP-48ZS-2F-JPN"/>
        <s v="CCS-720DP-48ZS-2F-NA"/>
        <s v="CCS-720DP-48ZS-2F-UK"/>
        <s v="CCS-720DP-48ZS-2F"/>
        <s v="CCS-720DF-48Y-M-S-2F-C14"/>
        <s v="CCS-720DF-48Y-M-S-2F-EU"/>
        <s v="CCS-720DF-48Y-M-S-2F-JPN"/>
        <s v="CCS-720DF-48Y-M-S-2F-NA"/>
        <s v="CCS-720DF-48Y-M-S-2F-UK"/>
        <s v="CCS-720DF-48Y-M-S-2F"/>
        <s v="CCS-720DF-48Y-2F-C14"/>
        <s v="CCS-720DF-48Y-2F-EU"/>
        <s v="CCS-720DF-48Y-2F-JPN"/>
        <s v="CCS-720DF-48Y-2F-NA"/>
        <s v="CCS-720DF-48Y-2F-UK"/>
        <s v="CCS-720DF-48Y-2F"/>
        <s v="CCS-720DF-48Y-DC-2F"/>
        <s v="CCS-720DP-48S-M-S-2F-C14"/>
        <s v="CCS-720DP-48S-M-S-2F-EU"/>
        <s v="CCS-720DP-48S-M-S-2F-JPN"/>
        <s v="CCS-720DP-48S-M-S-2F-NA"/>
        <s v="CCS-720DP-48S-M-S-2F-UK"/>
        <s v="CCS-720DP-48S-M-S-2F-IND"/>
        <s v="CCS-720DP-48S-M-S-2F"/>
        <s v="CCS-720DP-48S-2F-C14"/>
        <s v="CCS-720DP-48S-2F-EU"/>
        <s v="CCS-720DP-48S-2F-JPN"/>
        <s v="CCS-720DP-48S-2F-NA"/>
        <s v="CCS-720DP-48S-2F-UK"/>
        <s v="CCS-720DP-48S-2F"/>
        <s v="CCS-720DP-24S-M-S-2F-C14"/>
        <s v="CCS-720DP-24S-M-S-2F-EU"/>
        <s v="CCS-720DP-24S-M-S-2F-JPN"/>
        <s v="CCS-720DP-24S-M-S-2F-NA"/>
        <s v="CCS-720DP-24S-M-S-2F-UK"/>
        <s v="CCS-720DP-24S-M-S-2F-IND"/>
        <s v="CCS-720DP-24S-M-S-2F"/>
        <s v="CCS-720DP-24S-2F-C14"/>
        <s v="CCS-720DP-24S-2F-EU"/>
        <s v="CCS-720DP-24S-2F-JPN"/>
        <s v="CCS-720DP-24S-2F-NA"/>
        <s v="CCS-720DP-24S-2F-UK"/>
        <s v="CCS-720DP-24S-2F"/>
        <s v="CCS-720DP-24ZS-2F-C14"/>
        <s v="CCS-720DP-24ZS-2F-EU"/>
        <s v="CCS-720DP-24ZS-2F-JPN"/>
        <s v="CCS-720DP-24ZS-2F-NA"/>
        <s v="CCS-720DP-24ZS-2F-UK"/>
        <s v="CCS-720DP-24ZS-2F"/>
        <s v="CCS-720DT-48S-2F-C14"/>
        <s v="CCS-720DT-48S-2F-EU"/>
        <s v="CCS-720DT-48S-2F-JPN"/>
        <s v="CCS-720DT-48S-2F-NA"/>
        <s v="CCS-720DT-48S-2F-UK"/>
        <s v="CCS-720DT-48S-2F"/>
        <s v="CCS-720DT-48S-2R-C14"/>
        <s v="CCS-720DT-48S-2R-EU"/>
        <s v="CCS-720DT-48S-2R-JPN"/>
        <s v="CCS-720DT-48S-2R-NA"/>
        <s v="CCS-720DT-48S-2R-UK"/>
        <s v="CCS-720DT-48S-2F-IND"/>
        <s v="CCS-720DT-48S-2R"/>
        <s v="CCS-720DT-24S-M-S-2F-EU"/>
        <s v="CCS-720DT-24S-M-S-2F-JPN"/>
        <s v="CCS-720DT-24S-M-S-2F-NA"/>
        <s v="CCS-720DT-24S-M-S-2F-UK"/>
        <s v="CCS-720DT-24S-M-S-2F-IND"/>
        <s v="CCS-720DT-24S-M-S-2F"/>
        <s v="CCS-720DT-24S-2F-C14"/>
        <s v="CCS-720DT-24S-2F-EU"/>
        <s v="CCS-720DT-24S-2F-JPN"/>
        <s v="CCS-720DT-24S-2F-NA"/>
        <s v="CCS-720DT-24S-2F-UK"/>
        <s v="CCS-720DT-24S-2F"/>
        <s v="CCS-720DT-24S-2R-C14"/>
        <s v="CCS-720DT-24S-2R-EU"/>
        <s v="CCS-720DT-24S-2R-JPN"/>
        <s v="CCS-720DT-24S-2R-NA"/>
        <s v="CCS-720DT-24S-2R-UK"/>
        <s v="CCS-720DT-24S-2R"/>
        <s v="CCS-720-PCVR"/>
        <s v="CCS-720XPM-PCVR"/>
        <s v="CCS-720XPM-PCVR#"/>
        <s v="KIT-CCS-710-RM"/>
        <s v="KIT-CCS-710-DIN"/>
        <s v="KIT-CCS-710-MGN"/>
        <s v="KIT-CCS-710XP-MGN"/>
        <s v="KIT-CCS-710XP-12-RM"/>
        <s v="KIT-CCS-710HXP-WALL"/>
        <s v="KIT-CCS-710HXP-DIN"/>
        <s v="KIT-CCS-710HXP-DIN-RM"/>
        <s v="KIT-CCS-710"/>
        <s v="KIT-CCS-720"/>
        <s v="CCS-755-100-BND-2-TAA"/>
        <s v="CCS-755-25-BND-2-TAA"/>
        <s v="CCS-755-100-BND-2"/>
        <s v="CCS-755-25-BND-2"/>
        <s v="CCS-755-100-BND"/>
        <s v="CCS-755-25-BND"/>
        <s v="CCS-758-100-BND-2-TAA"/>
        <s v="CCS-758-25-BND-2-TAA"/>
        <s v="CCS-758-100-BND-2"/>
        <s v="CCS-758-25-BND-2"/>
        <s v="CCS-758-100-BND"/>
        <s v="CCS-758-25-BND"/>
        <s v="CCS-750-SUP100-TAA"/>
        <s v="CCS-750-SUP25-TAA"/>
        <s v="CCS-750-SUP100"/>
        <s v="CCS-750-SUP25"/>
        <s v="CCS-758-X3-SC"/>
        <s v="CCS-755-X3-SC"/>
        <s v="CCS-750XM-48TX-LC"/>
        <s v="CCS-750XPM-48NH-LC"/>
        <s v="CCS-750XPM-48TXH-LC"/>
        <s v="CCS-750X-48ZXP-LC"/>
        <s v="CCS-750X-48SX-LC"/>
        <s v="CCS-750X-48ZP-LC"/>
        <s v="CCS-750X-48THP-LC"/>
        <s v="CCS-750X-48TP-LC"/>
        <s v="CCS-750X-48T-LC"/>
        <s v="CCS-750X-48T-48TP-UPG"/>
        <s v="CCS-758-CH"/>
        <s v="CCS-755-CH"/>
        <s v="KIT-CCS-750"/>
        <s v="KIT-CCS-750-4P"/>
        <s v="KIT-CCS-750-4PL"/>
        <s v="CCS-750-SCVR"/>
        <s v="CCS-750-LCVR"/>
        <s v="FAN-752M-RED"/>
        <s v="FAN-7001S-RED"/>
        <s v="FAN-7001S-BLUE"/>
        <s v="KIT-720"/>
        <s v="KIT-720XPM"/>
        <s v="FAN-7010X"/>
        <s v="FAN-7000-F"/>
        <s v="FAN-7000-R"/>
        <s v="FAN-7000-F#"/>
        <s v="FAN-7000-R#"/>
        <s v="FAN-7000H-F"/>
        <s v="FAN-7000H-F#"/>
        <s v="FAN-7000H-R"/>
        <s v="FAN-7000H-R#"/>
        <s v="FAN-7002-F"/>
        <s v="FAN-7002-R"/>
        <s v="FAN-7002-F#"/>
        <s v="FAN-7002-R#"/>
        <s v="FAN-7002H-F"/>
        <s v="FAN-7002H-F#"/>
        <s v="FAN-7002H-R"/>
        <s v="FAN-7002H-R#"/>
        <s v="FAN-7001C-F"/>
        <s v="FAN-7001C-R"/>
        <s v="FAN-7001C-F#"/>
        <s v="FAN-7001C-R#"/>
        <s v="FAN-7001DH-F"/>
        <s v="FAN-7001DH-F#"/>
        <s v="FAN-7001D-F"/>
        <s v="FAN-7001D-F#"/>
        <s v="FAN-7011H-F"/>
        <s v="FAN-7011H-F#"/>
        <s v="FAN-7011H-R"/>
        <s v="FAN-7011H-R#"/>
        <s v="FAN-7011M-F"/>
        <s v="FAN-7011M-F#"/>
        <s v="FAN-7011M-R"/>
        <s v="FAN-7011M-R#"/>
        <s v="FAN-7012H-RED"/>
        <s v="FAN-7012H-RED#"/>
        <s v="FAN-7012H-BLUE"/>
        <s v="FAN-7012H-BLUE#"/>
        <s v="FAN-7012M-BLUE"/>
        <s v="FAN-7012M-BLUE#"/>
        <s v="FAN-7012M-RED"/>
        <s v="FAN-7012M-RED#"/>
        <s v="FAN-7012MP-RED"/>
        <s v="FAN-7021H-RED"/>
        <s v="FAN-7021H-RED#"/>
        <s v="FAN-7021H-BLUE"/>
        <s v="FAN-7021H-BLUE#"/>
        <s v="FAN-7022HQ-RED"/>
        <s v="FAN-7022HQ-RED#"/>
        <s v="FAN-7022HQ-BLUE"/>
        <s v="FAN-7022HQ-BLUE#"/>
        <s v="FAN-7202-RED"/>
        <s v="FAN-7202-RED#"/>
        <s v="KIT-7010-4POST"/>
        <s v="KIT-7010-2POST-23"/>
        <s v="KIT-7010-2P-OS-RK"/>
        <s v="KIT-7010"/>
        <s v="KIT-7203"/>
        <s v="KIT-7202"/>
        <s v="KIT-7201-RV3"/>
        <s v="KIT-7200-RV3"/>
        <s v="KIT-7201"/>
        <s v="KIT-7021"/>
        <s v="KIT-7001-RK-R-5PK"/>
        <s v="KIT-7001-RK-R"/>
        <s v="KIT-7002-AFK-F"/>
        <s v="KIT-7002-AFK-R"/>
        <s v="KIT-7003"/>
        <s v="KIT-7002"/>
        <s v="KIT-7001"/>
        <s v="KIT-7000"/>
        <s v="KIT-7001-AFK-F"/>
        <s v="KIT-7001-AFK-R"/>
        <s v="KIT-7101-D"/>
        <s v="KIT-7102-D"/>
        <s v="KIT-7101"/>
        <s v="KIT-7102"/>
        <s v="KIT-7101-LD-RK"/>
        <s v="KIT-7101-RK"/>
        <s v="KIT-ADJ-RLR"/>
        <s v="KIT-GND-EXT-1RU"/>
        <s v="KIT-GND-EXT-2RU"/>
        <s v="KIT-7001-4POST-L"/>
        <s v="KIT-4POST-NT"/>
        <s v="KIT-2POST"/>
        <s v="KIT-2POST-1U-NT"/>
        <s v="SVE-SEC-ASA-10U"/>
        <s v="SVE-SEC-ASA-5U"/>
        <s v="SVE-SEC-DI-CLASS2"/>
        <s v="SVE-SEC-DI-CLASS1"/>
        <s v="SVE-SEC-DI-CLASS2-TRAVEL"/>
        <s v="SVE-SEC-DI-CLASS1-TRAVEL"/>
        <s v="SVE-SEC-DI-CLASS2I"/>
        <s v="SVE-SEC-DI-AUG-ANNUAL"/>
        <s v="SVE-SEC-DI-AUG-QUARTER"/>
        <s v="SVE-SEC-DI-HEALTHAW"/>
        <s v="SVE-SEC-DI-CUSTOM"/>
        <s v="SVE-SEC-ASA-10u3"/>
        <s v="SVE-SEC-ASA-10u2"/>
        <s v="SVE-SEC-ASA-10u1"/>
        <s v="SVE-SEC-ASA-5u1"/>
        <s v="SVE-SEC-IR-Hourly"/>
        <s v="SVE-SEC-STR-Playbook"/>
        <s v="SVE-SEC-STR-Assess"/>
        <s v="SVE-SEC-STR-Program"/>
        <s v="SVE-SEC-AUG-HourA"/>
        <s v="SVE-SEC-AUG-HourB"/>
        <s v="SVE-SEC-AUG-HourC"/>
        <s v="SVE-SEC-CA-STDEND-5u"/>
        <s v="SVE-SEC-CA-STDEND-10u"/>
        <s v="SVE-SEC-CA-STDEND-20u"/>
        <s v="SVE-SEC-CA-STDEND-30u"/>
        <s v="SVE-SEC-CA-STDEND-40u"/>
        <s v="SVE-SEC-CA-STDEND-50u"/>
        <s v="SVE-SEC-CA-STDNET-5GB"/>
        <s v="SVE-SEC-CA-STDNET-10GB"/>
        <s v="SVE-SEC-CA-NETI-10GB"/>
        <s v="SVE-SEC-CA-Custom"/>
        <s v="ZTX-7250S-16S-F"/>
        <s v="ZTX-7230S-4TX-4S-F"/>
        <s v="NIM-1QC"/>
        <s v="NIM-4S"/>
        <s v="AWE-7250R-16S-F"/>
        <s v="AWE-7250R-16S-FLX-F"/>
        <s v="AWE-7230R-4TX-4S-FLX-F"/>
        <s v="AWE-7220RP-5TH-2S-FLX-F"/>
        <s v="SVE-S-PF-UCD-BASE-L3-R1"/>
        <s v="SVE-S-PF-UCD-NODE-L3-R1"/>
        <s v="SVE-S-PF-UCD-BASE-L2-R1"/>
        <s v="SVE-S-PF-UCD-NODE-L2-R1"/>
        <s v="SVE-S-PF-UCD-ADD-CPI-R1"/>
        <s v="SVE-S-PF-UCD-BASE-L3-R2"/>
        <s v="SVE-S-PF-UCD-NODE-L3-R2"/>
        <s v="SVE-S-PF-UCD-BASE-L2-R2"/>
        <s v="SVE-S-PF-UCD-NODE-L2-R2"/>
        <s v="SVE-S-PF-UCD-ADD-CPI-R2"/>
        <s v="SVE-S-PF-UCD-BASE-L3-R3"/>
        <s v="SVE-S-PF-UCD-NODE-L3-R3"/>
        <s v="SVE-S-PF-UCD-BASE-L2-R3"/>
        <s v="SVE-S-PF-UCD-NODE-L2-R3"/>
        <s v="SVE-S-PF-UCD-ADD-CPI-R3"/>
        <s v="SVE-S-PF-UCC-BASE-L3-R1"/>
        <s v="SVE-S-PF-UCC-NODE-L3-R1"/>
        <s v="SVE-S-PF-UCC-BASE-L2-R1"/>
        <s v="SVE-S-PF-UCC-NODE-L2-R1"/>
        <s v="SVE-S-PF-UCC-ADD-CPI-R1"/>
        <s v="SVE-S-PF-UCC-BASE-L3-R2"/>
        <s v="SVE-S-PF-UCC-NODE-L3-R2"/>
        <s v="SVE-S-PF-UCC-BASE-L2-R2"/>
        <s v="SVE-S-PF-UCC-NODE-L2-R2"/>
        <s v="SVE-S-PF-UCC-ADD-CPI-R2"/>
        <s v="SVE-S-PF-UCC-BASE-L3-R3"/>
        <s v="SVE-S-PF-UCC-NODE-L3-R3"/>
        <s v="SVE-S-PF-UCC-BASE-L2-R3"/>
        <s v="SVE-S-PF-UCC-NODE-L2-R3"/>
        <s v="SVE-S-PF-UCC-ADD-CPI-R3"/>
        <s v="SVE-S-PF-UCW-BASE-R1"/>
        <s v="SVE-S-PF-UCW-SITE-R1"/>
        <s v="SVE-S-PF-UCW-BASE-R2"/>
        <s v="SVE-S-PF-UCW-SITE-R2"/>
        <s v="SVE-S-PF-UCW-BASE-R3"/>
        <s v="SVE-S-PF-UCW-SITE-R3"/>
        <s v="SVE-S-PF-GNR-MIG-SM-R1"/>
        <s v="SVE-S-PF-GNR-MIG-MD-R1"/>
        <s v="SVE-S-PF-GNR-MIG-LG-R1"/>
        <s v="SVE-S-PF-GNR-MIG-SM-R2"/>
        <s v="SVE-S-PF-GNR-MIG-MD-R2"/>
        <s v="SVE-S-PF-GNR-MIG-LG-R2"/>
        <s v="SVE-S-PF-GNR-MIG-SM-R3"/>
        <s v="SVE-S-PF-GNR-MIG-MD-R3"/>
        <s v="SVE-S-PF-GNR-MIG-LG-R3"/>
        <s v="SVE-S-PF-DMF-IMPL-DSN-R1"/>
        <s v="SVE-S-PF-DMF-IMPL-SW-R1"/>
        <s v="SVE-S-PF-DMF-IMPL-SNC-R1"/>
        <s v="SVE-S-PF-DMF-IMPL-SNEL-R1"/>
        <s v="SVE-S-PF-DMF-IMPL-SNDL-R1"/>
        <s v="SVE-S-PF-DMF-IMPL-RN-R1"/>
        <s v="SVE-S-PF-DMF-IMPL-AN-R1"/>
        <s v="SVE-S-PF-DMF-IMPL-DSN-R2"/>
        <s v="SVE-S-PF-DMF-IMPL-SW-R2"/>
        <s v="SVE-S-PF-DMF-IMPL-SNC-R2"/>
        <s v="SVE-S-PF-DMF-IMPL-SNEL-R2"/>
        <s v="SVE-S-PF-DMF-IMPL-SNDL-R2"/>
        <s v="SVE-S-PF-DMF-IMPL-RN-R2"/>
        <s v="SVE-S-PF-DMF-IMPL-AN-R2"/>
        <s v="SVE-S-TM-ENG-REM-5D-R1"/>
        <s v="SVE-S-TM-ENG-ONS-5D-R1"/>
        <s v="SVE-S-TM-ENG-REM-5D-R2"/>
        <s v="SVE-S-TM-ENG-ONS-5D-R2"/>
        <s v="SVE-S-TM-ENG-REM-5D-R3"/>
        <s v="SVE-S-TM-ENG-ONS-5D-R3"/>
        <s v="SVE-S-TM-ENG-REM-1D-R1"/>
        <s v="SVE-S-TM-ENG-REM-1D-R2"/>
        <s v="SVE-S-TM-ENG-REM-1D-R3"/>
        <s v="SVE-S-TM-ENG-REM-1Y-R1"/>
        <s v="SVE-S-TM-ENG-REM-1Y-R2"/>
        <s v="SVE-S-TM-ENG-REM-1Y-R3"/>
        <s v="SVE-S-CS"/>
        <s v="SVE-EOS-CNT"/>
        <s v="SVE-ENG-CON-OS-1D"/>
        <s v="SVE-ENG-CON-R-1H"/>
        <s v="SVE-TRAIN-ONSITE"/>
        <s v="SVE-EDU-ONLINE-PROSVC"/>
        <s v="SVE-TRAIN-ALL-ENT"/>
        <s v="SVE-TRAIN-ALL-GRP"/>
        <s v="SVE-TRAIN-ALL-SITE"/>
        <s v="SVE-TAC-CUSTOM-TRAIN"/>
        <s v="SVE-TRAIN-RCTEXP"/>
        <s v="SVE-TRAIN-FDN-AA"/>
        <s v="SVE-TRAIN-DC-AA"/>
        <s v="SVE-TRAIN-CAMP-AA"/>
        <s v="SDE-EDG-5100"/>
        <s v="SDE-EDG-4100"/>
        <s v="SDE-EDG-740"/>
        <s v="SDE-EDG-720"/>
        <s v="SDE-EDG-7105G"/>
        <s v="SDE-EDG-710W"/>
        <s v="VC-AC-720740-PWR"/>
        <s v="VC-AC-710-PWR"/>
        <s v="VC-AC-PWRC-N-BZ"/>
        <s v="VC-AC-PWRC-B-NA"/>
        <s v="VC-AC-PWRC-C-EU"/>
        <s v="VC-AC-PWRC-G-UK-SG"/>
        <s v="VC-AC-PWRC-I-AU"/>
        <s v="VC-AC-PWRC-I-CH"/>
        <s v="VC-AC-PWRC-M-IN"/>
        <s v="VC-AC-PWRC-M-ZA"/>
        <s v="VC-AC-RMB"/>
        <s v="VC-AC-WMB"/>
        <s v="OSFP-800G-ZRP"/>
        <s v="OSFP-800G-2LR4"/>
        <s v="OSFP-800G-2FR4"/>
        <s v="OSFP-800G-2PLR4"/>
        <s v="OSFP-800G-2XDR4"/>
        <s v="OSFP-800G-2VSR4"/>
        <s v="OSFP-800G-VSR8"/>
        <s v="OSFP-800G-XDR8"/>
        <s v="OSFP-8X25-MR-LR"/>
        <s v="OSFP-400G-ZR"/>
        <s v="OSFP-AMP-ZR"/>
        <s v="OSFP-400G-2FR4"/>
        <s v="OSFP-400G-LR4"/>
        <s v="OSFP-400G-FR4"/>
        <s v="OSFP-400G-PLR4-S"/>
        <s v="OSFP-400G-PLR4"/>
        <s v="OSFP-400G-XDR4-S"/>
        <s v="OSFP-400G-XDR4"/>
        <s v="OSFP-400G-DR4"/>
        <s v="OSFP-400G-SR8"/>
        <s v="OSFP-400G-SR8-C"/>
        <s v="OSFP-400G-SRBD"/>
        <s v="OSFP-400G-VSR4"/>
        <s v="OSFP-200G-2LR4"/>
        <s v="QSFP-200G-FR4"/>
        <s v="QSFP-200G-SR4"/>
        <s v="QSFP-100G-ERL4"/>
        <s v="QSFP-100G-ZR-H"/>
        <s v="QSFP-100G-ZR"/>
        <s v="QSFP-100G-ZR4"/>
        <s v="QSFP-100G-ER"/>
        <s v="QSFP-100G-LR4"/>
        <s v="QSFP-100G-LRL4"/>
        <s v="QSFP-100G-SR1.2"/>
        <s v="QSFP-100G-PLRL4"/>
        <s v="QSFP-100G-XCWDM4"/>
        <s v="QSFP-100G-CWDM4"/>
        <s v="QSFP-100G-LR"/>
        <s v="QSFP-100G-FR"/>
        <s v="QSFP-100G-PSM4"/>
        <s v="QSFP-100G-PLR4"/>
        <s v="QSFP-100G-DR"/>
        <s v="QSFP-100G-SRBD"/>
        <s v="QSFP-100G-SWDM4"/>
        <s v="QSFP-100G-SR4-E"/>
        <s v="QSFP-100G-SR4"/>
        <s v="QSFP-100G-XSR4"/>
        <s v="QSFP-AMP-ZR"/>
        <s v="SFP-50G-MR-SR"/>
        <s v="QSFP-40G-ER4"/>
        <s v="QSFP-40G-LR4"/>
        <s v="QSFP-40G-PLR4"/>
        <s v="QSFP-40G-LRL4"/>
        <s v="QSFP-40G-PLRL4"/>
        <s v="QSFP-40G-UNIV"/>
        <s v="QSFP-40G-XSR4"/>
        <s v="QSFP-40G-SR4"/>
        <s v="QSFP-40G-SRBD"/>
        <s v="QSFP-40G-SRBD-R"/>
        <s v="SFP-25G-ER"/>
        <s v="SFP-25G-MR-LR"/>
        <s v="SFP-25G-MR-XSR"/>
        <s v="SFP-25G-MR-SR"/>
        <s v="SFP-25G-LR"/>
        <s v="SFP-25G-LR-E"/>
        <s v="SFP-25G-SR"/>
        <s v="SFP-25G-SR-E"/>
        <s v="SFP-10G-MRA-T"/>
        <s v="SFP-10G-RA-1G-LX"/>
        <s v="SFP-10G-RA-1G-SX"/>
        <s v="SFP-10G-T-RP"/>
        <s v="SFP-10G-T"/>
        <s v="SFP-10G-ZR"/>
        <s v="SFP-10G-ER"/>
        <s v="SFP-10G-ERBD-U"/>
        <s v="SFP-10G-ERBD-D"/>
        <s v="SFP-10G-ERLBD-U"/>
        <s v="SFP-10G-ERLBD-D"/>
        <s v="SFP-10G-LR"/>
        <s v="SFP-10G-LRL"/>
        <s v="SFP-10G-SR"/>
        <s v="SFP-10G-SRL"/>
        <s v="SFP-1G-LX"/>
        <s v="SFP-1G-T"/>
        <s v="SFP-1G-SX"/>
        <s v="SFP-100M-FX"/>
        <s v="SFP-10G-DZ-T"/>
        <s v="A-D800-2Q400-1M"/>
        <s v="A-D800-2Q400-3M"/>
        <s v="A-D800-2Q400-5M"/>
        <s v="A-D800-2Q400-7M"/>
        <s v="A-D800-2Q400-10M"/>
        <s v="A-D800-2Q400-15M"/>
        <s v="A-D800-2Q400-20M"/>
        <s v="A-D800-2Q400-25M"/>
        <s v="A-D800-2Q400-30M"/>
        <s v="A-D800-D800-1M"/>
        <s v="A-D800-D800-3M"/>
        <s v="A-D800-D800-5M"/>
        <s v="A-D800-D800-7M"/>
        <s v="A-D800-D800-10M"/>
        <s v="A-D800-D800-15M"/>
        <s v="A-D800-D800-20M"/>
        <s v="A-D800-D800-25M"/>
        <s v="A-D800-D800-30M"/>
        <s v="C-O800-O800-1M"/>
        <s v="C-D800-D800-1M"/>
        <s v="C-O800-2Q400-1M"/>
        <s v="C-O800-2Q400-2M"/>
        <s v="C-O800-2Q400-3M"/>
        <s v="C-O800-2Q400-4M"/>
        <s v="A-O800-O800-1M"/>
        <s v="A-O800-O800-3M"/>
        <s v="A-O800-O800-5M"/>
        <s v="A-O800-O800-7M"/>
        <s v="A-O800-O800-10M"/>
        <s v="A-O800-O800-15M"/>
        <s v="A-O800-O800-20M"/>
        <s v="A-O800-O800-25M"/>
        <s v="A-O800-O800-30M"/>
        <s v="A-O800-2Q400-1M"/>
        <s v="A-O800-2Q400-3M"/>
        <s v="A-O800-2Q400-5M"/>
        <s v="A-O800-2Q400-7M"/>
        <s v="A-O800-2Q400-10M"/>
        <s v="A-O800-2Q400-15M"/>
        <s v="A-O800-2Q400-20M"/>
        <s v="A-O800-2Q400-25M"/>
        <s v="A-O800-2Q400-30M"/>
        <s v="QDD-800G-2LR4"/>
        <s v="QDD-800G-2FR4"/>
        <s v="QDD-800G-2PLR4"/>
        <s v="QDD-800G-2XDR4"/>
        <s v="LPO-800G-2FR4"/>
        <s v="LPO-800G-2DR4"/>
        <s v="LPO-800G-DR8"/>
        <s v="A-D400-2Q200-1M"/>
        <s v="A-D400-2Q200-3M"/>
        <s v="A-D400-2Q200-5M"/>
        <s v="A-D400-2Q200-7M"/>
        <s v="A-D400-2Q200-10M"/>
        <s v="A-D400-2Q200-15M"/>
        <s v="A-D400-2Q200-20M"/>
        <s v="A-D400-2Q200-25M"/>
        <s v="A-D400-2Q200-30M"/>
        <s v="A-D400-Q400-1M"/>
        <s v="A-D400-Q400-3M"/>
        <s v="A-D400-Q400-5M"/>
        <s v="A-D400-Q400-7M"/>
        <s v="A-D400-Q400-10M"/>
        <s v="A-D400-Q400-15M"/>
        <s v="A-D400-Q400-20M"/>
        <s v="A-D400-Q400-25M"/>
        <s v="A-D400-Q400-30M"/>
        <s v="A-O400-2Q200-1M"/>
        <s v="A-O400-2Q200-3M"/>
        <s v="A-O400-2Q200-5M"/>
        <s v="A-O400-2Q200-7M"/>
        <s v="A-O400-2Q200-10M"/>
        <s v="A-O400-2Q200-15M"/>
        <s v="A-O400-2Q200-20M"/>
        <s v="A-O400-2Q200-25M"/>
        <s v="A-O400-2Q200-30M"/>
        <s v="A-O400-Q400-1M"/>
        <s v="A-O400-Q400-3M"/>
        <s v="A-O400-Q400-5M"/>
        <s v="A-O400-Q400-7M"/>
        <s v="A-O400-Q400-10M"/>
        <s v="A-O400-Q400-15M"/>
        <s v="A-O400-Q400-20M"/>
        <s v="A-O400-Q400-25M"/>
        <s v="A-O400-Q400-30M"/>
        <s v="QDD-400G-ZRP"/>
        <s v="QDD-400G-ZR"/>
        <s v="QDD-400G-ZR-EE"/>
        <s v="QDD-400G-ER4"/>
        <s v="QDD-400G-LR8"/>
        <s v="QDD-400G-LR4"/>
        <s v="QDD-400G-FR4"/>
        <s v="QDD-400G-PLR4-S"/>
        <s v="QDD-400G-PLR4"/>
        <s v="QDD-400G-XDR4-S"/>
        <s v="QDD-400G-XDR4"/>
        <s v="QDD-400G-DR4"/>
        <s v="QDD-400G-SR8"/>
        <s v="QDD-400G-SR8-C"/>
        <s v="QDD-400G-SRBD"/>
        <s v="QDD-400G-VSR4"/>
        <s v="H-O400-4Q100-1M"/>
        <s v="H-O400-4Q100-2M"/>
        <s v="H-O400-4Q100-3M"/>
        <s v="H-O400-4Q100-5M"/>
        <s v="H-D400-4Q100-1M"/>
        <s v="H-D400-4Q100-2M"/>
        <s v="H-D400-4Q100-3M"/>
        <s v="H-D400-4Q100-5M"/>
        <s v="QDD-200G-2LR4"/>
        <s v="C-Q200-Q200-3M"/>
        <s v="C-Q200-Q200-2M"/>
        <s v="C-Q200-Q200-1M"/>
        <s v="C-Q200-4S50-3M"/>
        <s v="C-Q200-4S50-2M"/>
        <s v="C-Q200-4S50-1M"/>
        <s v="A-Q200-Q200-15M"/>
        <s v="A-Q200-Q200-20M"/>
        <s v="A-Q200-Q200-25M"/>
        <s v="A-Q200-Q200-30M"/>
        <s v="A-Q200-Q200-1M"/>
        <s v="A-Q200-Q200-3M"/>
        <s v="A-Q200-Q200-5M"/>
        <s v="A-Q200-Q200-7M"/>
        <s v="A-Q200-Q200-10M"/>
        <s v="C-Q200-2Q100-3M"/>
        <s v="C-Q200-2Q100-2M"/>
        <s v="C-Q200-2Q100-1M"/>
        <s v="ADPT-O-Q-100G"/>
        <s v="C-Z100-Z100-1M"/>
        <s v="C-Z100-Z100-2M"/>
        <s v="C-Z100-Z100-3M"/>
        <s v="C-Z100-2S50-1M"/>
        <s v="C-Z100-2S50-2M"/>
        <s v="C-Z100-2S50-3M"/>
        <s v="C-Z100-Q100-1M"/>
        <s v="C-Z100-Q100-2M"/>
        <s v="C-Z100-Q100-3M"/>
        <s v="C-Y100-Y100-1M"/>
        <s v="C-Y100-Y100-2M"/>
        <s v="C-Y100-Y100-3M"/>
        <s v="C-Y100-2S50-1M"/>
        <s v="C-Y100-2S50-2M"/>
        <s v="C-Y100-2S50-3M"/>
        <s v="C-Y100-Q100-1M"/>
        <s v="C-Y100-Q100-2M"/>
        <s v="C-Y100-Q100-3M"/>
        <s v="QDD-8X25-MR-SR-E"/>
        <s v="SDEX-AP-LA-HD-10G-1M"/>
        <s v="SDEX-AP-LA-HD-2G-1M"/>
        <s v="SDEX-AP-LA-HD-1G-1M"/>
        <s v="SDEX-AP-LA-HD-500M-1M"/>
        <s v="SDEX-AP-LA-HD-200M-1M"/>
        <s v="SDEX-AP-LA-HD-100M-1M"/>
        <s v="SDEX-AP-LA-HD-50M-1M"/>
        <s v="SDEX-AP-LA-HD-30M-1M"/>
        <s v="SDEX-AP-LA-HD-10M-1M"/>
        <s v="SS-CVS-AGNI-10K-D-1M"/>
        <s v="SS-CVS-AGNI-5000-D-1M"/>
        <s v="SS-CVS-AGNI-1000-D-1M"/>
        <s v="SS-CVS-AGNI-500-D-1M"/>
        <s v="SS-CVS-AGNI-100-D-1M"/>
        <s v="SS-CVS-FIX-1-SWITCH-1M"/>
        <s v="SS-CVS-FIX-2-SWITCH-1M"/>
        <s v="SS-CVS-FIX-3-SWITCH-1M"/>
        <s v="SS-CVS-FIX-4-SWITCH-1M"/>
        <s v="SS-CVS-FIX-5-SWITCH-1M"/>
        <s v="SS-CVS-MOD-X-SWITCH-1M"/>
        <s v="SS-CVS-FIX-1-T1-1M"/>
        <s v="SS-CVS-FIX-2-T1-1M"/>
        <s v="SS-CVS-FIX-3-T1-1M"/>
        <s v="SS-CVS-FIX-4-T1-1M"/>
        <s v="SS-CVS-FIX-5-T1-1M"/>
        <s v="SS-CVS-MOD-X-T1-1M"/>
        <s v="SS-CVS-FIX-1-T2-1M"/>
        <s v="SS-CVS-FIX-2-T2-1M"/>
        <s v="SS-CVS-FIX-3-T2-1M"/>
        <s v="SS-CVS-FIX-4-T2-1M"/>
        <s v="SS-CVS-FIX-5-T2-1M"/>
        <s v="SS-CVS-MOD-X-T2-1M"/>
        <s v="SS-CVS-LT-FIX-1-SWITCH-1M"/>
        <s v="SS-CVS-LT-FIX-2-SWITCH-1M"/>
        <s v="SS-CVS-LT-FIX-3-SWITCH-1M"/>
        <s v="SS-CVS-LT-FIX-4-SWITCH-1M"/>
        <s v="SS-CVS-LT-FIX-5-SWITCH-1M"/>
        <s v="SS-CVS-LT-MOD-X-SWITCH-1M"/>
        <s v="SS-CVS-LT-FIX-1-T1-1M"/>
        <s v="SS-CVS-LT-FIX-2-T1-1M"/>
        <s v="SS-CVS-LT-FIX-3-T1-1M"/>
        <s v="SS-CVS-LT-FIX-4-T1-1M"/>
        <s v="SS-CVS-LT-FIX-5-T1-1M"/>
        <s v="SS-CVS-LT-MOD-X-T1-1M"/>
        <s v="SS-CVS-LT-FIX-1-T2-1M"/>
        <s v="SS-CVS-LT-FIX-2-T2-1M"/>
        <s v="SS-CVS-LT-FIX-3-T2-1M"/>
        <s v="SS-CVS-LT-FIX-4-T2-1M"/>
        <s v="SS-CVS-LT-FIX-5-T2-1M"/>
        <s v="SS-CVS-LT-MOD-X-T2-1M"/>
        <s v="SS-CVS-UNO-FIX-1-SWITCH-1M"/>
        <s v="SS-CVS-UNO-FIX-2-SWITCH-1M"/>
        <s v="SS-CVS-UNO-FIX-3-SWITCH-1M"/>
        <s v="SS-CVS-UNO-FIX-4-SWITCH-1M"/>
        <s v="SS-CVS-UNO-FIX-5-SWITCH-1M"/>
        <s v="SS-CVS-UNO-MOD-X-SWITCH-1M"/>
        <s v="SS-CVS-UNO-FIX-1-T1-1M"/>
        <s v="SS-CVS-UNO-FIX-2-T1-1M"/>
        <s v="SS-CVS-UNO-FIX-3-T1-1M"/>
        <s v="SS-CVS-UNO-FIX-4-T1-1M"/>
        <s v="SS-CVS-UNO-FIX-5-T1-1M"/>
        <s v="SS-CVS-UNO-MOD-X-T1-1M"/>
        <s v="SS-CVS-UNO-FIX-1-T2-1M"/>
        <s v="SS-CVS-UNO-FIX-2-T2-1M"/>
        <s v="SS-CVS-UNO-FIX-3-T2-1M"/>
        <s v="SS-CVS-UNO-FIX-4-T2-1M"/>
        <s v="SS-CVS-UNO-FIX-5-T2-1M"/>
        <s v="SS-CVS-UNO-MOD-X-T2-1M"/>
        <s v="SS-CVS-UNO-FIX-1-SWITCH-B-1M"/>
        <s v="SS-CVS-UNO-FIX-2-SWITCH-B-1M"/>
        <s v="SS-CVS-UNO-FIX-3-SWITCH-B-1M"/>
        <s v="SS-CVS-UNO-FIX-4-SWITCH-B-1M"/>
        <s v="SS-CVS-UNO-FIX-5-SWITCH-B-1M"/>
        <s v="SS-CVS-UNO-MOD-X-SWITCH-B-1M"/>
        <s v="SS-CVS-UNO-FIX-1-T1-B-1M"/>
        <s v="SS-CVS-UNO-FIX-2-T1-B-1M"/>
        <s v="SS-CVS-UNO-FIX-3-T1-B-1M"/>
        <s v="SS-CVS-UNO-FIX-4-T1-B-1M"/>
        <s v="SS-CVS-UNO-FIX-5-T1-B-1M"/>
        <s v="SS-CVS-UNO-MOD-X-T1-B-1M"/>
        <s v="SS-CVS-UNO-FIX-1-T2-B-1M"/>
        <s v="SS-CVS-UNO-FIX-2-T2-B-1M"/>
        <s v="SS-CVS-UNO-FIX-3-T2-B-1M"/>
        <s v="SS-CVS-UNO-FIX-4-T2-B-1M"/>
        <s v="SS-CVS-UNO-FIX-5-T2-B-1M"/>
        <s v="SS-CVS-UNO-MOD-X-T2-B-1M"/>
        <s v="SS-CVS-UNO-3RDPARTY100-1M"/>
        <s v="SS-CVS-UNO-3RDPARTY-1M"/>
        <s v="SS-CVS-G0-SWITCH-1M"/>
        <s v="SS-CVS-G0-T1-1M"/>
        <s v="SS-CVS-G0-T2-1M"/>
        <s v="SS-CVS-LT-G0-SWITCH-1M"/>
        <s v="SS-CVS-LT-G0-T1-1M"/>
        <s v="SS-CVS-LT-G0-T2-1M"/>
        <s v="SS-CVS-G1-SWITCH-1M"/>
        <s v="SS-CVS-G1-T1-1M"/>
        <s v="SS-CVS-G1-T2-1M"/>
        <s v="SS-CVS-LT-G1-SWITCH-1M"/>
        <s v="SS-CVS-LT-G1-T1-1M"/>
        <s v="SS-CVS-LT-G1-T2-1M"/>
        <s v="SS-CVS-G2-SWITCH-1M"/>
        <s v="SS-CVS-G2-T1-1M"/>
        <s v="SS-CVS-G2-T2-1M"/>
        <s v="SS-CVS-LT-G2-SWITCH-1M"/>
        <s v="SS-CVS-LT-G2-T1-1M"/>
        <s v="SS-CVS-LT-G2-T2-1M"/>
        <s v="SS-CVS-G3-SWITCH-1M"/>
        <s v="SS-CVS-G3-T1-1M"/>
        <s v="SS-CVS-G3-T2-1M"/>
        <s v="SS-CVS-LT-G3-SWITCH-1M"/>
        <s v="SS-CVS-LT-G3-T1-1M"/>
        <s v="SS-CVS-LT-G3-T2-1M"/>
        <s v="SS-CVS-UNO-G0-SWITCH-1M"/>
        <s v="SS-CVS-UNO-G0-SWITCH-B-1M"/>
        <s v="SS-CVS-UNO-G0-T1-1M"/>
        <s v="SS-CVS-UNO-G0-T1-B-1M"/>
        <s v="SS-CVS-UNO-G0-T2-1M"/>
        <s v="SS-CVS-UNO-G0-T2-B-1M"/>
        <s v="SS-CVS-UNO-G1-SWITCH-1M"/>
        <s v="SS-CVS-UNO-G1-SWITCH-B-1M"/>
        <s v="SS-CVS-UNO-G1-T1-1M"/>
        <s v="SS-CVS-UNO-G1-T1-B-1M"/>
        <s v="SS-CVS-UNO-G1-T2-1M"/>
        <s v="SS-CVS-UNO-G1-T2-B-1M"/>
        <s v="SS-CVS-UNO-G2-SWITCH-1M"/>
        <s v="SS-CVS-UNO-G2-SWITCH-B-1M"/>
        <s v="SS-CVS-UNO-G2-T1-1M"/>
        <s v="SS-CVS-UNO-G2-T1-B-1M"/>
        <s v="SS-CVS-UNO-G2-T2-1M"/>
        <s v="SS-CVS-UNO-G2-T2-B-1M"/>
        <s v="SS-CVS-UNO-G3-SWITCH-1M"/>
        <s v="SS-CVS-UNO-G3-SWITCH-B-1M"/>
        <s v="SS-CVS-UNO-G3-T1-1M"/>
        <s v="SS-CVS-UNO-G3-T1-B-1M"/>
        <s v="SS-CVS-UNO-G3-T2-1M"/>
        <s v="SS-CVS-UNO-G3-T2-B-1M"/>
        <s v="SS-CVS-UNO-MOD-G-SWITCH-1M"/>
        <s v="SS-CVS-UNO-MOD-G-SWITCH-B-1M"/>
        <s v="SS-CVS-UNO-MOD-G-T1-1M"/>
        <s v="SS-CVS-UNO-MOD-G-T1-B-1M"/>
        <s v="SS-CVS-UNO-MOD-G-T2-1M"/>
        <s v="SS-CVS-UNO-MOD-G-T2-B-1M"/>
        <s v="SS-CVS-MOD-G-SWITCH-1M"/>
        <s v="SS-CVS-MOD-G-T1-1M"/>
        <s v="SS-CVS-MOD-G-T2-1M"/>
        <s v="SS-CVS-LT-MOD-G-SWITCH-1M"/>
        <s v="SS-CVS-LT-MOD-G-T1-1M"/>
        <s v="SS-CVS-LT-MOD-G-T2-1M"/>
        <s v="SS-CVS-SWITCH-LAB-1M"/>
        <s v="SS-CVSC-G1-SWITCH-1M"/>
        <s v="SS-CVSC-G2-SWITCH-1M"/>
        <s v="SS-CVSC-G3-SWITCH-1M"/>
        <s v="SS-CVS-ZTX4-1M"/>
        <s v="SS-CVS-ZTX2-1M"/>
        <s v="SS-CVS-WAN4-1M"/>
        <s v="SS-CVS-WAN2-1M"/>
        <s v="SS-CVS-WAN1-1M"/>
        <s v="SS-CV-ENT-1M"/>
        <s v="SS-CV-UNO-3RDPARTY-1M"/>
        <s v="SS-CV-UNO-3RDPARTY100-1M"/>
        <s v="SS-CV-FIX-1-SWITCH-1M"/>
        <s v="SS-CV-FIX-2-SWITCH-1M"/>
        <s v="SS-CV-FIX-3-SWITCH-1M"/>
        <s v="SS-CV-FIX-4-SWITCH-1M"/>
        <s v="SS-CV-FIX-5-SWITCH-1M"/>
        <s v="SS-CV-MOD-X-SWITCH-1M"/>
        <s v="SS-CV-FIX-1-T1-1M"/>
        <s v="SS-CV-FIX-2-T1-1M"/>
        <s v="SS-CV-FIX-3-T1-1M"/>
        <s v="SS-CV-FIX-4-T1-1M"/>
        <s v="SS-CV-FIX-5-T1-1M"/>
        <s v="SS-CV-MOD-X-T1-1M"/>
        <s v="SS-CV-FIX-1-T2-1M"/>
        <s v="SS-CV-FIX-2-T2-1M"/>
        <s v="SS-CV-FIX-3-T2-1M"/>
        <s v="SS-CV-FIX-4-T2-1M"/>
        <s v="SS-CV-FIX-5-T2-1M"/>
        <s v="SS-CV-MOD-X-T2-1M"/>
        <s v="SS-CV-LT-FIX-1-SWITCH-1M"/>
        <s v="SS-CV-LT-FIX-2-SWITCH-1M"/>
        <s v="SS-CV-LT-FIX-3-SWITCH-1M"/>
        <s v="SS-CV-LT-FIX-4-SWITCH-1M"/>
        <s v="SS-CV-LT-FIX-5-SWITCH-1M"/>
        <s v="SS-CV-LT-MOD-X-SWITCH-1M"/>
        <s v="SS-CV-LT-FIX-1-T1-1M"/>
        <s v="SS-CV-LT-FIX-2-T1-1M"/>
        <s v="SS-CV-LT-FIX-3-T1-1M"/>
        <s v="SS-CV-LT-FIX-4-T1-1M"/>
        <s v="SS-CV-LT-FIX-5-T1-1M"/>
        <s v="SS-CV-LT-MOD-X-T1-1M"/>
        <s v="SS-CV-LT-FIX-1-T2-1M"/>
        <s v="SS-CV-LT-FIX-2-T2-1M"/>
        <s v="SS-CV-LT-FIX-3-T2-1M"/>
        <s v="SS-CV-LT-FIX-4-T2-1M"/>
        <s v="SS-CV-LT-FIX-5-T2-1M"/>
        <s v="SS-CV-LT-MOD-X-T2-1M"/>
        <s v="SS-CV-G0-SWITCH-1M"/>
        <s v="SS-CV-G0-T1-1M"/>
        <s v="SS-CV-G0-T2-1M"/>
        <s v="SS-CV-LT-G0-SWITCH-1M"/>
        <s v="SS-CV-LT-G0-T1-1M"/>
        <s v="SS-CV-LT-G0-T2-1M"/>
        <s v="SS-CV-G1-SWITCH-1M"/>
        <s v="SS-CV-G1-T1-1M"/>
        <s v="SS-CV-G1-T2-1M"/>
        <s v="SS-CV-LT-G1-SWITCH-1M"/>
        <s v="SS-CV-LT-G1-T1-1M"/>
        <s v="SS-CV-LT-G1-T2-1M"/>
        <s v="SS-CV-G2-SWITCH-1M"/>
        <s v="SS-CV-G2-T1-1M"/>
        <s v="SS-CV-G2-T2-1M"/>
        <s v="SS-CV-LT-G2-SWITCH-1M"/>
        <s v="SS-CV-LT-G2-T1-1M"/>
        <s v="SS-CV-LT-G2-T2-1M"/>
        <s v="SS-CV-G3-SWITCH-1M"/>
        <s v="SS-CV-G3-T1-1M"/>
        <s v="SS-CV-G3-T2-1M"/>
        <s v="SS-CV-LT-G3-SWITCH-1M"/>
        <s v="SS-CV-LT-G3-T1-1M"/>
        <s v="SS-CV-LT-G3-T2-1M"/>
        <s v="SS-CV-MOD-G-SWITCH-1M"/>
        <s v="SS-CV-MOD-G-T1-1M"/>
        <s v="SS-CV-MOD-G-T2-1M"/>
        <s v="SS-CV-LT-MOD-G-SWITCH-1M"/>
        <s v="SS-CV-LT-MOD-G-T1-1M"/>
        <s v="SS-CV-LT-MOD-G-T2-1M"/>
        <s v="SS-CV-SWITCH-LAB-1M"/>
        <s v="SS-CV-AGNI-1000-D-1M"/>
        <s v="SS-CV-AGNI-5000-D-1M"/>
        <s v="SS-CV-AGNI-10K-D-1M"/>
        <s v="SS-CV-AGNI-30K-D-1M"/>
        <s v="SS-CV-AGNI-500-D-1M"/>
        <s v="SS-CV-ZTX4-1M"/>
        <s v="SS-CV-ZTX2-1M"/>
        <s v="SS-CV-WAN4-1M"/>
        <s v="SS-CV-WAN2-1M"/>
        <s v="SS-CV-WAN1-1M"/>
        <s v="SS-EOS-CV-FIX-2"/>
        <s v="SS-EOS-CV-FIX-1"/>
        <s v="SS-CLOUDEOS-VR-CV-10G-B-1M"/>
        <s v="SS-CLOUDEOS-VR-CV-1G-B-1M"/>
        <s v="SS-CLOUDEOS-VR-CVS-10G-B-1M"/>
        <s v="SS-CLOUDEOS-VR-CVS-1G-B-1M"/>
        <s v="SS-CLOUDEOS-RR-CVS-10M-B-1M"/>
        <s v="SS-CLOUDEOS-RR-CV-10M-B-1M"/>
        <s v="SS-CLOUDEOS-VR-CVS-100M-B-1M"/>
        <s v="SS-CLOUDEOS-VR-CV-100M-B-1M"/>
        <s v="SS-CLOUDTEST-T1-1M"/>
        <s v="SS-CLOUDTEST-T2-1M"/>
        <s v="SS-CLOUDEOS-VZTX-CVS-1G-B-1M"/>
        <s v="SS-CLOUDEOS-VZTX-CVS-10G-B-1M"/>
        <s v="SS-CLOUDEOS-VZTX-CV-1G-B-1M"/>
        <s v="SS-CLOUDEOS-VZTX-CV-10G-B-1M"/>
        <s v="SS-DM-A-SXP5-1M"/>
        <s v="SS-DM-A-SXP4-1M"/>
        <s v="SS-DM-A-SXP3-1M"/>
        <s v="SS-DM-A-SXP2-1M"/>
        <s v="SS-DM-A-SXPP-1M"/>
        <s v="SS-DM-A-SXP-1M"/>
        <s v="SS-DM-A-SSPP-1M"/>
        <s v="SS-DM-A-SSP-1M"/>
        <s v="SS-DM-A-SBPP-1M"/>
        <s v="SS-DM-A-SBP-1M"/>
        <s v="SS-DM-VSPHR100-1M"/>
        <s v="SS-DM-MCD-1M"/>
        <s v="SS-CC-A-SXP2-1M"/>
        <s v="SS-CC-A-SXP-1M"/>
        <s v="SS-CC-A-SSP-1M"/>
        <s v="SS-CC-MCD-1M"/>
        <s v="SS-PREMWIFI-1M"/>
        <s v="SS-COGWIFI-1M"/>
        <s v="SS-ETM-NGUL-1M"/>
        <s v="SS-ETM-NGQ12U-1M"/>
        <s v="SS-ETM-NG250-1M"/>
        <s v="SS-ETM-NG150-1M"/>
        <s v="SS-ETM-NGQ8U-1M"/>
        <s v="SS-ETM-NG100-1M"/>
        <s v="SS-ETM-NG75-1M"/>
        <s v="SS-ETM-NGQ4U-1M"/>
        <s v="SS-ETM-NG50-1M"/>
        <s v="SS-ETM-NG25-1M"/>
        <s v="SS-EOS-Enh-FIX1-1M"/>
        <s v="SS-EOS-Enh-FIX2-1M"/>
        <s v="SS-NDR-NCAMI10-1M"/>
        <s v="SS-NDR-SCA5-1M"/>
        <s v="SS-NDR-G-SWITCH-1M"/>
        <s v="SS-NDR-G-T1-1M"/>
        <s v="SS-NDR-G-T2-1M"/>
        <s v="SS-NDR-A5-1M"/>
        <s v="SS-NDR-N5-1M"/>
        <s v="SS-NDR-NB10-1M"/>
        <s v="SS-NDR-S10-1M"/>
        <s v="SS-NDR-S5-1M"/>
        <s v="SS-NDR-S1-1M"/>
        <s v="SS-NDR-SVV5-1M"/>
        <s v="SS-NDR-SVV1-1M"/>
        <s v="SS-NDR-SCA1-1M"/>
        <s v="SS-NDR-MDNB10-1M-ASP"/>
        <s v="SS-NDR-MDN5-1M -ASP"/>
        <s v="SS-NDR-NCA10-1M"/>
        <s v="SS-NDR-NCA5-1M"/>
        <s v="SS-NDR-NCA2-1M"/>
        <s v="SS-NDR-S100MB-1M"/>
        <s v="SS-SEC-MNDR-24X7A-5GB-1M"/>
        <s v="SS-SEC-MNDR-24X7A-2GB-1M"/>
        <s v="SS-SEC-MNDR-24X7A-1GB-1M"/>
        <s v="SS-SEC-MNDR-24X7A-500MB-1M"/>
        <s v="SS-SEC-MNDR-24X7N-10GB-1M"/>
        <s v="SS-SEC-MNDR-24X7N-5GB-1M"/>
        <s v="SS-SEC-MNDR-24X7NI-10GB-1M"/>
        <s v="SS-SEC-AMNDR-SWITCH-1M"/>
        <s v="SS-MSS-ZTX-G3-1M"/>
        <s v="SS-MSS-ZTX-G2-1M"/>
        <s v="SS-MSS-ZTX-MOD-G-1M"/>
        <s v="SS-CVPATH-CloudEOS-100M-E-CVS-B-1M"/>
        <s v="SS-CVPATH-CloudEOS-1G-E-CVS-B-1M"/>
        <s v="SS-CVPATH-CloudEOS-10G-E-CVS-B-1M"/>
        <s v="SS-CVPATH-WAN4-E-CVS-B-1M"/>
        <s v="SS-CVPATH-WAN2-E-CVS-B-1M"/>
        <s v="SS-CVPATH-WAN1-E-CVS-B-1M"/>
        <s v="SDE-ENT-HO-100G-1M"/>
        <s v="SDE-ENT-HO-40G-1M"/>
        <s v="SDE-ENT-HO-10G-1M"/>
        <s v="SDE-ENT-HO-2G-1M"/>
        <s v="SDE-ENT-HO-1G-1M"/>
        <s v="SDE-ENT-HO-500M-1M"/>
        <s v="SDE-ENT-HO-200M-1M"/>
        <s v="SDE-ENT-HO-100M-1M"/>
        <s v="SDE-ENT-HO-50M-1M"/>
        <s v="SDE-ENT-HO-30M-1M"/>
        <s v="SDE-ENT-HO-10M-1M"/>
        <s v="SDE-ENT-HO-SG-10G-1M"/>
        <s v="SDE-ENT-HO-SG-2G-1M"/>
        <s v="SDE-ENT-HO-SG-1G-1M"/>
        <s v="SDE-ENT-HO-SG-500M-1M"/>
        <s v="SDE-ENT-HO-SG-200M-1M"/>
        <s v="SDE-ENT-HO-SG-100M-1M"/>
        <s v="SDE-ENT-HO-SG-50M-1M"/>
        <s v="SDE-ENT-HO-SG-30M-1M"/>
        <s v="SDE-ENT-HO-SG-10M-1M"/>
        <s v="SDE-ENT-SO-SG-10G-1M"/>
        <s v="SDE-ENT-SO-SG-2G-1M"/>
        <s v="SDE-ENT-SO-SG-1G-1M"/>
        <s v="SDE-ENT-SO-SG-500M-1M"/>
        <s v="SDE-ENT-SO-SG-200M-1M"/>
        <s v="SDE-ENT-SO-SG-100M-1M"/>
        <s v="SDE-ENT-SO-SG-50M-1M"/>
        <s v="SDE-ENT-SO-SG-30M-1M"/>
        <s v="SDE-ENT-SO-SG-10M-1M"/>
        <s v="SDE-PRE2-HO-HG-10G-1M"/>
        <s v="SDE-PRE2-HO-HG-2G-1M"/>
        <s v="SDE-PRE2-HO-HG-1G-1M"/>
        <s v="SDE-PRE2-HO-HG-500M-1M"/>
        <s v="SDE-PRE2-HO-HG-200M-1M"/>
        <s v="SDE-PRE2-HO-HG-100M-1M"/>
        <s v="SDE-PRE2-HO-HG-50M-1M"/>
        <s v="SDE-PRE2-HO-HG-30M-1M"/>
        <s v="SDE-PRE2-HO-HG-10M-1M"/>
        <s v="SDE-PRE2-HO-SG-10G-1M"/>
        <s v="SDE-PRE2-HO-SG-2G-1M"/>
        <s v="SDE-PRE2-HO-SG-1G-1M"/>
        <s v="SDE-PRE2-HO-SG-500M-1M"/>
        <s v="SDE-PRE2-HO-SG-200M-1M"/>
        <s v="SDE-PRE2-HO-SG-100M-1M"/>
        <s v="SDE-PRE2-HO-SG-50M-1M"/>
        <s v="SDE-PRE2-HO-SG-30M-1M"/>
        <s v="SDE-PRE2-HO-SG-10M-1M"/>
        <s v="SDE-PRE2-SO-SG-10G-1M"/>
        <s v="SDE-PRE2-SO-SG-2G-1M"/>
        <s v="SDE-PRE2-SO-SG-1G-1M"/>
        <s v="SDE-PRE2-SO-SG-500M-1M"/>
        <s v="SDE-PRE2-SO-SG-200M-1M"/>
        <s v="SDE-PRE2-SO-SG-100M-1M"/>
        <s v="SDE-PRE2-SO-SG-50M-1M"/>
        <s v="SDE-PRE2-SO-SG-30M-1M"/>
        <s v="SDE-PRE2-SO-SG-10M-1M"/>
        <s v="SDE-STD-HO-10G-1M"/>
        <s v="SDE-STD-HO-2G-1M"/>
        <s v="SDE-STD-HO-1G-1M"/>
        <s v="SDE-STD-HO-500M-1M"/>
        <s v="SDE-STD-HO-200M-1M"/>
        <s v="SDE-STD-HO-100M-1M"/>
        <s v="SDE-STD-HO-SG-10G-1M"/>
        <s v="SDE-STD-HO-SG-2G-1M"/>
        <s v="SDE-STD-HO-SG-1G-1M"/>
        <s v="SDE-STD-HO-SG-500M-1M"/>
        <s v="SDE-STD-HO-SG-200M-1M"/>
        <s v="SDE-STD-HO-SG-100M-1M"/>
        <s v="SDE-STD-SO-SG-10G-1M"/>
        <s v="SDE-STD-SO-SG-2G-1M"/>
        <s v="SDE-STD-SO-SG-1G-1M"/>
        <s v="SDE-STD-SO-SG-500M-1M"/>
        <s v="SDE-STD-SO-SG-200M-1M"/>
        <s v="SDE-STD-SO-SG-100M-1M"/>
        <s v="SDEX-DHG-1M"/>
        <s v="SDEX-DHO-1M"/>
        <s v="SDEX-DHVCC-DHO-1M"/>
        <s v="SDEX-PCI-SHO-1M"/>
        <s v="SDEX-NVSVPN-HG-1G-1M"/>
        <s v="SDEX-NVSVPN-HG-200M-1M"/>
        <s v="SDEX-NVSVPN-HG-2G-1M"/>
        <s v="SDEX-EFS-10G-1M"/>
        <s v="SDEX-EFS-2G-1M"/>
        <s v="SDEX-EFS-1G-1M"/>
        <s v="SDEX-EFS-500M-1M"/>
        <s v="SDEX-EFS-200M-1M"/>
        <s v="SDEX-EFS-100M-1M"/>
        <s v="SDEX-EFS-50M-1M"/>
        <s v="SDEX-EFS-30M-1M"/>
        <s v="SDEX-EFS-10M-1M"/>
        <s v="SVC-AP-1M-NB"/>
        <s v="SVC-LIC-DM-CVM-1M-NB"/>
        <s v="SVC-LIC-CC-CVMM-1M-NB"/>
        <s v="SVC-LIC-CC-CVMS-1M-NB"/>
        <s v="SVC-DCA-350E-CV-1M-NB"/>
        <s v="SVC-DCA-300-CV-1M-NB"/>
        <s v="SVC-DCA-250-CV-1M-NB"/>
        <s v="SVC-DCA-DM-RN760L-1M-NB"/>
        <s v="SVC-DCA-DM-SN760L-1M-NB"/>
        <s v="SVC-DCA-DM-RN760-1M-NB"/>
        <s v="SVC-DCA-DM-SNR660-1M-NB"/>
        <s v="SVC-DCA-DM-CDL-1M-NB"/>
        <s v="SVC-DCA-DM-SC-1M-NB"/>
        <s v="SVC-DCA-DM-SC2-1M-NB"/>
        <s v="SVC-DCA-DM-SDL-1M-NB"/>
        <s v="SVC-DCA-DM-SEL-1M-NB"/>
        <s v="SVC-DCA-DM-RA-1M-NB"/>
        <s v="SVC-DCA-DM-RA3-1M-NB"/>
        <s v="SVC-DCA-DM-AA-1M-NB"/>
        <s v="SVC-DCA-DM-AA2-1M-NB"/>
        <s v="SVC-DCA-DM-AA3-1M-NB"/>
        <s v="SVC-DCA-DM-AN450-1M-NB"/>
        <s v="SVC-DCA-DM-C450-1M-NB"/>
        <s v="SVC-DCA-CC-CB-1M-NB"/>
        <s v="SVC-DCA-CC-CBL-1M-NB"/>
        <s v="SVC-DCA-CC-CDL-1M-NB"/>
        <s v="SVC-DCA-CC-C450-1M-NB"/>
        <s v="SVC-DCA-200-CV-NB"/>
        <s v="SVC-DCA-NDR-A5-1M-NB"/>
        <s v="SVC-DCA-NDR-S10-1M-NB"/>
        <s v="SVC-DCA-NDR-S5-1M-NB"/>
        <s v="SVC-DCA-NDR-S1-1M-NB"/>
        <s v="SVC-DCA-NDR-S100MB-1M-NB"/>
        <s v="SVC-DCA-CV-100-NB"/>
        <s v="SVC-DCA-200-VEOS-NB"/>
        <s v="SVC-Q20-1M-NB"/>
        <s v="SVC-Q20-1M-RB"/>
        <s v="SVC-Q12-1M-NB"/>
        <s v="SVC-Q12-1M-RB"/>
        <s v="SVC-Q8-1M-NB"/>
        <s v="SVC-Q8-1M-RB"/>
        <s v="SVC-Q8W-1M-NB"/>
        <s v="SVC-Q8W-1M-RB"/>
        <s v="SVC-Q4-1M-4H"/>
        <s v="SVC-Q4-1M-NB"/>
        <s v="SVC-Q4-1M-RB"/>
        <s v="SVC-ZTX-7250S-1M-2H"/>
        <s v="SVC-ZTX-7250S-1M-4H"/>
        <s v="SVC-ZTX-7250S-1M-NB"/>
        <s v="SVC-ZTX-7230S-1M-2H"/>
        <s v="SVC-ZTX-7230S-1M-4H"/>
        <s v="SVC-ZTX-7230S-1M-NB"/>
        <s v="SVC-AWE-7220RP-5TH-2S-1M-2H"/>
        <s v="SVC-AWE-7220RP-5TH-2S-1M-4H"/>
        <s v="SVC-AWE-7220RP-5TH-2S-1M-NB"/>
        <s v="SVC-AWE-7230R-4TX-4S-1M-2H"/>
        <s v="SVC-AWE-7230R-4TX-4S-1M-4H"/>
        <s v="SVC-AWE-7230R-4TX-4S-1M-NB"/>
        <s v="SVC-AWE-7250R-16S-1M-2H"/>
        <s v="SVC-AWE-7250R-16S-1M-4H"/>
        <s v="SVC-AWE-7250R-16S-1M-NB"/>
        <s v="SVC-AWE-5310-2F-1M-2H"/>
        <s v="SVC-AWE-5310-2F-1M-4H"/>
        <s v="SVC-AWE-5310-2F-1M-NB"/>
        <s v="SVC-AWE-5510-2F-1M-2H"/>
        <s v="SVC-AWE-5510-2F-1M-4H"/>
        <s v="SVC-AWE-5510-2F-1M-NB"/>
        <s v="SVC-REINS-FIX"/>
        <s v="SVC-DEMO-CONV"/>
        <s v="SVC-AVD-SWITCH-1M"/>
        <s v="SVC-AVD-G-SWITCH-1M"/>
        <s v="SVC-7816LR4-1M-2H"/>
        <s v="SVC-7816LR4-1M-4H"/>
        <s v="SVC-7816LR4-1M-NB"/>
        <s v="SVC-7812R4-1M-NB"/>
        <s v="SVC-7812R4-1M-4H"/>
        <s v="SVC-7812R4-1M-2H"/>
        <s v="SVC-7812R4U-1M-2H"/>
        <s v="SVC-7812R4U-1M-4H"/>
        <s v="SVC-7812R4U-1M-NB"/>
        <s v="SVC-7808R4-1M-2H"/>
        <s v="SVC-7808R4-1M-4H"/>
        <s v="SVC-7808R4-1M-NB"/>
        <s v="SVC-7808R4U-1M-2H"/>
        <s v="SVC-7808R4U-1M-4H"/>
        <s v="SVC-7808R4U-1M-NB"/>
        <s v="SVC-7804R4-1M-2H"/>
        <s v="SVC-7804R4-1M-4H"/>
        <s v="SVC-7804R4-1M-NB"/>
        <s v="SVC-7804R4U-1M-2H"/>
        <s v="SVC-7804R4U-1M-4H"/>
        <s v="SVC-7804R4U-1M-NB"/>
        <s v="SVC-7804R3-1M-2H"/>
        <s v="SVC-7804R3-1M-4H"/>
        <s v="SVC-7804R3-1M-NB"/>
        <s v="SVC-7808R3A-1M-2H"/>
        <s v="SVC-7808R3A-1M-4H"/>
        <s v="SVC-7808R3A-1M-NB"/>
        <s v="SVC-7808R3-1M-2H"/>
        <s v="SVC-7808R3-1M-4H"/>
        <s v="SVC-7808R3-1M-NB"/>
        <s v="SVC-7812R3-1M-2H"/>
        <s v="SVC-7812R3-1M-4H"/>
        <s v="SVC-7812R3-1M-NB"/>
        <s v="SVC-7816R3-1M-2H"/>
        <s v="SVC-7816R3-1M-4H"/>
        <s v="SVC-7816R3-1M-NB"/>
        <s v="SVC-7816LR3-1M-2H"/>
        <s v="SVC-7816LR3-1M-4H"/>
        <s v="SVC-7816LR3-1M-NB"/>
        <s v="SVC-7504R3-1M-2H"/>
        <s v="SVC-7504R3-1M-4H"/>
        <s v="SVC-7504R3-1M-NB"/>
        <s v="SVC-7508R3-1M-2H"/>
        <s v="SVC-7508R3-1M-4H"/>
        <s v="SVC-7508R3-1M-NB"/>
        <s v="SVC-7512R3-1M-2H"/>
        <s v="SVC-7512R3-1M-4H"/>
        <s v="SVC-7512R3-1M-NB"/>
        <s v="SVC-7504R-1M-2H"/>
        <s v="SVC-7504R-1M-4H"/>
        <s v="SVC-7504R-1M-NB"/>
        <s v="SVC-7508R-1M-2H"/>
        <s v="SVC-7508R-1M-4H"/>
        <s v="SVC-7508R-1M-NB"/>
        <s v="SVC-7512R-1M-2H"/>
        <s v="SVC-7512R-1M-4H"/>
        <s v="SVC-7512R-1M-NB"/>
        <s v="SVC-7516R-1M-2H"/>
        <s v="SVC-7516R-1M-4H"/>
        <s v="SVC-7516R-1M-NB"/>
        <s v="SVC-7388X5-1M-4H"/>
        <s v="SVC-7388X5-1M-2H"/>
        <s v="SVC-7388X5-1M-NB"/>
        <s v="SVC-7358X4-1M-2H"/>
        <s v="SVC-7358X4-1M-4H"/>
        <s v="SVC-7358X4-1M-NB"/>
        <s v="SVC-7358X4D-1M-2H"/>
        <s v="SVC-7358X4D-1M-4H"/>
        <s v="SVC-7358X4D-1M-NB"/>
        <s v="SVC-7368X4-1M-2H"/>
        <s v="SVC-7368X4-1M-4H"/>
        <s v="SVC-7368X4-1M-NB"/>
        <s v="SVC-7368X4D-1M-2H"/>
        <s v="SVC-7368X4D-1M-4H"/>
        <s v="SVC-7368X4D-1M-NB"/>
        <s v="SVC-7304X3-2-1M-2H"/>
        <s v="SVC-7304X3-2-1M-4H"/>
        <s v="SVC-7304X3-2-1M-NB"/>
        <s v="SVC-7304X3-1M-2H"/>
        <s v="SVC-7304X3-1M-4H"/>
        <s v="SVC-7304X3-1M-NB"/>
        <s v="SVC-7304XT-1M-2H"/>
        <s v="SVC-7304XT-1M-4H"/>
        <s v="SVC-7304XT-1M-NB"/>
        <s v="SVC-7304X-1M-2H"/>
        <s v="SVC-7304X-1M-4H"/>
        <s v="SVC-7304X-1M-NB"/>
        <s v="SVC-7308X3-2-1M-2H"/>
        <s v="SVC-7308X3-2-1M-4H"/>
        <s v="SVC-7308X3-2-1M-NB"/>
        <s v="SVC-7308X3-1M-2H"/>
        <s v="SVC-7308X3-1M-4H"/>
        <s v="SVC-7308X3-1M-NB"/>
        <s v="SVC-7308XT-1M-2H"/>
        <s v="SVC-7308XT-1M-4H"/>
        <s v="SVC-7308XT-1M-NB"/>
        <s v="SVC-7308X-1M-2H"/>
        <s v="SVC-7308X-1M-4H"/>
        <s v="SVC-7308X-1M-NB"/>
        <s v="SVC-7324X-1M-2H"/>
        <s v="SVC-7324X-1M-4H"/>
        <s v="SVC-7324X-1M-NB"/>
        <s v="SVC-7328X-1M-2H"/>
        <s v="SVC-7328X-1M-4H"/>
        <s v="SVC-7328X-1M-NB"/>
        <s v="SVC-DS-7720R4-128-1M-2H"/>
        <s v="SVC-DS-7720R4-128-1M-4H"/>
        <s v="SVC-DS-7720R4-128-1M-NB"/>
        <s v="SVC-DS-7720R4-128-DC-1M-NB"/>
        <s v="SVC-DL-7700R4C-38PE-B-1M-2H"/>
        <s v="SVC-DL-7700R4C-38PE-B-1M-4H"/>
        <s v="SVC-DL-7700R4C-38PE-B-1M-NB"/>
        <s v="SVC-DL-7700R4C-38PE-DC-B-1M-NB"/>
        <s v="SVC-DL-7700R4K-38PE-B-1M-2H"/>
        <s v="SVC-DL-7700R4K-38PE-B-1M-4H"/>
        <s v="SVC-DL-7700R4K-38PE-B-1M-NB"/>
        <s v="SVC-7280R4-32PE-1M-NB"/>
        <s v="SVC-7280R4-32PE-1M-4H"/>
        <s v="SVC-7280R4-32PE-1M-2H"/>
        <s v="SVC-7280R4K-32PE-1M-NB"/>
        <s v="SVC-7280R4K-32PE-1M-4H"/>
        <s v="SVC-7280R4K-32PE-1M-2H"/>
        <s v="SVC-7280R4-32DE-1M-NB"/>
        <s v="SVC-7280R4-32DE-1M-4H"/>
        <s v="SVC-7280R4-32DE-1M-2H"/>
        <s v="SVC-7280R4K-32DE-1M-NB"/>
        <s v="SVC-7280R4K-32DE-1M-4H"/>
        <s v="SVC-7280R4K-32DE-1M-2H"/>
        <s v="SVC-7280R4-64QC-10PE-1M-NB"/>
        <s v="SVC-7280R4-64QC-10PE-1M-4H"/>
        <s v="SVC-7280R4-64QC-10PE-1M-2H"/>
        <s v="SVC-7280R4K-64QC-10PE-1M-NB"/>
        <s v="SVC-7280R4K-64QC-10PE-1M-4H"/>
        <s v="SVC-7280R4K-64QC-10PE-1M-2H"/>
        <s v="SVC-7289R3A-1M-2H"/>
        <s v="SVC-7289R3A-1M-4H"/>
        <s v="SVC-7289R3A-1M-NB"/>
        <s v="SVC-7289R3AM-1M-2H"/>
        <s v="SVC-7289R3AM-1M-4H"/>
        <s v="SVC-7289R3AM-1M-NB"/>
        <s v="SVC-7289R3AK-1M-2H"/>
        <s v="SVC-7289R3AK-1M-4H"/>
        <s v="SVC-7289R3AK-1M-NB"/>
        <s v="SVC-7280PR3-24-1M-2H"/>
        <s v="SVC-7280PR3-24-1M-4H"/>
        <s v="SVC-7280PR3-24-1M-NB"/>
        <s v="SVC-7280PR3-24M-1M-2H"/>
        <s v="SVC-7280PR3-24M-1M-4H"/>
        <s v="SVC-7280PR3-24M-1M-NB"/>
        <s v="SVC-7280PR3K-24-1M-2H"/>
        <s v="SVC-7280PR3K-24-1M-4H"/>
        <s v="SVC-7280PR3K-24-1M-NB"/>
        <s v="SVC-7280DR3A-54-1M-2H"/>
        <s v="SVC-7280DR3A-54-1M-4H"/>
        <s v="SVC-7280DR3A-54-1M-NB"/>
        <s v="SVC-7280DR3AM-54-1M-2H"/>
        <s v="SVC-7280DR3AM-54-1M-4H"/>
        <s v="SVC-7280DR3AM-54-1M-NB"/>
        <s v="SVC-7280DR3AK-54-1M-2H"/>
        <s v="SVC-7280DR3AK-54-1M-4H"/>
        <s v="SVC-7280DR3AK-54-1M-NB"/>
        <s v="SVC-7280DR3A-36-1M-2H"/>
        <s v="SVC-7280DR3A-36-1M-4H"/>
        <s v="SVC-7280DR3A-36-1M-NB"/>
        <s v="SVC-7280DR3AM-36-1M-2H"/>
        <s v="SVC-7280DR3AM-36-1M-4H"/>
        <s v="SVC-7280DR3AM-36-1M-NB"/>
        <s v="SVC-7280DR3AK-36-1M-2H"/>
        <s v="SVC-7280DR3AK-36-1M-4H"/>
        <s v="SVC-7280DR3AK-36-1M-NB"/>
        <s v="SVC-7280DR3AK-36S-1M-2H"/>
        <s v="SVC-7280DR3AK-36S-1M-4H"/>
        <s v="SVC-7280DR3AK-36S-1M-NB"/>
        <s v="SVC-7280DR3-24-1M-2H"/>
        <s v="SVC-7280DR3-24-1M-4H"/>
        <s v="SVC-7280DR3-24-1M-NB"/>
        <s v="SVC-7280DR3-24M-1M-2H"/>
        <s v="SVC-7280DR3-24M-1M-4H"/>
        <s v="SVC-7280DR3-24M-1M-NB"/>
        <s v="SVC-7280DR3K-24-1M-2H"/>
        <s v="SVC-7280DR3K-24-1M-4H"/>
        <s v="SVC-7280DR3K-24-1M-NB"/>
        <s v="SVC-7280CR3A-72-1M-2H"/>
        <s v="SVC-7280CR3A-72-1M-4H"/>
        <s v="SVC-7280CR3A-72-1M-NB"/>
        <s v="SVC-7280CR3AM-72-1M-2H"/>
        <s v="SVC-7280CR3AM-72-1M-4H"/>
        <s v="SVC-7280CR3AM-72-1M-NB"/>
        <s v="SVC-7280CR3AK-72-1M-2H"/>
        <s v="SVC-7280CR3AK-72-1M-4H"/>
        <s v="SVC-7280CR3AK-72-1M-NB"/>
        <s v="SVC-7280CR3A-48D6-1M-2H"/>
        <s v="SVC-7280CR3A-48D6-1M-4H"/>
        <s v="SVC-7280CR3A-48D6-1M-NB"/>
        <s v="SVC-7280CR3AM-48D6-1M-2H"/>
        <s v="SVC-7280CR3AM-48D6-1M-4H"/>
        <s v="SVC-7280CR3AM-48D6-1M-NB"/>
        <s v="SVC-7280CR3AK-48D6-1M-2H"/>
        <s v="SVC-7280CR3AK-48D6-1M-4H"/>
        <s v="SVC-7280CR3AK-48D6-1M-NB"/>
        <s v="SVC-7280CR3A-32S-1M-2H"/>
        <s v="SVC-7280CR3A-32S-1M-4H"/>
        <s v="SVC-7280CR3A-32S-1M-NB"/>
        <s v="SVC-7280CR3AK-32S-1M-2H"/>
        <s v="SVC-7280CR3AK-32S-1M-4H"/>
        <s v="SVC-7280CR3AK-32S-1M-NB"/>
        <s v="SVC-7280CR3AM-32S-1M-2H"/>
        <s v="SVC-7280CR3AM-32S-1M-4H"/>
        <s v="SVC-7280CR3AM-32S-1M-NB"/>
        <s v="SVC-7280SR3E-40YC6M-1M-2H"/>
        <s v="SVC-7280SR3E-40YC6M-1M-4H"/>
        <s v="SVC-7280SR3E-40YC6M-1M-NB"/>
        <s v="SVC-7280SR3A-48YC8-1M-2H"/>
        <s v="SVC-7280SR3A-48YC8-1M-4H"/>
        <s v="SVC-7280SR3A-48YC8-1M-NB"/>
        <s v="SVC-7280SR3AK-48YC8-1M-2H"/>
        <s v="SVC-7280SR3AK-48YC8-1M-4H"/>
        <s v="SVC-7280SR3AK-48YC8-1M-NB"/>
        <s v="SVC-7280SR3AM-48YC8-1M-2H"/>
        <s v="SVC-7280SR3AM-48YC8-1M-4H"/>
        <s v="SVC-7280SR3AM-48YC8-1M-NB"/>
        <s v="SVC-7280CR3-32P4-1M-2H"/>
        <s v="SVC-7280CR3-32P4-1M-4H"/>
        <s v="SVC-7280CR3-32P4-1M-NB"/>
        <s v="SVC-7280CR3-32P4M-1M-2H"/>
        <s v="SVC-7280CR3-32P4M-1M-4H"/>
        <s v="SVC-7280CR3-32P4M-1M-NB"/>
        <s v="SVC-7280CR3K-32P4-1M-2H"/>
        <s v="SVC-7280CR3K-32P4-1M-4H"/>
        <s v="SVC-7280CR3K-32P4-1M-NB"/>
        <s v="SVC-7280CR3K-32D4A-1M-2H"/>
        <s v="SVC-7280CR3K-32D4A-1M-4H"/>
        <s v="SVC-7280CR3K-32D4A-1M-NB"/>
        <s v="SVC-7280CR3K-32P4A-1M-2H"/>
        <s v="SVC-7280CR3K-32P4A-1M-4H"/>
        <s v="SVC-7280CR3K-32P4A-1M-NB"/>
        <s v="SVC-7280CR3K-36A-1M-2H"/>
        <s v="SVC-7280CR3K-36A-1M-4H"/>
        <s v="SVC-7280CR3K-36A-1M-NB"/>
        <s v="SVC-7280CR3K-36S-1M-2H"/>
        <s v="SVC-7280CR3K-36S-1M-4H"/>
        <s v="SVC-7280CR3K-36S-1M-NB"/>
        <s v="SVC-7280CR3-32D4-1M-2H"/>
        <s v="SVC-7280CR3-32D4-1M-4H"/>
        <s v="SVC-7280CR3-32D4-1M-NB"/>
        <s v="SVC-7280CR3-32D4M-1M-2H"/>
        <s v="SVC-7280CR3-32D4M-1M-4H"/>
        <s v="SVC-7280CR3-32D4M-1M-NB"/>
        <s v="SVC-7280CR3K-32D4-1M-2H"/>
        <s v="SVC-7280CR3K-32D4-1M-4H"/>
        <s v="SVC-7280CR3K-32D4-1M-NB"/>
        <s v="SVC-7280CR3MK-32D4A-1M-2H"/>
        <s v="SVC-7280CR3MK-32D4A-1M-4H"/>
        <s v="SVC-7280CR3MK-32D4A-1M-NB"/>
        <s v="SVC-7280CR3MK-32P4S-1M-2H"/>
        <s v="SVC-7280CR3MK-32P4S-1M-4H"/>
        <s v="SVC-7280CR3MK-32P4S-1M-NB"/>
        <s v="SVC-7280CR3-36S-1M-2H"/>
        <s v="SVC-7280CR3-36S-1M-4H"/>
        <s v="SVC-7280CR3-36S-1M-NB"/>
        <s v="SVC-7280CR3A-24D12-1M-2H"/>
        <s v="SVC-7280CR3A-24D12-1M-4H"/>
        <s v="SVC-7280CR3A-24D12-1M-NB"/>
        <s v="SVC-7280CR3AK-24D12-1M-2H"/>
        <s v="SVC-7280CR3AK-24D12-1M-4H"/>
        <s v="SVC-7280CR3AK-24D12-1M-NB"/>
        <s v="SVC-7280CR3AK-24D12S-1M-2H"/>
        <s v="SVC-7280CR3AK-24D12S-1M-4H"/>
        <s v="SVC-7280CR3AK-24D12S-1M-NB"/>
        <s v="SVC-7280CR3AM-24D12-1M-2H"/>
        <s v="SVC-7280CR3AM-24D12-1M-4H"/>
        <s v="SVC-7280CR3AM-24D12-1M-NB"/>
        <s v="SVC-7280SR3E-40YC6-1M-2H"/>
        <s v="SVC-7280SR3E-40YC6-1M-4H"/>
        <s v="SVC-7280SR3E-40YC6-1M-NB"/>
        <s v="SVC-7280SR3-40YC6-1M-2H"/>
        <s v="SVC-7280SR3-40YC6-1M-4H"/>
        <s v="SVC-7280SR3-40YC6-1M-NB"/>
        <s v="SVC-7280SR3-48YC8-1M-2H"/>
        <s v="SVC-7280SR3-48YC8-1M-4H"/>
        <s v="SVC-7280SR3-48YC8-1M-NB"/>
        <s v="SVC-7280SR3K-48YC8A-1M-2H"/>
        <s v="SVC-7280SR3K-48YC8A-1M-4H"/>
        <s v="SVC-7280SR3K-48YC8A-1M-NB"/>
        <s v="SVC-7280SR3K-48YC8-1M-2H"/>
        <s v="SVC-7280SR3K-48YC8-1M-4H"/>
        <s v="SVC-7280SR3K-48YC8-1M-NB"/>
        <s v="SVC-7280SR3M-48YC8-1M-2H"/>
        <s v="SVC-7280SR3M-48YC8-1M-4H"/>
        <s v="SVC-7280SR3M-48YC8-1M-NB"/>
        <s v="SVC-7280SR3MK-48YC8A-1M-2H"/>
        <s v="SVC-7280SR3MK-48YC8A-1M-4H"/>
        <s v="SVC-7280SR3MK-48YC8A-1M-NB"/>
        <s v="SVC-7280CR3MK-32D4S-1M-2H"/>
        <s v="SVC-7280CR3MK-32D4S-1M-4H"/>
        <s v="SVC-7280CR3MK-32D4S-1M-NB"/>
        <s v="SVC-7280CR3-96-1M-2H"/>
        <s v="SVC-7280CR3-96-1M-4H"/>
        <s v="SVC-7280CR3-96-1M-NB"/>
        <s v="SVC-7280CR3K-96-1M-2H"/>
        <s v="SVC-7280CR3K-96-1M-4H"/>
        <s v="SVC-7280CR3K-96-1M-NB"/>
        <s v="SVC-7280CR2-60-1M-2H"/>
        <s v="SVC-7280CR2-60-1M-4H"/>
        <s v="SVC-7280CR2-60-1M-NB"/>
        <s v="SVC-7280CR2A-60-1M-2H"/>
        <s v="SVC-7280CR2A-60-1M-4H"/>
        <s v="SVC-7280CR2A-60-1M-NB"/>
        <s v="SVC-7280CR2K-60-1M-2H"/>
        <s v="SVC-7280CR2K-60-1M-4H"/>
        <s v="SVC-7280CR2K-60-1M-NB"/>
        <s v="SVC-7280CR2A-30-1M-2H"/>
        <s v="SVC-7280CR2A-30-1M-4H"/>
        <s v="SVC-7280CR2A-30-1M-NB"/>
        <s v="SVC-7280CR2K-30-1M-2H"/>
        <s v="SVC-7280CR2K-30-1M-4H"/>
        <s v="SVC-7280CR2K-30-1M-NB"/>
        <s v="SVC-7280CR2M-30-1M-2H"/>
        <s v="SVC-7280CR2M-30-1M-4H"/>
        <s v="SVC-7280CR2M-30-1M-NB"/>
        <s v="SVC-7280CR-48-1M-2H"/>
        <s v="SVC-7280CR-48-1M-4H"/>
        <s v="SVC-7280CR-48-1M-NB"/>
        <s v="SVC-7280QR-36-1M-2H"/>
        <s v="SVC-7280QR-36-1M-4H"/>
        <s v="SVC-7280QR-36-1M-NB"/>
        <s v="SVC-7280QR-36M-1M-2H"/>
        <s v="SVC-7280QR-36M-1M-4H"/>
        <s v="SVC-7280QR-36M-1M-NB"/>
        <s v="SVC-7280QRA-36S-1M-2H"/>
        <s v="SVC-7280QRA-36S-1M-4H"/>
        <s v="SVC-7280QRA-36S-1M-NB"/>
        <s v="SVC-7280QRA-36SM-1M-2H"/>
        <s v="SVC-7280QRA-36SM-1M-4H"/>
        <s v="SVC-7280QRA-36SM-1M-NB"/>
        <s v="SVC-7280QR-C72-1M-2H"/>
        <s v="SVC-7280QR-C72-1M-4H"/>
        <s v="SVC-7280QR-C72-1M-NB"/>
        <s v="SVC-7280QR-C72M-1M-2H"/>
        <s v="SVC-7280QR-C72M-1M-4H"/>
        <s v="SVC-7280QR-C72M-1M-NB"/>
        <s v="SVC-7280SR2A-48YC6-1M-2H"/>
        <s v="SVC-7280SR2A-48YC6-1M-4H"/>
        <s v="SVC-7280SR2A-48YC6-1M-NB"/>
        <s v="SVC-7280SR2A-48YC6M-1M-2H"/>
        <s v="SVC-7280SR2A-48YC6M-1M-4H"/>
        <s v="SVC-7280SR2A-48YC6M-1M-NB"/>
        <s v="SVC-7280SR2-48YC6-1M-2H"/>
        <s v="SVC-7280SR2-48YC6-1M-4H"/>
        <s v="SVC-7280SR2-48YC6-1M-NB"/>
        <s v="SVC-7280SR2-48YC6M-1M-2H"/>
        <s v="SVC-7280SR2-48YC6M-1M-4H"/>
        <s v="SVC-7280SR2-48YC6M-1M-NB"/>
        <s v="SVC-7280SR2K-48C6M-1M-2H"/>
        <s v="SVC-7280SR2K-48C6M-1M-4H"/>
        <s v="SVC-7280SR2K-48C6M-1M-NB"/>
        <s v="SVC-7280SRM-40CX2-1M-2H"/>
        <s v="SVC-7280SRM-40CX2-1M-4H"/>
        <s v="SVC-7280SRM-40CX2-1M-NB"/>
        <s v="SVC-7280SRAM-48C6-1M-2H"/>
        <s v="SVC-7280SRAM-48C6-1M-4H"/>
        <s v="SVC-7280SRAM-48C6-1M-NB"/>
        <s v="SVC-7280SRA-48C6-1M-2H"/>
        <s v="SVC-7280SRA-48C6-1M-4H"/>
        <s v="SVC-7280SRA-48C6-1M-NB"/>
        <s v="SVC-7280SRA-48C6M-1M-2H"/>
        <s v="SVC-7280SRA-48C6M-1M-4H"/>
        <s v="SVC-7280SRA-48C6M-1M-NB"/>
        <s v="SVC-7280SR-48C6-1M-2H"/>
        <s v="SVC-7280SR-48C6-1M-4H"/>
        <s v="SVC-7280SR-48C6-1M-NB"/>
        <s v="SVC-7280SR-48C6M-1M-2H"/>
        <s v="SVC-7280SR-48C6M-1M-4H"/>
        <s v="SVC-7280SR-48C6M-1M-NB"/>
        <s v="SVC-7280TRA-48C6-1M-2H"/>
        <s v="SVC-7280TRA-48C6-1M-4H"/>
        <s v="SVC-7280TRA-48C6-1M-NB"/>
        <s v="SVC-7280TRA-48C6M-1M-2H"/>
        <s v="SVC-7280TRA-48C6M-1M-4H"/>
        <s v="SVC-7280TRA-48C6M-1M-NB"/>
        <s v="SVC-7280TR-48C6-1M-2H"/>
        <s v="SVC-7280TR-48C6-1M-4H"/>
        <s v="SVC-7280TR-48C6-1M-NB"/>
        <s v="SVC-7280TR-48C6M-1M-2H"/>
        <s v="SVC-7280TR-48C6M-1M-4H"/>
        <s v="SVC-7280TR-48C6M-1M-NB"/>
        <s v="SVC-7280TR3-40C6-1M-2H"/>
        <s v="SVC-7280TR3-40C6-1M-4H"/>
        <s v="SVC-7280TR3-40C6-1M-NB"/>
        <s v="SVC-7260CX-64-1M-NB"/>
        <s v="SVC-7260CX-64-1M-4H"/>
        <s v="SVC-7260CX-64-1M-2H"/>
        <s v="SVC-7260CX3-64-1M-NB"/>
        <s v="SVC-7260CX3-64-1M-4H"/>
        <s v="SVC-7260CX3-64-1M-2H"/>
        <s v="SVC-7260CX3-64E-1M-NB"/>
        <s v="SVC-7260CX3-64E-1M-4H"/>
        <s v="SVC-7260CX3-64E-1M-2H"/>
        <s v="SVC-7170B-64C-1M-2H"/>
        <s v="SVC-7170B-64C-1M-4H"/>
        <s v="SVC-7170B-64C-1M-NB"/>
        <s v="SVC-7170-64C-1M-2H"/>
        <s v="SVC-7170-64C-1M-4H"/>
        <s v="SVC-7170-64C-1M-NB"/>
        <s v="SVC-7170-64CM-1M-2H"/>
        <s v="SVC-7170-64CM-1M-4H"/>
        <s v="SVC-7170-64CM-1M-NB"/>
        <s v="SVC-7170-32C-1M-2H"/>
        <s v="SVC-7170-32C-1M-4H"/>
        <s v="SVC-7170-32C-1M-NB"/>
        <s v="SVC-7170-32CM-1M-2H"/>
        <s v="SVC-7170-32CM-1M-4H"/>
        <s v="SVC-7170-32CM-1M-NB"/>
        <s v="SVC-7170-32CD-1M-2H"/>
        <s v="SVC-7170-32CD-1M-4H"/>
        <s v="SVC-7170-32CD-1M-NB"/>
        <s v="SVC-7130LBR-48S6YD-1M-2H"/>
        <s v="SVC-7130LBR-48S6YD-1M-4H"/>
        <s v="SVC-7130LBR-48S6YD-1M-NB"/>
        <s v="SVC-7135LB-48Y4C-1M-2H"/>
        <s v="SVC-7135LB-48Y4C-1M-4H"/>
        <s v="SVC-7135LB-48Y4C-1M-NB"/>
        <s v="SVC-7132LB-48Y4C-1M-2H"/>
        <s v="SVC-7132LB-48Y4C-1M-4H"/>
        <s v="SVC-7132LB-48Y4C-1M-NB"/>
        <s v="SVC-7130-16G3S-1M-2H"/>
        <s v="SVC-7130-16G3S-1M-4H"/>
        <s v="SVC-7130-16G3S-1M-NB"/>
        <s v="SVC-7130LBR-48S6QD-1M-2H"/>
        <s v="SVC-7130LBR-48S6QD-1M-4H"/>
        <s v="SVC-7130LBR-48S6QD-1M-NB"/>
        <s v="SVC-7130-48G3S-1M-2H"/>
        <s v="SVC-7130-48G3S-1M-4H"/>
        <s v="SVC-7130-48G3S-1M-NB"/>
        <s v="SVC-7130-48EHS-1M-2H"/>
        <s v="SVC-7130-48EHS-1M-4H"/>
        <s v="SVC-7130-48EHS-1M-NB"/>
        <s v="SVC-7130-48LA-1M-2H"/>
        <s v="SVC-7130-48LA-1M-4H"/>
        <s v="SVC-7130-48LA-1M-NB"/>
        <s v="SVC-7130-48LBA-1M-2H"/>
        <s v="SVC-7130-48LBA-1M-4H"/>
        <s v="SVC-7130-48LBA-1M-NB"/>
        <s v="SVC-7130-48LS-1M-2H"/>
        <s v="SVC-7130-48LS-1M-4H"/>
        <s v="SVC-7130-48LS-1M-NB"/>
        <s v="SVC-7130-48LAS-1M-2H"/>
        <s v="SVC-7130-48LAS-1M-4H"/>
        <s v="SVC-7130-48LAS-1M-NB"/>
        <s v="SVC-7130-48LBS-1M-2H"/>
        <s v="SVC-7130-48LBS-1M-4H"/>
        <s v="SVC-7130-48LBS-1M-NB"/>
        <s v="SVC-7130-48LBAS-1M-2H"/>
        <s v="SVC-7130-48LBAS-1M-4H"/>
        <s v="SVC-7130-48LBAS-1M-NB"/>
        <s v="SVC-7130-96-1M-2H"/>
        <s v="SVC-7130-96-1M-4H"/>
        <s v="SVC-7130-96-1M-NB"/>
        <s v="SVC-7130-96L-1M-2H"/>
        <s v="SVC-7130-96L-1M-4H"/>
        <s v="SVC-7130-96L-1M-NB"/>
        <s v="SVC-7130-96LA-1M-2H"/>
        <s v="SVC-7130-96LA-1M-4H"/>
        <s v="SVC-7130-96LA-1M-NB"/>
        <s v="SVC-7130-96LB-1M-2H"/>
        <s v="SVC-7130-96LB-1M-4H"/>
        <s v="SVC-7130-96LB-1M-NB"/>
        <s v="SVC-7130-96LBA-1M-2H"/>
        <s v="SVC-7130-96LBA-1M-4H"/>
        <s v="SVC-7130-96LBA-1M-NB"/>
        <s v="SVC-7130-96S-1M-2H"/>
        <s v="SVC-7130-96S-1M-4H"/>
        <s v="SVC-7130-96S-1M-NB"/>
        <s v="SVC-7130-96LS-1M-NB"/>
        <s v="SVC-7130-96LS-1M-4H"/>
        <s v="SVC-7130-96LS-1M-2H"/>
        <s v="SVC-7130-96LBS-1M-NB"/>
        <s v="SVC-7130-96LBS-1M-4H"/>
        <s v="SVC-7130-96LBS-1M-2H"/>
        <s v="SVC-7130-96LAS-1M-NB"/>
        <s v="SVC-7130-96LAS-1M-4H"/>
        <s v="SVC-7130-96LAS-1M-2H"/>
        <s v="SVC-7060X6-64PE-B-1M-2H"/>
        <s v="SVC-7060X6-64PE-B-1M-4H"/>
        <s v="SVC-7060X6-64PE-B-1M-NB"/>
        <s v="SVC-7060X6-32PE-1M-2H"/>
        <s v="SVC-7060X6-32PE-1M-4H"/>
        <s v="SVC-7060X6-32PE-1M-NB"/>
        <s v="SVC-7060X6-64PE-1M-2H"/>
        <s v="SVC-7060X6-64PE-1M-4H"/>
        <s v="SVC-7060X6-64PE-1M-NB"/>
        <s v="SVC-7060CX5-56D8-1M-2H"/>
        <s v="SVC-7060CX5-56D8-1M-4H"/>
        <s v="SVC-7060CX5-56D8-1M-NB"/>
        <s v="SVC-7060CX2-32S-1M-2H"/>
        <s v="SVC-7060CX2-32S-1M-4H"/>
        <s v="SVC-7060CX2-32S-1M-NB"/>
        <s v="SVC-7060CX-32S-1M-2H"/>
        <s v="SVC-7060CX-32S-1M-4H"/>
        <s v="SVC-7060CX-32S-1M-NB"/>
        <s v="SVC-7060SX2-48YC6-1M-2H"/>
        <s v="SVC-7060SX2-48YC6-1M-4H"/>
        <s v="SVC-7060SX2-48YC6-1M-NB"/>
        <s v="SVC-7060PX5-64E-1M-2H"/>
        <s v="SVC-7060PX5-64E-1M-4H"/>
        <s v="SVC-7060PX5-64E-1M-NB"/>
        <s v="SVC-7060PX4-32-1M-2H"/>
        <s v="SVC-7060PX4-32-1M-4H"/>
        <s v="SVC-7060PX4-32-1M-NB"/>
        <s v="SVC-7060DX4-32C-1M-2H"/>
        <s v="SVC-7060DX4-32C-1M-4H"/>
        <s v="SVC-7060DX4-32C-1M-NB"/>
        <s v="SVC-7060DX4-32-1M-2H"/>
        <s v="SVC-7060DX4-32-1M-4H"/>
        <s v="SVC-7060DX4-32-1M-NB"/>
        <s v="SVC-7060DX5-64S-1M-2H"/>
        <s v="SVC-7060DX5-64S-1M-4H"/>
        <s v="SVC-7060DX5-64S-1M-NB"/>
        <s v="SVC-7060DX5-64-1M-2H"/>
        <s v="SVC-7060DX5-64-1M-4H"/>
        <s v="SVC-7060DX5-64-1M-NB"/>
        <s v="SVC-7060DX5-64E-1M-2H"/>
        <s v="SVC-7060DX5-64E-1M-4H"/>
        <s v="SVC-7060DX5-64E-1M-NB"/>
        <s v="SVC-7060DX5-32-1M-2H"/>
        <s v="SVC-7060DX5-32-1M-4H"/>
        <s v="SVC-7060DX5-32-1M-NB"/>
        <s v="SVC-7050SPX4-48D8-1M-NB"/>
        <s v="SVC-7050SPX4-48D8-1M-4H"/>
        <s v="SVC-7050SPX4-48D8-1M-2H"/>
        <s v="SVC-7050SDX4-48D8-1M-2H"/>
        <s v="SVC-7050SDX4-48D8-1M-4H"/>
        <s v="SVC-7050SDX4-48D8-1M-NB"/>
        <s v="SVC-7050DX4M-32S-1M-2H"/>
        <s v="SVC-7050DX4M-32S-1M-4H"/>
        <s v="SVC-7050DX4M-32S-1M-NB"/>
        <s v="SVC-7050DX4-32S-1M-2H"/>
        <s v="SVC-7050DX4-32S-1M-4H"/>
        <s v="SVC-7050DX4-32S-1M-NB"/>
        <s v="SVC-7050PX4-32S-1M-2H"/>
        <s v="SVC-7050PX4-32S-1M-4H"/>
        <s v="SVC-7050PX4-32S-1M-NB"/>
        <s v="SVC-7050CX4-24D8-1M-2H"/>
        <s v="SVC-7050CX4-24D8-1M-4H"/>
        <s v="SVC-7050CX4-24D8-1M-NB"/>
        <s v="SVC-7050CX4M-48D8-1M-2H"/>
        <s v="SVC-7050CX4M-48D8-1M-4H"/>
        <s v="SVC-7050CX4M-48D8-1M-NB"/>
        <s v="SVC-7050X4-48Y-4DF-1M-2H"/>
        <s v="SVC-7050X4-48Y-4DF-1M-4H"/>
        <s v="SVC-7050X4-48Y-4DF-1M-NB"/>
        <s v="SVC-7050SX3-24YC4CS-1M-2H"/>
        <s v="SVC-7050SX3-24YC4CS-1M-4H"/>
        <s v="SVC-7050SX3-24YC4CS-1M-NB"/>
        <s v="SVC-7050SX3-96YC8-1M-2H"/>
        <s v="SVC-7050SX3-96YC8-1M-4H"/>
        <s v="SVC-7050SX3-96YC8-1M-NB"/>
        <s v="SVC-7050SX3-48C8C-1M-2H"/>
        <s v="SVC-7050SX3-48C8C-1M-4H"/>
        <s v="SVC-7050SX3-48C8C-1M-NB"/>
        <s v="SVC-7050SX3-48C8-1M-2H"/>
        <s v="SVC-7050SX3-48C8-1M-4H"/>
        <s v="SVC-7050SX3-48C8-1M-NB"/>
        <s v="SVC-7050SX3-48YC8C-1M-2H"/>
        <s v="SVC-7050SX3-48YC8C-1M-4H"/>
        <s v="SVC-7050SX3-48YC8C-1M-NB"/>
        <s v="SVC-7050SX3-48YC8-1M-2H"/>
        <s v="SVC-7050SX3-48YC8-1M-4H"/>
        <s v="SVC-7050SX3-48YC8-1M-NB"/>
        <s v="SVC-7050SX3-48YC12-1M-2H"/>
        <s v="SVC-7050SX3-48YC12-1M-4H"/>
        <s v="SVC-7050SX3-48YC12-1M-NB"/>
        <s v="SVC-7050CX3M-32S-1M-2H"/>
        <s v="SVC-7050CX3M-32S-1M-4H"/>
        <s v="SVC-7050CX3M-32S-1M-NB"/>
        <s v="SVC-7050CX3-32SD-1M-2H"/>
        <s v="SVC-7050CX3-32SD-1M-4H"/>
        <s v="SVC-7050CX3-32SD-1M-NB"/>
        <s v="SVC-7050CX3-32S-1M-2H"/>
        <s v="SVC-7050CX3-32S-1M-4H"/>
        <s v="SVC-7050CX3-32S-1M-NB"/>
        <s v="SVC-7050CX3-32C-1M-2H"/>
        <s v="SVC-7050CX3-32C-1M-4H"/>
        <s v="SVC-7050CX3-32C-1M-NB"/>
        <s v="SVC-7050TX3-48C8-1M-2H"/>
        <s v="SVC-7050TX3-48C8-1M-4H"/>
        <s v="SVC-7050TX3-48C8-1M-NB"/>
        <s v="SVC-7020R4-48TX4QC-1M-2H"/>
        <s v="SVC-7020R4-48TX4QC-1M-4H"/>
        <s v="SVC-7020R4-48TX4QC-1M-NB"/>
        <s v="SVC-7020R4-48Y4QC-1M-2H"/>
        <s v="SVC-7020R4-48Y4QC-1M-4H"/>
        <s v="SVC-7020R4-48Y4QC-1M-NB"/>
        <s v="SVC-7020R4-48Y8QC-1M-2H"/>
        <s v="SVC-7020R4-48Y8QC-1M-4H"/>
        <s v="SVC-7020R4-48Y8QC-1M-NB"/>
        <s v="SVC-7020R4M-48TX4QC-1M-2H"/>
        <s v="SVC-7020R4M-48TX4QC-1M-4H"/>
        <s v="SVC-7020R4M-48TX4QC-1M-NB"/>
        <s v="SVC-7020R4M-48Y4QC-1M-2H"/>
        <s v="SVC-7020R4M-48Y4QC-1M-4H"/>
        <s v="SVC-7020R4M-48Y4QC-1M-NB"/>
        <s v="SVC-7020R4M-48Y8QC-1M-2H"/>
        <s v="SVC-7020R4M-48Y8QC-1M-4H"/>
        <s v="SVC-7020R4M-48Y8QC-1M-NB"/>
        <s v="SVC-7020SR-32C2-1M-2H"/>
        <s v="SVC-7020SR-32C2-1M-4H"/>
        <s v="SVC-7020SR-32C2-1M-NB"/>
        <s v="SVC-7020SRG-24C2-1M-2H"/>
        <s v="SVC-7020SRG-24C2-1M-4H"/>
        <s v="SVC-7020SRG-24C2-1M-NB"/>
        <s v="SVC-7020SR-24C2-1M-2H"/>
        <s v="SVC-7020SR-24C2-1M-4H"/>
        <s v="SVC-7020SR-24C2-1M-NB"/>
        <s v="SVC-7010TX-48C-O3A-1M-2H"/>
        <s v="SVC-7010TX-48C-O3A-1M-4H"/>
        <s v="SVC-7010TX-48C-O3A-1M-NB"/>
        <s v="SVC-7010TX-48C-O3-1M-2H"/>
        <s v="SVC-7010TX-48C-O3-1M-4H"/>
        <s v="SVC-7010TX-48C-O3-1M-NB"/>
        <s v="SVC-7010TX-48C-DC-1M-2H"/>
        <s v="SVC-7010TX-48C-DC-1M-4H"/>
        <s v="SVC-7010TX-48C-DC-1M-NB"/>
        <s v="SVC-7010TX-48C-1M-2H"/>
        <s v="SVC-7010TX-48C-1M-4H"/>
        <s v="SVC-7010TX-48C-1M-NB"/>
        <s v="SVC-7010TX-48-1M-2H"/>
        <s v="SVC-7010TX-48-1M-4H"/>
        <s v="SVC-7010TX-48-1M-NB"/>
        <s v="SVC-7010TX-48DC-1M-2H"/>
        <s v="SVC-7010TX-48DC-1M-4H"/>
        <s v="SVC-7010TX-48DC-1M-NB"/>
        <s v="SVC-7010T-1M-2H"/>
        <s v="SVC-7010T-1M-4H"/>
        <s v="SVC-7010T-1M-NB"/>
        <s v="SVC-7010TDC-1M-2H"/>
        <s v="SVC-7010TDC-1M-4H"/>
        <s v="SVC-7010TDC-1M-NB"/>
        <s v="SVC-7020TRA-48-1M-2H"/>
        <s v="SVC-7020TRA-48-1M-4H"/>
        <s v="SVC-7020TRA-48-1M-NB"/>
        <s v="SVC-7020TR-48-1M-2H"/>
        <s v="SVC-7020TR-48-1M-4H"/>
        <s v="SVC-7020TR-48-1M-NB"/>
        <s v="SVC-755XP-1M-2H"/>
        <s v="SVC-755XP-1M-4H"/>
        <s v="SVC-755XP-1M-NB"/>
        <s v="SVC-755XP-1M-RB"/>
        <s v="SVC-758XP-1M-2H"/>
        <s v="SVC-758XP-1M-4H"/>
        <s v="SVC-758XP-1M-NB"/>
        <s v="SVC-758XP-1M-RB"/>
        <s v="SVC-710P-12-1M-2H"/>
        <s v="SVC-710P-12-1M-4H"/>
        <s v="SVC-710P-12-1M-NB"/>
        <s v="SVC-710P-12-1M-RB"/>
        <s v="SVC-710XP-12TH-1M-2H"/>
        <s v="SVC-710XP-12TH-1M-4H"/>
        <s v="SVC-710XP-12TH-1M-NB"/>
        <s v="SVC-710XP-12TH-1M-RB"/>
        <s v="SVC-710P-16P-1M-2H"/>
        <s v="SVC-710P-16P-1M-4H"/>
        <s v="SVC-710P-16P-1M-NB"/>
        <s v="SVC-710P-16P-1M-RB"/>
        <s v="SVC-710HXP-28TXH-1M-2H"/>
        <s v="SVC-710HXP-28TXH-1M-4H"/>
        <s v="SVC-710HXP-28TXH-1M-NB"/>
        <s v="SVC-710HXP-28TXH-1M-RB"/>
        <s v="SVC-710HXP-20TNH-1M-2H"/>
        <s v="SVC-710HXP-20TNH-1M-4H"/>
        <s v="SVC-710HXP-20TNH-1M-NB"/>
        <s v="SVC-710HXP-20TNH-1M-RB"/>
        <s v="SVC-720XP-96ZC2-M-S-1M-2H"/>
        <s v="SVC-720XP-96ZC2-M-S-1M-4H"/>
        <s v="SVC-720XP-96ZC2-M-S-1M-NB"/>
        <s v="SVC-720XP-96ZC2-M-S-1M-RB"/>
        <s v="SVC-720XP-96ZC2-1M-2H"/>
        <s v="SVC-720XP-96ZC2-1M-4H"/>
        <s v="SVC-720XP-96ZC2-1M-NB"/>
        <s v="SVC-720XP-96ZC2-1M-RB"/>
        <s v="SVC-720XP-48TXH-2C-S-5G-1M-2H"/>
        <s v="SVC-720XP-48TXH-2C-S-5G-1M-4H"/>
        <s v="SVC-720XP-48TXH-2C-S-5G-1M-NB"/>
        <s v="SVC-720XP-48TXH-2C-S-5G-1M-RB"/>
        <s v="SVC-722XPM-48Y4-1M-2H"/>
        <s v="SVC-722XPM-48Y4-1M-4H"/>
        <s v="SVC-722XPM-48Y4-1M-NB"/>
        <s v="SVC-722XPM-48Y4-1M-RB"/>
        <s v="SVC-722XPM-48ZY8-1M-2H"/>
        <s v="SVC-722XPM-48ZY8-1M-4H"/>
        <s v="SVC-722XPM-48ZY8-1M-NB"/>
        <s v="SVC-722XPM-48ZY8-1M-RB"/>
        <s v="SVC-720XPM-48TH-1M-2H"/>
        <s v="SVC-720XPM-48TH-1M-4H"/>
        <s v="SVC-720XPM-48TH-1M-NB"/>
        <s v="SVC-720XPM-48TH-1M-RB"/>
        <s v="SVC-720XDM-48T-1M-2H"/>
        <s v="SVC-720XDM-48T-1M-4H"/>
        <s v="SVC-720XDM-48T-1M-NB"/>
        <s v="SVC-720XDM-48T-1M-RB"/>
        <s v="SVC-720XP-48TXH-2C-S-1M-2H"/>
        <s v="SVC-720XP-48TXH-2C-S-1M-4H"/>
        <s v="SVC-720XP-48TXH-2C-S-1M-NB"/>
        <s v="SVC-720XP-48TXH-2C-S-1M-RB"/>
        <s v="SVC-720XP-48ZC2-1M-2H"/>
        <s v="SVC-720XP-48ZC2-1M-4H"/>
        <s v="SVC-720XP-48ZC2-1M-NB"/>
        <s v="SVC-720XP-48ZC2-1M-RB"/>
        <s v="SVC-720XP-48Y6-1M-2H"/>
        <s v="SVC-720XP-48Y6-1M-4H"/>
        <s v="SVC-720XP-48Y6-1M-NB"/>
        <s v="SVC-720XP-48Y6-1M-RB"/>
        <s v="SVC-720XP-24ZY4-1M-2H"/>
        <s v="SVC-720XP-24ZY4-1M-4H"/>
        <s v="SVC-720XP-24ZY4-1M-NB"/>
        <s v="SVC-720XP-24ZY4-1M-RB"/>
        <s v="SVC-720XP-24Y6-1M-2H"/>
        <s v="SVC-720XP-24Y6-1M-4H"/>
        <s v="SVC-720XP-24Y6-1M-NB"/>
        <s v="SVC-720XP-24Y6-1M-RB"/>
        <s v="SVC-720DP-48ZS-1M-2H"/>
        <s v="SVC-720DP-48ZS-1M-4H"/>
        <s v="SVC-720DP-48ZS-1M-NB"/>
        <s v="SVC-720DP-48ZS-1M-RB"/>
        <s v="SVC-720DF-48Y-M-S-1M-2H"/>
        <s v="SVC-720DF-48Y-M-S-1M-4H"/>
        <s v="SVC-720DF-48Y-M-S-1M-NB"/>
        <s v="SVC-720DF-48Y-M-S-1M-RB"/>
        <s v="SVC-720DF-48Y-DC-1M-2H"/>
        <s v="SVC-720DF-48Y-DC-1M-4H"/>
        <s v="SVC-720DF-48Y-DC-1M-NB"/>
        <s v="SVC-720DF-48Y-DC-1M-RB"/>
        <s v="SVC-720DF-48Y-1M-2H"/>
        <s v="SVC-720DF-48Y-1M-4H"/>
        <s v="SVC-720DF-48Y-1M-NB"/>
        <s v="SVC-720DF-48Y-1M-RB"/>
        <s v="SVC-720DP-48S-M-S-1M-2H"/>
        <s v="SVC-720DP-48S-M-S-1M-4H"/>
        <s v="SVC-720DP-48S-M-S-1M-NB"/>
        <s v="SVC-720DP-48S-M-S-1M-RB"/>
        <s v="SVC-720DP-48S-1M-2H"/>
        <s v="SVC-720DP-48S-1M-4H"/>
        <s v="SVC-720DP-48S-1M-NB"/>
        <s v="SVC-720DP-48S-1M-RB"/>
        <s v="SVC-720DP-24S-M-S-1M-2H"/>
        <s v="SVC-720DP-24S-M-S-1M-4H"/>
        <s v="SVC-720DP-24S-M-S-1M-NB"/>
        <s v="SVC-720DP-24S-M-S-1M-RB"/>
        <s v="SVC-720DP-24S-1M-2H"/>
        <s v="SVC-720DP-24S-1M-4H"/>
        <s v="SVC-720DP-24S-1M-NB"/>
        <s v="SVC-720DP-24S-1M-RB"/>
        <s v="SVC-720DP-24ZS-1M-2H"/>
        <s v="SVC-720DP-24ZS-1M-4H"/>
        <s v="SVC-720DP-24ZS-1M-NB"/>
        <s v="SVC-720DP-24ZS-1M-RB"/>
        <s v="SVC-720DT-48S-1M-2H"/>
        <s v="SVC-720DT-48S-1M-4H"/>
        <s v="SVC-720DT-48S-1M-NB"/>
        <s v="SVC-720DT-48S-1M-RB"/>
        <s v="SVC-720DT-24S-M-S-1M-2H"/>
        <s v="SVC-720DT-24S-M-S-1M-4H"/>
        <s v="SVC-720DT-24S-M-S-1M-NB"/>
        <s v="SVC-720DT-24S-M-S-1M-RB"/>
        <s v="SVC-720DT-24S-1M-2H"/>
        <s v="SVC-720DT-24S-1M-4H"/>
        <s v="SVC-720DT-24S-1M-NB"/>
        <s v="SVC-720DT-24S-1M-RB"/>
        <s v="SVC-SDE-EDG-5100-1M-2H"/>
        <s v="SVC-SDE-EDG-5100-1M-4H"/>
        <s v="SVC-SDE-EDG-5100-1M-NB"/>
        <s v="SVC-SDE-EDG-4100-1M-2H"/>
        <s v="SVC-SDE-EDG-4100-1M-4H"/>
        <s v="SVC-SDE-EDG-4100-1M-NB"/>
        <s v="SVC-SDE-EDG-740-1M-2H"/>
        <s v="SVC-SDE-EDG-740-1M-4H"/>
        <s v="SVC-SDE-EDG-740-1M-NB"/>
        <s v="SVC-SDE-EDG-720-1M-2H"/>
        <s v="SVC-SDE-EDG-720-1M-4H"/>
        <s v="SVC-SDE-EDG-720-1M-NB"/>
        <s v="SVC-SDE-EDG-7105G-1M-2H"/>
        <s v="SVC-SDE-EDG-7105G-1M-4H"/>
        <s v="SVC-SDE-EDG-7105G-1M-NB"/>
        <s v="SVC-SDE-EDG-710W-1M-2H"/>
        <s v="SVC-SDE-EDG-710W-1M-4H"/>
        <s v="SVC-SDE-EDG-710W-1M-NB"/>
        <s v="OSV-AWE-7250R-16S-1M-4H"/>
        <s v="OSV-AWE-7250R-16S-1M-NB"/>
        <s v="OSV-AWE-7230R-4TX-4S-1M-4H"/>
        <s v="OSV-AWE-7230R-4TX-4S-1M-NB"/>
        <s v="OSV-AWE-7220RP-5TH-2S-1M-4H"/>
        <s v="OSV-AWE-7220RP-5TH-2S-1M-NB"/>
        <s v="OSV-7816LR4-1M-4H"/>
        <s v="OSV-7816LR4-1M-NB"/>
        <s v="OSV-7812R4-1M-4H"/>
        <s v="OSV-7812R4-1M-NB"/>
        <s v="OSV-7812R4U-1M-4H"/>
        <s v="OSV-7812R4U-1M-NB"/>
        <s v="OSV-7808R4-1M-4H"/>
        <s v="OSV-7808R4-1M-NB"/>
        <s v="OSV-7808R4U-1M-4H"/>
        <s v="OSV-7808R4U-1M-NB"/>
        <s v="OSV-7804R4-1M-4H"/>
        <s v="OSV-7804R4-1M-NB"/>
        <s v="OSV-7804R4U-1M-4H"/>
        <s v="OSV-7804R4U-1M-NB"/>
        <s v="OSV-7804R3-1M-4H"/>
        <s v="OSV-7804R3-1M-NB"/>
        <s v="OSV-7808R3-1M-4H"/>
        <s v="OSV-7808R3-1M-NB"/>
        <s v="OSV-7812R3-1M-4H"/>
        <s v="OSV-7812R3-1M-NB"/>
        <s v="OSV-7816R3-1M-4H"/>
        <s v="OSV-7816R3-1M-NB"/>
        <s v="OSV-7816LR3-1M-4H"/>
        <s v="OSV-7816LR3-1M-NB"/>
        <s v="OSV-7504R3-1M-4H"/>
        <s v="OSV-7504R3-1M-NB"/>
        <s v="OSV-7508R3-1M-4H"/>
        <s v="OSV-7508R3-1M-NB"/>
        <s v="OSV-7512R3-1M-4H"/>
        <s v="OSV-7512R3-1M-NB"/>
        <s v="OSV-7516R-1M-4H"/>
        <s v="OSV-7516R-1M-NB"/>
        <s v="OSV-7512R-1M-4H"/>
        <s v="OSV-7512R-1M-NB"/>
        <s v="OSV-7508R-1M-4H"/>
        <s v="OSV-7508R-1M-NB"/>
        <s v="OSV-7504R-1M-4H"/>
        <s v="OSV-7504R-1M-NB"/>
        <s v="OSV-7508E-1M-4H"/>
        <s v="OSV-7508E-1M-NB"/>
        <s v="OSV-7504E-1M-4H"/>
        <s v="OSV-7504E-1M-NB"/>
        <s v="OSV-7308X-1M-4H"/>
        <s v="OSV-7308X-1M-NB"/>
        <s v="OSV-7304X-1M-4H"/>
        <s v="OSV-7304X-1M-NB"/>
        <s v="OSV-7308X3-2-1M-4H"/>
        <s v="OSV-7308X3-2-1M-NB"/>
        <s v="OSV-7304X3-2-1M-4H"/>
        <s v="OSV-7304X3-2-1M-NB"/>
        <s v="OSV-7308X3-1M-4H"/>
        <s v="OSV-7308X3-1M-NB"/>
        <s v="OSV-7304X3-1M-4H"/>
        <s v="OSV-7304X3-1M-NB"/>
        <s v="OSV-7308XT-1M-4H"/>
        <s v="OSV-7308XT-1M-NB"/>
        <s v="OSV-7304XT-1M-4H"/>
        <s v="OSV-7304XT-1M-NB"/>
        <s v="OSV-7328X-1M-4H"/>
        <s v="OSV-7328X-1M-NB"/>
        <s v="OSV-7324X-1M-4H"/>
        <s v="OSV-7324X-1M-NB"/>
        <s v="OSV-7368X4D-1M-4H"/>
        <s v="OSV-7368X4D-1M-NB"/>
        <s v="OSV-7368X4-1M-4H"/>
        <s v="OSV-7368X4-1M-NB"/>
        <s v="OSV-7358X4D-1M-4H"/>
        <s v="OSV-7358X4D-1M-NB"/>
        <s v="OSV-7358X4-1M-4H"/>
        <s v="OSV-7358X4-1M-NB"/>
        <s v="OSV-7388X5-1M-4H"/>
        <s v="OSV-7388X5-1M-NB"/>
        <s v="OSV-DS-7720R4-128-1M-4H"/>
        <s v="OSV-DS-7720R4-128-1M-NB"/>
        <s v="OSV-DL-7700R4C-38PE-B-1M-4H"/>
        <s v="OSV-DL-7700R4C-38PE-B-1M-NB"/>
        <s v="OSV-DL-7700R4K-38PE-B-1M-4H"/>
        <s v="OSV-DL-7700R4K-38PE-B-1M-NB"/>
        <s v="OSV-7289R3A-1M-4H"/>
        <s v="OSV-7289R3A-1M-NB"/>
        <s v="OSV-7289R3AM-1M-4H"/>
        <s v="OSV-7289R3AM-1M-NB"/>
        <s v="OSV-7289R3AK-1M-4H"/>
        <s v="OSV-7289R3AK-1M-NB"/>
        <s v="OSV-7280R4-32PE-1M-4H"/>
        <s v="OSV-7280R4-32PE-1M-NB"/>
        <s v="OSV-7280R4K-32PE-1M-4H"/>
        <s v="OSV-7280R4K-32PE-1M-NB"/>
        <s v="OSV-7280R4-32DE-1M-4H"/>
        <s v="OSV-7280R4-32DE-1M-NB"/>
        <s v="OSV-7280R4K-32DE-1M-4H"/>
        <s v="OSV-7280R4K-32DE-1M-NB"/>
        <s v="OSV-7280R4-64QC-10PE-1M-4H"/>
        <s v="OSV-7280R4-64QC-10PE-1M-NB"/>
        <s v="OSV-7280R4K-64QC-10PE-1M-4H"/>
        <s v="OSV-7280R4K-64QC-10PE-1M-NB"/>
        <s v="OSV-7280CR3A-72-1M-4H"/>
        <s v="OSV-7280CR3A-72-1M-NB"/>
        <s v="OSV-7280CR3AM-72-1M-4H"/>
        <s v="OSV-7280CR3AM-72-1M-NB"/>
        <s v="OSV-7280CR3AK-72-1M-4H"/>
        <s v="OSV-7280CR3AK-72-1M-NB"/>
        <s v="OSV-7280CR3A-48D6-1M-4H"/>
        <s v="OSV-7280CR3A-48D6-1M-NB"/>
        <s v="OSV-7280CR3AM-48D6-1M-4H"/>
        <s v="OSV-7280CR3AM-48D6-1M-NB"/>
        <s v="OSV-7280CR3AK-48D6-1M-4H"/>
        <s v="OSV-7280CR3AK-48D6-1M-NB"/>
        <s v="OSV-7280CR3A-32S-1M-4H"/>
        <s v="OSV-7280CR3A-32S-1M-NB"/>
        <s v="OSV-7280CR3AK-32S-1M-4H"/>
        <s v="OSV-7280CR3AK-32S-1M-NB"/>
        <s v="OSV-7280CR3AM-32S-1M-4H"/>
        <s v="OSV-7280CR3AM-32S-1M-NB"/>
        <s v="OSV-7280SR3E-40YC6M-1M-4H"/>
        <s v="OSV-7280SR3E-40YC6M-1M-NB"/>
        <s v="OSV-7280SR3A-48YC8-1M-4H"/>
        <s v="OSV-7280SR3A-48YC8-1M-NB"/>
        <s v="OSV-7280SR3AK-48YC8-1M-4H"/>
        <s v="OSV-7280SR3AK-48YC8-1M-NB"/>
        <s v="OSV-7280SR3AM-48YC8-1M-4H"/>
        <s v="OSV-7280SR3AM-48YC8-1M-NB"/>
        <s v="OSV-7280CR3-32P4-1M-4H"/>
        <s v="OSV-7280CR3-32P4-1M-NB"/>
        <s v="OSV-7280CR3-32P4M-1M-4H"/>
        <s v="OSV-7280CR3-32P4M-1M-NB"/>
        <s v="OSV-7280CR3K-32P4-1M-4H"/>
        <s v="OSV-7280CR3K-32P4-1M-NB"/>
        <s v="OSV-7280CR3K-32D4A-1M-4H"/>
        <s v="OSV-7280CR3K-32D4A-1M-NB"/>
        <s v="OSV-7280CR3K-32P4A-1M-4H"/>
        <s v="OSV-7280CR3K-32P4A-1M-NB"/>
        <s v="OSV-7280CR3K-36A-1M-4H"/>
        <s v="OSV-7280CR3K-36A-1M-NB"/>
        <s v="OSV-7280CR3K-36S-1M-4H"/>
        <s v="OSV-7280CR3K-36S-1M-NB"/>
        <s v="OSV-7280CR3-32D4-1M-4H"/>
        <s v="OSV-7280CR3-32D4-1M-NB"/>
        <s v="OSV-7280CR3-32D4M-1M-4H"/>
        <s v="OSV-7280CR3-32D4M-1M-NB"/>
        <s v="OSV-7280CR3-36S-1M-4H"/>
        <s v="OSV-7280CR3-36S-1M-NB"/>
        <s v="OSV-7280CR3K-32D4-1M-4H"/>
        <s v="OSV-7280CR3K-32D4-1M-NB"/>
        <s v="OSV-7280CR3MK-32D4A-1M-4H"/>
        <s v="OSV-7280CR3MK-32D4A-1M-NB"/>
        <s v="OSV-7280CR3MK-32P4S-1M-4H"/>
        <s v="OSV-7280CR3MK-32P4S-1M-NB"/>
        <s v="OSV-7280CR3MK-32D4S-1M-4H"/>
        <s v="OSV-7280CR3MK-32D4S-1M-NB"/>
        <s v="OSV-7280CR3A-24D12-1M-4H"/>
        <s v="OSV-7280CR3A-24D12-1M-NB"/>
        <s v="OSV-7280CR3AK-24D12-1M-4H"/>
        <s v="OSV-7280CR3AK-24D12-1M-NB"/>
        <s v="OSV-7280CR3AK-24D12S-1M-4H"/>
        <s v="OSV-7280CR3AK-24D12S-1M-NB"/>
        <s v="OSV-7280CR3AM-24D12-1M-4H"/>
        <s v="OSV-7280CR3AM-24D12-1M-NB"/>
        <s v="OSV-7280CR3-96-1M-4H"/>
        <s v="OSV-7280CR3-96-1M-NB"/>
        <s v="OSV-7280CR3K-96-1M-4H"/>
        <s v="OSV-7280CR3K-96-1M-NB"/>
        <s v="OSV-7280DR3-24-1M-4H"/>
        <s v="OSV-7280DR3-24-1M-NB"/>
        <s v="OSV-7280DR3-24M-1M-4H"/>
        <s v="OSV-7280DR3-24M-1M-NB"/>
        <s v="OSV-7280DR3K-24-1M-4H"/>
        <s v="OSV-7280DR3K-24-1M-NB"/>
        <s v="OSV-7280DR3A-36-1M-4H"/>
        <s v="OSV-7280DR3A-36-1M-NB"/>
        <s v="OSV-7280DR3AM-36-1M-4H"/>
        <s v="OSV-7280DR3AM-36-1M-NB"/>
        <s v="OSV-7280DR3AK-36-1M-4H"/>
        <s v="OSV-7280DR3AK-36-1M-NB"/>
        <s v="OSV-7280DR3AK-36S-1M-4H"/>
        <s v="OSV-7280DR3AK-36S-1M-NB"/>
        <s v="OSV-7280DR3A-54-1M-4H"/>
        <s v="OSV-7280DR3A-54-1M-NB"/>
        <s v="OSV-7280DR3AM-54-1M-4H"/>
        <s v="OSV-7280DR3AM-54-1M-NB"/>
        <s v="OSV-7280DR3AK-54-1M-4H"/>
        <s v="OSV-7280DR3AK-54-1M-NB"/>
        <s v="OSV-7280PR3-24-1M-4H"/>
        <s v="OSV-7280PR3-24-1M-NB"/>
        <s v="OSV-7280PR3-24M-1M-4H"/>
        <s v="OSV-7280PR3-24M-1M-NB"/>
        <s v="OSV-7280PR3K-24-1M-4H"/>
        <s v="OSV-7280PR3K-24-1M-NB"/>
        <s v="OSV-7280CR-48-1M-4H"/>
        <s v="OSV-7280CR-48-1M-NB"/>
        <s v="OSV-7280CR2-60-1M-4H"/>
        <s v="OSV-7280CR2-60-1M-NB"/>
        <s v="OSV-7280CR2A-60-1M-4H"/>
        <s v="OSV-7280CR2A-60-1M-NB"/>
        <s v="OSV-7280CR2K-60-1M-4H"/>
        <s v="OSV-7280CR2K-60-1M-NB"/>
        <s v="OSV-7280CR2A-30-1M-4H"/>
        <s v="OSV-7280CR2A-30-1M-NB"/>
        <s v="OSV-7280CR2K-30-1M-4H"/>
        <s v="OSV-7280CR2K-30-1M-NB"/>
        <s v="OSV-7280CR2M-30-1M-4H"/>
        <s v="OSV-7280CR2M-30-1M-NB"/>
        <s v="OSV-7280QR-36-1M-4H"/>
        <s v="OSV-7280QR-36-1M-NB"/>
        <s v="OSV-7280QR-36M-1M-4H"/>
        <s v="OSV-7280QR-36M-1M-NB"/>
        <s v="OSV-7280QRA-36S-1M-4H"/>
        <s v="OSV-7280QRA-36S-1M-NB"/>
        <s v="OSV-7280QRA-36SM-1M-4H"/>
        <s v="OSV-7280QRA-36SM-1M-NB"/>
        <s v="OSV-7280QR-C72-1M-4H"/>
        <s v="OSV-7280QR-C72-1M-NB"/>
        <s v="OSV-7280QR-C72M-1M-4H"/>
        <s v="OSV-7280QR-C72M-1M-NB"/>
        <s v="OSV-7280SR3E-40YC6-1M-4H"/>
        <s v="OSV-7280SR3E-40YC6-1M-NB"/>
        <s v="OSV-7280SR3-40YC6-1M-4H"/>
        <s v="OSV-7280SR3-40YC6-1M-NB"/>
        <s v="OSV-7280SR3-48YC8-1M-4H"/>
        <s v="OSV-7280SR3-48YC8-1M-NB"/>
        <s v="OSV-7280SR3K-48YC8-1M-4H"/>
        <s v="OSV-7280SR3K-48YC8-1M-NB"/>
        <s v="OSV-7280SR3K-48YC8A-1M-4H"/>
        <s v="OSV-7280SR3K-48YC8A-1M-NB"/>
        <s v="OSV-7280SR3M-48YC8-1M-4H"/>
        <s v="OSV-7280SR3M-48YC8-1M-NB"/>
        <s v="OSV-7280SR3MK-48YC8A-1M-4H"/>
        <s v="OSV-7280SR3MK-48YC8A-1M-NB"/>
        <s v="OSV-7280SR2-48YC6-1M-4H"/>
        <s v="OSV-7280SR2-48YC6-1M-NB"/>
        <s v="OSV-7280SR2-48YC6M-1M-4H"/>
        <s v="OSV-7280SR2-48YC6M-1M-NB"/>
        <s v="OSV-7280SR2A-48YC6-1M-4H"/>
        <s v="OSV-7280SR2A-48YC6-1M-NB"/>
        <s v="OSV-7280SR2A-48YC6M-1M-4H"/>
        <s v="OSV-7280SR2A-48YC6M-1M-NB"/>
        <s v="OSV-7280SR2K-48C6M-1M-4H"/>
        <s v="OSV-7280SR2K-48C6M-1M-NB"/>
        <s v="OSV-7280SR-48C6-1M-4H"/>
        <s v="OSV-7280SR-48C6-1M-NB"/>
        <s v="OSV-7280SR-48C6M-1M-4H"/>
        <s v="OSV-7280SR-48C6M-1M-NB"/>
        <s v="OSV-7280SRA-48C6-1M-4H"/>
        <s v="OSV-7280SRA-48C6-1M-NB"/>
        <s v="OSV-7280SRA-48C6M-1M-4H"/>
        <s v="OSV-7280SRA-48C6M-1M-NB"/>
        <s v="OSV-7280SRAM-48C6-1M-4H"/>
        <s v="OSV-7280SRAM-48C6-1M-NB"/>
        <s v="OSV-7280SRM-40CX2-1M-4H"/>
        <s v="OSV-7280SRM-40CX2-1M-NB"/>
        <s v="OSV-7280TR-48C6-1M-4H"/>
        <s v="OSV-7280TR-48C6-1M-NB"/>
        <s v="OSV-7280TR-48C6M-1M-4H"/>
        <s v="OSV-7280TR-48C6M-1M-NB"/>
        <s v="OSV-7280TRA-48C6-1M-4H"/>
        <s v="OSV-7280TRA-48C6-1M-NB"/>
        <s v="OSV-7280TRA-48C6M-1M-4H"/>
        <s v="OSV-7280TRA-48C6M-1M-NB"/>
        <s v="OSV-7280TR3-40C6-1M-4H"/>
        <s v="OSV-7280TR3-40C6-1M-NB"/>
        <s v="OSV-7260CX3-64-1M-4H"/>
        <s v="OSV-7260CX3-64-1M-NB"/>
        <s v="OSV-7260CX3-64E-1M-4H"/>
        <s v="OSV-7260CX3-64E-1M-NB"/>
        <s v="OSV-7260CX-64-1M-4H"/>
        <s v="OSV-7260CX-64-1M-NB"/>
        <s v="OSV-7260QX-64-1M-4H"/>
        <s v="OSV-7260QX-64-1M-NB"/>
        <s v="OSV-7170B-64C-1M-4H"/>
        <s v="OSV-7170B-64C-1M-NB"/>
        <s v="OSV-7170-64C-1M-4H"/>
        <s v="OSV-7170-64C-1M-NB"/>
        <s v="OSV-7170-64CM-1M-4H"/>
        <s v="OSV-7170-64CM-1M-NB"/>
        <s v="OSV-7170-32C-1M-4H"/>
        <s v="OSV-7170-32C-1M-NB"/>
        <s v="OSV-7170-32CM-1M-4H"/>
        <s v="OSV-7170-32CM-1M-NB"/>
        <s v="OSV-7170-32CD-1M-4H"/>
        <s v="OSV-7170-32CD-1M-NB"/>
        <s v="OSV-7060X6-64PE-B-1M-4H"/>
        <s v="OSV-7060X6-64PE-B-1M-NB"/>
        <s v="OSV-7060X6-32PE-1M-4H"/>
        <s v="OSV-7060X6-32PE-1M-NB"/>
        <s v="OSV-7060X6-64PE-1M-4H"/>
        <s v="OSV-7060X6-64PE-1M-NB"/>
        <s v="OSV-7060CX5-56D8-1M-4H"/>
        <s v="OSV-7060CX5-56D8-1M-NB"/>
        <s v="OSV-7060CX2-32S-1M-4H"/>
        <s v="OSV-7060CX2-32S-1M-NB"/>
        <s v="OSV-7060CX-32S-1M-4H"/>
        <s v="OSV-7060CX-32S-1M-NB"/>
        <s v="OSV-7060SX2-48YC6-1M-4H"/>
        <s v="OSV-7060SX2-48YC6-1M-NB"/>
        <s v="OSV-7060DX4-32C-1M-4H"/>
        <s v="OSV-7060DX4-32C-1M-NB"/>
        <s v="OSV-7060DX4-32-1M-4H"/>
        <s v="OSV-7060DX4-32-1M-NB"/>
        <s v="OSV-7060DX5-32-1M-4H"/>
        <s v="OSV-7060DX5-32-1M-NB"/>
        <s v="OSV-7060DX5-64S-1M-4H"/>
        <s v="OSV-7060DX5-64S-1M-NB"/>
        <s v="OSV-7060DX5-64-1M-4H"/>
        <s v="OSV-7060DX5-64-1M-NB"/>
        <s v="OSV-7060DX5-64E-1M-4H"/>
        <s v="OSV-7060DX5-64E-1M-NB"/>
        <s v="OSV-7060PX5-64E-1M-4H"/>
        <s v="OSV-7060PX5-64E-1M-NB"/>
        <s v="OSV-7060PX4-32-1M-4H"/>
        <s v="OSV-7060PX4-32-1M-NB"/>
        <s v="OSV-7050DX4M-32S-1M-4H"/>
        <s v="OSV-7050DX4M-32S-1M-NB"/>
        <s v="OSV-7050DX4-32S-1M-4H"/>
        <s v="OSV-7050DX4-32S-1M-NB"/>
        <s v="OSV-7050PX4-32S-1M-4H"/>
        <s v="OSV-7050PX4-32S-1M-NB"/>
        <s v="OSV-7050CX4-24D8-1M-4H"/>
        <s v="OSV-7050CX4-24D8-1M-NB"/>
        <s v="OSV-7050CX4M-48D8-1M-4H"/>
        <s v="OSV-7050CX4M-48D8-1M-NB"/>
        <s v="OSV-7050SPX4-48D8-1M-4H"/>
        <s v="OSV-7050SPX4-48D8-1M-NB"/>
        <s v="OSV-7050SDX4-48D8-1M-4H"/>
        <s v="OSV-7050SDX4-48D8-1M-NB"/>
        <s v="OSV-7050X4-48Y-4DF-1M-4H"/>
        <s v="OSV-7050X4-48Y-4DF-1M-NB"/>
        <s v="OSV-7050CX3-32C-1M-4H"/>
        <s v="OSV-7050CX3-32C-1M-NB"/>
        <s v="OSV-7050CX3-32SD-1M-4H"/>
        <s v="OSV-7050CX3-32SD-1M-NB"/>
        <s v="OSV-7050CX3-32S-1M-4H"/>
        <s v="OSV-7050CX3-32S-1M-NB"/>
        <s v="OSV-7050CX3M-32S-1M-4H"/>
        <s v="OSV-7050CX3M-32S-1M-NB"/>
        <s v="OSV-7050SX3-24YC4CS-1M-4H"/>
        <s v="OSV-7050SX3-24YC4CS-1M-NB"/>
        <s v="OSV-7050SX3-96YC8-1M-4H"/>
        <s v="OSV-7050SX3-96YC8-1M-NB"/>
        <s v="OSV-7050SX3-48YC12-1M-4H"/>
        <s v="OSV-7050SX3-48YC12-1M-NB"/>
        <s v="OSV-7050SX3-48YC8C-1M-4H"/>
        <s v="OSV-7050SX3-48YC8C-1M-NB"/>
        <s v="OSV-7050SX3-48YC8-1M-4H"/>
        <s v="OSV-7050SX3-48YC8-1M-NB"/>
        <s v="OSV-7050SX3-48C8C-1M-4H"/>
        <s v="OSV-7050SX3-48C8C-1M-NB"/>
        <s v="OSV-7050SX3-48C8-1M-4H"/>
        <s v="OSV-7050SX3-48C8-1M-NB"/>
        <s v="OSV-7050TX3-48C8-1M-NB"/>
        <s v="OSV-7050TX3-48C8-1M-4H"/>
        <s v="OSV-7020R4-48TX4QC-1M-4H"/>
        <s v="OSV-7020R4-48TX4QC-1M-NB"/>
        <s v="OSV-7020R4-48Y4QC-1M-4H"/>
        <s v="OSV-7020R4-48Y4QC-1M-NB"/>
        <s v="OSV-7020R4-48Y8QC-1M-4H"/>
        <s v="OSV-7020R4-48Y8QC-1M-NB"/>
        <s v="OSV-7020R4M-48TX4QC-1M-4H"/>
        <s v="OSV-7020R4M-48TX4QC-1M-NB"/>
        <s v="OSV-7020R4M-48Y4QC-1M-4H"/>
        <s v="OSV-7020R4M-48Y4QC-1M-NB"/>
        <s v="OSV-7020R4M-48Y8QC-1M-4H"/>
        <s v="OSV-7020R4M-48Y8QC-1M-NB"/>
        <s v="OSV-7020SR-24C2-1M-4H"/>
        <s v="OSV-7020SR-24C2-1M-NB"/>
        <s v="OSV-7020SR-32C2-1M-4H"/>
        <s v="OSV-7020SR-32C2-1M-NB"/>
        <s v="OSV-7020SRG-24C2-1M-4H"/>
        <s v="OSV-7020SRG-24C2-1M-NB"/>
        <s v="OSV-7010TX-48C-O3A-1M-4H"/>
        <s v="OSV-7010TX-48C-O3A-1M-NB"/>
        <s v="OSV-7010TX-48C-O3-1M-4H"/>
        <s v="OSV-7010TX-48C-O3-1M-NB"/>
        <s v="OSV-7010TX-48C-DC-1M-4H"/>
        <s v="OSV-7010TX-48C-DC-1M-NB"/>
        <s v="OSV-7010TX-48C-1M-4H"/>
        <s v="OSV-7010TX-48C-1M-NB"/>
        <s v="OSV-7010TX-48-1M-4H"/>
        <s v="OSV-7010TX-48-1M-NB"/>
        <s v="OSV-7010TX-48DC-1M-4H"/>
        <s v="OSV-7010TX-48DC-1M-NB"/>
        <s v="OSV-7010T-1M-4H"/>
        <s v="OSV-7010T-1M-NB"/>
        <s v="OSV-7010TDC-1M-4H"/>
        <s v="OSV-7010TDC-1M-NB"/>
        <s v="OSV-7020TR-48-1M-4H"/>
        <s v="OSV-7020TR-48-1M-NB"/>
        <s v="OSV-7020TRA-48-1M-4H"/>
        <s v="OSV-7020TRA-48-1M-NB"/>
        <s v="OSV-710P-12-1M-4H"/>
        <s v="OSV-710P-12-1M-NB"/>
        <s v="OSV-710P-16P-1M-4H"/>
        <s v="OSV-710P-16P-1M-NB"/>
        <s v="OSV-710HXP-28TXH-1M-4H"/>
        <s v="OSV-710HXP-28TXH-1M-NB"/>
        <s v="OSV-710HXP-20TNH-1M-4H"/>
        <s v="OSV-710HXP-20TNH-1M-NB"/>
        <s v="OSV-720XPM-48TH-1M-NB"/>
        <s v="OSV-720XPM-48TH-1M-4H"/>
        <s v="OSV-720XDM-48T-1M-NB"/>
        <s v="OSV-720XDM-48T-1M-4H"/>
        <s v="OSV-720XP-96ZC2-M-S-1M-4H"/>
        <s v="OSV-720XP-96ZC2-M-S-1M-NB"/>
        <s v="OSV-720XP-96ZC2-1M-4H"/>
        <s v="OSV-720XP-96ZC2-1M-NB"/>
        <s v="OSV-720XP-48TXH-2C-S-1M-4H"/>
        <s v="OSV-720XP-48TXH-2C-S-1M-NB"/>
        <s v="OSV-720XP-48ZC2-1M-4H"/>
        <s v="OSV-720XP-48ZC2-1M-NB"/>
        <s v="OSV-720XP-48Y6-1M-4H"/>
        <s v="OSV-720XP-48Y6-1M-NB"/>
        <s v="OSV-720XP-24ZY4-1M-4H"/>
        <s v="OSV-720XP-24ZY4-1M-NB"/>
        <s v="OSV-720XP-24Y6-1M-4H"/>
        <s v="OSV-720XP-24Y6-1M-NB"/>
        <s v="OSV-710XP-12TH-1M-4H"/>
        <s v="OSV-710XP-12TH-1M-NB"/>
        <s v="OSV-720DF-48Y-M-S-1M-4H"/>
        <s v="OSV-720DF-48Y-M-S-1M-NB"/>
        <s v="OSV-720DF-48Y-DC-1M-4H"/>
        <s v="OSV-720DF-48Y-DC-1M-NB"/>
        <s v="OSV-720DF-48Y-1M-4H"/>
        <s v="OSV-720DF-48Y-1M-NB"/>
        <s v="OSV-720DP-48ZS-1M-4H"/>
        <s v="OSV-720DP-48ZS-1M-NB"/>
        <s v="OSV-720DP-48S-M-S-1M-4H"/>
        <s v="OSV-720DP-48S-M-S-1M-NB"/>
        <s v="OSV-720DP-48S-1M-4H"/>
        <s v="OSV-720DP-48S-1M-NB"/>
        <s v="OSV-720DP-24S-M-S-1M-4H"/>
        <s v="OSV-720DP-24S-M-S-1M-NB"/>
        <s v="OSV-720DP-24S-1M-4H"/>
        <s v="OSV-720DP-24S-1M-NB"/>
        <s v="OSV-720DP-24ZS-1M-4H"/>
        <s v="OSV-720DP-24ZS-1M-NB"/>
        <s v="OSV-720DT-48S-1M-4H"/>
        <s v="OSV-720DT-48S-1M-NB"/>
        <s v="OSV-720DT-24S-M-S-1M-4H"/>
        <s v="OSV-720DT-24S-M-S-1M-NB"/>
        <s v="OSV-720DT-24S-1M-4H"/>
        <s v="OSV-720DT-24S-1M-NB"/>
        <s v="OSV-722XPM-48ZY8-1M-4H"/>
        <s v="OSV-722XPM-48ZY8-1M-NB"/>
        <s v="OSV-722XPM-48Y4-1M-4H"/>
        <s v="OSV-722XPM-48Y4-1M-NB"/>
        <s v="OSV-755XP-1M-4H"/>
        <s v="OSV-755XP-1M-NB"/>
        <s v="OSV-758XP-1M-4H"/>
        <s v="OSV-758XP-1M-NB"/>
        <s v="OSV-SDE-EDG-5100-1M-4H"/>
        <s v="OSV-SDE-EDG-5100-1M-NB"/>
        <s v="OSV-SDE-EDG-4100-1M-4H"/>
        <s v="OSV-SDE-EDG-4100-1M-NB"/>
        <s v="OSV-SDE-EDG-740-1M-4H"/>
        <s v="OSV-SDE-EDG-740-1M-NB"/>
        <s v="OSV-SDE-EDG-720-1M-4H"/>
        <s v="OSV-SDE-EDG-720-1M-NB"/>
        <s v="OSV-SDE-EDG-7105G-1M-4H"/>
        <s v="OSV-SDE-EDG-7105G-1M-NB"/>
        <s v="OSV-SDE-EDG-710W-1M-4H"/>
        <s v="OSV-SDE-EDG-710W-1M-NB"/>
        <s v="SVC-Q20-1M-SHR"/>
        <s v="SVC-Q12-1M-SHR"/>
        <s v="SVC-Q8-1M-SHR"/>
        <s v="SVC-Q8W-1M-SHR"/>
        <s v="SVC-Q6E-1M-SHR"/>
        <s v="SVC-Q6EWL-1M-SHR"/>
        <s v="SVC-7804R4-1M-SHR"/>
        <s v="SVC-7804R4-1M-SH4"/>
        <s v="SVC-7808R4-1M-SHR"/>
        <s v="SVC-7808R4-1M-SH4"/>
        <s v="SVC-7812R4-1M-SHR"/>
        <s v="SVC-7812R4-1M-SH4"/>
        <s v="SVC-7816LR4-1M-SHR"/>
        <s v="SVC-7816LR4-1M-SH4"/>
        <s v="SVC-7812R4U-1M-SH4"/>
        <s v="SVC-7812R4U-1M-SHR"/>
        <s v="SVC-7808R4U-1M-SH4"/>
        <s v="SVC-7808R4U-1M-SHR"/>
        <s v="SVC-7804R4U-1M-SHR"/>
        <s v="SVC-7804R4U-1M-SH4"/>
        <s v="SVC-7804R3-1M-SH4"/>
        <s v="SVC-7804R3-1M-SHR"/>
        <s v="SVC-7808R3-1M-SH4"/>
        <s v="SVC-7808R3-1M-SHR"/>
        <s v="SVC-7808R3A-1M-SH4"/>
        <s v="SVC-7808R3A-1M-SHR"/>
        <s v="SVC-7812R3-1M-SH4"/>
        <s v="SVC-7812R3-1M-SHR"/>
        <s v="SVC-7816R3-1M-SH4"/>
        <s v="SVC-7816R3-1M-SHR"/>
        <s v="SVC-7816LR3-1M-SH4"/>
        <s v="SVC-7816LR3-1M-SHR"/>
        <s v="SVC-7504R3-1M-SH4"/>
        <s v="SVC-7504R3-1M-SHR"/>
        <s v="SVC-7508R3-1M-SH4"/>
        <s v="SVC-7508R3-1M-SHR"/>
        <s v="SVC-7512R3-1M-SH4"/>
        <s v="SVC-7512R3-1M-SHR"/>
        <s v="SVC-7504R-1M-SH4"/>
        <s v="SVC-7504R-1M-SHR"/>
        <s v="SVC-7508R-1M-SH4"/>
        <s v="SVC-7508R-1M-SHR"/>
        <s v="SVC-7512R-1M-SH4"/>
        <s v="SVC-7512R-1M-SHR"/>
        <s v="SVC-7516R-1M-SH4"/>
        <s v="SVC-7516R-1M-SHR"/>
        <s v="SVC-7304X-1M-SH4"/>
        <s v="SVC-7304X-1M-SHR"/>
        <s v="SVC-7304X3-1M-SH4"/>
        <s v="SVC-7304X3-1M-SHR"/>
        <s v="SVC-7304X3-2-1M-SH4"/>
        <s v="SVC-7304X3-2-1M-SHR"/>
        <s v="SVC-7304XT-1M-SH4"/>
        <s v="SVC-7304XT-1M-SHR"/>
        <s v="SVC-7308X-1M-SH4"/>
        <s v="SVC-7308X-1M-SHR"/>
        <s v="SVC-7308X3-1M-SH4"/>
        <s v="SVC-7308X3-1M-SHR"/>
        <s v="SVC-7308X3-2-1M-SH4"/>
        <s v="SVC-7308X3-2-1M-SHR"/>
        <s v="SVC-7308XT-1M-SH4"/>
        <s v="SVC-7308XT-1M-SHR"/>
        <s v="SVC-7324X-1M-SH4"/>
        <s v="SVC-7324X-1M-SHR"/>
        <s v="SVC-7328X-1M-SH4"/>
        <s v="SVC-7328X-1M-SHR"/>
        <s v="SVC-7368X4-1M-SH4"/>
        <s v="SVC-7368X4-1M-SHR"/>
        <s v="SVC-7368X4D-1M-SH4"/>
        <s v="SVC-7368X4D-1M-SHR"/>
        <s v="SVC-7358X4-1M-SHR"/>
        <s v="SVC-7358X4-1M-SH4"/>
        <s v="SVC-7358X4D-1M-SHR"/>
        <s v="SVC-7358X4D-1M-SH4"/>
        <s v="SVC-7388X5-1M-SHR"/>
        <s v="SVC-7388X5-1M-SH4"/>
        <s v="SVC-DL-7700R4K-38PE-B-1M-SH4"/>
        <s v="SVC-DL-7700R4K-38PE-B-1M-SHR"/>
        <s v="SVC-DL-7700R4C-38PE-B-1M-SH4"/>
        <s v="SVC-DL-7700R4C-38PE-B-1M-SHR"/>
        <s v="SVC-DS-7720R4-128-1M-SH4"/>
        <s v="SVC-DS-7720R4-128-1M-SHR"/>
        <s v="SVC-7280R4-32PE-1M-SHR"/>
        <s v="SVC-7280R4-32PE-1M-SH4"/>
        <s v="SVC-7280R4K-32PE-1M-SHR"/>
        <s v="SVC-7280R4K-32PE-1M-SH4"/>
        <s v="SVC-7280R4-32DE-1M-SHR"/>
        <s v="SVC-7280R4-32DE-1M-SH4"/>
        <s v="SVC-7280R4K-32DE-1M-SHR"/>
        <s v="SVC-7280R4K-32DE-1M-SH4"/>
        <s v="SVC-7280R4-64QC-10PE-1M-SHR"/>
        <s v="SVC-7280R4-64QC-10PE-1M-SH4"/>
        <s v="SVC-7280R4K-64QC-10PE-1M-SHR"/>
        <s v="SVC-7280R4K-64QC-10PE-1M-SH4"/>
        <s v="SVC-7289R3A-1M-SH4"/>
        <s v="SVC-7289R3A-1M-SHR"/>
        <s v="SVC-7289R3AK-1M-SH4"/>
        <s v="SVC-7289R3AK-1M-SHR"/>
        <s v="SVC-7289R3AM-1M-SH4"/>
        <s v="SVC-7289R3AM-1M-SHR"/>
        <s v="SVC-7280TR3-40C6-1M-SH4"/>
        <s v="SVC-7280TR3-40C6-1M-SHR"/>
        <s v="SVC-7280SR3E-40YC6M-1M-SHR"/>
        <s v="SVC-7280SR3E-40YC6M-1M-SH4"/>
        <s v="SVC-7280SR3E-40YC6-1M-SH4"/>
        <s v="SVC-7280SR3E-40YC6-1M-SHR"/>
        <s v="SVC-7280SR3-40YC6-1M-SH4"/>
        <s v="SVC-7280SR3-40YC6-1M-SHR"/>
        <s v="SVC-7280SR3A-48YC8-1M-SHR"/>
        <s v="SVC-7280SR3A-48YC8-1M-SH4"/>
        <s v="SVC-7280SR3AM-48YC8-1M-SHR"/>
        <s v="SVC-7280SR3AM-48YC8-1M-SH4"/>
        <s v="SVC-7280SR3AK-48YC8-1M-SHR"/>
        <s v="SVC-7280SR3AK-48YC8-1M-SH4"/>
        <s v="SVC-7280SR3-48YC8-1M-SH4"/>
        <s v="SVC-7280SR3-48YC8-1M-SHR"/>
        <s v="SVC-7280SR3K-48YC8A-1M-SH4"/>
        <s v="SVC-7280SR3K-48YC8A-1M-SHR"/>
        <s v="SVC-7280SR3K-48YC8-1M-SH4"/>
        <s v="SVC-7280SR3K-48YC8-1M-SHR"/>
        <s v="SVC-7280SR3M-48YC8-1M-SH4"/>
        <s v="SVC-7280SR3M-48YC8-1M-SHR"/>
        <s v="SVC-7280SR3MK-48YC8A-1M-SHR"/>
        <s v="SVC-7280SR3MK-48YC8A-1M-SH4"/>
        <s v="SVC-7280CR3A-72-1M-SH4"/>
        <s v="SVC-7280CR3A-72-1M-SHR"/>
        <s v="SVC-7280CR3AM-72-1M-SH4"/>
        <s v="SVC-7280CR3AM-72-1M-SHR"/>
        <s v="SVC-7280CR3AK-72-1M-SH4"/>
        <s v="SVC-7280CR3AK-72-1M-SHR"/>
        <s v="SVC-7280CR3A-48D6-1M-SH4"/>
        <s v="SVC-7280CR3A-48D6-1M-SHR"/>
        <s v="SVC-7280CR3AM-48D6-1M-SH4"/>
        <s v="SVC-7280CR3AM-48D6-1M-SHR"/>
        <s v="SVC-7280CR3AK-48D6-1M-SH4"/>
        <s v="SVC-7280CR3AK-48D6-1M-SHR"/>
        <s v="SVC-7280CR3AK-24D12S-1M-SH4"/>
        <s v="SVC-7280CR3AK-24D12S-1M-SHR"/>
        <s v="SVC-7280CR3A-32S-1M-SHR"/>
        <s v="SVC-7280CR3A-32S-1M-SH4"/>
        <s v="SVC-7280CR3AM-32S-1M-SHR"/>
        <s v="SVC-7280CR3AM-32S-1M-SH4"/>
        <s v="SVC-7280CR3AK-32S-1M-SHR"/>
        <s v="SVC-7280CR3AK-32S-1M-SH4"/>
        <s v="SVC-7280CR3-32D4-1M-SH4"/>
        <s v="SVC-7280CR3-32D4-1M-SHR"/>
        <s v="SVC-7280CR3-32D4M-1M-SH4"/>
        <s v="SVC-7280CR3-32D4M-1M-SHR"/>
        <s v="SVC-7280CR3-32P4-1M-SH4"/>
        <s v="SVC-7280CR3-32P4-1M-SHR"/>
        <s v="SVC-7280CR3-32P4M-1M-SH4"/>
        <s v="SVC-7280CR3-32P4M-1M-SHR"/>
        <s v="SVC-7280CR3-36S-1M-SH4"/>
        <s v="SVC-7280CR3-36S-1M-SHR"/>
        <s v="SVC-7280CR3-96-1M-SH4"/>
        <s v="SVC-7280CR3-96-1M-SHR"/>
        <s v="SVC-7280CR3K-32D4A-1M-SH4"/>
        <s v="SVC-7280CR3K-32D4A-1M-SHR"/>
        <s v="SVC-7280CR3K-32P4A-1M-SH4"/>
        <s v="SVC-7280CR3K-32P4A-1M-SHR"/>
        <s v="SVC-7280CR3K-32D4-1M-SH4"/>
        <s v="SVC-7280CR3K-32D4-1M-SHR"/>
        <s v="SVC-7280CR3K-32P4-1M-SH4"/>
        <s v="SVC-7280CR3K-32P4-1M-SHR"/>
        <s v="SVC-7280CR3K-36A-1M-SH4"/>
        <s v="SVC-7280CR3K-36A-1M-SHR"/>
        <s v="SVC-7280CR3K-36S-1M-SH4"/>
        <s v="SVC-7280CR3K-36S-1M-SHR"/>
        <s v="SVC-7280CR3K-96-1M-SH4"/>
        <s v="SVC-7280CR3K-96-1M-SHR"/>
        <s v="SVC-7280CR3MK-32D4A-1M-SH4"/>
        <s v="SVC-7280CR3MK-32D4A-1M-SHR"/>
        <s v="SVC-7280CR3MK-32D4S-1M-SH4"/>
        <s v="SVC-7280CR3MK-32D4S-1M-SHR"/>
        <s v="SVC-7280CR3MK-32P4S-1M-SH4"/>
        <s v="SVC-7280CR3MK-32P4S-1M-SHR"/>
        <s v="SVC-7280CR3A-24D12-1M-SH4"/>
        <s v="SVC-7280CR3A-24D12-1M-SHR"/>
        <s v="SVC-7280CR3AM-24D12-1M-SH4"/>
        <s v="SVC-7280CR3AM-24D12-1M-SHR"/>
        <s v="SVC-7280CR3AK-24D12-1M-SH4"/>
        <s v="SVC-7280CR3AK-24D12-1M-SHR"/>
        <s v="SVC-7280DR3-24-1M-SH4"/>
        <s v="SVC-7280DR3-24-1M-SHR"/>
        <s v="SVC-7280DR3-24M-1M-SH4"/>
        <s v="SVC-7280DR3-24M-1M-SHR"/>
        <s v="SVC-7280DR3K-24-1M-SH4"/>
        <s v="SVC-7280DR3K-24-1M-SHR"/>
        <s v="SVC-7280DR3A-36-1M-SH4"/>
        <s v="SVC-7280DR3A-36-1M-SHR"/>
        <s v="SVC-7280DR3AM-36-1M-SH4"/>
        <s v="SVC-7280DR3AM-36-1M-SHR"/>
        <s v="SVC-7280DR3AK-36-1M-SH4"/>
        <s v="SVC-7280DR3AK-36-1M-SHR"/>
        <s v="SVC-7280DR3AK-36S-1M-SH4"/>
        <s v="SVC-7280DR3AK-36S-1M-SHR"/>
        <s v="SVC-7280DR3A-54-1M-SHR"/>
        <s v="SVC-7280DR3A-54-1M-SH4"/>
        <s v="SVC-7280DR3AM-54-1M-SHR"/>
        <s v="SVC-7280DR3AM-54-1M-SH4"/>
        <s v="SVC-7280DR3AK-54-1M-SHR"/>
        <s v="SVC-7280DR3AK-54-1M-SH4"/>
        <s v="SVC-7280PR3-24-1M-SH4"/>
        <s v="SVC-7280PR3-24-1M-SHR"/>
        <s v="SVC-7280PR3-24M-1M-SH4"/>
        <s v="SVC-7280PR3-24M-1M-SHR"/>
        <s v="SVC-7280PR3K-24-1M-SH4"/>
        <s v="SVC-7280PR3K-24-1M-SHR"/>
        <s v="SVC-7280CR2-60-1M-SH4"/>
        <s v="SVC-7280CR2-60-1M-SHR"/>
        <s v="SVC-7280CR2A-30-1M-SH4"/>
        <s v="SVC-7280CR2A-30-1M-SHR"/>
        <s v="SVC-7280CR2A-60-1M-SH4"/>
        <s v="SVC-7280CR2A-60-1M-SHR"/>
        <s v="SVC-7280CR2K-30-1M-SH4"/>
        <s v="SVC-7280CR2K-30-1M-SHR"/>
        <s v="SVC-7280CR2K-60-1M-SH4"/>
        <s v="SVC-7280CR2K-60-1M-SHR"/>
        <s v="SVC-7280CR2M-30-1M-SH4"/>
        <s v="SVC-7280CR2M-30-1M-SHR"/>
        <s v="SVC-7280CR-48-1M-SH4"/>
        <s v="SVC-7280CR-48-1M-SHR"/>
        <s v="SVC-7280QR-36-1M-SH4"/>
        <s v="SVC-7280QR-36-1M-SHR"/>
        <s v="SVC-7280QR-36M-1M-SH4"/>
        <s v="SVC-7280QR-36M-1M-SHR"/>
        <s v="SVC-7280QRA-36S-1M-SH4"/>
        <s v="SVC-7280QRA-36S-1M-SHR"/>
        <s v="SVC-7280QRA-36SM-1M-SH4"/>
        <s v="SVC-7280QRA-36SM-1M-SHR"/>
        <s v="SVC-7280QR-C72-1M-SH4"/>
        <s v="SVC-7280QR-C72-1M-SHR"/>
        <s v="SVC-7280QR-C72M-1M-SH4"/>
        <s v="SVC-7280QR-C72M-1M-SHR"/>
        <s v="SVC-7280SR2-48YC6-1M-SH4"/>
        <s v="SVC-7280SR2-48YC6-1M-SHR"/>
        <s v="SVC-7280SR2-48YC6M-1M-SH4"/>
        <s v="SVC-7280SR2-48YC6M-1M-SHR"/>
        <s v="SVC-7280SR2A-48YC6-1M-SH4"/>
        <s v="SVC-7280SR2A-48YC6-1M-SHR"/>
        <s v="SVC-7280SR2A-48YC6M-1M-SH4"/>
        <s v="SVC-7280SR2A-48YC6M-1M-SHR"/>
        <s v="SVC-7280SR2K-48C6M-1M-SH4"/>
        <s v="SVC-7280SR2K-48C6M-1M-SHR"/>
        <s v="SVC-7280SR-48C6-1M-SH4"/>
        <s v="SVC-7280SR-48C6-1M-SHR"/>
        <s v="SVC-7280SR-48C6M-1M-SH4"/>
        <s v="SVC-7280SR-48C6M-1M-SHR"/>
        <s v="SVC-7280SRA-48C6-1M-SH4"/>
        <s v="SVC-7280SRA-48C6-1M-SHR"/>
        <s v="SVC-7280SRA-48C6M-1M-SH4"/>
        <s v="SVC-7280SRA-48C6M-1M-SHR"/>
        <s v="SVC-7280SRAM-48C6-1M-SH4"/>
        <s v="SVC-7280SRAM-48C6-1M-SHR"/>
        <s v="SVC-7280SRM-40CX2-1M-SH4"/>
        <s v="SVC-7280SRM-40CX2-1M-SHR"/>
        <s v="SVC-7280TR-48C6-1M-SH4"/>
        <s v="SVC-7280TR-48C6-1M-SHR"/>
        <s v="SVC-7280TR-48C6M-1M-SH4"/>
        <s v="SVC-7280TR-48C6M-1M-SHR"/>
        <s v="SVC-7280TRA-48C6-1M-SH4"/>
        <s v="SVC-7280TRA-48C6-1M-SHR"/>
        <s v="SVC-7280TRA-48C6M-1M-SH4"/>
        <s v="SVC-7280TRA-48C6M-1M-SHR"/>
        <s v="SVC-7260CX3-64-1M-SH4"/>
        <s v="SVC-7260CX3-64-1M-SHR"/>
        <s v="SVC-7260CX3-64E-1M-SH4"/>
        <s v="SVC-7260CX3-64E-1M-SHR"/>
        <s v="SVC-7260CX-64-1M-SH4"/>
        <s v="SVC-7260CX-64-1M-SHR"/>
        <s v="SVC-7260QX-64-1M-SH4"/>
        <s v="SVC-7260QX-64-1M-SHR"/>
        <s v="SVC-7170B-64C-1M-SH4"/>
        <s v="SVC-7170B-64C-1M-SHR"/>
        <s v="SVC-7170-64C-1M-SH4"/>
        <s v="SVC-7170-64C-1M-SHR"/>
        <s v="SVC-7170-64CM-1M-SH4"/>
        <s v="SVC-7170-64CM-1M-SHR"/>
        <s v="SVC-7170-32C-1M-SH4"/>
        <s v="SVC-7170-32C-1M-SHR"/>
        <s v="SVC-7170-32CM-1M-SH4"/>
        <s v="SVC-7170-32CM-1M-SHR"/>
        <s v="SVC-7170-32CD-1M-SH4"/>
        <s v="SVC-7170-32CD-1M-SHR"/>
        <s v="SVC-7060X6-64PE-B-1M-SH4"/>
        <s v="SVC-7060X6-64PE-B-1M-SHR"/>
        <s v="SVC-7060X6-32PE-1M-SH4"/>
        <s v="SVC-7060X6-32PE-1M-SHR"/>
        <s v="SVC-7060CX5-56D8-1M-SH4"/>
        <s v="SVC-7060CX5-56D8-1M-SHR"/>
        <s v="SVC-7060CX2-32S-1M-SH4"/>
        <s v="SVC-7060CX2-32S-1M-SHR"/>
        <s v="SVC-7060CX-32S-1M-SH4"/>
        <s v="SVC-7060CX-32S-1M-SHR"/>
        <s v="SVC-7060CX-32SD-1M-SH4"/>
        <s v="SVC-7060CX-32SD-1M-SHR"/>
        <s v="SVC-7060DX5-32-1M-SH4"/>
        <s v="SVC-7060DX5-32-1M-SHR"/>
        <s v="SVC-7060DX5-64S-1M-SH4"/>
        <s v="SVC-7060DX5-64S-1M-SHR"/>
        <s v="SVC-7060DX5-64-1M-SHR"/>
        <s v="SVC-7060DX5-64-1M-SH4"/>
        <s v="SVC-7060DX5-64E-1M-SHR"/>
        <s v="SVC-7060DX5-64E-1M-SH4"/>
        <s v="SVC-7060DX4-32C-1M-SH4"/>
        <s v="SVC-7060DX4-32C-1M-SHR"/>
        <s v="SVC-7060DX4-32-1M-SH4"/>
        <s v="SVC-7060DX4-32-1M-SHR"/>
        <s v="SVC-7060PX5-64E-1M-SH4"/>
        <s v="SVC-7060PX5-64E-1M-SHR"/>
        <s v="SVC-7060PX4-32-1M-SH4"/>
        <s v="SVC-7060PX4-32-1M-SHR"/>
        <s v="SVC-7060SX2-48YC6-1M-SH4"/>
        <s v="SVC-7060SX2-48YC6-1M-SHR"/>
        <s v="SVC-7050CX4M-48D8-1M-SH4"/>
        <s v="SVC-7050CX4M-48D8-1M-SHR"/>
        <s v="SVC-7050CX4-24D8-1M-SH4"/>
        <s v="SVC-7050CX4-24D8-1M-SHR"/>
        <s v="SVC-7050SPX4-48D8-1M-SH4"/>
        <s v="SVC-7050SPX4-48D8-1M-SHR"/>
        <s v="SVC-7050SDX4-48D8-1M-SH4"/>
        <s v="SVC-7050SDX4-48D8-1M-SHR"/>
        <s v="SVC-7050DX4M-32S-1M-SH4"/>
        <s v="SVC-7050DX4M-32S-1M-SHR"/>
        <s v="SVC-7050DX4-32S-1M-SH4"/>
        <s v="SVC-7050DX4-32S-1M-SHR"/>
        <s v="SVC-7050PX4-32S-1M-SH4"/>
        <s v="SVC-7050PX4-32S-1M-SHR"/>
        <s v="SVC-7050X4-48Y-4DF-1M-SHR"/>
        <s v="SVC-7050X4-48Y-4DF-1M-SH4"/>
        <s v="SVC-7050CX3-32C-1M-SH4"/>
        <s v="SVC-7050CX3-32C-1M-SHR"/>
        <s v="SVC-7050CX3-32S-1M-SH4"/>
        <s v="SVC-7050CX3-32S-1M-SHR"/>
        <s v="SVC-7050CX3-32SD-1M-SH4"/>
        <s v="SVC-7050CX3-32SD-1M-SHR"/>
        <s v="SVC-7050CX3M-32S-1M-SH4"/>
        <s v="SVC-7050CX3M-32S-1M-SHR"/>
        <s v="SVC-7050SX3-24YC4CS-1M-SHR"/>
        <s v="SVC-7050SX3-24YC4CS-1M-SH4"/>
        <s v="SVC-7050SX3-48YC8C-1M-SH4"/>
        <s v="SVC-7050SX3-48YC8C-1M-SHR"/>
        <s v="SVC-7050SX3-48C8C-1M-SH4"/>
        <s v="SVC-7050SX3-48C8C-1M-SHR"/>
        <s v="SVC-7050SX3-48C8-1M-SH4"/>
        <s v="SVC-7050SX3-48C8-1M-SHR"/>
        <s v="SVC-7050SX3-48YC12-1M-SH4"/>
        <s v="SVC-7050SX3-48YC12-1M-SHR"/>
        <s v="SVC-7050SX3-48YC8-1M-SH4"/>
        <s v="SVC-7050SX3-48YC8-1M-SHR"/>
        <s v="SVC-7050SX3-96YC8-1M-SH4"/>
        <s v="SVC-7050SX3-96YC8-1M-SHR"/>
        <s v="SVC-7050TX3-48C8-1M-SH4"/>
        <s v="SVC-7050TX3-48C8-1M-SHR"/>
        <s v="SVC-7020R4-48Y8QC-1M-SHR"/>
        <s v="SVC-7020R4-48Y8QC-1M-SH4"/>
        <s v="SVC-7020R4M-48Y8QC-1M-SHR"/>
        <s v="SVC-7020R4M-48Y8QC-1M-SH4"/>
        <s v="SVC-7020R4-48Y4QC-1M-SHR"/>
        <s v="SVC-7020R4-48Y4QC-1M-SH4"/>
        <s v="SVC-7020R4M-48Y4QC-1M-SHR"/>
        <s v="SVC-7020R4M-48Y4QC-1M-SH4"/>
        <s v="SVC-7020R4-48TX4QC-1M-SHR"/>
        <s v="SVC-7020R4-48TX4QC-1M-SH4"/>
        <s v="SVC-7020R4M-48TX4QC-1M-SHR"/>
        <s v="SVC-7020R4M-48TX4QC-1M-SH4"/>
        <s v="SVC-7020SR-24C2-1M-SH4"/>
        <s v="SVC-7020SR-24C2-1M-SHR"/>
        <s v="SVC-7020SR-32C2-1M-SH4"/>
        <s v="SVC-7020SR-32C2-1M-SHR"/>
        <s v="SVC-7020SRG-24C2-1M-SH4"/>
        <s v="SVC-7020SRG-24C2-1M-SHR"/>
        <s v="SVC-7010TX-48C-O3A-1M-SHR"/>
        <s v="SVC-7010TX-48C-O3A-1M-SH4"/>
        <s v="SVC-7010TX-48C-O3-1M-SHR"/>
        <s v="SVC-7010TX-48C-O3-1M-SH4"/>
        <s v="SVC-7010TX-48C-DC-1M-SHR"/>
        <s v="SVC-7010TX-48C-DC-1M-SH4"/>
        <s v="SVC-7010TX-48C-1M-SH4"/>
        <s v="SVC-7010TX-48C-1M-SHR"/>
        <s v="SVC-7010TX-48-1M-SHR"/>
        <s v="SVC-7010TX-48-1M-SH4"/>
        <s v="SVC-7010TX-48DC-1M-SHR"/>
        <s v="SVC-7010TX-48DC-1M-SH4"/>
        <s v="SVC-7010T-1M-SH4"/>
        <s v="SVC-7010T-1M-SHR"/>
        <s v="SVC-7010TDC-1M-SH4"/>
        <s v="SVC-7010TDC-1M-SHR"/>
        <s v="SVC-7020TR-48-1M-SH4"/>
        <s v="SVC-7020TR-48-1M-SHR"/>
        <s v="SVC-7020TRA-48-1M-SH4"/>
        <s v="SVC-7020TRA-48-1M-SHR"/>
        <s v="SVC-710HXP-28TXH-1M-SH4"/>
        <s v="SVC-710HXP-28TXH-1M-SHR"/>
        <s v="SVC-710HXP-20TNH-1M-SH4"/>
        <s v="SVC-710HXP-20TNH-1M-SHR"/>
        <s v="SVC-710XP-12TH-SHR"/>
        <s v="SVC-710XP-12TH-SH4"/>
        <s v="SVC-710XP-12TH-1M-SH4"/>
        <s v="SVC-710XP-12TH-1M-SHR"/>
        <s v="SVC-710P-12-1M-SH4"/>
        <s v="SVC-710P-12-1M-SHR"/>
        <s v="SVC-710P-16D-1M-SH4"/>
        <s v="SVC-710P-16D-1M-SHR"/>
        <s v="SVC-710P-16P-1M-SH4"/>
        <s v="SVC-710P-16P-1M-SHR"/>
        <s v="SVC-720XP-24Y6-1M-SH4"/>
        <s v="SVC-720XP-24Y6-1M-SHR"/>
        <s v="SVC-720XP-24ZY4-1M-SH4"/>
        <s v="SVC-720XP-24ZY4-1M-SHR"/>
        <s v="SVC-720XP-48Y6-1M-SH4"/>
        <s v="SVC-720XP-48Y6-1M-SHR"/>
        <s v="SVC-720XP-48ZC2-1M-SH4"/>
        <s v="SVC-720XP-48ZC2-1M-SHR"/>
        <s v="SVC-720XP-96ZC2-1M-SH4"/>
        <s v="SVC-720XP-96ZC2-1M-SHR"/>
        <s v="SVC-720XP-48TXH-2C-S-1M-SHR"/>
        <s v="SVC-720XP-48TXH-2C-S-1M-SH4"/>
        <s v="SVC-720XPM-48TH-1M-SH4"/>
        <s v="SVC-720XPM-48TH-1M-SHR"/>
        <s v="SVC-720DF-48Y-DC-1M-SH4"/>
        <s v="SVC-720DF-48Y-DC-1M-SHR"/>
        <s v="SVC-720DF-48Y-1M-SH4"/>
        <s v="SVC-720DF-48Y-1M-SHR"/>
        <s v="SVC-720DF-48Y-M-S-1M-SH4"/>
        <s v="SVC-720DF-48Y-M-S-1M-SHR"/>
        <s v="SVC-720DP-24ZS-1M-SH4"/>
        <s v="SVC-720DP-24ZS-1M-SHR"/>
        <s v="SVC-720DP-48S-M-S-1M-SHR"/>
        <s v="SVC-720DP-48S-M-S-1M-SH4"/>
        <s v="SVC-720DP-48ZS-1M-SH4"/>
        <s v="SVC-720DP-48ZS-1M-SHR"/>
        <s v="SVC-720DP-48S-1M-SH4"/>
        <s v="SVC-720DP-48S-1M-SHR"/>
        <s v="SVC-720DP-24S-1M-SH4"/>
        <s v="SVC-720DP-24S-1M-SHR"/>
        <s v="SVC-720DP-24S-M-S-1M-SH4"/>
        <s v="SVC-720DP-24S-M-S-1M-SHR"/>
        <s v="SVC-720DT-24S-M-S-1M-SH4"/>
        <s v="SVC-720DT-24S-M-S-1M-SHR"/>
        <s v="SVC-720DT-48S-1M-SHR"/>
        <s v="SVC-720DT-48S-1M-SH4"/>
        <s v="SVC-720DT-24S-1M-SHR"/>
        <s v="SVC-720DT-24S-1M-SH4"/>
        <s v="SVC-720XDM-48T-1M-SH4"/>
        <s v="SVC-720XDM-48T-1M-SHR"/>
        <s v="SVC-722XPM-48Y4-1M-SH4"/>
        <s v="SVC-722XPM-48Y4-1M-SHR"/>
        <s v="SVC-722XPM-48ZY8-1M-SH4"/>
        <s v="SVC-722XPM-48ZY8-1M-SHR"/>
        <s v="SVC-755XP-1M-SH4"/>
        <s v="SVC-755XP-1M-SHR"/>
        <s v="SVC-758XP-1M-SH4"/>
        <s v="SVC-758XP-1M-SHR"/>
        <s v="Expedite Fee"/>
        <s v="Expedite Fee-30+"/>
        <s v="Expedite-Fee-Modular"/>
        <s v="DCA-AGNI-100"/>
        <s v="DCA-NDR-NB10"/>
        <s v="DCS-7812R3-BND-FLX"/>
        <s v="SS-NDR-NCG5-1M"/>
        <s v="SS-NDR-NCG2-1M"/>
        <s v="SS-NDR-NCG10-1M"/>
        <s v="SS-NDR-NCCG10-1M"/>
        <s v="SS-NDR-SCG1-1M"/>
        <s v="SS-SEC-MNDR-STDN-5GB-1M"/>
        <s v="SS-SEC-MNDR-STDA-5GB-1M"/>
        <s v="SS-SEC-MNDR-STDN-10GB-1M"/>
        <s v="SS-SEC-MNDR-STDNI-10GB-1M"/>
        <s v="SVC-DCA-AGNI-100-NB"/>
        <s v="SVC-DCA-NDR-NB10-1M-NB"/>
        <s v="SVC-DCA-NDR-NCC-10-1M"/>
        <s v="DCS-7800R4K-36DE-LC"/>
        <s v="DCS-7800R4K-36DE-LC#"/>
        <s v="--" u="1"/>
        <s v="AP-C130-SS-PREM-5Y-P" u="1"/>
        <s v="AP-C200-SS-3Y-EDU" u="1"/>
        <s v="AP-C200-SS-3Y-EDU2" u="1"/>
        <s v="AP-C200-SS-5Y-EDU" u="1"/>
        <s v="AP-C200-SS-5Y-EDU2" u="1"/>
        <s v="AP-C230-SS-3Y-EDU" u="1"/>
        <s v="AP-C230-SS-3Y-EDU2" u="1"/>
        <s v="AP-C230-SS-3Y-UP" u="1"/>
        <s v="AP-C230-SS-5Y-EDU" u="1"/>
        <s v="AP-C230-SS-5Y-EDU2" u="1"/>
        <s v="AP-C230-SS-5Y-UP" u="1"/>
        <s v="AP-C230E-SS-3Y-EDU" u="1"/>
        <s v="AP-C230E-SS-3Y-EDU2" u="1"/>
        <s v="AP-C230E-SS-5Y-EDU" u="1"/>
        <s v="AP-C230E-SS-5Y-EDU2" u="1"/>
        <s v="AP-C250-SS-PREM-3Y" u="1"/>
        <s v="AP-C250-SS-PREM-5Y" u="1"/>
        <s v="AP-C260-SS-3Y-EDU" u="1"/>
        <s v="AP-C260-SS-3Y-EDU2" u="1"/>
        <s v="AP-C260-SS-5Y-EDU" u="1"/>
        <s v="AP-C260-SS-5Y-EDU2" u="1"/>
        <s v="AP-C260-SS-5Y-UP" u="1"/>
        <s v="AP-C330-SS-3Y-EDU" u="1"/>
        <s v="AP-C330-SS-3Y-EDU2" u="1"/>
        <s v="AP-C330-SS-5Y-EDU" u="1"/>
        <s v="AP-C330-SS-5Y-EDU2" u="1"/>
        <s v="AP-C330-SS-PREM-3Y-EDU2" u="1"/>
        <s v="AP-C330-SS-PREM-5Y-EDU2" u="1"/>
        <s v="AP-C360-SS-3Y-EDU" u="1"/>
        <s v="AP-C360-SS-3Y-EDU2" u="1"/>
        <s v="AP-C360-SS-5Y-EDU" u="1"/>
        <s v="AP-C360-SS-5Y-EDU2" u="1"/>
        <s v="AP-C360-SS-PREM-3Y-EDU2" u="1"/>
        <s v="AP-C360-SS-PREM-5Y-EDU2" u="1"/>
        <s v="AP-C460-SS-3Y-EDU2" u="1"/>
        <s v="AP-C460-SS-EDU2" u="1"/>
        <s v="AP-C460-SS-PREM-3Y-EDU2" u="1"/>
        <s v="AP-C460-SS-PREM-5Y-EDU2" u="1"/>
        <s v="AP-O235-SS-3Y-EDU" u="1"/>
        <s v="AP-O235-SS-3Y-EDU2" u="1"/>
        <s v="AP-O235-SS-5Y-EDU" u="1"/>
        <s v="AP-O235-SS-5Y-EDU2" u="1"/>
        <s v="AP-O235E-SS-3Y-EDU" u="1"/>
        <s v="AP-O235E-SS-3Y-EDU2" u="1"/>
        <s v="AP-O235E-SS-5Y-EDU" u="1"/>
        <s v="AP-O235E-SS-5Y-EDU2" u="1"/>
        <s v="AP-W318-RW-SS-3Y-EDU" u="1"/>
        <s v="AP-W318-RW-SS-3Y-EDU2" u="1"/>
        <s v="AP-W318-RW-SS-5Y-EDU" u="1"/>
        <s v="AP-W318-RW-SS-5Y-EDU2" u="1"/>
        <s v="AP-W318-RW-SS-PREM-3Y-EDU2" u="1"/>
        <s v="AP-W318-RW-SS-PREM-5Y-EDU2" u="1"/>
        <s v="AP-W318-SS-3Y-EDU" u="1"/>
        <s v="AP-W318-SS-3Y-EDU2" u="1"/>
        <s v="AP-W318-SS-5Y-EDU" u="1"/>
        <s v="AP-W318-SS-5Y-EDU2" u="1"/>
        <s v="AP-W318-SS-PREM-3Y-EDU2" u="1"/>
        <s v="AP-W318-SS-PREM-5Y-EDU2" u="1"/>
        <s v="AWE-5300-550-A-PS" u="1"/>
        <s v="AWE-5310-2F-FLX" u="1"/>
        <s v="AWE-5500-800-A-PS" u="1"/>
        <s v="AWE-5500-A-FAN" u="1"/>
        <s v="AWE-5510-2F-FLX" u="1"/>
        <s v="AWE-7220RP-5TH-2S-FLX-F-P" u="1"/>
        <s v="CAB-AC-20A-SG-C20" u="1"/>
        <s v="CAB-C19-IND" u="1"/>
        <s v="CCA-ETM-Q6E" u="1"/>
        <s v="CCA-ETM-Q6EWL" u="1"/>
        <s v="CCS-710P-12-EU-P" u="1"/>
        <s v="CCS-710P-12-JPN-P" u="1"/>
        <s v="CCS-710P-12-NA-3Y-EDU" u="1"/>
        <s v="CCS-710P-12-NA-3Y-EDU2" u="1"/>
        <s v="CCS-710P-12-NA-5Y-EDU" u="1"/>
        <s v="CCS-710P-12-NA-5Y-EDU2" u="1"/>
        <s v="CCS-710P-12-NA-P" u="1"/>
        <s v="CCS-710P-12-P" u="1"/>
        <s v="CCS-710P-12-UK-P" u="1"/>
        <s v="CCS-710P-16P-EU-P" u="1"/>
        <s v="CCS-710P-16P-JPN-P" u="1"/>
        <s v="CCS-710P-16P-NA-3Y-EDU" u="1"/>
        <s v="CCS-710P-16P-NA-3Y-EDU2" u="1"/>
        <s v="CCS-710P-16P-NA-5Y-EDU" u="1"/>
        <s v="CCS-710P-16P-NA-5Y-EDU2" u="1"/>
        <s v="CCS-710P-16P-NA-P" u="1"/>
        <s v="CCS-710P-16P-P" u="1"/>
        <s v="CCS-710P-16P-UK-P" u="1"/>
        <s v="CCS-720DF-48Y-2F-NA-3Y-EDU" u="1"/>
        <s v="CCS-720DF-48Y-2F-NA-5Y-EDU" u="1"/>
        <s v="CCS-720DF-48Y-M-2-2F-UK" u="1"/>
        <s v="CCS-720DF-48Y-M-S-2F-NA-3Y-EDU2" u="1"/>
        <s v="CCS-720DF-48Y-M-S-2F-NA-5Y-EDU2" u="1"/>
        <s v="CCS-720DP-24S-2F-NA-3Y-EDU" u="1"/>
        <s v="CCS-720DP-24S-2F-NA-5Y-EDU" u="1"/>
        <s v="CCS-720DP-24S-2F-P" u="1"/>
        <s v="CCS-720DP-24S-2F-P-EU" u="1"/>
        <s v="CCS-720DP-24S-2F-P-JPN" u="1"/>
        <s v="CCS-720DP-24S-2F-P-NA" u="1"/>
        <s v="CCS-720DP-24S-2F-P-UK" u="1"/>
        <s v="CCS-720DP-24S-M-S-2F-NA-3Y-EDU2" u="1"/>
        <s v="CCS-720DP-24S-M-S-2F-NA-5Y-EDU2" u="1"/>
        <s v="CCS-720DP-24S-M-S-2F-P" u="1"/>
        <s v="CCS-720DP-24ZS-2F-NA-3Y-EDU" u="1"/>
        <s v="CCS-720DP-24ZS-2F-NA-3Y-EDU2" u="1"/>
        <s v="CCS-720DP-24ZS-2F-NA-5Y-EDU" u="1"/>
        <s v="CCS-720DP-24ZS-2F-NA-5Y-EDU2" u="1"/>
        <s v="CCS-720DP-24ZS-2F-P" u="1"/>
        <s v="CCS-720DP-24ZS-2F-P-C14" u="1"/>
        <s v="CCS-720DP-24ZS-2F-P-EU" u="1"/>
        <s v="CCS-720DP-24ZS-2F-P-JPN" u="1"/>
        <s v="CCS-720DP-24ZS-2F-P-NA" u="1"/>
        <s v="CCS-720DP-24ZS-2F-P-UK" u="1"/>
        <s v="CCS-720DP-48S-2F-NA-3Y-EDU" u="1"/>
        <s v="CCS-720DP-48S-2F-NA-5Y-EDU" u="1"/>
        <s v="CCS-720DP-48S-M-S-2F-NA-3Y-EDU2" u="1"/>
        <s v="CCS-720DP-48S-M-S-2F-NA-5Y-EDU2" u="1"/>
        <s v="CCS-720DP-48S-M-S-2F-P" u="1"/>
        <s v="CCS-720DP-48ZS-2F-NA-3Y-EDU" u="1"/>
        <s v="CCS-720DP-48ZS-2F-NA-3Y-EDU2" u="1"/>
        <s v="CCS-720DP-48ZS-2F-NA-5Y-EDU" u="1"/>
        <s v="CCS-720DP-48ZS-2F-NA-5Y-EDU2" u="1"/>
        <s v="CCS-720DP-48ZS-2F-P" u="1"/>
        <s v="CCS-720DP-48ZS-2F-P-C14" u="1"/>
        <s v="CCS-720DP-48ZS-2F-P-EU" u="1"/>
        <s v="CCS-720DP-48ZS-2F-P-JPN" u="1"/>
        <s v="CCS-720DP-48ZS-2F-P-NA" u="1"/>
        <s v="CCS-720DP-48ZS-2F-P-UK" u="1"/>
        <s v="CCS-720DT-24S-2F-NA-3Y-EDU" u="1"/>
        <s v="CCS-720DT-24S-2F-NA-5Y-EDU" u="1"/>
        <s v="CCS-720DT-24S-2F-P" u="1"/>
        <s v="CCS-720DT-24S-2F-P-EU" u="1"/>
        <s v="CCS-720DT-24S-2F-P-JPN" u="1"/>
        <s v="CCS-720DT-24S-2F-P-NA" u="1"/>
        <s v="CCS-720DT-24S-2F-P-UK" u="1"/>
        <s v="CCS-720DT-24S-2R-NA-3Y-EDU2" u="1"/>
        <s v="CCS-720DT-24S-2R-NA-5Y-EDU2" u="1"/>
        <s v="CCS-720DT-24S-M-S-2F-NA-3Y-EDU2" u="1"/>
        <s v="CCS-720DT-24S-M-S-2F-NA-5Y-EDU2" u="1"/>
        <s v="CCS-720DT-48S-2F-NA-3Y-EDU" u="1"/>
        <s v="CCS-720DT-48S-2F-NA-3Y-EDU2" u="1"/>
        <s v="CCS-720DT-48S-2F-NA-5Y-EDU" u="1"/>
        <s v="CCS-720DT-48S-2F-NA-5Y-EDU2" u="1"/>
        <s v="CCS-720DT-48S-2R-NA-3Y-EDU2" u="1"/>
        <s v="CCS-720DT-48S-2R-NA-5Y-EDU2" u="1"/>
        <s v="CCS-720XP-24Y6-2F-NA-3Y-EDU" u="1"/>
        <s v="CCS-720XP-24Y6-2F-NA-3Y-EDU2" u="1"/>
        <s v="CCS-720XP-24Y6-2F-NA-5Y-EDU" u="1"/>
        <s v="CCS-720XP-24Y6-2F-NA-5Y-EDU2" u="1"/>
        <s v="CCS-720XP-24Y6-F-NA-3Y-EDU2" u="1"/>
        <s v="CCS-720XP-24ZY4-2F-NA-3Y-EDU" u="1"/>
        <s v="CCS-720XP-24ZY4-2F-NA-3Y-EDU2" u="1"/>
        <s v="CCS-720XP-24ZY4-2F-NA-5Y-EDU" u="1"/>
        <s v="CCS-720XP-24ZY4-2F-NA-5Y-EDU2" u="1"/>
        <s v="CCS-720XP-24ZY4-F-NA-3Y-EDU2" u="1"/>
        <s v="CCS-720XP-24ZY4-F-NA-5Y-EDU2" u="1"/>
        <s v="CCS-720XP-48TXH-2C-S-2F-NA-3Y-EDU" u="1"/>
        <s v="CCS-720XP-48TXH-2C-S-2F-NA-3Y-EDU2" u="1"/>
        <s v="CCS-720XP-48TXH-2C-S-2F-NA-5Y-EDU" u="1"/>
        <s v="CCS-720XP-48TXH-2C-S-2F-NA-5Y-EDU2" u="1"/>
        <s v="CCS-720XP-48Y6-2F-NA-3Y-EDU" u="1"/>
        <s v="CCS-720XP-48Y6-2F-NA-3Y-EDU2" u="1"/>
        <s v="CCS-720XP-48Y6-2F-NA-5Y-EDU" u="1"/>
        <s v="CCS-720XP-48Y6-2F-NA-5Y-EDU2" u="1"/>
        <s v="CCS-720XP-48Y6-F-NA-3Y-EDU2" u="1"/>
        <s v="CCS-720XP-48Y6-F-NA-5Y-EDU2" u="1"/>
        <s v="CCS-720XP-48ZC2-2F-NA-3Y-EDU" u="1"/>
        <s v="CCS-720XP-48ZC2-2F-NA-3Y-EDU2" u="1"/>
        <s v="CCS-720XP-48ZC2-2F-NA-5Y-EDU" u="1"/>
        <s v="CCS-720XP-48ZC2-2F-NA-5Y-EDU2" u="1"/>
        <s v="CCS-720XP-48ZC2-F-NA-3Y-EDU2" u="1"/>
        <s v="CCS-720XP-48ZC2-F-NA-5Y-EDU2" u="1"/>
        <s v="CCS-720XP-96ZC2-2F-NA-3Y-EDU" u="1"/>
        <s v="CCS-720XP-96ZC2-2F-NA-5Y-EDU" u="1"/>
        <s v="CCS-720XP-96ZC2-M-2F" u="1"/>
        <s v="CCS-720XP-96ZC2-M-2F-C14" u="1"/>
        <s v="CCS-720XP-96ZC2-M-2F-EU" u="1"/>
        <s v="CCS-720XP-96ZC2-M-2F-JPN" u="1"/>
        <s v="CCS-720XP-96ZC2-M-2F-NA" u="1"/>
        <s v="CCS-720XP-96ZC2-M-2F-UK" u="1"/>
        <s v="CCS-720XP-96ZC2-M-4F" u="1"/>
        <s v="CCS-720XP-96ZC2-M-4F-C14" u="1"/>
        <s v="CCS-720XP-96ZC2-M-4F-EU" u="1"/>
        <s v="CCS-720XP-96ZC2-M-4F-JPN" u="1"/>
        <s v="CCS-720XP-96ZC2-M-4F-NA" u="1"/>
        <s v="CCS-720XP-96ZC2-M-4F-UK" u="1"/>
        <s v="CCS-720XP-96ZC2-M-S-2F-NA-3Y-EDU2" u="1"/>
        <s v="CCS-720XP-96ZC2-M-S-2F-NA-5Y-EDU2" u="1"/>
        <s v="CCS-720XP-96ZC2-M-S-4F-NA-3Y-EDU2" u="1"/>
        <s v="CCS-720XP-96ZC2-M-S-4F-NA-5Y-EDU2" u="1"/>
        <s v="CCS-720XP-96ZC2-M#" u="1"/>
        <s v="CCS-722XPM-48Y4-2F-NA-3Y-EDU" u="1"/>
        <s v="CCS-722XPM-48Y4-2F-NA-3Y-EDU2" u="1"/>
        <s v="CCS-722XPM-48Y4-2F-NA-5Y-EDU" u="1"/>
        <s v="CCS-722XPM-48Y4-2F-NA-5Y-EDU2" u="1"/>
        <s v="CCS-722XPM-48Y4-500DC-2F" u="1"/>
        <s v="CCS-722XPM-48Y4-650-2F" u="1"/>
        <s v="CCS-722XPM-48Y4-650-2R" u="1"/>
        <s v="CCS-722XPM-48ZY8-2F-3E" u="1"/>
        <s v="CCS-722XPM-48ZY8-2F-5E" u="1"/>
        <s v="CCS-722XPM-48ZY8-2F-NA-3Y-EDU" u="1"/>
        <s v="CCS-722XPM-48ZY8-2F-NA-3Y-EDU2" u="1"/>
        <s v="CCS-722XPM-48ZY8-2F-NA-5Y-EDU" u="1"/>
        <s v="CCS-722XPM-48ZY8-2F-NA-5Y-EDU2" u="1"/>
        <s v="DCA-CC-CDL" u="1"/>
        <s v="DCA-DM-CDL" u="1"/>
        <s v="DCA-DM-RA3" u="1"/>
        <s v="DCA-DM-SC" u="1"/>
        <s v="DCA-DM-SDL" u="1"/>
        <s v="DCA-DM-SEL" u="1"/>
        <s v="DCA-NDR-NCC10-P" u="1"/>
        <s v="DCS-7020SR-24C2-F" u="1"/>
        <s v="DCS-7020SR-24C2-F-3Y-EDU" u="1"/>
        <s v="DCS-7020SR-24C2-F-5Y-EDU" u="1"/>
        <s v="DCS-7020SR-24C2-R" u="1"/>
        <s v="DCS-7020SR-24C2-R-3Y-EDU" u="1"/>
        <s v="DCS-7020SR-24C2-R-5Y-EDU" u="1"/>
        <s v="DCS-7020SR-24C2#" u="1"/>
        <s v="DCS-7020SR-32C2-F" u="1"/>
        <s v="DCS-7020SR-32C2-R" u="1"/>
        <s v="DCS-7020SR-32C2#" u="1"/>
        <s v="DCS-7020TR-48-F" u="1"/>
        <s v="DCS-7020TR-48-R" u="1"/>
        <s v="DCS-7020TR-48#" u="1"/>
        <s v="DCS-7050CX3-32C-EHW-F" u="1"/>
        <s v="DCS-7050CX3-32C-EHW-R" u="1"/>
        <s v="DCS-7050CX3-32C-EHW#" u="1"/>
        <s v="DCS-7050CX3-32S-D-EHW-F" u="1"/>
        <s v="DCS-7050CX3-32S-D-EHW-R" u="1"/>
        <s v="DCS-7050CX3-32S-D-EHW#" u="1"/>
        <s v="DCS-7050CX3-32S-DC-F" u="1"/>
        <s v="DCS-7050CX3-32S-DC-R" u="1"/>
        <s v="DCS-7050CX3-32S-F-3Y-EDU" u="1"/>
        <s v="DCS-7050CX3-32S-F-5Y-EDU" u="1"/>
        <s v="DCS-7050CX3-32S-F-NA-3Y-EDU2" u="1"/>
        <s v="DCS-7050CX3-32S-F-NA-5Y-EDU2" u="1"/>
        <s v="DCS-7050CX3-32S-R-3Y-EDU" u="1"/>
        <s v="DCS-7050CX3-32S-R-5Y-EDU" u="1"/>
        <s v="DCS-7050CX3-32S-R-NA-3Y-EDU2" u="1"/>
        <s v="DCS-7050CX3-32S-R-NA-5Y-EDU2" u="1"/>
        <s v="DCS-7050DX4-32S-FLX-L-F" u="1"/>
        <s v="DCS-7050DX4-32S-FLX-L-R" u="1"/>
        <s v="DCS-7050SX3-24YC4C-S-F-NA-3Y-EDU2" u="1"/>
        <s v="DCS-7050SX3-24YC4C-S-F-NA-5Y-EDU2" u="1"/>
        <s v="DCS-7050SX3-24YC4C-S-R-NA-3Y-EDU2" u="1"/>
        <s v="DCS-7050SX3-24YC4C-S-R-NA-5Y-EDU2" u="1"/>
        <s v="DCS-7050SX3-48C8-F-P" u="1"/>
        <s v="DCS-7050SX3-48C8-R-P" u="1"/>
        <s v="DCS-7050SX3-48C8C-F-P" u="1"/>
        <s v="DCS-7050SX3-48C8C-R-P" u="1"/>
        <s v="DCS-7050SX3-48YC8-F-3Y-EDU" u="1"/>
        <s v="DCS-7050SX3-48YC8-F-5Y-EDU" u="1"/>
        <s v="DCS-7050SX3-48YC8-F-NA-3Y-EDU2" u="1"/>
        <s v="DCS-7050SX3-48YC8-F-NA-5Y-EDU2" u="1"/>
        <s v="DCS-7050SX3-48YC8-R-3Y-EDU" u="1"/>
        <s v="DCS-7050SX3-48YC8-R-5Y-EDU" u="1"/>
        <s v="DCS-7050SX3-48YC8-R-NA-3Y-EDU2" u="1"/>
        <s v="DCS-7050SX3-48YC8-R-NA-5Y-EDU2" u="1"/>
        <s v="DCS-7050SX3-96YC8-#" u="1"/>
        <s v="DCS-7060CX-32S-EHW-F" u="1"/>
        <s v="DCS-7060CX-32S-EHW-R" u="1"/>
        <s v="DCS-7060CX-32S-EHW#" u="1"/>
        <s v="DCS-7060DX5-32-EHW-F" u="1"/>
        <s v="DCS-7060X6-32PE-F-P" u="1"/>
        <s v="DCS-7060X6-64PE-F-P" u="1"/>
        <s v="DCS-7260CX3-64-EHW-F" u="1"/>
        <s v="DCS-7260CX3-64-EHW-R" u="1"/>
        <s v="DCS-7260CX3-64-EHW#" u="1"/>
        <s v="DCS-7280CR2A-30-DC-F" u="1"/>
        <s v="DCS-7280CR2K-30-DC-F" u="1"/>
        <s v="DCS-7280DR3-24-DC-F" u="1"/>
        <s v="DCS-7280DR3-24-M-DC-F" u="1"/>
        <s v="DCS-7280DR3AK-36-SK-F" u="1"/>
        <s v="DCS-7280DR3K-24-DC-F" u="1"/>
        <s v="DCS-7280PR3-24-DC-F" u="1"/>
        <s v="DCS-7280PR3-24-M-DC-F" u="1"/>
        <s v="DCS-7280PR3K-24-DC-F" u="1"/>
        <s v="DCS-7280SR3K-48YC8A-F-3Y-EDU" u="1"/>
        <s v="DCS-7280SR3K-48YC8A-F-5Y-EDU" u="1"/>
        <s v="DCS-7280SR3K-48YC8A-R-3Y-EDU" u="1"/>
        <s v="DCS-7280SR3K-48YC8A-R-5Y-EDU" u="1"/>
        <s v="DCS-7280SR3MK-48YC8A-S-F-DC" u="1"/>
        <s v="DCS-7388-16CD" u="1"/>
        <s v="DCS-7388X5-32C-48D-F" u="1"/>
        <s v="DCS-7388X5-80C-24D-F" u="1"/>
        <s v="DCS-7800R3A-36D2-LC" u="1"/>
        <s v="DCS-7800R3A-36D2-LC#" u="1"/>
        <s v="DCS-7800R3A-36DM2-LC" u="1"/>
        <s v="DCS-7800R3A-36DM2-LC#" u="1"/>
        <s v="DCS-7800R3AK-36DM2-LC" u="1"/>
        <s v="DCS-7800R3AK-36DM2-LC#" u="1"/>
        <s v="DCS-7800R3K-36DM-LC" u="1"/>
        <s v="DCS-7800R3K-36DM-LC#" u="1"/>
        <s v="DCS-7800R3K-48CD-LC" u="1"/>
        <s v="DCS-7800R3K-48CD-LC#" u="1"/>
        <s v="DCS-7804R4-BND-U" u="1"/>
        <s v="DCS-7808R4-BND-DC-U" u="1"/>
        <s v="FAN-7010X-F" u="1"/>
        <s v="FAN-7010X-R" u="1"/>
        <s v="FB-7001-SUP-BMC" u="1"/>
        <s v="FB-7001-SUP-ELB" u="1"/>
        <s v="FB-7003-SUP-BMC" u="1"/>
        <s v="FB-7003-SUP-ELB" u="1"/>
        <s v="FB-7060DX4-32SB-RV3-F" u="1"/>
        <s v="FB-7060DX4-32SB-RV3N-F" u="1"/>
        <s v="FB-7388X5-128C2-BND-D-RV3N-F" u="1"/>
        <s v="FB-7808R4-BND-DC-U-12PS-SK" u="1"/>
        <s v="FB-DL-7700R4C-38PE-B-DC-F" u="1"/>
        <s v="FB-DL-7700R4C-38PE-B-DC-F-RV3" u="1"/>
        <s v="FB-DL-7700R4C-38PE-B-DC1-F" u="1"/>
        <s v="FB-DL-7700R4C-38PE-B-F" u="1"/>
        <s v="FB-DL-7700R4C-38PE-B%" u="1"/>
        <s v="FB-DL-7700R4C-38PE-DC-F" u="1"/>
        <s v="FB-DL-7700R4C-38PE-DC-F-RV3" u="1"/>
        <s v="FB-DL-7700R4C-38PE-DC1-F" u="1"/>
        <s v="FB-DL-7700R4C-38PE-F" u="1"/>
        <s v="FB-DL-7700R4C-38PE%" u="1"/>
        <s v="FB-DS-7720R4-128PE" u="1"/>
        <s v="FB-DS-7720R4-128PE-DC" u="1"/>
        <s v="FB-DS-7720R4-128PE%" u="1"/>
        <s v="FB-MEM-NVME-512" u="1"/>
        <s v="KIT-1U-2POST-NT" u="1"/>
        <s v="KIT-7021-RV3-RK" u="1"/>
        <s v="KIT-7130-2-AC-FAN-F" u="1"/>
        <s v="KIT-7130-2-AC-FAN-R" u="1"/>
        <s v="KIT-7130-2-DC-FAN-R" u="1"/>
        <s v="KIT-7130-AC-FAN-F" u="1"/>
        <s v="KIT-7130-AC-FAN-R" u="1"/>
        <s v="KIT-7130-DC-FAN-R" u="1"/>
        <s v="KIT-7130S-2-AC-FAN-F-v2" u="1"/>
        <s v="KIT-7130S-2-AC-FAN-R-v2" u="1"/>
        <s v="KIT-7130S-2-DC-FAN-R-v2" u="1"/>
        <s v="KIT-7130S-AC-FAN-F-v2" u="1"/>
        <s v="KIT-7130S-AC-FAN-R-v2" u="1"/>
        <s v="KIT-7130S-DC-FAN-R-v2" u="1"/>
        <s v="KIT-DAMAC-4POST" u="1"/>
        <s v="LBL-PWR-D2-3041-DC-POS48#" u="1"/>
        <s v="LIC-FIX-2-E-EDU2" u="1"/>
        <s v="LIC-FIX-2-FLX-L-EDU2" u="1"/>
        <s v="LIC-FIX-4-FLX9" u="1"/>
        <s v="LIC-FIX-CG-FLX-L-EDU2" u="1"/>
        <s v="LIC-FIX-G-FLX-L-EDU2" u="1"/>
        <s v="LIC-MOD-SLOT-E " u="1"/>
        <s v="LIC-NDR-S10-1M" u="1"/>
        <s v="LIC-WAN4-ENCR-P" u="1"/>
        <s v="MNT-AP-FLAT-14CM-A" u="1"/>
        <s v="MNT-AP-FLAT-C100" u="1"/>
        <s v="MNT-AP-FLAT-C130" u="1"/>
        <s v="PWR-1900-DC-F-P" u="1"/>
        <s v="PWR-1900-DC-F-P#" u="1"/>
        <s v="PWR-1900-DC-R-P" u="1"/>
        <s v="PWR-1900-DC-R-P#" u="1"/>
        <s v="PWR-561-AC-RED#" u="1"/>
        <s v="PWR-861-AC-RED#" u="1"/>
        <s v="CAB-C13-C14" u="1"/>
        <s v="CAB-C15-ARG#" u="1"/>
        <s v="CAB-C15-BRZ#" u="1"/>
        <s v="CAB-C15-CHN#" u="1"/>
        <s v="CAB-C15-ISR#" u="1"/>
        <s v="CAB-C15-SWZ#" u="1"/>
        <s v="QDD-800G-2PLR4-P" u="1"/>
        <s v="OSFP-800G-2PLR4-P" u="1"/>
        <s v="OSFP-800G-2LR4-P" u="1"/>
        <s v="QDD-800G-2FR4-P" u="1"/>
        <s v="QDD-800G-2LR4-P" u="1"/>
        <s v="QDD-800G-2XDR4-P" u="1"/>
        <s v="OSFP-800G-2FR4-P" u="1"/>
        <s v="OSFP-800G-2XDR4-P" u="1"/>
        <s v="QDD-400G-VSR4-P" u="1"/>
        <s v="OSFP-400G-VSR4-P" u="1"/>
        <s v="OSFP-400G-SR8-C-P" u="1"/>
        <s v="QDD-400G-SR8-C-P" u="1"/>
        <s v="QDD-BP-200" u="1"/>
        <s v="QSFP-100G-SR4-E-P" u="1"/>
        <s v="OSFP-400G-ZR-P" u="1"/>
        <s v="QDD-400G-ZR-P" u="1"/>
        <s v="QSFP-100G-XSR4-P" u="1"/>
        <s v="QSFP-100G-SWDM4-P" u="1"/>
        <s v="QSFP-100G-CWDM4-P" u="1"/>
        <s v="QSFP-100G-ERL4-P" u="1"/>
        <s v="QSFP-100G-LR4-P" u="1"/>
        <s v="QSFP-100G-LRL4-P" u="1"/>
        <s v="QSFP-100G-PSM4-P" u="1"/>
        <s v="QSFP-100G-SR4-P" u="1"/>
        <s v="QSFP-100G-DR-P" u="1"/>
        <s v="QSFP-100G-FR-P" u="1"/>
        <s v="CAB-Q-Q-100G-0.5-P" u="1"/>
        <s v="CAB-Q-Q-100G-1.5-P" u="1"/>
        <s v="CAB-Q-Q-100G-1M-P" u="1"/>
        <s v="CAB-Q-Q-100G-2.5-P" u="1"/>
        <s v="CAB-Q-Q-100G-2M-P" u="1"/>
        <s v="CAB-Q-Q-100G-3M-P" u="1"/>
        <s v="CAB-Q-Q-100G-5M-P" u="1"/>
        <s v="AOC-Q-Q-100G-1M-P" u="1"/>
        <s v="AOC-Q-Q-100G-3M-P" u="1"/>
        <s v="AOC-Q-Q-100G-5M-P" u="1"/>
        <s v="AOC-Q-Q-100G-7M-P" u="1"/>
        <s v="AOC-Q-Q-100G-10M-P" u="1"/>
        <s v="AOC-Q-Q-100G-15M-P" u="1"/>
        <s v="AOC-Q-Q-100G-20M-P" u="1"/>
        <s v="AOC-Q-Q-100G-25M-P" u="1"/>
        <s v="AOC-Q-Q-100G-30M-P" u="1"/>
        <s v="SFP-25G-LR-P" u="1"/>
        <s v="OSFP-400G-2FR4-P" u="1"/>
        <s v="OSFP-400G-LR4-P" u="1"/>
        <s v="OSFP-400G-FR4-P" u="1"/>
        <s v="OSFP-400G-PLR4-P" u="1"/>
        <s v="OSFP-400G-XDR4-P" u="1"/>
        <s v="OSFP-400G-DR4-P" u="1"/>
        <s v="OSFP-400G-SR8-P" u="1"/>
        <s v="QDD-400G-LR4-P" u="1"/>
        <s v="QDD-400G-FR4-P" u="1"/>
        <s v="QDD-400G-PLR4-P" u="1"/>
        <s v="QDD-400G-XDR4-P" u="1"/>
        <s v="QDD-400G-DR4-P" u="1"/>
        <s v="QDD-400G-SR8-P" u="1"/>
        <s v="CAB-O-O-400G-3M-P" u="1"/>
        <s v="CAB-O-2Q-400G-3M-P" u="1"/>
        <s v="CAB-O-2Q-400G-2M-P" u="1"/>
        <s v="CAB-O-2Q-400G-1M-P" u="1"/>
        <s v="CAB-O-4Q-400G-3M-P" u="1"/>
        <s v="CAB-O-4Q-400G-2M-P" u="1"/>
        <s v="CAB-O-4Q-400G-1M-P" u="1"/>
        <s v="CAB-D-D-400-2.5-P" u="1"/>
        <s v="CAB-D-D-400G-2M-P" u="1"/>
        <s v="CAB-D-D-400G-1M-P" u="1"/>
        <s v="CAB-D-2Q-400-2.5-P" u="1"/>
        <s v="CAB-D-2Q-400G-2M-P" u="1"/>
        <s v="CAB-D-2Q-400G-1M-P" u="1"/>
        <s v="CAB-D-4Q-400-2.5-P" u="1"/>
        <s v="CAB-D-4Q-400G-2M-P" u="1"/>
        <s v="CAB-D-4Q-400G-1M-P" u="1"/>
        <s v="AOC-D-D-400G-1M-P" u="1"/>
        <s v="AOC-D-D-400G-3M-P" u="1"/>
        <s v="AOC-D-D-400G-5M-P" u="1"/>
        <s v="AOC-D-D-400G-7M-P" u="1"/>
        <s v="AOC-D-D-400G-10M-P" u="1"/>
        <s v="AOC-D-D-400G-15M-P" u="1"/>
        <s v="AOC-D-D-400G-20M-P" u="1"/>
        <s v="AOC-D-D-400G-25M-P" u="1"/>
        <s v="AOC-D-D-400G-30M-P" u="1"/>
        <s v="AOC-O-O-400G-1M-P" u="1"/>
        <s v="AOC-O-O-400G-3M-P" u="1"/>
        <s v="AOC-O-O-400G-5M-P" u="1"/>
        <s v="AOC-O-O-400G-7M-P" u="1"/>
        <s v="AOC-O-O-400G-10M-P" u="1"/>
        <s v="AOC-O-O-400G-15M-P" u="1"/>
        <s v="AOC-O-O-400G-20M-P" u="1"/>
        <s v="AOC-O-O-400G-25M-P" u="1"/>
        <s v="AOC-O-O-400G-30M-P" u="1"/>
        <s v="QSFP-100G-XCWDM4-P" u="1"/>
        <s v="QSFP-100G-LR-P" u="1"/>
        <s v="QSFP-40G-PLRL4-P" u="1"/>
        <s v="SFP-25G-MR-LR-P" u="1"/>
        <s v="SFP-25G-MR-XSR-P" u="1"/>
        <s v="SFP-25G-SR-P" u="1"/>
        <s v="QSFP-40G-LRL4-P" u="1"/>
        <s v="QSFP-40G-SRBD-R-P" u="1"/>
        <s v="QSFP-40G-LR4-P" u="1"/>
        <s v="QSFP-40G-PLR4-P" u="1"/>
        <s v="QSFP-40G-SR4-P" u="1"/>
        <s v="QSFP-40G-XSR4-P" u="1"/>
        <s v="SFP-10G-DZ-T-P" u="1"/>
        <s v="SFP-10G-ZR-P" u="1"/>
        <s v="SFP-10G-ER-P" u="1"/>
        <s v="SFP-10G-LR-P" u="1"/>
        <s v="SFP-10G-LRL-P" u="1"/>
        <s v="SFP-10G-SR-P" u="1"/>
        <s v="SFP-10G-SRL-P" u="1"/>
        <s v="FB-D400G-XDR4-3" u="1"/>
        <s v="A-D800-2Q400-10M-P" u="1"/>
        <s v="A-D800-2Q400-15M-P" u="1"/>
        <s v="A-D800-2Q400-1M-P" u="1"/>
        <s v="A-D800-2Q400-20M-P" u="1"/>
        <s v="A-D800-2Q400-25M-P" u="1"/>
        <s v="A-D800-2Q400-30M-P" u="1"/>
        <s v="A-D800-2Q400-3M-P" u="1"/>
        <s v="A-D800-2Q400-5M-P" u="1"/>
        <s v="A-D800-2Q400-7M-P" u="1"/>
        <s v="A-D800-D800-10M-P" u="1"/>
        <s v="A-D800-D800-15M-P" u="1"/>
        <s v="A-D800-D800-1M-P" u="1"/>
        <s v="A-D800-D800-20M-P" u="1"/>
        <s v="A-D800-D800-25M-P" u="1"/>
        <s v="A-D800-D800-30M-P" u="1"/>
        <s v="A-D800-D800-3M-P" u="1"/>
        <s v="A-D800-D800-5M-P" u="1"/>
        <s v="A-D800-D800-7M-P" u="1"/>
        <s v="A-O800-2Q400-10M-P" u="1"/>
        <s v="A-O800-2Q400-15M-P" u="1"/>
        <s v="A-O800-2Q400-1M-P" u="1"/>
        <s v="A-O800-2Q400-20M-P" u="1"/>
        <s v="A-O800-2Q400-25M-P" u="1"/>
        <s v="A-O800-2Q400-30M-P" u="1"/>
        <s v="A-O800-2Q400-3M-P" u="1"/>
        <s v="A-O800-2Q400-5M-P" u="1"/>
        <s v="A-O800-2Q400-7M-P" u="1"/>
        <s v="A-O800-O800-10M-P" u="1"/>
        <s v="A-O800-O800-15M-P" u="1"/>
        <s v="A-O800-O800-1M-P" u="1"/>
        <s v="A-O800-O800-20M-P" u="1"/>
        <s v="A-O800-O800-25M-P" u="1"/>
        <s v="A-O800-O800-30M-P" u="1"/>
        <s v="A-O800-O800-3M-P" u="1"/>
        <s v="A-O800-O800-5M-P" u="1"/>
        <s v="A-O800-O800-7M-P" u="1"/>
        <s v="SS-CVS-UNO-SWITCH-1M" u="1"/>
        <s v="SS-CV-LT-CG-SWITCH-3Y-EDU" u="1"/>
        <s v="SS-CV-LT-CG-SWITCH-5Y-EDU" u="1"/>
        <s v="SS-CV-LT-G-SWITCH-3Y-EDU" u="1"/>
        <s v="SS-CV-LT-G-SWITCH-5Y-EDU" u="1"/>
        <s v="SS-CV-LT-MOD-G-SWITCH-3Y-EDU" u="1"/>
        <s v="SS-CV-LT-MOD-G-SWITCH-5Y-EDU" u="1"/>
        <s v="SS-CVS-LT-G-SWITCH-3Y-EDU" u="1"/>
        <s v="SS-CVS-LT-G-SWITCH-5Y-EDU" u="1"/>
        <s v="SS-CVS-LT-SWITCH-3Y-EDU" u="1"/>
        <s v="SS-CVS-LT-SWITCH-5Y-EDU" u="1"/>
        <s v="SS-CV-LT-G1-SWITCH-1M-EDU2" u="1"/>
        <s v="SS-CV-LT-G2-SWITCH-1M-EDU2" u="1"/>
        <s v="SS-CV-LT-G3-SWITCH-1M-EDU2" u="1"/>
        <s v="SS-CV-LT-SWITCH-1M-EDU2" u="1"/>
        <s v="SS-CVS-LT-G1-SWITCH-1M-EDU2" u="1"/>
        <s v="SS-CVS-LT-G2-SWITCH-1M-EDU2" u="1"/>
        <s v="SS-CVS-LT-G3-SWITCH-1M-EDU2" u="1"/>
        <s v="SS-CVS-LT-SWITCH-1M-EDU2" u="1"/>
        <s v="SS-CVS-WAN4-1M-P" u="1"/>
        <s v="SS-CV-WAN4-1M-P" u="1"/>
        <s v="SS-NDR-NCAMI10" u="1"/>
        <s v="SS-CVS-UNO-SWITCH-B-1M" u="1"/>
        <s v="SS-CV-CG-SWITCH-1M" u="1"/>
        <s v="SS-NDR-SVV.5-1M" u="1"/>
        <s v="SS-CV-CG-T1-1M" u="1"/>
        <s v="SS-CV-CG-T2-1M" u="1"/>
        <s v="SS-CV-LT-CG-SWITCH-1M" u="1"/>
        <s v="SS-CV-LT-CG-T1-1M" u="1"/>
        <s v="SS-CV-LT-CG-T2-1M" u="1"/>
        <s v="SS-CVSC-G-SWITCH-1M" u="1"/>
        <s v="SS-CVSC-CG-SWITCH-1M" u="1"/>
        <s v="SS-CVS-CG-SWITCH-1M" u="1"/>
        <s v="SS-CVS-CG-T1-1M" u="1"/>
        <s v="SS-CVS-CG-T2-1M" u="1"/>
        <s v="SS-CVS-LT-CG-SWITCH-1M" u="1"/>
        <s v="SS-CVS-LT-CG-T1-1M" u="1"/>
        <s v="SS-CVS-LT-CG-T2-1M" u="1"/>
        <s v="SS-CV-ENT-1M-P" u="1"/>
        <s v="SS-CV-G-SWITCH-1M" u="1"/>
        <s v="SS-CV-G-T1-1M" u="1"/>
        <s v="SS-CV-G-T2-1M" u="1"/>
        <s v="SS-CV-LT-G-SWITCH-1M" u="1"/>
        <s v="SS-CV-LT-SWITCH-1M" u="1"/>
        <s v="SS-CV-LT-T1-1M" u="1"/>
        <s v="SS-CV-LT-T2-1M" u="1"/>
        <s v="SS-CV-LT-G-T1-1M" u="1"/>
        <s v="SS-CV-LT-G-T2-1M" u="1"/>
        <s v="SS-CV-SWITCH-1M" u="1"/>
        <s v="SS-CV-SWITCH-1M-P" u="1"/>
        <s v="SS-CV-T1-1M" u="1"/>
        <s v="SS-CV-T2-1M" u="1"/>
        <s v="SS-CVS-SWITCH-1M" u="1"/>
        <s v="SS-CVS-T1-1M" u="1"/>
        <s v="SS-CVS-T2-1M" u="1"/>
        <s v="SS-CVS-G-SWITCH-1M" u="1"/>
        <s v="SS-CVS-G-T1-1M" u="1"/>
        <s v="SS-CVS-G-T2-1M" u="1"/>
        <s v="SS-CVS-CLOUDEOS-VR-1G-1M" u="1"/>
        <s v="SS-CVS-CLOUDEOS-VR-10G-1M" u="1"/>
        <s v="SS-CVS-CLOUDEOS-RR-10M-1M" u="1"/>
        <s v="SS-CVS-LT-G-SWITCH-1M" u="1"/>
        <s v="SS-CVS-LT-G-T1-1M" u="1"/>
        <s v="SS-CVS-LT-G-T2-1M" u="1"/>
        <s v="SS-CVS-LT-SWITCH-1M" u="1"/>
        <s v="SS-CVS-LT-T1-1M" u="1"/>
        <s v="SS-CVS-LT-T2-1M" u="1"/>
        <s v="SS-DM-TUN-S1-1M" u="1"/>
        <s v="SS-ETM-Q4U-1M" u="1"/>
        <s v="SS-ETM-ME-1M" u="1"/>
        <s v="SVC-7060DX4-32S-O3-1M-NB" u="1"/>
        <s v="SVC-7060X6-64PE-1M-NB-P" u="1"/>
        <s v="SVC-CVS-PRIVPATH-UNIT-1M" u="1"/>
        <s v="SVC-DL-7700R4C-38PE-B-DC-1M-NB" u="1"/>
        <s v="SVC-DL-7700R4C-38PE-1M-NB" u="1"/>
        <s v="SVC-DL-7700R4C-38PE-DC-1M-NB" u="1"/>
        <s v="SVC-DL-7700R4C-38PE-1M-4H" u="1"/>
        <s v="SVC-DL-7700R4C-38PE-1M-2H" u="1"/>
        <s v="OSV-DL-7700R4C-38PE-1M-NB" u="1"/>
        <s v="OSV-DL-7700R4C-38PE-1M-4H" u="1"/>
        <s v="SVC-DL-7700R4C-38PE-1M-SHR" u="1"/>
        <s v="SVC-DL-7700R4C-38PE-1M-SH4" u="1"/>
        <s v="SVE-S-PF-UCA-DEPL-BE-R1" u="1"/>
        <s v="SVE-S-PF-UCA-DEPL-FE-R1" u="1"/>
        <s v="SVE-S-PF-UCA-DSGN-BE-R1" u="1"/>
        <s v="SVE-S-PF-UCA-DSGN-FE-R1" u="1"/>
        <s v="SVE-S-PF-UCC-ADD-AVD-R1" u="1"/>
        <s v="SVE-S-PF-UCC-DEPL-L2-R1" u="1"/>
        <s v="SVE-S-PF-UCC-DEPL-L3-R1" u="1"/>
        <s v="SVE-S-PF-UCC-DSGN-L2-R1" u="1"/>
        <s v="SVE-S-PF-UCC-DSGN-L3-R1" u="1"/>
        <s v="SVE-S-PF-UCW-ADD-L3-R1" u="1"/>
        <s v="SVE-S-PF-UCW-DEPL-AP-R1" u="1"/>
        <s v="SVE-S-PF-UCW-DSGN-L3-R1" u="1"/>
        <s v="SVE-AS-AVD-QS" u="1"/>
        <s v="SVE-UCN-L2LS-R1" u="1"/>
        <s v="SVE-UCN-L2LS-SWITCH-R1" u="1"/>
        <s v="SVE-UCN-L3LS-EVPN-R1" u="1"/>
        <s v="SVE-UCN-L3LS-EVPN-SWITCH-R1" u="1"/>
        <s v="SVE-UCN-ADD-AVD-R1" u="1"/>
        <s v="SVE-EOS-AVD-DEPLOY" u="1"/>
        <s v="SVE-EOS-AVD-MIGRATE" u="1"/>
        <s v="SVE-EOS-AVD-OPS" u="1"/>
        <s v="SVE-DMF-CNT" u="1"/>
        <s v="SVE-CCF-CNT" u="1"/>
        <s v="SVE-EOS-ASSURE" u="1"/>
        <s v="SVE-WNCS-NET-1D" u="1"/>
        <s v="SVE-WNCS-NET-1H" u="1"/>
        <s v="SVE-WPCD-NET-50K" u="1"/>
        <s v="SVE-TRAIN" u="1"/>
        <s v="SVE-SCS-VOE-1H" u="1"/>
        <s v="SVE-SCS-ONSITE-1D" u="1"/>
        <s v="SVE-NCS-NET-R-1D" u="1"/>
        <s v="SVE-NCS-NET-1D" u="1"/>
        <s v="SVE-NCS-NET-1Y" u="1"/>
        <s v="SVE-NCS-RDE-1Y" u="1"/>
        <s v="SVE-NCS-ADE-1Y" u="1"/>
        <s v="SVC-Q6E-1M-NB" u="1"/>
        <s v="SVC-Q6E-1M-RB" u="1"/>
        <s v="SVC-Q6EWL-1M-NB" u="1"/>
        <s v="SVC-Q6EWL-1M-RB" u="1"/>
        <s v="SVC-DCA-DM-CB-1M-NB" u="1"/>
        <s v="SVC-DCA-DM-SA-1M-NB" u="1"/>
        <s v="SVC-DCA-DM-SBL-1M-NB" u="1"/>
        <s v="SVE-AS-NET-1D" u="1"/>
        <s v="SVE-AS-NET-1D-R" u="1"/>
        <s v="SVE-AS-NET-1Y" u="1"/>
        <s v="SVE-DM-IMPL-SNEL1" u="1"/>
        <s v="SVE-DM-CS-1D" u="1"/>
        <s v="SVE-DM-DSGN-IMPL" u="1"/>
        <s v="SVE-DM-IMPL" u="1"/>
        <s v="SVE-DM-IMPL-AN1" u="1"/>
        <s v="SVE-DM-IMPL-RN1" u="1"/>
        <s v="SVE-DM-IMPL-SNC1" u="1"/>
        <s v="SVE-DM-IMPL-SNDL1" u="1"/>
        <s v="SVE-DM-TRAIN" u="1"/>
        <s v="SVE-DM-TRVL" u="1"/>
        <s v="SVC-DCA-MW-100-2H" u="1"/>
        <s v="SVC-DCA-MW-100-4H" u="1"/>
        <s v="OSV-720XP-96ZC2-M-S-1M-SH4" u="1"/>
        <s v="OSV-720XP-96ZC2-M-S-1M-SHR" u="1"/>
        <s v="OSV-710XP-12TH-1M-RB" u="1"/>
        <s v="SVC-7060X6-32PE-1M-NB-P" u="1"/>
        <s v="OSV-710P-16D-1M-4H" u="1"/>
        <s v="OSV-710P-16D-1M-NB" u="1"/>
        <s v="SVC-710P-16D-1M-2H" u="1"/>
        <s v="SVC-710P-16D-1M-4H" u="1"/>
        <s v="SVC-710P-16D-1M-NB" u="1"/>
        <s v="SVC-710P-16D-1M-RB" u="1"/>
        <s v="SVC-720DF-48YDC-1M-RB" u="1"/>
        <s v="SVC-720DF-48YDC-1M-NB" u="1"/>
        <s v="SVC-720DF-48YDC-1M-4H" u="1"/>
        <s v="SVC-720DF-48YDC-1M-2H" u="1"/>
        <s v="OSV-720DF-48YDC-1M-NB" u="1"/>
        <s v="OSV-720DF-48YDC-1M-4H" u="1"/>
        <s v="SVC-720DF-48YDC-1M-SHR" u="1"/>
        <s v="SVC-720DF-48YDC-1M-SH4" u="1"/>
        <s v="SVC-7132LB-48Y4C-MDC-1M-2H" u="1"/>
        <s v="SVC-7132LB-48Y4C-MDC-1M-4H" u="1"/>
        <s v="SVC-7132LB-48Y4C-MDC-1M-NB" u="1"/>
        <s v="SVC-7135LB-48Y4C-MDC-1M-2H" u="1"/>
        <s v="SVC-7135LB-48Y4C-MDC-1M-4H" u="1"/>
        <s v="SVC-7135LB-48Y4C-MDC-1M-NB" u="1"/>
        <s v="SVC-LIC-NDR-S10-1M" u="1"/>
        <s v="SVC-7048A-1M-SHR" u="1"/>
        <s v="SVC-7048A-1M-SH4" u="1"/>
        <s v="SVC-EOS-FIX1-1M" u="1"/>
        <s v="SVC-EOS-FIX2-1M" u="1"/>
        <s v="SVC-7050CX3-32SDEHW-1M-2H" u="1"/>
        <s v="SVC-7050CX3-32SDEHW-1M-4H" u="1"/>
        <s v="SVC-7050CX3-32SDEHW-1M-NB" u="1"/>
        <s v="SVC-7388X5D-1M-HW" u="1"/>
        <s v="SVC-7388X5D-1M-NB" u="1"/>
        <s v="SVC-7388X5D-O3-1M-NBD" u="1"/>
        <s v="SVC-7050DX4-32S-1M-7D" u="1"/>
        <s v="SVC-7280DR3A-36-1M-7D" u="1"/>
        <s v="SVC-7050QX2-32S-1M-NB" u="1"/>
        <s v="SVC-7050QX2-32S-1M-4H" u="1"/>
        <s v="SVC-7050QX2-32S-1M-2H" u="1"/>
        <s v="SVC-7050QX2-32S-1M-SHR" u="1"/>
        <s v="SVC-7050QX2-32S-1M-SH4" u="1"/>
        <s v="SVC-7050QX-32S-1M-NB" u="1"/>
        <s v="SVC-7050QX-32S-1M-4H" u="1"/>
        <s v="SVC-7050QX-32S-1M-2H" u="1"/>
        <s v="SVC-7050QXD-32S-1M-NB" u="1"/>
        <s v="SVC-7050QXD-32S-1M-4H" u="1"/>
        <s v="SVC-7050QXD-32S-1M-2H" u="1"/>
        <s v="SVC-7050QX-32S-1M-SHR" u="1"/>
        <s v="SVC-7050QX-32S-1M-SH4" u="1"/>
        <s v="SVC-7050QXD-32S-1M-SHR" u="1"/>
        <s v="SVC-7050QXD-32S-1M-SH4" u="1"/>
        <s v="SVC-7050SX-64-1M-NB" u="1"/>
        <s v="SVC-7050SX-64-1M-4H" u="1"/>
        <s v="SVC-7050SX-64-1M-2H" u="1"/>
        <s v="SVC-7050SXD-64-1M-NB" u="1"/>
        <s v="SVC-7050SXD-64-1M-4H" u="1"/>
        <s v="SVC-7050SX-64-1M-SHR" u="1"/>
        <s v="SVC-7050SX-64-1M-SH4" u="1"/>
        <s v="SVC-7050TX-48-1M-NB" u="1"/>
        <s v="SVC-7050TX-48-1M-4H" u="1"/>
        <s v="SVC-7050TX-48-1M-2H" u="1"/>
        <s v="SVC-7050TX-48-1M-SHR" u="1"/>
        <s v="SVC-7050TX-48-1M-SH4" u="1"/>
        <s v="SVC-7050TXD-48-1M-NB" u="1"/>
        <s v="SVC-7050TXD-48-1M-4H" u="1"/>
        <s v="SVC-7050TX-64-1M-NB" u="1"/>
        <s v="SVC-7050TX-64-1M-4H" u="1"/>
        <s v="SVC-7050TX-64-1M-2H" u="1"/>
        <s v="SVC-7050TXD-64-1M-NB" u="1"/>
        <s v="SVC-7050TX-64-1M-SHR" u="1"/>
        <s v="SVC-7050TX-64-1M-SH4" u="1"/>
        <s v="SVC-7050TX-72Q-1M-NB" u="1"/>
        <s v="SVC-7050TX-72Q-1M-4H" u="1"/>
        <s v="SVC-7050TX-72Q-1M-2H" u="1"/>
        <s v="SVC-7050TX-72Q-1M-SHR" u="1"/>
        <s v="SVC-7050TX-72Q-1M-SH4" u="1"/>
        <s v="SVC-7050TX2-128-1M-NB" u="1"/>
        <s v="SVC-7050TX2-128-1M-4H" u="1"/>
        <s v="SVC-7050TX2-128-1M-2H" u="1"/>
        <s v="SVC-7050TX2-128-1M-SHR" u="1"/>
        <s v="SVC-7050TX2-128-1M-SH4" u="1"/>
        <s v="SVC-7050SX2-72Q-1M-NB" u="1"/>
        <s v="SVC-7050SX2-72Q-1M-4H" u="1"/>
        <s v="SVC-7050SX2-72Q-1M-2H" u="1"/>
        <s v="SVC-7050SX2-72Q-1M-SHR" u="1"/>
        <s v="SVC-7050SX2-72Q-1M-SH4" u="1"/>
        <s v="SVC-7050SX-72Q-1M-NB" u="1"/>
        <s v="SVC-7050SX-72Q-1M-4H" u="1"/>
        <s v="SVC-7050SX-72Q-1M-2H" u="1"/>
        <s v="SVC-7050SX-72Q-1M-SHR" u="1"/>
        <s v="SVC-7050SX-72Q-1M-SH4" u="1"/>
        <s v="SVC-7050SX2-128-1M-NB" u="1"/>
        <s v="SVC-7050SX2-128-1M-4H" u="1"/>
        <s v="SVC-7050SX2-128-1M-2H" u="1"/>
        <s v="SVC-7050SX2-128-1M-SHR" u="1"/>
        <s v="SVC-7050SX2-128-1M-SH4" u="1"/>
        <s v="SVC-7060X6-64PE-1M-SH4" u="1"/>
        <s v="SVC-7060X6-64PE-1M-SHR" u="1"/>
        <s v="SVC-7130-48G3-1M-2H" u="1"/>
        <s v="SVC-7130-48G3-1M-4H" u="1"/>
        <s v="SVC-7130-48G3-1M-NB" u="1"/>
        <s v="SVC-7130-32C-1M-2H" u="1"/>
        <s v="SVC-7130-32C-1M-4H" u="1"/>
        <s v="SVC-7130-32C-1M-NB" u="1"/>
        <s v="SVC-7130-32K-1M-2H" u="1"/>
        <s v="SVC-7130-32K-1M-4H" u="1"/>
        <s v="SVC-7130-32K-1M-NB" u="1"/>
        <s v="SVC-7130-32KA-1M-2H" u="1"/>
        <s v="SVC-7130-32KA-1M-4H" u="1"/>
        <s v="SVC-7130-32KA-1M-NB" u="1"/>
        <s v="SVC-7130-32KC-1M-2H" u="1"/>
        <s v="SVC-7130-32KC-1M-4H" u="1"/>
        <s v="SVC-7130-32KC-1M-NB" u="1"/>
        <s v="SVC-7130-32KL-1M-2H" u="1"/>
        <s v="SVC-7130-32KL-1M-4H" u="1"/>
        <s v="SVC-7130-32KL-1M-NB" u="1"/>
        <s v="SVC-7130-48EB-1M-2H" u="1"/>
        <s v="SVC-7130-48EB-1M-4H" u="1"/>
        <s v="SVC-7130-48EB-1M-NB" u="1"/>
        <s v="SVC-7130-48EH-1M-2H" u="1"/>
        <s v="SVC-7130-48EH-1M-4H" u="1"/>
        <s v="SVC-7130-48EH-1M-NB" u="1"/>
        <s v="SVC-7130-48KA-1M-2H" u="1"/>
        <s v="SVC-7130-48KA-1M-4H" u="1"/>
        <s v="SVC-7130-48KA-1M-NB" u="1"/>
        <s v="SVC-7130-48L-1M-2H" u="1"/>
        <s v="SVC-7130-48L-1M-4H" u="1"/>
        <s v="SVC-7130-48L-1M-NB" u="1"/>
        <s v="SVC-7130-48LB-1M-2H" u="1"/>
        <s v="SVC-7130-48LB-1M-4H" u="1"/>
        <s v="SVC-7130-48LB-1M-NB" u="1"/>
        <s v="SVC-7130-96E-1M-2H" u="1"/>
        <s v="SVC-7130-96E-1M-4H" u="1"/>
        <s v="SVC-7130-96E-1M-NB" u="1"/>
        <s v="SVC-7130-96EH-1M-2H" u="1"/>
        <s v="SVC-7130-96EH-1M-4H" u="1"/>
        <s v="SVC-7130-96EH-1M-NB" u="1"/>
        <s v="SVC-7150SC-24-CLD-1M-SHR" u="1"/>
        <s v="SVC-7150SC-24-CLD-1M-SH4" u="1"/>
        <s v="SVC-7150S-24-1M-SHR" u="1"/>
        <s v="SVC-7150S-24-1M-SH4" u="1"/>
        <s v="SVC-7150S-24-CL-1M-SHR" u="1"/>
        <s v="SVC-7150S-24-CL-1M-SH4" u="1"/>
        <s v="SVC-7150S-24-CLD-1M-SHR" u="1"/>
        <s v="SVC-7150S-24-CLD-1M-SH4" u="1"/>
        <s v="SVC-7150S-52-CL-1M-SHR" u="1"/>
        <s v="SVC-7150S-52-CL-1M-SH4" u="1"/>
        <s v="SVC-7150SC-64-CLD-1M-SHR" u="1"/>
        <s v="SVC-7150SC-64-CLD-1M-SH4" u="1"/>
        <s v="SVC-7150S-64-CL-1M-SHR" u="1"/>
        <s v="SVC-7150S-64-CL-1M-SH4" u="1"/>
        <s v="SVC-7150S-64-CLD-1M-SHR" u="1"/>
        <s v="SVC-7160-32CQ-1M-SHR" u="1"/>
        <s v="SVC-7160-32CQ-1M-SH4" u="1"/>
        <s v="SVC-7160-48YC6-1M-SHR" u="1"/>
        <s v="SVC-7160-48YC6-1M-SH4" u="1"/>
        <s v="SVC-7160-48TC6-1M-SHR" u="1"/>
        <s v="SVC-7160-48TC6-1M-SH4" u="1"/>
        <s v="SVC-7260CX3-64EHW-1M-NB" u="1"/>
        <s v="SVC-7260CX3-64EHW-1M-4H" u="1"/>
        <s v="SVC-7260CX3-64EHW-1M-2H" u="1"/>
        <s v="OSV-7280CR3MK-32P4-1M-4H" u="1"/>
        <s v="OSV-7280CR3MK-32P4-1M-NB" u="1"/>
        <s v="SVC-7280CR3MK-32P4-1M-2H" u="1"/>
        <s v="SVC-7280CR3MK-32P4-1M-4H" u="1"/>
        <s v="SVC-7280CR3MK-32P4-1M-NB" u="1"/>
        <s v="SVC-7280CR3MK-32P4-1M-SH4" u="1"/>
        <s v="SVC-7280CR3MK-32P4-1M-SHR" u="1"/>
        <s v="SVC-7368X4-1M-2H-P" u="1"/>
        <s v="SVC-7368X4-1M-4H-P" u="1"/>
        <s v="SVC-7368X4-1M-NB-P" u="1"/>
        <s v="SVC-7368X4D-1M-2H-P" u="1"/>
        <s v="SVC-7368X4D-1M-4H-P" u="1"/>
        <s v="SVC-7368X4D-1M-NB-P" u="1"/>
        <s v="OSV-7150SC-64-CLD-1M-NB" u="1"/>
        <s v="OSV-7150SC-64-CLD-1M-4H" u="1"/>
        <s v="OSV-7150S-64-CL-1M-NB" u="1"/>
        <s v="OSV-7150S-64-CL-1M-4H" u="1"/>
        <s v="OSV-7150S-64-CLD-1M-NB" u="1"/>
        <s v="OSV-7150S-64-CLD-1M-4H" u="1"/>
        <s v="OSV-7150S-52-CL-1M-NB" u="1"/>
        <s v="OSV-7150S-52-CL-1M-4H" u="1"/>
        <s v="OSV-7150S-52-CLD-1M-NB" u="1"/>
        <s v="OSV-7150S-52-CLD-1M-4H" u="1"/>
        <s v="OSV-7150SC-24-CLD-1M-NB" u="1"/>
        <s v="OSV-7150SC-24-CLD-1M-4H" u="1"/>
        <s v="OSV-7150S-24-1M-NB" u="1"/>
        <s v="OSV-7150S-24-1M-4H" u="1"/>
        <s v="OSV-7150S-24-CL-1M-NB" u="1"/>
        <s v="OSV-7150S-24-CL-1M-4H" u="1"/>
        <s v="OSV-7150S-24-CLD-1M-NB" u="1"/>
        <s v="OSV-7150S-24-CLD-1M-4H" u="1"/>
        <s v="OSV-7050QX2-32S-1M-NB" u="1"/>
        <s v="OSV-7050QX2-32S-1M-4H" u="1"/>
        <s v="OSV-7050QX-32S-1M-NB" u="1"/>
        <s v="OSV-7050QX-32S-1M-4H" u="1"/>
        <s v="OSV-7050QXD-32S-1M-NB" u="1"/>
        <s v="OSV-7050QXD-32S-1M-4H" u="1"/>
        <s v="OSV-7050SX-64-1M-NB" u="1"/>
        <s v="OSV-7050SX-64-1M-4H" u="1"/>
        <s v="OSV-7050SXD-64-1M-NB" u="1"/>
        <s v="OSV-7050SXD-64-1M-4H" u="1"/>
        <s v="OSV-7050SX-72Q-1M-NB" u="1"/>
        <s v="OSV-7050SX-72Q-1M-4H" u="1"/>
        <s v="OSV-7050SX2-72Q-1M-4H" u="1"/>
        <s v="OSV-7050SX2-72Q-1M-NB" u="1"/>
        <s v="OSV-7050SX2-128-1M-NB" u="1"/>
        <s v="OSV-7050SX2-128-1M-4H" u="1"/>
        <s v="OSV-7050SXD-128-1M-NB" u="1"/>
        <s v="OSV-7050SXD-128-1M-4H" u="1"/>
        <s v="OSV-7050TX-48-1M-NB" u="1"/>
        <s v="OSV-7050TX-48-1M-4H" u="1"/>
        <s v="OSV-7050TXD-48-1M-NB" u="1"/>
        <s v="OSV-7050TXD-48-1M-4H" u="1"/>
        <s v="OSV-7050TX-64-1M-NB" u="1"/>
        <s v="OSV-7050TX-64-1M-4H" u="1"/>
        <s v="OSV-7050TXD-64-1M-NB" u="1"/>
        <s v="OSV-7050TXD-64-1M-4H" u="1"/>
        <s v="OSV-7050TX-72Q-1M-NB" u="1"/>
        <s v="OSV-7050TX-72Q-1M-4H" u="1"/>
        <s v="OSV-7050TX2-128-1M-NB" u="1"/>
        <s v="OSV-7050TX2-128-1M-4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2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0"/>
    <x v="28"/>
  </r>
  <r>
    <x v="0"/>
    <x v="29"/>
  </r>
  <r>
    <x v="0"/>
    <x v="30"/>
  </r>
  <r>
    <x v="0"/>
    <x v="31"/>
  </r>
  <r>
    <x v="0"/>
    <x v="32"/>
  </r>
  <r>
    <x v="0"/>
    <x v="33"/>
  </r>
  <r>
    <x v="0"/>
    <x v="34"/>
  </r>
  <r>
    <x v="0"/>
    <x v="35"/>
  </r>
  <r>
    <x v="0"/>
    <x v="36"/>
  </r>
  <r>
    <x v="0"/>
    <x v="37"/>
  </r>
  <r>
    <x v="0"/>
    <x v="38"/>
  </r>
  <r>
    <x v="0"/>
    <x v="39"/>
  </r>
  <r>
    <x v="0"/>
    <x v="40"/>
  </r>
  <r>
    <x v="0"/>
    <x v="41"/>
  </r>
  <r>
    <x v="0"/>
    <x v="42"/>
  </r>
  <r>
    <x v="0"/>
    <x v="43"/>
  </r>
  <r>
    <x v="0"/>
    <x v="44"/>
  </r>
  <r>
    <x v="0"/>
    <x v="45"/>
  </r>
  <r>
    <x v="0"/>
    <x v="46"/>
  </r>
  <r>
    <x v="0"/>
    <x v="47"/>
  </r>
  <r>
    <x v="0"/>
    <x v="48"/>
  </r>
  <r>
    <x v="0"/>
    <x v="49"/>
  </r>
  <r>
    <x v="0"/>
    <x v="50"/>
  </r>
  <r>
    <x v="0"/>
    <x v="51"/>
  </r>
  <r>
    <x v="0"/>
    <x v="52"/>
  </r>
  <r>
    <x v="0"/>
    <x v="53"/>
  </r>
  <r>
    <x v="0"/>
    <x v="54"/>
  </r>
  <r>
    <x v="0"/>
    <x v="55"/>
  </r>
  <r>
    <x v="0"/>
    <x v="56"/>
  </r>
  <r>
    <x v="0"/>
    <x v="57"/>
  </r>
  <r>
    <x v="0"/>
    <x v="58"/>
  </r>
  <r>
    <x v="0"/>
    <x v="59"/>
  </r>
  <r>
    <x v="0"/>
    <x v="60"/>
  </r>
  <r>
    <x v="0"/>
    <x v="61"/>
  </r>
  <r>
    <x v="0"/>
    <x v="62"/>
  </r>
  <r>
    <x v="0"/>
    <x v="63"/>
  </r>
  <r>
    <x v="0"/>
    <x v="64"/>
  </r>
  <r>
    <x v="0"/>
    <x v="65"/>
  </r>
  <r>
    <x v="0"/>
    <x v="66"/>
  </r>
  <r>
    <x v="0"/>
    <x v="67"/>
  </r>
  <r>
    <x v="0"/>
    <x v="68"/>
  </r>
  <r>
    <x v="0"/>
    <x v="69"/>
  </r>
  <r>
    <x v="0"/>
    <x v="70"/>
  </r>
  <r>
    <x v="0"/>
    <x v="71"/>
  </r>
  <r>
    <x v="0"/>
    <x v="72"/>
  </r>
  <r>
    <x v="0"/>
    <x v="73"/>
  </r>
  <r>
    <x v="0"/>
    <x v="74"/>
  </r>
  <r>
    <x v="0"/>
    <x v="75"/>
  </r>
  <r>
    <x v="0"/>
    <x v="76"/>
  </r>
  <r>
    <x v="0"/>
    <x v="77"/>
  </r>
  <r>
    <x v="0"/>
    <x v="78"/>
  </r>
  <r>
    <x v="0"/>
    <x v="79"/>
  </r>
  <r>
    <x v="0"/>
    <x v="80"/>
  </r>
  <r>
    <x v="0"/>
    <x v="81"/>
  </r>
  <r>
    <x v="0"/>
    <x v="82"/>
  </r>
  <r>
    <x v="0"/>
    <x v="83"/>
  </r>
  <r>
    <x v="0"/>
    <x v="84"/>
  </r>
  <r>
    <x v="0"/>
    <x v="85"/>
  </r>
  <r>
    <x v="0"/>
    <x v="86"/>
  </r>
  <r>
    <x v="0"/>
    <x v="87"/>
  </r>
  <r>
    <x v="0"/>
    <x v="88"/>
  </r>
  <r>
    <x v="0"/>
    <x v="89"/>
  </r>
  <r>
    <x v="0"/>
    <x v="90"/>
  </r>
  <r>
    <x v="0"/>
    <x v="91"/>
  </r>
  <r>
    <x v="0"/>
    <x v="92"/>
  </r>
  <r>
    <x v="0"/>
    <x v="93"/>
  </r>
  <r>
    <x v="0"/>
    <x v="94"/>
  </r>
  <r>
    <x v="0"/>
    <x v="95"/>
  </r>
  <r>
    <x v="0"/>
    <x v="96"/>
  </r>
  <r>
    <x v="0"/>
    <x v="97"/>
  </r>
  <r>
    <x v="0"/>
    <x v="98"/>
  </r>
  <r>
    <x v="0"/>
    <x v="99"/>
  </r>
  <r>
    <x v="0"/>
    <x v="100"/>
  </r>
  <r>
    <x v="0"/>
    <x v="101"/>
  </r>
  <r>
    <x v="0"/>
    <x v="102"/>
  </r>
  <r>
    <x v="0"/>
    <x v="103"/>
  </r>
  <r>
    <x v="0"/>
    <x v="104"/>
  </r>
  <r>
    <x v="0"/>
    <x v="105"/>
  </r>
  <r>
    <x v="0"/>
    <x v="106"/>
  </r>
  <r>
    <x v="0"/>
    <x v="107"/>
  </r>
  <r>
    <x v="0"/>
    <x v="108"/>
  </r>
  <r>
    <x v="0"/>
    <x v="109"/>
  </r>
  <r>
    <x v="0"/>
    <x v="110"/>
  </r>
  <r>
    <x v="0"/>
    <x v="111"/>
  </r>
  <r>
    <x v="0"/>
    <x v="112"/>
  </r>
  <r>
    <x v="0"/>
    <x v="113"/>
  </r>
  <r>
    <x v="0"/>
    <x v="114"/>
  </r>
  <r>
    <x v="0"/>
    <x v="115"/>
  </r>
  <r>
    <x v="0"/>
    <x v="116"/>
  </r>
  <r>
    <x v="0"/>
    <x v="117"/>
  </r>
  <r>
    <x v="0"/>
    <x v="118"/>
  </r>
  <r>
    <x v="0"/>
    <x v="119"/>
  </r>
  <r>
    <x v="0"/>
    <x v="120"/>
  </r>
  <r>
    <x v="0"/>
    <x v="121"/>
  </r>
  <r>
    <x v="0"/>
    <x v="122"/>
  </r>
  <r>
    <x v="0"/>
    <x v="123"/>
  </r>
  <r>
    <x v="0"/>
    <x v="124"/>
  </r>
  <r>
    <x v="0"/>
    <x v="125"/>
  </r>
  <r>
    <x v="0"/>
    <x v="126"/>
  </r>
  <r>
    <x v="0"/>
    <x v="127"/>
  </r>
  <r>
    <x v="0"/>
    <x v="128"/>
  </r>
  <r>
    <x v="0"/>
    <x v="129"/>
  </r>
  <r>
    <x v="0"/>
    <x v="130"/>
  </r>
  <r>
    <x v="0"/>
    <x v="131"/>
  </r>
  <r>
    <x v="0"/>
    <x v="132"/>
  </r>
  <r>
    <x v="0"/>
    <x v="133"/>
  </r>
  <r>
    <x v="0"/>
    <x v="134"/>
  </r>
  <r>
    <x v="0"/>
    <x v="135"/>
  </r>
  <r>
    <x v="0"/>
    <x v="136"/>
  </r>
  <r>
    <x v="0"/>
    <x v="137"/>
  </r>
  <r>
    <x v="0"/>
    <x v="138"/>
  </r>
  <r>
    <x v="0"/>
    <x v="139"/>
  </r>
  <r>
    <x v="0"/>
    <x v="140"/>
  </r>
  <r>
    <x v="0"/>
    <x v="141"/>
  </r>
  <r>
    <x v="0"/>
    <x v="142"/>
  </r>
  <r>
    <x v="0"/>
    <x v="143"/>
  </r>
  <r>
    <x v="0"/>
    <x v="144"/>
  </r>
  <r>
    <x v="0"/>
    <x v="145"/>
  </r>
  <r>
    <x v="0"/>
    <x v="146"/>
  </r>
  <r>
    <x v="0"/>
    <x v="147"/>
  </r>
  <r>
    <x v="0"/>
    <x v="148"/>
  </r>
  <r>
    <x v="0"/>
    <x v="149"/>
  </r>
  <r>
    <x v="0"/>
    <x v="150"/>
  </r>
  <r>
    <x v="0"/>
    <x v="151"/>
  </r>
  <r>
    <x v="0"/>
    <x v="152"/>
  </r>
  <r>
    <x v="0"/>
    <x v="153"/>
  </r>
  <r>
    <x v="0"/>
    <x v="154"/>
  </r>
  <r>
    <x v="0"/>
    <x v="155"/>
  </r>
  <r>
    <x v="0"/>
    <x v="156"/>
  </r>
  <r>
    <x v="0"/>
    <x v="157"/>
  </r>
  <r>
    <x v="0"/>
    <x v="158"/>
  </r>
  <r>
    <x v="0"/>
    <x v="159"/>
  </r>
  <r>
    <x v="0"/>
    <x v="160"/>
  </r>
  <r>
    <x v="0"/>
    <x v="161"/>
  </r>
  <r>
    <x v="0"/>
    <x v="162"/>
  </r>
  <r>
    <x v="0"/>
    <x v="148"/>
  </r>
  <r>
    <x v="0"/>
    <x v="146"/>
  </r>
  <r>
    <x v="0"/>
    <x v="144"/>
  </r>
  <r>
    <x v="0"/>
    <x v="142"/>
  </r>
  <r>
    <x v="0"/>
    <x v="136"/>
  </r>
  <r>
    <x v="0"/>
    <x v="134"/>
  </r>
  <r>
    <x v="0"/>
    <x v="140"/>
  </r>
  <r>
    <x v="0"/>
    <x v="139"/>
  </r>
  <r>
    <x v="0"/>
    <x v="163"/>
  </r>
  <r>
    <x v="0"/>
    <x v="164"/>
  </r>
  <r>
    <x v="0"/>
    <x v="165"/>
  </r>
  <r>
    <x v="0"/>
    <x v="166"/>
  </r>
  <r>
    <x v="0"/>
    <x v="167"/>
  </r>
  <r>
    <x v="0"/>
    <x v="168"/>
  </r>
  <r>
    <x v="0"/>
    <x v="169"/>
  </r>
  <r>
    <x v="0"/>
    <x v="170"/>
  </r>
  <r>
    <x v="0"/>
    <x v="171"/>
  </r>
  <r>
    <x v="0"/>
    <x v="172"/>
  </r>
  <r>
    <x v="0"/>
    <x v="173"/>
  </r>
  <r>
    <x v="0"/>
    <x v="174"/>
  </r>
  <r>
    <x v="0"/>
    <x v="175"/>
  </r>
  <r>
    <x v="0"/>
    <x v="176"/>
  </r>
  <r>
    <x v="0"/>
    <x v="177"/>
  </r>
  <r>
    <x v="0"/>
    <x v="178"/>
  </r>
  <r>
    <x v="0"/>
    <x v="179"/>
  </r>
  <r>
    <x v="0"/>
    <x v="180"/>
  </r>
  <r>
    <x v="0"/>
    <x v="181"/>
  </r>
  <r>
    <x v="0"/>
    <x v="182"/>
  </r>
  <r>
    <x v="0"/>
    <x v="183"/>
  </r>
  <r>
    <x v="0"/>
    <x v="184"/>
  </r>
  <r>
    <x v="0"/>
    <x v="185"/>
  </r>
  <r>
    <x v="0"/>
    <x v="186"/>
  </r>
  <r>
    <x v="0"/>
    <x v="187"/>
  </r>
  <r>
    <x v="0"/>
    <x v="188"/>
  </r>
  <r>
    <x v="0"/>
    <x v="189"/>
  </r>
  <r>
    <x v="0"/>
    <x v="190"/>
  </r>
  <r>
    <x v="0"/>
    <x v="191"/>
  </r>
  <r>
    <x v="0"/>
    <x v="192"/>
  </r>
  <r>
    <x v="0"/>
    <x v="193"/>
  </r>
  <r>
    <x v="0"/>
    <x v="194"/>
  </r>
  <r>
    <x v="0"/>
    <x v="195"/>
  </r>
  <r>
    <x v="0"/>
    <x v="196"/>
  </r>
  <r>
    <x v="0"/>
    <x v="197"/>
  </r>
  <r>
    <x v="0"/>
    <x v="198"/>
  </r>
  <r>
    <x v="0"/>
    <x v="199"/>
  </r>
  <r>
    <x v="0"/>
    <x v="200"/>
  </r>
  <r>
    <x v="0"/>
    <x v="201"/>
  </r>
  <r>
    <x v="0"/>
    <x v="202"/>
  </r>
  <r>
    <x v="0"/>
    <x v="203"/>
  </r>
  <r>
    <x v="0"/>
    <x v="204"/>
  </r>
  <r>
    <x v="0"/>
    <x v="205"/>
  </r>
  <r>
    <x v="0"/>
    <x v="206"/>
  </r>
  <r>
    <x v="0"/>
    <x v="207"/>
  </r>
  <r>
    <x v="0"/>
    <x v="208"/>
  </r>
  <r>
    <x v="0"/>
    <x v="209"/>
  </r>
  <r>
    <x v="0"/>
    <x v="210"/>
  </r>
  <r>
    <x v="0"/>
    <x v="211"/>
  </r>
  <r>
    <x v="0"/>
    <x v="212"/>
  </r>
  <r>
    <x v="0"/>
    <x v="213"/>
  </r>
  <r>
    <x v="0"/>
    <x v="214"/>
  </r>
  <r>
    <x v="0"/>
    <x v="215"/>
  </r>
  <r>
    <x v="0"/>
    <x v="216"/>
  </r>
  <r>
    <x v="0"/>
    <x v="217"/>
  </r>
  <r>
    <x v="0"/>
    <x v="218"/>
  </r>
  <r>
    <x v="0"/>
    <x v="219"/>
  </r>
  <r>
    <x v="0"/>
    <x v="220"/>
  </r>
  <r>
    <x v="0"/>
    <x v="221"/>
  </r>
  <r>
    <x v="0"/>
    <x v="222"/>
  </r>
  <r>
    <x v="0"/>
    <x v="223"/>
  </r>
  <r>
    <x v="0"/>
    <x v="224"/>
  </r>
  <r>
    <x v="0"/>
    <x v="225"/>
  </r>
  <r>
    <x v="0"/>
    <x v="226"/>
  </r>
  <r>
    <x v="0"/>
    <x v="227"/>
  </r>
  <r>
    <x v="0"/>
    <x v="228"/>
  </r>
  <r>
    <x v="0"/>
    <x v="229"/>
  </r>
  <r>
    <x v="0"/>
    <x v="230"/>
  </r>
  <r>
    <x v="0"/>
    <x v="231"/>
  </r>
  <r>
    <x v="0"/>
    <x v="232"/>
  </r>
  <r>
    <x v="0"/>
    <x v="233"/>
  </r>
  <r>
    <x v="0"/>
    <x v="234"/>
  </r>
  <r>
    <x v="0"/>
    <x v="235"/>
  </r>
  <r>
    <x v="0"/>
    <x v="236"/>
  </r>
  <r>
    <x v="0"/>
    <x v="237"/>
  </r>
  <r>
    <x v="0"/>
    <x v="238"/>
  </r>
  <r>
    <x v="0"/>
    <x v="239"/>
  </r>
  <r>
    <x v="0"/>
    <x v="240"/>
  </r>
  <r>
    <x v="0"/>
    <x v="241"/>
  </r>
  <r>
    <x v="0"/>
    <x v="242"/>
  </r>
  <r>
    <x v="0"/>
    <x v="243"/>
  </r>
  <r>
    <x v="0"/>
    <x v="244"/>
  </r>
  <r>
    <x v="0"/>
    <x v="245"/>
  </r>
  <r>
    <x v="0"/>
    <x v="246"/>
  </r>
  <r>
    <x v="0"/>
    <x v="247"/>
  </r>
  <r>
    <x v="0"/>
    <x v="248"/>
  </r>
  <r>
    <x v="0"/>
    <x v="249"/>
  </r>
  <r>
    <x v="0"/>
    <x v="250"/>
  </r>
  <r>
    <x v="0"/>
    <x v="251"/>
  </r>
  <r>
    <x v="0"/>
    <x v="252"/>
  </r>
  <r>
    <x v="0"/>
    <x v="253"/>
  </r>
  <r>
    <x v="0"/>
    <x v="254"/>
  </r>
  <r>
    <x v="0"/>
    <x v="255"/>
  </r>
  <r>
    <x v="0"/>
    <x v="256"/>
  </r>
  <r>
    <x v="0"/>
    <x v="257"/>
  </r>
  <r>
    <x v="0"/>
    <x v="258"/>
  </r>
  <r>
    <x v="0"/>
    <x v="259"/>
  </r>
  <r>
    <x v="0"/>
    <x v="260"/>
  </r>
  <r>
    <x v="0"/>
    <x v="261"/>
  </r>
  <r>
    <x v="0"/>
    <x v="262"/>
  </r>
  <r>
    <x v="0"/>
    <x v="263"/>
  </r>
  <r>
    <x v="0"/>
    <x v="264"/>
  </r>
  <r>
    <x v="0"/>
    <x v="265"/>
  </r>
  <r>
    <x v="0"/>
    <x v="266"/>
  </r>
  <r>
    <x v="0"/>
    <x v="267"/>
  </r>
  <r>
    <x v="0"/>
    <x v="268"/>
  </r>
  <r>
    <x v="0"/>
    <x v="269"/>
  </r>
  <r>
    <x v="0"/>
    <x v="270"/>
  </r>
  <r>
    <x v="0"/>
    <x v="271"/>
  </r>
  <r>
    <x v="0"/>
    <x v="272"/>
  </r>
  <r>
    <x v="0"/>
    <x v="273"/>
  </r>
  <r>
    <x v="0"/>
    <x v="274"/>
  </r>
  <r>
    <x v="0"/>
    <x v="275"/>
  </r>
  <r>
    <x v="0"/>
    <x v="276"/>
  </r>
  <r>
    <x v="0"/>
    <x v="277"/>
  </r>
  <r>
    <x v="0"/>
    <x v="278"/>
  </r>
  <r>
    <x v="0"/>
    <x v="279"/>
  </r>
  <r>
    <x v="0"/>
    <x v="280"/>
  </r>
  <r>
    <x v="0"/>
    <x v="281"/>
  </r>
  <r>
    <x v="0"/>
    <x v="282"/>
  </r>
  <r>
    <x v="0"/>
    <x v="283"/>
  </r>
  <r>
    <x v="0"/>
    <x v="284"/>
  </r>
  <r>
    <x v="0"/>
    <x v="285"/>
  </r>
  <r>
    <x v="0"/>
    <x v="286"/>
  </r>
  <r>
    <x v="0"/>
    <x v="287"/>
  </r>
  <r>
    <x v="0"/>
    <x v="288"/>
  </r>
  <r>
    <x v="0"/>
    <x v="289"/>
  </r>
  <r>
    <x v="0"/>
    <x v="290"/>
  </r>
  <r>
    <x v="0"/>
    <x v="291"/>
  </r>
  <r>
    <x v="0"/>
    <x v="292"/>
  </r>
  <r>
    <x v="0"/>
    <x v="293"/>
  </r>
  <r>
    <x v="0"/>
    <x v="294"/>
  </r>
  <r>
    <x v="0"/>
    <x v="295"/>
  </r>
  <r>
    <x v="0"/>
    <x v="296"/>
  </r>
  <r>
    <x v="0"/>
    <x v="297"/>
  </r>
  <r>
    <x v="0"/>
    <x v="298"/>
  </r>
  <r>
    <x v="0"/>
    <x v="299"/>
  </r>
  <r>
    <x v="0"/>
    <x v="300"/>
  </r>
  <r>
    <x v="0"/>
    <x v="301"/>
  </r>
  <r>
    <x v="0"/>
    <x v="302"/>
  </r>
  <r>
    <x v="0"/>
    <x v="303"/>
  </r>
  <r>
    <x v="0"/>
    <x v="304"/>
  </r>
  <r>
    <x v="0"/>
    <x v="305"/>
  </r>
  <r>
    <x v="0"/>
    <x v="306"/>
  </r>
  <r>
    <x v="0"/>
    <x v="307"/>
  </r>
  <r>
    <x v="0"/>
    <x v="308"/>
  </r>
  <r>
    <x v="0"/>
    <x v="309"/>
  </r>
  <r>
    <x v="0"/>
    <x v="310"/>
  </r>
  <r>
    <x v="0"/>
    <x v="311"/>
  </r>
  <r>
    <x v="0"/>
    <x v="312"/>
  </r>
  <r>
    <x v="0"/>
    <x v="313"/>
  </r>
  <r>
    <x v="0"/>
    <x v="314"/>
  </r>
  <r>
    <x v="0"/>
    <x v="315"/>
  </r>
  <r>
    <x v="0"/>
    <x v="316"/>
  </r>
  <r>
    <x v="0"/>
    <x v="317"/>
  </r>
  <r>
    <x v="0"/>
    <x v="318"/>
  </r>
  <r>
    <x v="0"/>
    <x v="319"/>
  </r>
  <r>
    <x v="0"/>
    <x v="320"/>
  </r>
  <r>
    <x v="0"/>
    <x v="321"/>
  </r>
  <r>
    <x v="0"/>
    <x v="322"/>
  </r>
  <r>
    <x v="0"/>
    <x v="323"/>
  </r>
  <r>
    <x v="0"/>
    <x v="324"/>
  </r>
  <r>
    <x v="0"/>
    <x v="325"/>
  </r>
  <r>
    <x v="0"/>
    <x v="326"/>
  </r>
  <r>
    <x v="0"/>
    <x v="327"/>
  </r>
  <r>
    <x v="0"/>
    <x v="328"/>
  </r>
  <r>
    <x v="0"/>
    <x v="329"/>
  </r>
  <r>
    <x v="0"/>
    <x v="330"/>
  </r>
  <r>
    <x v="0"/>
    <x v="331"/>
  </r>
  <r>
    <x v="0"/>
    <x v="332"/>
  </r>
  <r>
    <x v="0"/>
    <x v="333"/>
  </r>
  <r>
    <x v="0"/>
    <x v="334"/>
  </r>
  <r>
    <x v="0"/>
    <x v="335"/>
  </r>
  <r>
    <x v="0"/>
    <x v="336"/>
  </r>
  <r>
    <x v="0"/>
    <x v="337"/>
  </r>
  <r>
    <x v="0"/>
    <x v="338"/>
  </r>
  <r>
    <x v="0"/>
    <x v="339"/>
  </r>
  <r>
    <x v="0"/>
    <x v="340"/>
  </r>
  <r>
    <x v="0"/>
    <x v="341"/>
  </r>
  <r>
    <x v="0"/>
    <x v="342"/>
  </r>
  <r>
    <x v="0"/>
    <x v="343"/>
  </r>
  <r>
    <x v="0"/>
    <x v="344"/>
  </r>
  <r>
    <x v="0"/>
    <x v="345"/>
  </r>
  <r>
    <x v="0"/>
    <x v="346"/>
  </r>
  <r>
    <x v="0"/>
    <x v="347"/>
  </r>
  <r>
    <x v="0"/>
    <x v="348"/>
  </r>
  <r>
    <x v="0"/>
    <x v="349"/>
  </r>
  <r>
    <x v="0"/>
    <x v="350"/>
  </r>
  <r>
    <x v="0"/>
    <x v="351"/>
  </r>
  <r>
    <x v="0"/>
    <x v="352"/>
  </r>
  <r>
    <x v="0"/>
    <x v="353"/>
  </r>
  <r>
    <x v="0"/>
    <x v="354"/>
  </r>
  <r>
    <x v="0"/>
    <x v="355"/>
  </r>
  <r>
    <x v="0"/>
    <x v="356"/>
  </r>
  <r>
    <x v="0"/>
    <x v="357"/>
  </r>
  <r>
    <x v="0"/>
    <x v="358"/>
  </r>
  <r>
    <x v="0"/>
    <x v="359"/>
  </r>
  <r>
    <x v="0"/>
    <x v="360"/>
  </r>
  <r>
    <x v="0"/>
    <x v="361"/>
  </r>
  <r>
    <x v="0"/>
    <x v="362"/>
  </r>
  <r>
    <x v="0"/>
    <x v="363"/>
  </r>
  <r>
    <x v="0"/>
    <x v="364"/>
  </r>
  <r>
    <x v="0"/>
    <x v="365"/>
  </r>
  <r>
    <x v="0"/>
    <x v="366"/>
  </r>
  <r>
    <x v="0"/>
    <x v="367"/>
  </r>
  <r>
    <x v="0"/>
    <x v="368"/>
  </r>
  <r>
    <x v="0"/>
    <x v="369"/>
  </r>
  <r>
    <x v="0"/>
    <x v="370"/>
  </r>
  <r>
    <x v="0"/>
    <x v="371"/>
  </r>
  <r>
    <x v="0"/>
    <x v="372"/>
  </r>
  <r>
    <x v="0"/>
    <x v="373"/>
  </r>
  <r>
    <x v="0"/>
    <x v="374"/>
  </r>
  <r>
    <x v="0"/>
    <x v="375"/>
  </r>
  <r>
    <x v="0"/>
    <x v="376"/>
  </r>
  <r>
    <x v="0"/>
    <x v="377"/>
  </r>
  <r>
    <x v="0"/>
    <x v="378"/>
  </r>
  <r>
    <x v="0"/>
    <x v="379"/>
  </r>
  <r>
    <x v="0"/>
    <x v="380"/>
  </r>
  <r>
    <x v="0"/>
    <x v="381"/>
  </r>
  <r>
    <x v="0"/>
    <x v="382"/>
  </r>
  <r>
    <x v="0"/>
    <x v="383"/>
  </r>
  <r>
    <x v="0"/>
    <x v="384"/>
  </r>
  <r>
    <x v="0"/>
    <x v="385"/>
  </r>
  <r>
    <x v="0"/>
    <x v="386"/>
  </r>
  <r>
    <x v="0"/>
    <x v="387"/>
  </r>
  <r>
    <x v="0"/>
    <x v="388"/>
  </r>
  <r>
    <x v="0"/>
    <x v="389"/>
  </r>
  <r>
    <x v="0"/>
    <x v="390"/>
  </r>
  <r>
    <x v="0"/>
    <x v="391"/>
  </r>
  <r>
    <x v="0"/>
    <x v="392"/>
  </r>
  <r>
    <x v="0"/>
    <x v="393"/>
  </r>
  <r>
    <x v="0"/>
    <x v="394"/>
  </r>
  <r>
    <x v="0"/>
    <x v="395"/>
  </r>
  <r>
    <x v="0"/>
    <x v="396"/>
  </r>
  <r>
    <x v="0"/>
    <x v="397"/>
  </r>
  <r>
    <x v="0"/>
    <x v="398"/>
  </r>
  <r>
    <x v="0"/>
    <x v="399"/>
  </r>
  <r>
    <x v="0"/>
    <x v="400"/>
  </r>
  <r>
    <x v="0"/>
    <x v="401"/>
  </r>
  <r>
    <x v="0"/>
    <x v="402"/>
  </r>
  <r>
    <x v="0"/>
    <x v="403"/>
  </r>
  <r>
    <x v="0"/>
    <x v="404"/>
  </r>
  <r>
    <x v="0"/>
    <x v="405"/>
  </r>
  <r>
    <x v="0"/>
    <x v="406"/>
  </r>
  <r>
    <x v="0"/>
    <x v="407"/>
  </r>
  <r>
    <x v="0"/>
    <x v="408"/>
  </r>
  <r>
    <x v="0"/>
    <x v="409"/>
  </r>
  <r>
    <x v="0"/>
    <x v="410"/>
  </r>
  <r>
    <x v="0"/>
    <x v="401"/>
  </r>
  <r>
    <x v="0"/>
    <x v="402"/>
  </r>
  <r>
    <x v="0"/>
    <x v="411"/>
  </r>
  <r>
    <x v="0"/>
    <x v="412"/>
  </r>
  <r>
    <x v="0"/>
    <x v="413"/>
  </r>
  <r>
    <x v="0"/>
    <x v="414"/>
  </r>
  <r>
    <x v="0"/>
    <x v="415"/>
  </r>
  <r>
    <x v="0"/>
    <x v="416"/>
  </r>
  <r>
    <x v="0"/>
    <x v="417"/>
  </r>
  <r>
    <x v="0"/>
    <x v="418"/>
  </r>
  <r>
    <x v="0"/>
    <x v="419"/>
  </r>
  <r>
    <x v="0"/>
    <x v="420"/>
  </r>
  <r>
    <x v="0"/>
    <x v="421"/>
  </r>
  <r>
    <x v="0"/>
    <x v="422"/>
  </r>
  <r>
    <x v="0"/>
    <x v="423"/>
  </r>
  <r>
    <x v="0"/>
    <x v="424"/>
  </r>
  <r>
    <x v="0"/>
    <x v="425"/>
  </r>
  <r>
    <x v="0"/>
    <x v="426"/>
  </r>
  <r>
    <x v="0"/>
    <x v="427"/>
  </r>
  <r>
    <x v="0"/>
    <x v="428"/>
  </r>
  <r>
    <x v="0"/>
    <x v="429"/>
  </r>
  <r>
    <x v="0"/>
    <x v="430"/>
  </r>
  <r>
    <x v="0"/>
    <x v="431"/>
  </r>
  <r>
    <x v="0"/>
    <x v="432"/>
  </r>
  <r>
    <x v="0"/>
    <x v="433"/>
  </r>
  <r>
    <x v="0"/>
    <x v="434"/>
  </r>
  <r>
    <x v="0"/>
    <x v="435"/>
  </r>
  <r>
    <x v="0"/>
    <x v="436"/>
  </r>
  <r>
    <x v="0"/>
    <x v="437"/>
  </r>
  <r>
    <x v="0"/>
    <x v="438"/>
  </r>
  <r>
    <x v="0"/>
    <x v="439"/>
  </r>
  <r>
    <x v="0"/>
    <x v="440"/>
  </r>
  <r>
    <x v="0"/>
    <x v="441"/>
  </r>
  <r>
    <x v="0"/>
    <x v="442"/>
  </r>
  <r>
    <x v="0"/>
    <x v="443"/>
  </r>
  <r>
    <x v="0"/>
    <x v="444"/>
  </r>
  <r>
    <x v="0"/>
    <x v="445"/>
  </r>
  <r>
    <x v="0"/>
    <x v="446"/>
  </r>
  <r>
    <x v="0"/>
    <x v="447"/>
  </r>
  <r>
    <x v="0"/>
    <x v="448"/>
  </r>
  <r>
    <x v="0"/>
    <x v="449"/>
  </r>
  <r>
    <x v="0"/>
    <x v="450"/>
  </r>
  <r>
    <x v="0"/>
    <x v="451"/>
  </r>
  <r>
    <x v="0"/>
    <x v="452"/>
  </r>
  <r>
    <x v="0"/>
    <x v="453"/>
  </r>
  <r>
    <x v="0"/>
    <x v="454"/>
  </r>
  <r>
    <x v="0"/>
    <x v="455"/>
  </r>
  <r>
    <x v="0"/>
    <x v="456"/>
  </r>
  <r>
    <x v="0"/>
    <x v="457"/>
  </r>
  <r>
    <x v="0"/>
    <x v="458"/>
  </r>
  <r>
    <x v="0"/>
    <x v="459"/>
  </r>
  <r>
    <x v="0"/>
    <x v="460"/>
  </r>
  <r>
    <x v="0"/>
    <x v="461"/>
  </r>
  <r>
    <x v="0"/>
    <x v="462"/>
  </r>
  <r>
    <x v="0"/>
    <x v="463"/>
  </r>
  <r>
    <x v="0"/>
    <x v="464"/>
  </r>
  <r>
    <x v="0"/>
    <x v="465"/>
  </r>
  <r>
    <x v="0"/>
    <x v="466"/>
  </r>
  <r>
    <x v="0"/>
    <x v="467"/>
  </r>
  <r>
    <x v="0"/>
    <x v="468"/>
  </r>
  <r>
    <x v="0"/>
    <x v="469"/>
  </r>
  <r>
    <x v="0"/>
    <x v="470"/>
  </r>
  <r>
    <x v="0"/>
    <x v="471"/>
  </r>
  <r>
    <x v="0"/>
    <x v="472"/>
  </r>
  <r>
    <x v="0"/>
    <x v="473"/>
  </r>
  <r>
    <x v="0"/>
    <x v="474"/>
  </r>
  <r>
    <x v="0"/>
    <x v="475"/>
  </r>
  <r>
    <x v="0"/>
    <x v="476"/>
  </r>
  <r>
    <x v="0"/>
    <x v="477"/>
  </r>
  <r>
    <x v="0"/>
    <x v="478"/>
  </r>
  <r>
    <x v="0"/>
    <x v="479"/>
  </r>
  <r>
    <x v="0"/>
    <x v="480"/>
  </r>
  <r>
    <x v="0"/>
    <x v="481"/>
  </r>
  <r>
    <x v="0"/>
    <x v="482"/>
  </r>
  <r>
    <x v="0"/>
    <x v="483"/>
  </r>
  <r>
    <x v="0"/>
    <x v="484"/>
  </r>
  <r>
    <x v="0"/>
    <x v="485"/>
  </r>
  <r>
    <x v="0"/>
    <x v="486"/>
  </r>
  <r>
    <x v="0"/>
    <x v="487"/>
  </r>
  <r>
    <x v="0"/>
    <x v="488"/>
  </r>
  <r>
    <x v="0"/>
    <x v="489"/>
  </r>
  <r>
    <x v="0"/>
    <x v="490"/>
  </r>
  <r>
    <x v="0"/>
    <x v="491"/>
  </r>
  <r>
    <x v="0"/>
    <x v="492"/>
  </r>
  <r>
    <x v="0"/>
    <x v="493"/>
  </r>
  <r>
    <x v="0"/>
    <x v="494"/>
  </r>
  <r>
    <x v="0"/>
    <x v="495"/>
  </r>
  <r>
    <x v="0"/>
    <x v="496"/>
  </r>
  <r>
    <x v="0"/>
    <x v="497"/>
  </r>
  <r>
    <x v="0"/>
    <x v="498"/>
  </r>
  <r>
    <x v="0"/>
    <x v="499"/>
  </r>
  <r>
    <x v="0"/>
    <x v="500"/>
  </r>
  <r>
    <x v="0"/>
    <x v="501"/>
  </r>
  <r>
    <x v="0"/>
    <x v="502"/>
  </r>
  <r>
    <x v="0"/>
    <x v="503"/>
  </r>
  <r>
    <x v="0"/>
    <x v="504"/>
  </r>
  <r>
    <x v="0"/>
    <x v="505"/>
  </r>
  <r>
    <x v="0"/>
    <x v="506"/>
  </r>
  <r>
    <x v="0"/>
    <x v="507"/>
  </r>
  <r>
    <x v="0"/>
    <x v="508"/>
  </r>
  <r>
    <x v="0"/>
    <x v="509"/>
  </r>
  <r>
    <x v="0"/>
    <x v="510"/>
  </r>
  <r>
    <x v="0"/>
    <x v="511"/>
  </r>
  <r>
    <x v="0"/>
    <x v="512"/>
  </r>
  <r>
    <x v="0"/>
    <x v="513"/>
  </r>
  <r>
    <x v="0"/>
    <x v="514"/>
  </r>
  <r>
    <x v="0"/>
    <x v="515"/>
  </r>
  <r>
    <x v="0"/>
    <x v="516"/>
  </r>
  <r>
    <x v="0"/>
    <x v="517"/>
  </r>
  <r>
    <x v="0"/>
    <x v="518"/>
  </r>
  <r>
    <x v="0"/>
    <x v="519"/>
  </r>
  <r>
    <x v="0"/>
    <x v="520"/>
  </r>
  <r>
    <x v="0"/>
    <x v="521"/>
  </r>
  <r>
    <x v="0"/>
    <x v="522"/>
  </r>
  <r>
    <x v="0"/>
    <x v="523"/>
  </r>
  <r>
    <x v="0"/>
    <x v="524"/>
  </r>
  <r>
    <x v="0"/>
    <x v="525"/>
  </r>
  <r>
    <x v="0"/>
    <x v="526"/>
  </r>
  <r>
    <x v="0"/>
    <x v="527"/>
  </r>
  <r>
    <x v="1"/>
    <x v="528"/>
  </r>
  <r>
    <x v="1"/>
    <x v="529"/>
  </r>
  <r>
    <x v="1"/>
    <x v="530"/>
  </r>
  <r>
    <x v="1"/>
    <x v="531"/>
  </r>
  <r>
    <x v="1"/>
    <x v="532"/>
  </r>
  <r>
    <x v="1"/>
    <x v="533"/>
  </r>
  <r>
    <x v="1"/>
    <x v="534"/>
  </r>
  <r>
    <x v="1"/>
    <x v="535"/>
  </r>
  <r>
    <x v="1"/>
    <x v="536"/>
  </r>
  <r>
    <x v="1"/>
    <x v="537"/>
  </r>
  <r>
    <x v="1"/>
    <x v="538"/>
  </r>
  <r>
    <x v="1"/>
    <x v="539"/>
  </r>
  <r>
    <x v="1"/>
    <x v="540"/>
  </r>
  <r>
    <x v="1"/>
    <x v="541"/>
  </r>
  <r>
    <x v="1"/>
    <x v="542"/>
  </r>
  <r>
    <x v="1"/>
    <x v="543"/>
  </r>
  <r>
    <x v="1"/>
    <x v="544"/>
  </r>
  <r>
    <x v="1"/>
    <x v="545"/>
  </r>
  <r>
    <x v="1"/>
    <x v="546"/>
  </r>
  <r>
    <x v="1"/>
    <x v="547"/>
  </r>
  <r>
    <x v="1"/>
    <x v="548"/>
  </r>
  <r>
    <x v="1"/>
    <x v="549"/>
  </r>
  <r>
    <x v="1"/>
    <x v="550"/>
  </r>
  <r>
    <x v="1"/>
    <x v="551"/>
  </r>
  <r>
    <x v="1"/>
    <x v="552"/>
  </r>
  <r>
    <x v="1"/>
    <x v="553"/>
  </r>
  <r>
    <x v="1"/>
    <x v="554"/>
  </r>
  <r>
    <x v="1"/>
    <x v="555"/>
  </r>
  <r>
    <x v="1"/>
    <x v="556"/>
  </r>
  <r>
    <x v="1"/>
    <x v="557"/>
  </r>
  <r>
    <x v="1"/>
    <x v="558"/>
  </r>
  <r>
    <x v="1"/>
    <x v="559"/>
  </r>
  <r>
    <x v="1"/>
    <x v="560"/>
  </r>
  <r>
    <x v="1"/>
    <x v="561"/>
  </r>
  <r>
    <x v="1"/>
    <x v="562"/>
  </r>
  <r>
    <x v="1"/>
    <x v="563"/>
  </r>
  <r>
    <x v="1"/>
    <x v="564"/>
  </r>
  <r>
    <x v="1"/>
    <x v="565"/>
  </r>
  <r>
    <x v="1"/>
    <x v="566"/>
  </r>
  <r>
    <x v="1"/>
    <x v="567"/>
  </r>
  <r>
    <x v="1"/>
    <x v="568"/>
  </r>
  <r>
    <x v="1"/>
    <x v="569"/>
  </r>
  <r>
    <x v="1"/>
    <x v="570"/>
  </r>
  <r>
    <x v="1"/>
    <x v="571"/>
  </r>
  <r>
    <x v="1"/>
    <x v="572"/>
  </r>
  <r>
    <x v="1"/>
    <x v="573"/>
  </r>
  <r>
    <x v="1"/>
    <x v="574"/>
  </r>
  <r>
    <x v="1"/>
    <x v="575"/>
  </r>
  <r>
    <x v="1"/>
    <x v="576"/>
  </r>
  <r>
    <x v="1"/>
    <x v="577"/>
  </r>
  <r>
    <x v="1"/>
    <x v="578"/>
  </r>
  <r>
    <x v="1"/>
    <x v="579"/>
  </r>
  <r>
    <x v="1"/>
    <x v="580"/>
  </r>
  <r>
    <x v="1"/>
    <x v="581"/>
  </r>
  <r>
    <x v="1"/>
    <x v="582"/>
  </r>
  <r>
    <x v="1"/>
    <x v="583"/>
  </r>
  <r>
    <x v="1"/>
    <x v="584"/>
  </r>
  <r>
    <x v="1"/>
    <x v="585"/>
  </r>
  <r>
    <x v="1"/>
    <x v="586"/>
  </r>
  <r>
    <x v="1"/>
    <x v="587"/>
  </r>
  <r>
    <x v="1"/>
    <x v="588"/>
  </r>
  <r>
    <x v="1"/>
    <x v="589"/>
  </r>
  <r>
    <x v="1"/>
    <x v="590"/>
  </r>
  <r>
    <x v="1"/>
    <x v="591"/>
  </r>
  <r>
    <x v="1"/>
    <x v="592"/>
  </r>
  <r>
    <x v="1"/>
    <x v="593"/>
  </r>
  <r>
    <x v="1"/>
    <x v="594"/>
  </r>
  <r>
    <x v="1"/>
    <x v="595"/>
  </r>
  <r>
    <x v="1"/>
    <x v="596"/>
  </r>
  <r>
    <x v="1"/>
    <x v="597"/>
  </r>
  <r>
    <x v="1"/>
    <x v="598"/>
  </r>
  <r>
    <x v="1"/>
    <x v="599"/>
  </r>
  <r>
    <x v="1"/>
    <x v="600"/>
  </r>
  <r>
    <x v="1"/>
    <x v="601"/>
  </r>
  <r>
    <x v="1"/>
    <x v="602"/>
  </r>
  <r>
    <x v="1"/>
    <x v="603"/>
  </r>
  <r>
    <x v="1"/>
    <x v="604"/>
  </r>
  <r>
    <x v="1"/>
    <x v="605"/>
  </r>
  <r>
    <x v="1"/>
    <x v="606"/>
  </r>
  <r>
    <x v="1"/>
    <x v="607"/>
  </r>
  <r>
    <x v="1"/>
    <x v="608"/>
  </r>
  <r>
    <x v="1"/>
    <x v="609"/>
  </r>
  <r>
    <x v="1"/>
    <x v="610"/>
  </r>
  <r>
    <x v="1"/>
    <x v="611"/>
  </r>
  <r>
    <x v="1"/>
    <x v="612"/>
  </r>
  <r>
    <x v="1"/>
    <x v="613"/>
  </r>
  <r>
    <x v="1"/>
    <x v="614"/>
  </r>
  <r>
    <x v="1"/>
    <x v="615"/>
  </r>
  <r>
    <x v="1"/>
    <x v="616"/>
  </r>
  <r>
    <x v="1"/>
    <x v="617"/>
  </r>
  <r>
    <x v="1"/>
    <x v="618"/>
  </r>
  <r>
    <x v="1"/>
    <x v="619"/>
  </r>
  <r>
    <x v="1"/>
    <x v="620"/>
  </r>
  <r>
    <x v="1"/>
    <x v="621"/>
  </r>
  <r>
    <x v="1"/>
    <x v="622"/>
  </r>
  <r>
    <x v="1"/>
    <x v="623"/>
  </r>
  <r>
    <x v="1"/>
    <x v="624"/>
  </r>
  <r>
    <x v="1"/>
    <x v="625"/>
  </r>
  <r>
    <x v="1"/>
    <x v="626"/>
  </r>
  <r>
    <x v="1"/>
    <x v="627"/>
  </r>
  <r>
    <x v="1"/>
    <x v="628"/>
  </r>
  <r>
    <x v="1"/>
    <x v="629"/>
  </r>
  <r>
    <x v="1"/>
    <x v="630"/>
  </r>
  <r>
    <x v="1"/>
    <x v="631"/>
  </r>
  <r>
    <x v="1"/>
    <x v="632"/>
  </r>
  <r>
    <x v="1"/>
    <x v="633"/>
  </r>
  <r>
    <x v="1"/>
    <x v="634"/>
  </r>
  <r>
    <x v="1"/>
    <x v="635"/>
  </r>
  <r>
    <x v="1"/>
    <x v="636"/>
  </r>
  <r>
    <x v="1"/>
    <x v="637"/>
  </r>
  <r>
    <x v="1"/>
    <x v="638"/>
  </r>
  <r>
    <x v="1"/>
    <x v="639"/>
  </r>
  <r>
    <x v="1"/>
    <x v="640"/>
  </r>
  <r>
    <x v="1"/>
    <x v="641"/>
  </r>
  <r>
    <x v="1"/>
    <x v="642"/>
  </r>
  <r>
    <x v="1"/>
    <x v="643"/>
  </r>
  <r>
    <x v="1"/>
    <x v="644"/>
  </r>
  <r>
    <x v="1"/>
    <x v="645"/>
  </r>
  <r>
    <x v="1"/>
    <x v="646"/>
  </r>
  <r>
    <x v="1"/>
    <x v="647"/>
  </r>
  <r>
    <x v="1"/>
    <x v="648"/>
  </r>
  <r>
    <x v="1"/>
    <x v="649"/>
  </r>
  <r>
    <x v="1"/>
    <x v="650"/>
  </r>
  <r>
    <x v="1"/>
    <x v="651"/>
  </r>
  <r>
    <x v="1"/>
    <x v="652"/>
  </r>
  <r>
    <x v="1"/>
    <x v="653"/>
  </r>
  <r>
    <x v="1"/>
    <x v="654"/>
  </r>
  <r>
    <x v="1"/>
    <x v="655"/>
  </r>
  <r>
    <x v="1"/>
    <x v="656"/>
  </r>
  <r>
    <x v="1"/>
    <x v="657"/>
  </r>
  <r>
    <x v="1"/>
    <x v="658"/>
  </r>
  <r>
    <x v="1"/>
    <x v="659"/>
  </r>
  <r>
    <x v="1"/>
    <x v="660"/>
  </r>
  <r>
    <x v="1"/>
    <x v="661"/>
  </r>
  <r>
    <x v="1"/>
    <x v="662"/>
  </r>
  <r>
    <x v="1"/>
    <x v="663"/>
  </r>
  <r>
    <x v="1"/>
    <x v="664"/>
  </r>
  <r>
    <x v="1"/>
    <x v="665"/>
  </r>
  <r>
    <x v="1"/>
    <x v="666"/>
  </r>
  <r>
    <x v="1"/>
    <x v="667"/>
  </r>
  <r>
    <x v="1"/>
    <x v="668"/>
  </r>
  <r>
    <x v="1"/>
    <x v="669"/>
  </r>
  <r>
    <x v="1"/>
    <x v="670"/>
  </r>
  <r>
    <x v="1"/>
    <x v="671"/>
  </r>
  <r>
    <x v="1"/>
    <x v="672"/>
  </r>
  <r>
    <x v="1"/>
    <x v="673"/>
  </r>
  <r>
    <x v="1"/>
    <x v="674"/>
  </r>
  <r>
    <x v="1"/>
    <x v="675"/>
  </r>
  <r>
    <x v="1"/>
    <x v="676"/>
  </r>
  <r>
    <x v="1"/>
    <x v="677"/>
  </r>
  <r>
    <x v="1"/>
    <x v="678"/>
  </r>
  <r>
    <x v="1"/>
    <x v="679"/>
  </r>
  <r>
    <x v="1"/>
    <x v="680"/>
  </r>
  <r>
    <x v="1"/>
    <x v="681"/>
  </r>
  <r>
    <x v="1"/>
    <x v="682"/>
  </r>
  <r>
    <x v="1"/>
    <x v="683"/>
  </r>
  <r>
    <x v="1"/>
    <x v="684"/>
  </r>
  <r>
    <x v="1"/>
    <x v="685"/>
  </r>
  <r>
    <x v="1"/>
    <x v="686"/>
  </r>
  <r>
    <x v="1"/>
    <x v="687"/>
  </r>
  <r>
    <x v="1"/>
    <x v="688"/>
  </r>
  <r>
    <x v="1"/>
    <x v="689"/>
  </r>
  <r>
    <x v="1"/>
    <x v="690"/>
  </r>
  <r>
    <x v="1"/>
    <x v="691"/>
  </r>
  <r>
    <x v="1"/>
    <x v="692"/>
  </r>
  <r>
    <x v="1"/>
    <x v="693"/>
  </r>
  <r>
    <x v="1"/>
    <x v="694"/>
  </r>
  <r>
    <x v="1"/>
    <x v="695"/>
  </r>
  <r>
    <x v="1"/>
    <x v="696"/>
  </r>
  <r>
    <x v="1"/>
    <x v="697"/>
  </r>
  <r>
    <x v="1"/>
    <x v="698"/>
  </r>
  <r>
    <x v="1"/>
    <x v="699"/>
  </r>
  <r>
    <x v="1"/>
    <x v="700"/>
  </r>
  <r>
    <x v="1"/>
    <x v="701"/>
  </r>
  <r>
    <x v="1"/>
    <x v="702"/>
  </r>
  <r>
    <x v="1"/>
    <x v="703"/>
  </r>
  <r>
    <x v="1"/>
    <x v="704"/>
  </r>
  <r>
    <x v="1"/>
    <x v="705"/>
  </r>
  <r>
    <x v="1"/>
    <x v="706"/>
  </r>
  <r>
    <x v="1"/>
    <x v="707"/>
  </r>
  <r>
    <x v="1"/>
    <x v="708"/>
  </r>
  <r>
    <x v="1"/>
    <x v="709"/>
  </r>
  <r>
    <x v="1"/>
    <x v="710"/>
  </r>
  <r>
    <x v="1"/>
    <x v="711"/>
  </r>
  <r>
    <x v="1"/>
    <x v="712"/>
  </r>
  <r>
    <x v="1"/>
    <x v="713"/>
  </r>
  <r>
    <x v="0"/>
    <x v="714"/>
  </r>
  <r>
    <x v="0"/>
    <x v="715"/>
  </r>
  <r>
    <x v="0"/>
    <x v="716"/>
  </r>
  <r>
    <x v="0"/>
    <x v="717"/>
  </r>
  <r>
    <x v="0"/>
    <x v="718"/>
  </r>
  <r>
    <x v="0"/>
    <x v="719"/>
  </r>
  <r>
    <x v="0"/>
    <x v="720"/>
  </r>
  <r>
    <x v="0"/>
    <x v="721"/>
  </r>
  <r>
    <x v="0"/>
    <x v="722"/>
  </r>
  <r>
    <x v="0"/>
    <x v="723"/>
  </r>
  <r>
    <x v="0"/>
    <x v="724"/>
  </r>
  <r>
    <x v="0"/>
    <x v="725"/>
  </r>
  <r>
    <x v="0"/>
    <x v="726"/>
  </r>
  <r>
    <x v="0"/>
    <x v="727"/>
  </r>
  <r>
    <x v="0"/>
    <x v="728"/>
  </r>
  <r>
    <x v="0"/>
    <x v="729"/>
  </r>
  <r>
    <x v="0"/>
    <x v="730"/>
  </r>
  <r>
    <x v="0"/>
    <x v="731"/>
  </r>
  <r>
    <x v="0"/>
    <x v="732"/>
  </r>
  <r>
    <x v="0"/>
    <x v="733"/>
  </r>
  <r>
    <x v="0"/>
    <x v="734"/>
  </r>
  <r>
    <x v="0"/>
    <x v="735"/>
  </r>
  <r>
    <x v="0"/>
    <x v="736"/>
  </r>
  <r>
    <x v="0"/>
    <x v="737"/>
  </r>
  <r>
    <x v="0"/>
    <x v="738"/>
  </r>
  <r>
    <x v="0"/>
    <x v="739"/>
  </r>
  <r>
    <x v="0"/>
    <x v="740"/>
  </r>
  <r>
    <x v="0"/>
    <x v="741"/>
  </r>
  <r>
    <x v="0"/>
    <x v="742"/>
  </r>
  <r>
    <x v="0"/>
    <x v="743"/>
  </r>
  <r>
    <x v="0"/>
    <x v="744"/>
  </r>
  <r>
    <x v="0"/>
    <x v="745"/>
  </r>
  <r>
    <x v="0"/>
    <x v="746"/>
  </r>
  <r>
    <x v="0"/>
    <x v="747"/>
  </r>
  <r>
    <x v="0"/>
    <x v="748"/>
  </r>
  <r>
    <x v="0"/>
    <x v="749"/>
  </r>
  <r>
    <x v="0"/>
    <x v="750"/>
  </r>
  <r>
    <x v="0"/>
    <x v="751"/>
  </r>
  <r>
    <x v="0"/>
    <x v="752"/>
  </r>
  <r>
    <x v="0"/>
    <x v="753"/>
  </r>
  <r>
    <x v="0"/>
    <x v="754"/>
  </r>
  <r>
    <x v="0"/>
    <x v="755"/>
  </r>
  <r>
    <x v="0"/>
    <x v="756"/>
  </r>
  <r>
    <x v="0"/>
    <x v="757"/>
  </r>
  <r>
    <x v="0"/>
    <x v="758"/>
  </r>
  <r>
    <x v="0"/>
    <x v="759"/>
  </r>
  <r>
    <x v="0"/>
    <x v="760"/>
  </r>
  <r>
    <x v="0"/>
    <x v="761"/>
  </r>
  <r>
    <x v="0"/>
    <x v="762"/>
  </r>
  <r>
    <x v="0"/>
    <x v="763"/>
  </r>
  <r>
    <x v="0"/>
    <x v="764"/>
  </r>
  <r>
    <x v="0"/>
    <x v="765"/>
  </r>
  <r>
    <x v="0"/>
    <x v="766"/>
  </r>
  <r>
    <x v="0"/>
    <x v="767"/>
  </r>
  <r>
    <x v="0"/>
    <x v="768"/>
  </r>
  <r>
    <x v="0"/>
    <x v="769"/>
  </r>
  <r>
    <x v="0"/>
    <x v="770"/>
  </r>
  <r>
    <x v="0"/>
    <x v="771"/>
  </r>
  <r>
    <x v="0"/>
    <x v="772"/>
  </r>
  <r>
    <x v="0"/>
    <x v="773"/>
  </r>
  <r>
    <x v="0"/>
    <x v="774"/>
  </r>
  <r>
    <x v="0"/>
    <x v="775"/>
  </r>
  <r>
    <x v="0"/>
    <x v="776"/>
  </r>
  <r>
    <x v="0"/>
    <x v="777"/>
  </r>
  <r>
    <x v="0"/>
    <x v="778"/>
  </r>
  <r>
    <x v="0"/>
    <x v="779"/>
  </r>
  <r>
    <x v="0"/>
    <x v="780"/>
  </r>
  <r>
    <x v="0"/>
    <x v="781"/>
  </r>
  <r>
    <x v="0"/>
    <x v="782"/>
  </r>
  <r>
    <x v="0"/>
    <x v="783"/>
  </r>
  <r>
    <x v="0"/>
    <x v="784"/>
  </r>
  <r>
    <x v="0"/>
    <x v="785"/>
  </r>
  <r>
    <x v="0"/>
    <x v="786"/>
  </r>
  <r>
    <x v="0"/>
    <x v="787"/>
  </r>
  <r>
    <x v="0"/>
    <x v="788"/>
  </r>
  <r>
    <x v="0"/>
    <x v="789"/>
  </r>
  <r>
    <x v="0"/>
    <x v="790"/>
  </r>
  <r>
    <x v="0"/>
    <x v="791"/>
  </r>
  <r>
    <x v="0"/>
    <x v="792"/>
  </r>
  <r>
    <x v="0"/>
    <x v="793"/>
  </r>
  <r>
    <x v="0"/>
    <x v="794"/>
  </r>
  <r>
    <x v="0"/>
    <x v="795"/>
  </r>
  <r>
    <x v="0"/>
    <x v="796"/>
  </r>
  <r>
    <x v="0"/>
    <x v="797"/>
  </r>
  <r>
    <x v="0"/>
    <x v="798"/>
  </r>
  <r>
    <x v="0"/>
    <x v="799"/>
  </r>
  <r>
    <x v="0"/>
    <x v="800"/>
  </r>
  <r>
    <x v="0"/>
    <x v="801"/>
  </r>
  <r>
    <x v="0"/>
    <x v="802"/>
  </r>
  <r>
    <x v="0"/>
    <x v="803"/>
  </r>
  <r>
    <x v="0"/>
    <x v="804"/>
  </r>
  <r>
    <x v="0"/>
    <x v="805"/>
  </r>
  <r>
    <x v="0"/>
    <x v="806"/>
  </r>
  <r>
    <x v="0"/>
    <x v="807"/>
  </r>
  <r>
    <x v="0"/>
    <x v="808"/>
  </r>
  <r>
    <x v="0"/>
    <x v="809"/>
  </r>
  <r>
    <x v="0"/>
    <x v="810"/>
  </r>
  <r>
    <x v="0"/>
    <x v="811"/>
  </r>
  <r>
    <x v="0"/>
    <x v="812"/>
  </r>
  <r>
    <x v="0"/>
    <x v="813"/>
  </r>
  <r>
    <x v="0"/>
    <x v="814"/>
  </r>
  <r>
    <x v="0"/>
    <x v="815"/>
  </r>
  <r>
    <x v="0"/>
    <x v="816"/>
  </r>
  <r>
    <x v="0"/>
    <x v="817"/>
  </r>
  <r>
    <x v="0"/>
    <x v="818"/>
  </r>
  <r>
    <x v="0"/>
    <x v="819"/>
  </r>
  <r>
    <x v="0"/>
    <x v="820"/>
  </r>
  <r>
    <x v="0"/>
    <x v="821"/>
  </r>
  <r>
    <x v="0"/>
    <x v="822"/>
  </r>
  <r>
    <x v="0"/>
    <x v="823"/>
  </r>
  <r>
    <x v="0"/>
    <x v="824"/>
  </r>
  <r>
    <x v="0"/>
    <x v="825"/>
  </r>
  <r>
    <x v="0"/>
    <x v="826"/>
  </r>
  <r>
    <x v="0"/>
    <x v="827"/>
  </r>
  <r>
    <x v="0"/>
    <x v="828"/>
  </r>
  <r>
    <x v="0"/>
    <x v="829"/>
  </r>
  <r>
    <x v="0"/>
    <x v="830"/>
  </r>
  <r>
    <x v="0"/>
    <x v="831"/>
  </r>
  <r>
    <x v="0"/>
    <x v="832"/>
  </r>
  <r>
    <x v="0"/>
    <x v="833"/>
  </r>
  <r>
    <x v="0"/>
    <x v="834"/>
  </r>
  <r>
    <x v="0"/>
    <x v="835"/>
  </r>
  <r>
    <x v="0"/>
    <x v="836"/>
  </r>
  <r>
    <x v="0"/>
    <x v="837"/>
  </r>
  <r>
    <x v="0"/>
    <x v="838"/>
  </r>
  <r>
    <x v="0"/>
    <x v="839"/>
  </r>
  <r>
    <x v="0"/>
    <x v="840"/>
  </r>
  <r>
    <x v="0"/>
    <x v="841"/>
  </r>
  <r>
    <x v="0"/>
    <x v="842"/>
  </r>
  <r>
    <x v="0"/>
    <x v="843"/>
  </r>
  <r>
    <x v="0"/>
    <x v="844"/>
  </r>
  <r>
    <x v="0"/>
    <x v="845"/>
  </r>
  <r>
    <x v="0"/>
    <x v="846"/>
  </r>
  <r>
    <x v="0"/>
    <x v="847"/>
  </r>
  <r>
    <x v="0"/>
    <x v="848"/>
  </r>
  <r>
    <x v="0"/>
    <x v="849"/>
  </r>
  <r>
    <x v="0"/>
    <x v="850"/>
  </r>
  <r>
    <x v="0"/>
    <x v="851"/>
  </r>
  <r>
    <x v="0"/>
    <x v="852"/>
  </r>
  <r>
    <x v="0"/>
    <x v="853"/>
  </r>
  <r>
    <x v="0"/>
    <x v="854"/>
  </r>
  <r>
    <x v="0"/>
    <x v="855"/>
  </r>
  <r>
    <x v="0"/>
    <x v="856"/>
  </r>
  <r>
    <x v="0"/>
    <x v="857"/>
  </r>
  <r>
    <x v="0"/>
    <x v="858"/>
  </r>
  <r>
    <x v="0"/>
    <x v="859"/>
  </r>
  <r>
    <x v="0"/>
    <x v="860"/>
  </r>
  <r>
    <x v="0"/>
    <x v="861"/>
  </r>
  <r>
    <x v="0"/>
    <x v="862"/>
  </r>
  <r>
    <x v="0"/>
    <x v="863"/>
  </r>
  <r>
    <x v="0"/>
    <x v="864"/>
  </r>
  <r>
    <x v="0"/>
    <x v="865"/>
  </r>
  <r>
    <x v="0"/>
    <x v="866"/>
  </r>
  <r>
    <x v="0"/>
    <x v="867"/>
  </r>
  <r>
    <x v="0"/>
    <x v="868"/>
  </r>
  <r>
    <x v="0"/>
    <x v="869"/>
  </r>
  <r>
    <x v="0"/>
    <x v="870"/>
  </r>
  <r>
    <x v="0"/>
    <x v="871"/>
  </r>
  <r>
    <x v="0"/>
    <x v="872"/>
  </r>
  <r>
    <x v="0"/>
    <x v="873"/>
  </r>
  <r>
    <x v="0"/>
    <x v="874"/>
  </r>
  <r>
    <x v="0"/>
    <x v="875"/>
  </r>
  <r>
    <x v="0"/>
    <x v="876"/>
  </r>
  <r>
    <x v="0"/>
    <x v="877"/>
  </r>
  <r>
    <x v="0"/>
    <x v="878"/>
  </r>
  <r>
    <x v="0"/>
    <x v="879"/>
  </r>
  <r>
    <x v="0"/>
    <x v="880"/>
  </r>
  <r>
    <x v="0"/>
    <x v="881"/>
  </r>
  <r>
    <x v="0"/>
    <x v="882"/>
  </r>
  <r>
    <x v="0"/>
    <x v="883"/>
  </r>
  <r>
    <x v="0"/>
    <x v="884"/>
  </r>
  <r>
    <x v="0"/>
    <x v="885"/>
  </r>
  <r>
    <x v="0"/>
    <x v="886"/>
  </r>
  <r>
    <x v="0"/>
    <x v="887"/>
  </r>
  <r>
    <x v="0"/>
    <x v="888"/>
  </r>
  <r>
    <x v="0"/>
    <x v="889"/>
  </r>
  <r>
    <x v="0"/>
    <x v="890"/>
  </r>
  <r>
    <x v="0"/>
    <x v="891"/>
  </r>
  <r>
    <x v="0"/>
    <x v="892"/>
  </r>
  <r>
    <x v="0"/>
    <x v="893"/>
  </r>
  <r>
    <x v="0"/>
    <x v="894"/>
  </r>
  <r>
    <x v="0"/>
    <x v="895"/>
  </r>
  <r>
    <x v="0"/>
    <x v="896"/>
  </r>
  <r>
    <x v="0"/>
    <x v="897"/>
  </r>
  <r>
    <x v="0"/>
    <x v="898"/>
  </r>
  <r>
    <x v="0"/>
    <x v="899"/>
  </r>
  <r>
    <x v="0"/>
    <x v="900"/>
  </r>
  <r>
    <x v="0"/>
    <x v="901"/>
  </r>
  <r>
    <x v="0"/>
    <x v="902"/>
  </r>
  <r>
    <x v="0"/>
    <x v="903"/>
  </r>
  <r>
    <x v="0"/>
    <x v="904"/>
  </r>
  <r>
    <x v="0"/>
    <x v="905"/>
  </r>
  <r>
    <x v="0"/>
    <x v="906"/>
  </r>
  <r>
    <x v="0"/>
    <x v="907"/>
  </r>
  <r>
    <x v="0"/>
    <x v="908"/>
  </r>
  <r>
    <x v="0"/>
    <x v="909"/>
  </r>
  <r>
    <x v="0"/>
    <x v="910"/>
  </r>
  <r>
    <x v="0"/>
    <x v="911"/>
  </r>
  <r>
    <x v="0"/>
    <x v="912"/>
  </r>
  <r>
    <x v="0"/>
    <x v="913"/>
  </r>
  <r>
    <x v="0"/>
    <x v="914"/>
  </r>
  <r>
    <x v="0"/>
    <x v="915"/>
  </r>
  <r>
    <x v="0"/>
    <x v="916"/>
  </r>
  <r>
    <x v="0"/>
    <x v="917"/>
  </r>
  <r>
    <x v="0"/>
    <x v="918"/>
  </r>
  <r>
    <x v="0"/>
    <x v="919"/>
  </r>
  <r>
    <x v="0"/>
    <x v="920"/>
  </r>
  <r>
    <x v="0"/>
    <x v="921"/>
  </r>
  <r>
    <x v="0"/>
    <x v="922"/>
  </r>
  <r>
    <x v="0"/>
    <x v="923"/>
  </r>
  <r>
    <x v="0"/>
    <x v="924"/>
  </r>
  <r>
    <x v="0"/>
    <x v="925"/>
  </r>
  <r>
    <x v="0"/>
    <x v="926"/>
  </r>
  <r>
    <x v="0"/>
    <x v="927"/>
  </r>
  <r>
    <x v="0"/>
    <x v="928"/>
  </r>
  <r>
    <x v="0"/>
    <x v="929"/>
  </r>
  <r>
    <x v="0"/>
    <x v="930"/>
  </r>
  <r>
    <x v="0"/>
    <x v="931"/>
  </r>
  <r>
    <x v="0"/>
    <x v="932"/>
  </r>
  <r>
    <x v="0"/>
    <x v="933"/>
  </r>
  <r>
    <x v="0"/>
    <x v="934"/>
  </r>
  <r>
    <x v="0"/>
    <x v="935"/>
  </r>
  <r>
    <x v="0"/>
    <x v="936"/>
  </r>
  <r>
    <x v="0"/>
    <x v="937"/>
  </r>
  <r>
    <x v="0"/>
    <x v="938"/>
  </r>
  <r>
    <x v="0"/>
    <x v="939"/>
  </r>
  <r>
    <x v="0"/>
    <x v="940"/>
  </r>
  <r>
    <x v="0"/>
    <x v="941"/>
  </r>
  <r>
    <x v="0"/>
    <x v="942"/>
  </r>
  <r>
    <x v="0"/>
    <x v="943"/>
  </r>
  <r>
    <x v="0"/>
    <x v="944"/>
  </r>
  <r>
    <x v="0"/>
    <x v="945"/>
  </r>
  <r>
    <x v="0"/>
    <x v="946"/>
  </r>
  <r>
    <x v="0"/>
    <x v="947"/>
  </r>
  <r>
    <x v="0"/>
    <x v="948"/>
  </r>
  <r>
    <x v="0"/>
    <x v="949"/>
  </r>
  <r>
    <x v="0"/>
    <x v="950"/>
  </r>
  <r>
    <x v="0"/>
    <x v="951"/>
  </r>
  <r>
    <x v="0"/>
    <x v="952"/>
  </r>
  <r>
    <x v="0"/>
    <x v="953"/>
  </r>
  <r>
    <x v="0"/>
    <x v="954"/>
  </r>
  <r>
    <x v="0"/>
    <x v="955"/>
  </r>
  <r>
    <x v="0"/>
    <x v="956"/>
  </r>
  <r>
    <x v="0"/>
    <x v="957"/>
  </r>
  <r>
    <x v="0"/>
    <x v="958"/>
  </r>
  <r>
    <x v="0"/>
    <x v="959"/>
  </r>
  <r>
    <x v="0"/>
    <x v="960"/>
  </r>
  <r>
    <x v="0"/>
    <x v="961"/>
  </r>
  <r>
    <x v="0"/>
    <x v="962"/>
  </r>
  <r>
    <x v="0"/>
    <x v="963"/>
  </r>
  <r>
    <x v="0"/>
    <x v="964"/>
  </r>
  <r>
    <x v="0"/>
    <x v="965"/>
  </r>
  <r>
    <x v="0"/>
    <x v="966"/>
  </r>
  <r>
    <x v="0"/>
    <x v="967"/>
  </r>
  <r>
    <x v="0"/>
    <x v="968"/>
  </r>
  <r>
    <x v="0"/>
    <x v="969"/>
  </r>
  <r>
    <x v="0"/>
    <x v="970"/>
  </r>
  <r>
    <x v="0"/>
    <x v="971"/>
  </r>
  <r>
    <x v="0"/>
    <x v="972"/>
  </r>
  <r>
    <x v="0"/>
    <x v="973"/>
  </r>
  <r>
    <x v="0"/>
    <x v="974"/>
  </r>
  <r>
    <x v="0"/>
    <x v="975"/>
  </r>
  <r>
    <x v="0"/>
    <x v="976"/>
  </r>
  <r>
    <x v="0"/>
    <x v="977"/>
  </r>
  <r>
    <x v="0"/>
    <x v="978"/>
  </r>
  <r>
    <x v="0"/>
    <x v="979"/>
  </r>
  <r>
    <x v="0"/>
    <x v="980"/>
  </r>
  <r>
    <x v="0"/>
    <x v="981"/>
  </r>
  <r>
    <x v="0"/>
    <x v="982"/>
  </r>
  <r>
    <x v="0"/>
    <x v="983"/>
  </r>
  <r>
    <x v="0"/>
    <x v="984"/>
  </r>
  <r>
    <x v="0"/>
    <x v="985"/>
  </r>
  <r>
    <x v="0"/>
    <x v="986"/>
  </r>
  <r>
    <x v="0"/>
    <x v="987"/>
  </r>
  <r>
    <x v="0"/>
    <x v="988"/>
  </r>
  <r>
    <x v="0"/>
    <x v="989"/>
  </r>
  <r>
    <x v="0"/>
    <x v="990"/>
  </r>
  <r>
    <x v="0"/>
    <x v="991"/>
  </r>
  <r>
    <x v="0"/>
    <x v="992"/>
  </r>
  <r>
    <x v="0"/>
    <x v="993"/>
  </r>
  <r>
    <x v="0"/>
    <x v="994"/>
  </r>
  <r>
    <x v="0"/>
    <x v="995"/>
  </r>
  <r>
    <x v="0"/>
    <x v="996"/>
  </r>
  <r>
    <x v="0"/>
    <x v="997"/>
  </r>
  <r>
    <x v="0"/>
    <x v="998"/>
  </r>
  <r>
    <x v="0"/>
    <x v="999"/>
  </r>
  <r>
    <x v="0"/>
    <x v="1000"/>
  </r>
  <r>
    <x v="0"/>
    <x v="1001"/>
  </r>
  <r>
    <x v="0"/>
    <x v="1002"/>
  </r>
  <r>
    <x v="0"/>
    <x v="1003"/>
  </r>
  <r>
    <x v="0"/>
    <x v="1004"/>
  </r>
  <r>
    <x v="0"/>
    <x v="1005"/>
  </r>
  <r>
    <x v="0"/>
    <x v="1006"/>
  </r>
  <r>
    <x v="0"/>
    <x v="1007"/>
  </r>
  <r>
    <x v="0"/>
    <x v="1008"/>
  </r>
  <r>
    <x v="0"/>
    <x v="1009"/>
  </r>
  <r>
    <x v="0"/>
    <x v="1010"/>
  </r>
  <r>
    <x v="0"/>
    <x v="1011"/>
  </r>
  <r>
    <x v="0"/>
    <x v="1012"/>
  </r>
  <r>
    <x v="0"/>
    <x v="1013"/>
  </r>
  <r>
    <x v="0"/>
    <x v="1014"/>
  </r>
  <r>
    <x v="0"/>
    <x v="1015"/>
  </r>
  <r>
    <x v="0"/>
    <x v="1016"/>
  </r>
  <r>
    <x v="0"/>
    <x v="1017"/>
  </r>
  <r>
    <x v="0"/>
    <x v="1018"/>
  </r>
  <r>
    <x v="0"/>
    <x v="1019"/>
  </r>
  <r>
    <x v="0"/>
    <x v="1020"/>
  </r>
  <r>
    <x v="0"/>
    <x v="1021"/>
  </r>
  <r>
    <x v="0"/>
    <x v="1022"/>
  </r>
  <r>
    <x v="0"/>
    <x v="1023"/>
  </r>
  <r>
    <x v="0"/>
    <x v="1024"/>
  </r>
  <r>
    <x v="0"/>
    <x v="1025"/>
  </r>
  <r>
    <x v="0"/>
    <x v="1026"/>
  </r>
  <r>
    <x v="0"/>
    <x v="1027"/>
  </r>
  <r>
    <x v="0"/>
    <x v="1028"/>
  </r>
  <r>
    <x v="0"/>
    <x v="1029"/>
  </r>
  <r>
    <x v="0"/>
    <x v="1030"/>
  </r>
  <r>
    <x v="0"/>
    <x v="1031"/>
  </r>
  <r>
    <x v="0"/>
    <x v="1032"/>
  </r>
  <r>
    <x v="0"/>
    <x v="1033"/>
  </r>
  <r>
    <x v="0"/>
    <x v="1034"/>
  </r>
  <r>
    <x v="0"/>
    <x v="1035"/>
  </r>
  <r>
    <x v="0"/>
    <x v="1036"/>
  </r>
  <r>
    <x v="0"/>
    <x v="1037"/>
  </r>
  <r>
    <x v="0"/>
    <x v="1038"/>
  </r>
  <r>
    <x v="0"/>
    <x v="1039"/>
  </r>
  <r>
    <x v="0"/>
    <x v="1040"/>
  </r>
  <r>
    <x v="0"/>
    <x v="1041"/>
  </r>
  <r>
    <x v="0"/>
    <x v="1042"/>
  </r>
  <r>
    <x v="0"/>
    <x v="1043"/>
  </r>
  <r>
    <x v="0"/>
    <x v="1044"/>
  </r>
  <r>
    <x v="0"/>
    <x v="1045"/>
  </r>
  <r>
    <x v="0"/>
    <x v="1046"/>
  </r>
  <r>
    <x v="0"/>
    <x v="1047"/>
  </r>
  <r>
    <x v="0"/>
    <x v="1048"/>
  </r>
  <r>
    <x v="0"/>
    <x v="1049"/>
  </r>
  <r>
    <x v="0"/>
    <x v="1050"/>
  </r>
  <r>
    <x v="0"/>
    <x v="1051"/>
  </r>
  <r>
    <x v="0"/>
    <x v="1052"/>
  </r>
  <r>
    <x v="0"/>
    <x v="1053"/>
  </r>
  <r>
    <x v="0"/>
    <x v="1054"/>
  </r>
  <r>
    <x v="0"/>
    <x v="1055"/>
  </r>
  <r>
    <x v="0"/>
    <x v="1056"/>
  </r>
  <r>
    <x v="0"/>
    <x v="1057"/>
  </r>
  <r>
    <x v="0"/>
    <x v="1058"/>
  </r>
  <r>
    <x v="0"/>
    <x v="1059"/>
  </r>
  <r>
    <x v="0"/>
    <x v="1060"/>
  </r>
  <r>
    <x v="0"/>
    <x v="1061"/>
  </r>
  <r>
    <x v="0"/>
    <x v="1062"/>
  </r>
  <r>
    <x v="0"/>
    <x v="1063"/>
  </r>
  <r>
    <x v="0"/>
    <x v="1064"/>
  </r>
  <r>
    <x v="0"/>
    <x v="1065"/>
  </r>
  <r>
    <x v="0"/>
    <x v="1066"/>
  </r>
  <r>
    <x v="0"/>
    <x v="1067"/>
  </r>
  <r>
    <x v="0"/>
    <x v="1068"/>
  </r>
  <r>
    <x v="0"/>
    <x v="1069"/>
  </r>
  <r>
    <x v="0"/>
    <x v="1070"/>
  </r>
  <r>
    <x v="0"/>
    <x v="1071"/>
  </r>
  <r>
    <x v="0"/>
    <x v="1072"/>
  </r>
  <r>
    <x v="0"/>
    <x v="1073"/>
  </r>
  <r>
    <x v="0"/>
    <x v="1074"/>
  </r>
  <r>
    <x v="0"/>
    <x v="1075"/>
  </r>
  <r>
    <x v="0"/>
    <x v="1076"/>
  </r>
  <r>
    <x v="0"/>
    <x v="1077"/>
  </r>
  <r>
    <x v="0"/>
    <x v="1078"/>
  </r>
  <r>
    <x v="0"/>
    <x v="1079"/>
  </r>
  <r>
    <x v="0"/>
    <x v="1080"/>
  </r>
  <r>
    <x v="0"/>
    <x v="1081"/>
  </r>
  <r>
    <x v="0"/>
    <x v="1082"/>
  </r>
  <r>
    <x v="0"/>
    <x v="1083"/>
  </r>
  <r>
    <x v="0"/>
    <x v="1084"/>
  </r>
  <r>
    <x v="0"/>
    <x v="1085"/>
  </r>
  <r>
    <x v="0"/>
    <x v="1086"/>
  </r>
  <r>
    <x v="0"/>
    <x v="1087"/>
  </r>
  <r>
    <x v="0"/>
    <x v="1088"/>
  </r>
  <r>
    <x v="0"/>
    <x v="1089"/>
  </r>
  <r>
    <x v="0"/>
    <x v="1090"/>
  </r>
  <r>
    <x v="0"/>
    <x v="1091"/>
  </r>
  <r>
    <x v="0"/>
    <x v="1092"/>
  </r>
  <r>
    <x v="0"/>
    <x v="1093"/>
  </r>
  <r>
    <x v="0"/>
    <x v="1094"/>
  </r>
  <r>
    <x v="0"/>
    <x v="1095"/>
  </r>
  <r>
    <x v="0"/>
    <x v="1096"/>
  </r>
  <r>
    <x v="0"/>
    <x v="1097"/>
  </r>
  <r>
    <x v="0"/>
    <x v="1098"/>
  </r>
  <r>
    <x v="0"/>
    <x v="1099"/>
  </r>
  <r>
    <x v="0"/>
    <x v="1100"/>
  </r>
  <r>
    <x v="0"/>
    <x v="1101"/>
  </r>
  <r>
    <x v="0"/>
    <x v="1102"/>
  </r>
  <r>
    <x v="0"/>
    <x v="1103"/>
  </r>
  <r>
    <x v="0"/>
    <x v="1104"/>
  </r>
  <r>
    <x v="0"/>
    <x v="1105"/>
  </r>
  <r>
    <x v="0"/>
    <x v="1106"/>
  </r>
  <r>
    <x v="0"/>
    <x v="1107"/>
  </r>
  <r>
    <x v="0"/>
    <x v="1108"/>
  </r>
  <r>
    <x v="0"/>
    <x v="1109"/>
  </r>
  <r>
    <x v="0"/>
    <x v="1110"/>
  </r>
  <r>
    <x v="0"/>
    <x v="1111"/>
  </r>
  <r>
    <x v="0"/>
    <x v="1112"/>
  </r>
  <r>
    <x v="0"/>
    <x v="1113"/>
  </r>
  <r>
    <x v="0"/>
    <x v="1114"/>
  </r>
  <r>
    <x v="0"/>
    <x v="1115"/>
  </r>
  <r>
    <x v="0"/>
    <x v="1116"/>
  </r>
  <r>
    <x v="0"/>
    <x v="1117"/>
  </r>
  <r>
    <x v="0"/>
    <x v="1118"/>
  </r>
  <r>
    <x v="0"/>
    <x v="1119"/>
  </r>
  <r>
    <x v="0"/>
    <x v="1120"/>
  </r>
  <r>
    <x v="0"/>
    <x v="1121"/>
  </r>
  <r>
    <x v="0"/>
    <x v="1122"/>
  </r>
  <r>
    <x v="0"/>
    <x v="1123"/>
  </r>
  <r>
    <x v="0"/>
    <x v="1124"/>
  </r>
  <r>
    <x v="0"/>
    <x v="1125"/>
  </r>
  <r>
    <x v="0"/>
    <x v="1126"/>
  </r>
  <r>
    <x v="0"/>
    <x v="1127"/>
  </r>
  <r>
    <x v="0"/>
    <x v="1128"/>
  </r>
  <r>
    <x v="0"/>
    <x v="1129"/>
  </r>
  <r>
    <x v="0"/>
    <x v="1130"/>
  </r>
  <r>
    <x v="0"/>
    <x v="1131"/>
  </r>
  <r>
    <x v="0"/>
    <x v="1132"/>
  </r>
  <r>
    <x v="0"/>
    <x v="1133"/>
  </r>
  <r>
    <x v="0"/>
    <x v="1134"/>
  </r>
  <r>
    <x v="0"/>
    <x v="1135"/>
  </r>
  <r>
    <x v="0"/>
    <x v="1136"/>
  </r>
  <r>
    <x v="0"/>
    <x v="1137"/>
  </r>
  <r>
    <x v="0"/>
    <x v="1138"/>
  </r>
  <r>
    <x v="0"/>
    <x v="1139"/>
  </r>
  <r>
    <x v="0"/>
    <x v="1140"/>
  </r>
  <r>
    <x v="0"/>
    <x v="1141"/>
  </r>
  <r>
    <x v="0"/>
    <x v="1142"/>
  </r>
  <r>
    <x v="0"/>
    <x v="1143"/>
  </r>
  <r>
    <x v="0"/>
    <x v="1144"/>
  </r>
  <r>
    <x v="0"/>
    <x v="1145"/>
  </r>
  <r>
    <x v="0"/>
    <x v="1146"/>
  </r>
  <r>
    <x v="0"/>
    <x v="1147"/>
  </r>
  <r>
    <x v="0"/>
    <x v="1148"/>
  </r>
  <r>
    <x v="0"/>
    <x v="1149"/>
  </r>
  <r>
    <x v="0"/>
    <x v="1150"/>
  </r>
  <r>
    <x v="0"/>
    <x v="1151"/>
  </r>
  <r>
    <x v="0"/>
    <x v="1152"/>
  </r>
  <r>
    <x v="0"/>
    <x v="1153"/>
  </r>
  <r>
    <x v="0"/>
    <x v="1154"/>
  </r>
  <r>
    <x v="0"/>
    <x v="1155"/>
  </r>
  <r>
    <x v="0"/>
    <x v="1156"/>
  </r>
  <r>
    <x v="0"/>
    <x v="1157"/>
  </r>
  <r>
    <x v="0"/>
    <x v="1158"/>
  </r>
  <r>
    <x v="0"/>
    <x v="1159"/>
  </r>
  <r>
    <x v="0"/>
    <x v="1160"/>
  </r>
  <r>
    <x v="0"/>
    <x v="1161"/>
  </r>
  <r>
    <x v="0"/>
    <x v="1162"/>
  </r>
  <r>
    <x v="0"/>
    <x v="1163"/>
  </r>
  <r>
    <x v="0"/>
    <x v="1164"/>
  </r>
  <r>
    <x v="0"/>
    <x v="1165"/>
  </r>
  <r>
    <x v="0"/>
    <x v="1166"/>
  </r>
  <r>
    <x v="0"/>
    <x v="1167"/>
  </r>
  <r>
    <x v="0"/>
    <x v="1168"/>
  </r>
  <r>
    <x v="0"/>
    <x v="1169"/>
  </r>
  <r>
    <x v="0"/>
    <x v="1170"/>
  </r>
  <r>
    <x v="0"/>
    <x v="1171"/>
  </r>
  <r>
    <x v="0"/>
    <x v="1172"/>
  </r>
  <r>
    <x v="0"/>
    <x v="1173"/>
  </r>
  <r>
    <x v="0"/>
    <x v="1174"/>
  </r>
  <r>
    <x v="0"/>
    <x v="1175"/>
  </r>
  <r>
    <x v="0"/>
    <x v="1176"/>
  </r>
  <r>
    <x v="0"/>
    <x v="1177"/>
  </r>
  <r>
    <x v="0"/>
    <x v="1178"/>
  </r>
  <r>
    <x v="0"/>
    <x v="1179"/>
  </r>
  <r>
    <x v="0"/>
    <x v="1180"/>
  </r>
  <r>
    <x v="0"/>
    <x v="1181"/>
  </r>
  <r>
    <x v="0"/>
    <x v="1182"/>
  </r>
  <r>
    <x v="0"/>
    <x v="1183"/>
  </r>
  <r>
    <x v="0"/>
    <x v="1184"/>
  </r>
  <r>
    <x v="0"/>
    <x v="1185"/>
  </r>
  <r>
    <x v="0"/>
    <x v="1186"/>
  </r>
  <r>
    <x v="0"/>
    <x v="1187"/>
  </r>
  <r>
    <x v="0"/>
    <x v="1188"/>
  </r>
  <r>
    <x v="0"/>
    <x v="1189"/>
  </r>
  <r>
    <x v="0"/>
    <x v="1190"/>
  </r>
  <r>
    <x v="0"/>
    <x v="1191"/>
  </r>
  <r>
    <x v="0"/>
    <x v="1192"/>
  </r>
  <r>
    <x v="0"/>
    <x v="1193"/>
  </r>
  <r>
    <x v="0"/>
    <x v="1194"/>
  </r>
  <r>
    <x v="0"/>
    <x v="1195"/>
  </r>
  <r>
    <x v="0"/>
    <x v="1196"/>
  </r>
  <r>
    <x v="0"/>
    <x v="1197"/>
  </r>
  <r>
    <x v="0"/>
    <x v="1198"/>
  </r>
  <r>
    <x v="0"/>
    <x v="1199"/>
  </r>
  <r>
    <x v="0"/>
    <x v="1200"/>
  </r>
  <r>
    <x v="0"/>
    <x v="1201"/>
  </r>
  <r>
    <x v="0"/>
    <x v="1202"/>
  </r>
  <r>
    <x v="0"/>
    <x v="1203"/>
  </r>
  <r>
    <x v="0"/>
    <x v="1204"/>
  </r>
  <r>
    <x v="0"/>
    <x v="1205"/>
  </r>
  <r>
    <x v="0"/>
    <x v="1206"/>
  </r>
  <r>
    <x v="0"/>
    <x v="1207"/>
  </r>
  <r>
    <x v="0"/>
    <x v="1208"/>
  </r>
  <r>
    <x v="0"/>
    <x v="1209"/>
  </r>
  <r>
    <x v="0"/>
    <x v="1210"/>
  </r>
  <r>
    <x v="0"/>
    <x v="1211"/>
  </r>
  <r>
    <x v="0"/>
    <x v="1212"/>
  </r>
  <r>
    <x v="0"/>
    <x v="1213"/>
  </r>
  <r>
    <x v="0"/>
    <x v="1214"/>
  </r>
  <r>
    <x v="0"/>
    <x v="1215"/>
  </r>
  <r>
    <x v="0"/>
    <x v="1216"/>
  </r>
  <r>
    <x v="0"/>
    <x v="1217"/>
  </r>
  <r>
    <x v="0"/>
    <x v="1218"/>
  </r>
  <r>
    <x v="0"/>
    <x v="1219"/>
  </r>
  <r>
    <x v="0"/>
    <x v="1220"/>
  </r>
  <r>
    <x v="0"/>
    <x v="1221"/>
  </r>
  <r>
    <x v="0"/>
    <x v="1222"/>
  </r>
  <r>
    <x v="0"/>
    <x v="1223"/>
  </r>
  <r>
    <x v="0"/>
    <x v="1224"/>
  </r>
  <r>
    <x v="0"/>
    <x v="1225"/>
  </r>
  <r>
    <x v="0"/>
    <x v="1226"/>
  </r>
  <r>
    <x v="0"/>
    <x v="1227"/>
  </r>
  <r>
    <x v="0"/>
    <x v="1228"/>
  </r>
  <r>
    <x v="0"/>
    <x v="1229"/>
  </r>
  <r>
    <x v="0"/>
    <x v="1230"/>
  </r>
  <r>
    <x v="0"/>
    <x v="1231"/>
  </r>
  <r>
    <x v="0"/>
    <x v="1232"/>
  </r>
  <r>
    <x v="0"/>
    <x v="1233"/>
  </r>
  <r>
    <x v="0"/>
    <x v="1234"/>
  </r>
  <r>
    <x v="0"/>
    <x v="1235"/>
  </r>
  <r>
    <x v="0"/>
    <x v="1236"/>
  </r>
  <r>
    <x v="0"/>
    <x v="1237"/>
  </r>
  <r>
    <x v="0"/>
    <x v="1238"/>
  </r>
  <r>
    <x v="0"/>
    <x v="1239"/>
  </r>
  <r>
    <x v="0"/>
    <x v="1240"/>
  </r>
  <r>
    <x v="0"/>
    <x v="1241"/>
  </r>
  <r>
    <x v="0"/>
    <x v="1242"/>
  </r>
  <r>
    <x v="0"/>
    <x v="1243"/>
  </r>
  <r>
    <x v="0"/>
    <x v="1244"/>
  </r>
  <r>
    <x v="0"/>
    <x v="1245"/>
  </r>
  <r>
    <x v="0"/>
    <x v="1246"/>
  </r>
  <r>
    <x v="0"/>
    <x v="1247"/>
  </r>
  <r>
    <x v="0"/>
    <x v="1248"/>
  </r>
  <r>
    <x v="0"/>
    <x v="1249"/>
  </r>
  <r>
    <x v="0"/>
    <x v="1250"/>
  </r>
  <r>
    <x v="0"/>
    <x v="1251"/>
  </r>
  <r>
    <x v="0"/>
    <x v="1252"/>
  </r>
  <r>
    <x v="0"/>
    <x v="1253"/>
  </r>
  <r>
    <x v="0"/>
    <x v="1254"/>
  </r>
  <r>
    <x v="0"/>
    <x v="1255"/>
  </r>
  <r>
    <x v="0"/>
    <x v="1256"/>
  </r>
  <r>
    <x v="0"/>
    <x v="1257"/>
  </r>
  <r>
    <x v="0"/>
    <x v="1258"/>
  </r>
  <r>
    <x v="0"/>
    <x v="1259"/>
  </r>
  <r>
    <x v="0"/>
    <x v="1260"/>
  </r>
  <r>
    <x v="0"/>
    <x v="1261"/>
  </r>
  <r>
    <x v="0"/>
    <x v="1262"/>
  </r>
  <r>
    <x v="0"/>
    <x v="1263"/>
  </r>
  <r>
    <x v="0"/>
    <x v="1264"/>
  </r>
  <r>
    <x v="0"/>
    <x v="1265"/>
  </r>
  <r>
    <x v="0"/>
    <x v="1266"/>
  </r>
  <r>
    <x v="0"/>
    <x v="1267"/>
  </r>
  <r>
    <x v="0"/>
    <x v="1268"/>
  </r>
  <r>
    <x v="0"/>
    <x v="1269"/>
  </r>
  <r>
    <x v="0"/>
    <x v="1270"/>
  </r>
  <r>
    <x v="0"/>
    <x v="1271"/>
  </r>
  <r>
    <x v="0"/>
    <x v="1272"/>
  </r>
  <r>
    <x v="0"/>
    <x v="1273"/>
  </r>
  <r>
    <x v="0"/>
    <x v="1274"/>
  </r>
  <r>
    <x v="0"/>
    <x v="1275"/>
  </r>
  <r>
    <x v="0"/>
    <x v="1276"/>
  </r>
  <r>
    <x v="0"/>
    <x v="1277"/>
  </r>
  <r>
    <x v="0"/>
    <x v="1278"/>
  </r>
  <r>
    <x v="0"/>
    <x v="1279"/>
  </r>
  <r>
    <x v="0"/>
    <x v="1280"/>
  </r>
  <r>
    <x v="0"/>
    <x v="1281"/>
  </r>
  <r>
    <x v="0"/>
    <x v="1282"/>
  </r>
  <r>
    <x v="0"/>
    <x v="1283"/>
  </r>
  <r>
    <x v="0"/>
    <x v="1284"/>
  </r>
  <r>
    <x v="0"/>
    <x v="1285"/>
  </r>
  <r>
    <x v="0"/>
    <x v="1286"/>
  </r>
  <r>
    <x v="0"/>
    <x v="1287"/>
  </r>
  <r>
    <x v="0"/>
    <x v="1288"/>
  </r>
  <r>
    <x v="0"/>
    <x v="1289"/>
  </r>
  <r>
    <x v="0"/>
    <x v="1290"/>
  </r>
  <r>
    <x v="0"/>
    <x v="1291"/>
  </r>
  <r>
    <x v="0"/>
    <x v="1292"/>
  </r>
  <r>
    <x v="0"/>
    <x v="1293"/>
  </r>
  <r>
    <x v="0"/>
    <x v="1294"/>
  </r>
  <r>
    <x v="0"/>
    <x v="1295"/>
  </r>
  <r>
    <x v="0"/>
    <x v="1296"/>
  </r>
  <r>
    <x v="0"/>
    <x v="1297"/>
  </r>
  <r>
    <x v="0"/>
    <x v="1298"/>
  </r>
  <r>
    <x v="0"/>
    <x v="1299"/>
  </r>
  <r>
    <x v="0"/>
    <x v="1300"/>
  </r>
  <r>
    <x v="0"/>
    <x v="1301"/>
  </r>
  <r>
    <x v="0"/>
    <x v="1302"/>
  </r>
  <r>
    <x v="0"/>
    <x v="1303"/>
  </r>
  <r>
    <x v="0"/>
    <x v="1304"/>
  </r>
  <r>
    <x v="0"/>
    <x v="1305"/>
  </r>
  <r>
    <x v="0"/>
    <x v="1306"/>
  </r>
  <r>
    <x v="0"/>
    <x v="1307"/>
  </r>
  <r>
    <x v="0"/>
    <x v="1308"/>
  </r>
  <r>
    <x v="0"/>
    <x v="1309"/>
  </r>
  <r>
    <x v="0"/>
    <x v="1310"/>
  </r>
  <r>
    <x v="0"/>
    <x v="1311"/>
  </r>
  <r>
    <x v="0"/>
    <x v="1312"/>
  </r>
  <r>
    <x v="0"/>
    <x v="1313"/>
  </r>
  <r>
    <x v="0"/>
    <x v="1314"/>
  </r>
  <r>
    <x v="0"/>
    <x v="1315"/>
  </r>
  <r>
    <x v="0"/>
    <x v="1316"/>
  </r>
  <r>
    <x v="0"/>
    <x v="1317"/>
  </r>
  <r>
    <x v="0"/>
    <x v="1318"/>
  </r>
  <r>
    <x v="0"/>
    <x v="1319"/>
  </r>
  <r>
    <x v="0"/>
    <x v="1320"/>
  </r>
  <r>
    <x v="0"/>
    <x v="1321"/>
  </r>
  <r>
    <x v="0"/>
    <x v="1322"/>
  </r>
  <r>
    <x v="0"/>
    <x v="1323"/>
  </r>
  <r>
    <x v="0"/>
    <x v="1324"/>
  </r>
  <r>
    <x v="0"/>
    <x v="1325"/>
  </r>
  <r>
    <x v="0"/>
    <x v="1326"/>
  </r>
  <r>
    <x v="0"/>
    <x v="1327"/>
  </r>
  <r>
    <x v="0"/>
    <x v="1328"/>
  </r>
  <r>
    <x v="0"/>
    <x v="1329"/>
  </r>
  <r>
    <x v="0"/>
    <x v="1330"/>
  </r>
  <r>
    <x v="0"/>
    <x v="1331"/>
  </r>
  <r>
    <x v="0"/>
    <x v="1332"/>
  </r>
  <r>
    <x v="0"/>
    <x v="1333"/>
  </r>
  <r>
    <x v="0"/>
    <x v="1334"/>
  </r>
  <r>
    <x v="0"/>
    <x v="1335"/>
  </r>
  <r>
    <x v="0"/>
    <x v="1336"/>
  </r>
  <r>
    <x v="0"/>
    <x v="1337"/>
  </r>
  <r>
    <x v="0"/>
    <x v="1338"/>
  </r>
  <r>
    <x v="0"/>
    <x v="1339"/>
  </r>
  <r>
    <x v="0"/>
    <x v="1340"/>
  </r>
  <r>
    <x v="0"/>
    <x v="1341"/>
  </r>
  <r>
    <x v="0"/>
    <x v="1342"/>
  </r>
  <r>
    <x v="0"/>
    <x v="1343"/>
  </r>
  <r>
    <x v="0"/>
    <x v="1344"/>
  </r>
  <r>
    <x v="0"/>
    <x v="1345"/>
  </r>
  <r>
    <x v="0"/>
    <x v="1346"/>
  </r>
  <r>
    <x v="0"/>
    <x v="1347"/>
  </r>
  <r>
    <x v="0"/>
    <x v="1348"/>
  </r>
  <r>
    <x v="0"/>
    <x v="1349"/>
  </r>
  <r>
    <x v="0"/>
    <x v="1350"/>
  </r>
  <r>
    <x v="0"/>
    <x v="1351"/>
  </r>
  <r>
    <x v="0"/>
    <x v="1352"/>
  </r>
  <r>
    <x v="0"/>
    <x v="1353"/>
  </r>
  <r>
    <x v="0"/>
    <x v="1354"/>
  </r>
  <r>
    <x v="0"/>
    <x v="1355"/>
  </r>
  <r>
    <x v="0"/>
    <x v="1356"/>
  </r>
  <r>
    <x v="0"/>
    <x v="1357"/>
  </r>
  <r>
    <x v="0"/>
    <x v="1358"/>
  </r>
  <r>
    <x v="0"/>
    <x v="1359"/>
  </r>
  <r>
    <x v="0"/>
    <x v="1360"/>
  </r>
  <r>
    <x v="0"/>
    <x v="1361"/>
  </r>
  <r>
    <x v="0"/>
    <x v="1362"/>
  </r>
  <r>
    <x v="0"/>
    <x v="1363"/>
  </r>
  <r>
    <x v="0"/>
    <x v="1364"/>
  </r>
  <r>
    <x v="0"/>
    <x v="1365"/>
  </r>
  <r>
    <x v="0"/>
    <x v="1366"/>
  </r>
  <r>
    <x v="0"/>
    <x v="1367"/>
  </r>
  <r>
    <x v="0"/>
    <x v="1368"/>
  </r>
  <r>
    <x v="0"/>
    <x v="1369"/>
  </r>
  <r>
    <x v="0"/>
    <x v="1370"/>
  </r>
  <r>
    <x v="0"/>
    <x v="1371"/>
  </r>
  <r>
    <x v="0"/>
    <x v="1372"/>
  </r>
  <r>
    <x v="0"/>
    <x v="1373"/>
  </r>
  <r>
    <x v="0"/>
    <x v="1374"/>
  </r>
  <r>
    <x v="0"/>
    <x v="1375"/>
  </r>
  <r>
    <x v="0"/>
    <x v="1376"/>
  </r>
  <r>
    <x v="0"/>
    <x v="1377"/>
  </r>
  <r>
    <x v="0"/>
    <x v="1378"/>
  </r>
  <r>
    <x v="0"/>
    <x v="1379"/>
  </r>
  <r>
    <x v="0"/>
    <x v="1380"/>
  </r>
  <r>
    <x v="0"/>
    <x v="1381"/>
  </r>
  <r>
    <x v="0"/>
    <x v="1382"/>
  </r>
  <r>
    <x v="0"/>
    <x v="1383"/>
  </r>
  <r>
    <x v="0"/>
    <x v="1384"/>
  </r>
  <r>
    <x v="0"/>
    <x v="1385"/>
  </r>
  <r>
    <x v="0"/>
    <x v="1386"/>
  </r>
  <r>
    <x v="0"/>
    <x v="1387"/>
  </r>
  <r>
    <x v="0"/>
    <x v="1388"/>
  </r>
  <r>
    <x v="0"/>
    <x v="1389"/>
  </r>
  <r>
    <x v="0"/>
    <x v="1390"/>
  </r>
  <r>
    <x v="0"/>
    <x v="1391"/>
  </r>
  <r>
    <x v="0"/>
    <x v="1392"/>
  </r>
  <r>
    <x v="0"/>
    <x v="1393"/>
  </r>
  <r>
    <x v="0"/>
    <x v="1394"/>
  </r>
  <r>
    <x v="0"/>
    <x v="1395"/>
  </r>
  <r>
    <x v="0"/>
    <x v="1396"/>
  </r>
  <r>
    <x v="0"/>
    <x v="1397"/>
  </r>
  <r>
    <x v="0"/>
    <x v="1398"/>
  </r>
  <r>
    <x v="0"/>
    <x v="1399"/>
  </r>
  <r>
    <x v="0"/>
    <x v="1400"/>
  </r>
  <r>
    <x v="0"/>
    <x v="1401"/>
  </r>
  <r>
    <x v="0"/>
    <x v="1402"/>
  </r>
  <r>
    <x v="0"/>
    <x v="1403"/>
  </r>
  <r>
    <x v="0"/>
    <x v="1404"/>
  </r>
  <r>
    <x v="0"/>
    <x v="1405"/>
  </r>
  <r>
    <x v="0"/>
    <x v="1406"/>
  </r>
  <r>
    <x v="0"/>
    <x v="1407"/>
  </r>
  <r>
    <x v="0"/>
    <x v="1408"/>
  </r>
  <r>
    <x v="0"/>
    <x v="1409"/>
  </r>
  <r>
    <x v="0"/>
    <x v="1410"/>
  </r>
  <r>
    <x v="0"/>
    <x v="1411"/>
  </r>
  <r>
    <x v="0"/>
    <x v="1412"/>
  </r>
  <r>
    <x v="0"/>
    <x v="1413"/>
  </r>
  <r>
    <x v="0"/>
    <x v="1414"/>
  </r>
  <r>
    <x v="0"/>
    <x v="1415"/>
  </r>
  <r>
    <x v="0"/>
    <x v="1416"/>
  </r>
  <r>
    <x v="0"/>
    <x v="1417"/>
  </r>
  <r>
    <x v="0"/>
    <x v="1418"/>
  </r>
  <r>
    <x v="0"/>
    <x v="1419"/>
  </r>
  <r>
    <x v="0"/>
    <x v="1420"/>
  </r>
  <r>
    <x v="0"/>
    <x v="1421"/>
  </r>
  <r>
    <x v="0"/>
    <x v="1422"/>
  </r>
  <r>
    <x v="0"/>
    <x v="1423"/>
  </r>
  <r>
    <x v="0"/>
    <x v="1424"/>
  </r>
  <r>
    <x v="0"/>
    <x v="1425"/>
  </r>
  <r>
    <x v="0"/>
    <x v="1426"/>
  </r>
  <r>
    <x v="0"/>
    <x v="1427"/>
  </r>
  <r>
    <x v="0"/>
    <x v="1428"/>
  </r>
  <r>
    <x v="0"/>
    <x v="1429"/>
  </r>
  <r>
    <x v="0"/>
    <x v="1430"/>
  </r>
  <r>
    <x v="0"/>
    <x v="1431"/>
  </r>
  <r>
    <x v="0"/>
    <x v="1432"/>
  </r>
  <r>
    <x v="0"/>
    <x v="1433"/>
  </r>
  <r>
    <x v="0"/>
    <x v="1434"/>
  </r>
  <r>
    <x v="0"/>
    <x v="1435"/>
  </r>
  <r>
    <x v="0"/>
    <x v="1436"/>
  </r>
  <r>
    <x v="0"/>
    <x v="1437"/>
  </r>
  <r>
    <x v="0"/>
    <x v="1438"/>
  </r>
  <r>
    <x v="0"/>
    <x v="1439"/>
  </r>
  <r>
    <x v="0"/>
    <x v="1440"/>
  </r>
  <r>
    <x v="0"/>
    <x v="1441"/>
  </r>
  <r>
    <x v="0"/>
    <x v="1442"/>
  </r>
  <r>
    <x v="0"/>
    <x v="1443"/>
  </r>
  <r>
    <x v="0"/>
    <x v="1444"/>
  </r>
  <r>
    <x v="0"/>
    <x v="1445"/>
  </r>
  <r>
    <x v="0"/>
    <x v="1446"/>
  </r>
  <r>
    <x v="0"/>
    <x v="1447"/>
  </r>
  <r>
    <x v="0"/>
    <x v="1448"/>
  </r>
  <r>
    <x v="0"/>
    <x v="1449"/>
  </r>
  <r>
    <x v="0"/>
    <x v="1450"/>
  </r>
  <r>
    <x v="0"/>
    <x v="1451"/>
  </r>
  <r>
    <x v="0"/>
    <x v="1452"/>
  </r>
  <r>
    <x v="0"/>
    <x v="1453"/>
  </r>
  <r>
    <x v="0"/>
    <x v="1454"/>
  </r>
  <r>
    <x v="0"/>
    <x v="1455"/>
  </r>
  <r>
    <x v="0"/>
    <x v="1456"/>
  </r>
  <r>
    <x v="0"/>
    <x v="1457"/>
  </r>
  <r>
    <x v="0"/>
    <x v="1458"/>
  </r>
  <r>
    <x v="0"/>
    <x v="1459"/>
  </r>
  <r>
    <x v="0"/>
    <x v="1460"/>
  </r>
  <r>
    <x v="0"/>
    <x v="1461"/>
  </r>
  <r>
    <x v="0"/>
    <x v="1462"/>
  </r>
  <r>
    <x v="0"/>
    <x v="1463"/>
  </r>
  <r>
    <x v="0"/>
    <x v="1464"/>
  </r>
  <r>
    <x v="0"/>
    <x v="1465"/>
  </r>
  <r>
    <x v="0"/>
    <x v="1466"/>
  </r>
  <r>
    <x v="0"/>
    <x v="1467"/>
  </r>
  <r>
    <x v="0"/>
    <x v="1468"/>
  </r>
  <r>
    <x v="0"/>
    <x v="1469"/>
  </r>
  <r>
    <x v="0"/>
    <x v="1470"/>
  </r>
  <r>
    <x v="0"/>
    <x v="1471"/>
  </r>
  <r>
    <x v="0"/>
    <x v="1472"/>
  </r>
  <r>
    <x v="0"/>
    <x v="1473"/>
  </r>
  <r>
    <x v="0"/>
    <x v="1474"/>
  </r>
  <r>
    <x v="0"/>
    <x v="1475"/>
  </r>
  <r>
    <x v="0"/>
    <x v="1476"/>
  </r>
  <r>
    <x v="0"/>
    <x v="1477"/>
  </r>
  <r>
    <x v="0"/>
    <x v="1478"/>
  </r>
  <r>
    <x v="0"/>
    <x v="1479"/>
  </r>
  <r>
    <x v="0"/>
    <x v="1480"/>
  </r>
  <r>
    <x v="0"/>
    <x v="1481"/>
  </r>
  <r>
    <x v="0"/>
    <x v="1482"/>
  </r>
  <r>
    <x v="0"/>
    <x v="1483"/>
  </r>
  <r>
    <x v="0"/>
    <x v="1484"/>
  </r>
  <r>
    <x v="0"/>
    <x v="1485"/>
  </r>
  <r>
    <x v="0"/>
    <x v="1486"/>
  </r>
  <r>
    <x v="0"/>
    <x v="1487"/>
  </r>
  <r>
    <x v="0"/>
    <x v="1488"/>
  </r>
  <r>
    <x v="0"/>
    <x v="1489"/>
  </r>
  <r>
    <x v="0"/>
    <x v="1490"/>
  </r>
  <r>
    <x v="0"/>
    <x v="1491"/>
  </r>
  <r>
    <x v="0"/>
    <x v="1492"/>
  </r>
  <r>
    <x v="0"/>
    <x v="1493"/>
  </r>
  <r>
    <x v="0"/>
    <x v="1494"/>
  </r>
  <r>
    <x v="0"/>
    <x v="1495"/>
  </r>
  <r>
    <x v="0"/>
    <x v="1496"/>
  </r>
  <r>
    <x v="0"/>
    <x v="1497"/>
  </r>
  <r>
    <x v="0"/>
    <x v="1498"/>
  </r>
  <r>
    <x v="0"/>
    <x v="1499"/>
  </r>
  <r>
    <x v="0"/>
    <x v="1500"/>
  </r>
  <r>
    <x v="0"/>
    <x v="1501"/>
  </r>
  <r>
    <x v="0"/>
    <x v="1502"/>
  </r>
  <r>
    <x v="0"/>
    <x v="1503"/>
  </r>
  <r>
    <x v="0"/>
    <x v="1504"/>
  </r>
  <r>
    <x v="0"/>
    <x v="1505"/>
  </r>
  <r>
    <x v="0"/>
    <x v="1506"/>
  </r>
  <r>
    <x v="0"/>
    <x v="1507"/>
  </r>
  <r>
    <x v="0"/>
    <x v="1508"/>
  </r>
  <r>
    <x v="0"/>
    <x v="1509"/>
  </r>
  <r>
    <x v="0"/>
    <x v="1510"/>
  </r>
  <r>
    <x v="0"/>
    <x v="1511"/>
  </r>
  <r>
    <x v="0"/>
    <x v="1512"/>
  </r>
  <r>
    <x v="0"/>
    <x v="1513"/>
  </r>
  <r>
    <x v="0"/>
    <x v="1514"/>
  </r>
  <r>
    <x v="0"/>
    <x v="1515"/>
  </r>
  <r>
    <x v="0"/>
    <x v="1516"/>
  </r>
  <r>
    <x v="0"/>
    <x v="1517"/>
  </r>
  <r>
    <x v="0"/>
    <x v="1518"/>
  </r>
  <r>
    <x v="0"/>
    <x v="1519"/>
  </r>
  <r>
    <x v="0"/>
    <x v="1520"/>
  </r>
  <r>
    <x v="0"/>
    <x v="1521"/>
  </r>
  <r>
    <x v="0"/>
    <x v="1522"/>
  </r>
  <r>
    <x v="0"/>
    <x v="1523"/>
  </r>
  <r>
    <x v="0"/>
    <x v="1524"/>
  </r>
  <r>
    <x v="0"/>
    <x v="1525"/>
  </r>
  <r>
    <x v="0"/>
    <x v="1526"/>
  </r>
  <r>
    <x v="0"/>
    <x v="1527"/>
  </r>
  <r>
    <x v="0"/>
    <x v="1528"/>
  </r>
  <r>
    <x v="0"/>
    <x v="1529"/>
  </r>
  <r>
    <x v="0"/>
    <x v="1530"/>
  </r>
  <r>
    <x v="0"/>
    <x v="1531"/>
  </r>
  <r>
    <x v="0"/>
    <x v="1532"/>
  </r>
  <r>
    <x v="0"/>
    <x v="1533"/>
  </r>
  <r>
    <x v="0"/>
    <x v="1534"/>
  </r>
  <r>
    <x v="0"/>
    <x v="1535"/>
  </r>
  <r>
    <x v="0"/>
    <x v="1536"/>
  </r>
  <r>
    <x v="0"/>
    <x v="1537"/>
  </r>
  <r>
    <x v="0"/>
    <x v="1538"/>
  </r>
  <r>
    <x v="0"/>
    <x v="1539"/>
  </r>
  <r>
    <x v="0"/>
    <x v="1540"/>
  </r>
  <r>
    <x v="0"/>
    <x v="1541"/>
  </r>
  <r>
    <x v="0"/>
    <x v="1542"/>
  </r>
  <r>
    <x v="0"/>
    <x v="1543"/>
  </r>
  <r>
    <x v="0"/>
    <x v="1544"/>
  </r>
  <r>
    <x v="0"/>
    <x v="1545"/>
  </r>
  <r>
    <x v="0"/>
    <x v="1546"/>
  </r>
  <r>
    <x v="0"/>
    <x v="1547"/>
  </r>
  <r>
    <x v="0"/>
    <x v="1548"/>
  </r>
  <r>
    <x v="0"/>
    <x v="1549"/>
  </r>
  <r>
    <x v="0"/>
    <x v="1550"/>
  </r>
  <r>
    <x v="0"/>
    <x v="1551"/>
  </r>
  <r>
    <x v="0"/>
    <x v="1552"/>
  </r>
  <r>
    <x v="0"/>
    <x v="1553"/>
  </r>
  <r>
    <x v="0"/>
    <x v="1554"/>
  </r>
  <r>
    <x v="0"/>
    <x v="1555"/>
  </r>
  <r>
    <x v="0"/>
    <x v="1556"/>
  </r>
  <r>
    <x v="0"/>
    <x v="1557"/>
  </r>
  <r>
    <x v="0"/>
    <x v="1558"/>
  </r>
  <r>
    <x v="0"/>
    <x v="1559"/>
  </r>
  <r>
    <x v="0"/>
    <x v="1560"/>
  </r>
  <r>
    <x v="0"/>
    <x v="1561"/>
  </r>
  <r>
    <x v="0"/>
    <x v="1562"/>
  </r>
  <r>
    <x v="0"/>
    <x v="1563"/>
  </r>
  <r>
    <x v="0"/>
    <x v="1564"/>
  </r>
  <r>
    <x v="0"/>
    <x v="1565"/>
  </r>
  <r>
    <x v="0"/>
    <x v="1566"/>
  </r>
  <r>
    <x v="0"/>
    <x v="1567"/>
  </r>
  <r>
    <x v="0"/>
    <x v="1568"/>
  </r>
  <r>
    <x v="0"/>
    <x v="1569"/>
  </r>
  <r>
    <x v="0"/>
    <x v="1570"/>
  </r>
  <r>
    <x v="0"/>
    <x v="1571"/>
  </r>
  <r>
    <x v="0"/>
    <x v="1572"/>
  </r>
  <r>
    <x v="0"/>
    <x v="1573"/>
  </r>
  <r>
    <x v="0"/>
    <x v="1574"/>
  </r>
  <r>
    <x v="0"/>
    <x v="1575"/>
  </r>
  <r>
    <x v="0"/>
    <x v="1576"/>
  </r>
  <r>
    <x v="0"/>
    <x v="1577"/>
  </r>
  <r>
    <x v="0"/>
    <x v="1578"/>
  </r>
  <r>
    <x v="0"/>
    <x v="1579"/>
  </r>
  <r>
    <x v="0"/>
    <x v="1580"/>
  </r>
  <r>
    <x v="0"/>
    <x v="1581"/>
  </r>
  <r>
    <x v="0"/>
    <x v="1582"/>
  </r>
  <r>
    <x v="0"/>
    <x v="1583"/>
  </r>
  <r>
    <x v="0"/>
    <x v="1584"/>
  </r>
  <r>
    <x v="0"/>
    <x v="1585"/>
  </r>
  <r>
    <x v="0"/>
    <x v="1586"/>
  </r>
  <r>
    <x v="0"/>
    <x v="1587"/>
  </r>
  <r>
    <x v="0"/>
    <x v="1588"/>
  </r>
  <r>
    <x v="0"/>
    <x v="1589"/>
  </r>
  <r>
    <x v="0"/>
    <x v="1590"/>
  </r>
  <r>
    <x v="0"/>
    <x v="1591"/>
  </r>
  <r>
    <x v="0"/>
    <x v="1592"/>
  </r>
  <r>
    <x v="0"/>
    <x v="1593"/>
  </r>
  <r>
    <x v="0"/>
    <x v="1594"/>
  </r>
  <r>
    <x v="0"/>
    <x v="1595"/>
  </r>
  <r>
    <x v="0"/>
    <x v="1596"/>
  </r>
  <r>
    <x v="0"/>
    <x v="1597"/>
  </r>
  <r>
    <x v="0"/>
    <x v="1598"/>
  </r>
  <r>
    <x v="0"/>
    <x v="1599"/>
  </r>
  <r>
    <x v="0"/>
    <x v="1600"/>
  </r>
  <r>
    <x v="0"/>
    <x v="1601"/>
  </r>
  <r>
    <x v="0"/>
    <x v="1602"/>
  </r>
  <r>
    <x v="0"/>
    <x v="1603"/>
  </r>
  <r>
    <x v="0"/>
    <x v="1604"/>
  </r>
  <r>
    <x v="0"/>
    <x v="1605"/>
  </r>
  <r>
    <x v="0"/>
    <x v="1606"/>
  </r>
  <r>
    <x v="0"/>
    <x v="1607"/>
  </r>
  <r>
    <x v="0"/>
    <x v="1608"/>
  </r>
  <r>
    <x v="0"/>
    <x v="1609"/>
  </r>
  <r>
    <x v="0"/>
    <x v="1610"/>
  </r>
  <r>
    <x v="0"/>
    <x v="1611"/>
  </r>
  <r>
    <x v="0"/>
    <x v="1612"/>
  </r>
  <r>
    <x v="0"/>
    <x v="1613"/>
  </r>
  <r>
    <x v="0"/>
    <x v="1614"/>
  </r>
  <r>
    <x v="0"/>
    <x v="1615"/>
  </r>
  <r>
    <x v="0"/>
    <x v="1616"/>
  </r>
  <r>
    <x v="0"/>
    <x v="1617"/>
  </r>
  <r>
    <x v="0"/>
    <x v="1618"/>
  </r>
  <r>
    <x v="0"/>
    <x v="1619"/>
  </r>
  <r>
    <x v="0"/>
    <x v="1620"/>
  </r>
  <r>
    <x v="0"/>
    <x v="1621"/>
  </r>
  <r>
    <x v="0"/>
    <x v="1622"/>
  </r>
  <r>
    <x v="0"/>
    <x v="1623"/>
  </r>
  <r>
    <x v="0"/>
    <x v="1624"/>
  </r>
  <r>
    <x v="0"/>
    <x v="1625"/>
  </r>
  <r>
    <x v="0"/>
    <x v="1626"/>
  </r>
  <r>
    <x v="0"/>
    <x v="1627"/>
  </r>
  <r>
    <x v="0"/>
    <x v="1628"/>
  </r>
  <r>
    <x v="0"/>
    <x v="1629"/>
  </r>
  <r>
    <x v="0"/>
    <x v="1630"/>
  </r>
  <r>
    <x v="0"/>
    <x v="1631"/>
  </r>
  <r>
    <x v="0"/>
    <x v="1632"/>
  </r>
  <r>
    <x v="0"/>
    <x v="1633"/>
  </r>
  <r>
    <x v="0"/>
    <x v="1634"/>
  </r>
  <r>
    <x v="0"/>
    <x v="1635"/>
  </r>
  <r>
    <x v="0"/>
    <x v="1636"/>
  </r>
  <r>
    <x v="0"/>
    <x v="1637"/>
  </r>
  <r>
    <x v="0"/>
    <x v="1638"/>
  </r>
  <r>
    <x v="0"/>
    <x v="1639"/>
  </r>
  <r>
    <x v="0"/>
    <x v="1640"/>
  </r>
  <r>
    <x v="0"/>
    <x v="1641"/>
  </r>
  <r>
    <x v="0"/>
    <x v="1642"/>
  </r>
  <r>
    <x v="0"/>
    <x v="1643"/>
  </r>
  <r>
    <x v="0"/>
    <x v="1644"/>
  </r>
  <r>
    <x v="0"/>
    <x v="1645"/>
  </r>
  <r>
    <x v="0"/>
    <x v="1646"/>
  </r>
  <r>
    <x v="0"/>
    <x v="1647"/>
  </r>
  <r>
    <x v="0"/>
    <x v="1648"/>
  </r>
  <r>
    <x v="0"/>
    <x v="1649"/>
  </r>
  <r>
    <x v="0"/>
    <x v="1650"/>
  </r>
  <r>
    <x v="0"/>
    <x v="1651"/>
  </r>
  <r>
    <x v="0"/>
    <x v="1652"/>
  </r>
  <r>
    <x v="0"/>
    <x v="1653"/>
  </r>
  <r>
    <x v="0"/>
    <x v="1654"/>
  </r>
  <r>
    <x v="0"/>
    <x v="1655"/>
  </r>
  <r>
    <x v="0"/>
    <x v="1656"/>
  </r>
  <r>
    <x v="0"/>
    <x v="1657"/>
  </r>
  <r>
    <x v="0"/>
    <x v="1658"/>
  </r>
  <r>
    <x v="0"/>
    <x v="1659"/>
  </r>
  <r>
    <x v="0"/>
    <x v="1660"/>
  </r>
  <r>
    <x v="0"/>
    <x v="1661"/>
  </r>
  <r>
    <x v="0"/>
    <x v="1662"/>
  </r>
  <r>
    <x v="0"/>
    <x v="1663"/>
  </r>
  <r>
    <x v="0"/>
    <x v="1664"/>
  </r>
  <r>
    <x v="0"/>
    <x v="1665"/>
  </r>
  <r>
    <x v="0"/>
    <x v="1666"/>
  </r>
  <r>
    <x v="0"/>
    <x v="1667"/>
  </r>
  <r>
    <x v="0"/>
    <x v="1668"/>
  </r>
  <r>
    <x v="0"/>
    <x v="1669"/>
  </r>
  <r>
    <x v="0"/>
    <x v="1670"/>
  </r>
  <r>
    <x v="0"/>
    <x v="1671"/>
  </r>
  <r>
    <x v="0"/>
    <x v="1672"/>
  </r>
  <r>
    <x v="0"/>
    <x v="1668"/>
  </r>
  <r>
    <x v="0"/>
    <x v="1673"/>
  </r>
  <r>
    <x v="0"/>
    <x v="1674"/>
  </r>
  <r>
    <x v="0"/>
    <x v="1675"/>
  </r>
  <r>
    <x v="0"/>
    <x v="1676"/>
  </r>
  <r>
    <x v="0"/>
    <x v="1677"/>
  </r>
  <r>
    <x v="0"/>
    <x v="1678"/>
  </r>
  <r>
    <x v="0"/>
    <x v="1679"/>
  </r>
  <r>
    <x v="0"/>
    <x v="1680"/>
  </r>
  <r>
    <x v="0"/>
    <x v="1681"/>
  </r>
  <r>
    <x v="0"/>
    <x v="1682"/>
  </r>
  <r>
    <x v="0"/>
    <x v="1683"/>
  </r>
  <r>
    <x v="0"/>
    <x v="1684"/>
  </r>
  <r>
    <x v="0"/>
    <x v="1685"/>
  </r>
  <r>
    <x v="0"/>
    <x v="1686"/>
  </r>
  <r>
    <x v="0"/>
    <x v="1687"/>
  </r>
  <r>
    <x v="0"/>
    <x v="1688"/>
  </r>
  <r>
    <x v="0"/>
    <x v="1689"/>
  </r>
  <r>
    <x v="0"/>
    <x v="1690"/>
  </r>
  <r>
    <x v="0"/>
    <x v="1691"/>
  </r>
  <r>
    <x v="0"/>
    <x v="1692"/>
  </r>
  <r>
    <x v="0"/>
    <x v="1693"/>
  </r>
  <r>
    <x v="0"/>
    <x v="1694"/>
  </r>
  <r>
    <x v="0"/>
    <x v="1695"/>
  </r>
  <r>
    <x v="0"/>
    <x v="1696"/>
  </r>
  <r>
    <x v="0"/>
    <x v="1697"/>
  </r>
  <r>
    <x v="0"/>
    <x v="1698"/>
  </r>
  <r>
    <x v="0"/>
    <x v="1699"/>
  </r>
  <r>
    <x v="0"/>
    <x v="1700"/>
  </r>
  <r>
    <x v="0"/>
    <x v="1701"/>
  </r>
  <r>
    <x v="0"/>
    <x v="1702"/>
  </r>
  <r>
    <x v="0"/>
    <x v="1703"/>
  </r>
  <r>
    <x v="0"/>
    <x v="1704"/>
  </r>
  <r>
    <x v="0"/>
    <x v="1705"/>
  </r>
  <r>
    <x v="0"/>
    <x v="1706"/>
  </r>
  <r>
    <x v="0"/>
    <x v="1707"/>
  </r>
  <r>
    <x v="0"/>
    <x v="1708"/>
  </r>
  <r>
    <x v="0"/>
    <x v="1709"/>
  </r>
  <r>
    <x v="0"/>
    <x v="1710"/>
  </r>
  <r>
    <x v="0"/>
    <x v="1711"/>
  </r>
  <r>
    <x v="0"/>
    <x v="1712"/>
  </r>
  <r>
    <x v="0"/>
    <x v="1713"/>
  </r>
  <r>
    <x v="0"/>
    <x v="1714"/>
  </r>
  <r>
    <x v="0"/>
    <x v="1715"/>
  </r>
  <r>
    <x v="0"/>
    <x v="1716"/>
  </r>
  <r>
    <x v="0"/>
    <x v="1717"/>
  </r>
  <r>
    <x v="0"/>
    <x v="1718"/>
  </r>
  <r>
    <x v="0"/>
    <x v="1719"/>
  </r>
  <r>
    <x v="0"/>
    <x v="1720"/>
  </r>
  <r>
    <x v="0"/>
    <x v="1721"/>
  </r>
  <r>
    <x v="0"/>
    <x v="1722"/>
  </r>
  <r>
    <x v="0"/>
    <x v="1723"/>
  </r>
  <r>
    <x v="0"/>
    <x v="1724"/>
  </r>
  <r>
    <x v="0"/>
    <x v="1725"/>
  </r>
  <r>
    <x v="0"/>
    <x v="1726"/>
  </r>
  <r>
    <x v="0"/>
    <x v="1727"/>
  </r>
  <r>
    <x v="0"/>
    <x v="1728"/>
  </r>
  <r>
    <x v="0"/>
    <x v="1729"/>
  </r>
  <r>
    <x v="0"/>
    <x v="1730"/>
  </r>
  <r>
    <x v="0"/>
    <x v="1731"/>
  </r>
  <r>
    <x v="0"/>
    <x v="1732"/>
  </r>
  <r>
    <x v="0"/>
    <x v="1733"/>
  </r>
  <r>
    <x v="0"/>
    <x v="1734"/>
  </r>
  <r>
    <x v="0"/>
    <x v="1735"/>
  </r>
  <r>
    <x v="0"/>
    <x v="1736"/>
  </r>
  <r>
    <x v="0"/>
    <x v="1737"/>
  </r>
  <r>
    <x v="0"/>
    <x v="1738"/>
  </r>
  <r>
    <x v="0"/>
    <x v="1739"/>
  </r>
  <r>
    <x v="0"/>
    <x v="1740"/>
  </r>
  <r>
    <x v="0"/>
    <x v="1741"/>
  </r>
  <r>
    <x v="0"/>
    <x v="1742"/>
  </r>
  <r>
    <x v="0"/>
    <x v="1743"/>
  </r>
  <r>
    <x v="0"/>
    <x v="1744"/>
  </r>
  <r>
    <x v="0"/>
    <x v="1745"/>
  </r>
  <r>
    <x v="0"/>
    <x v="1746"/>
  </r>
  <r>
    <x v="0"/>
    <x v="1747"/>
  </r>
  <r>
    <x v="0"/>
    <x v="1748"/>
  </r>
  <r>
    <x v="0"/>
    <x v="1749"/>
  </r>
  <r>
    <x v="0"/>
    <x v="1750"/>
  </r>
  <r>
    <x v="0"/>
    <x v="1751"/>
  </r>
  <r>
    <x v="0"/>
    <x v="1752"/>
  </r>
  <r>
    <x v="0"/>
    <x v="1753"/>
  </r>
  <r>
    <x v="0"/>
    <x v="1754"/>
  </r>
  <r>
    <x v="0"/>
    <x v="1755"/>
  </r>
  <r>
    <x v="0"/>
    <x v="1756"/>
  </r>
  <r>
    <x v="0"/>
    <x v="1757"/>
  </r>
  <r>
    <x v="2"/>
    <x v="1758"/>
  </r>
  <r>
    <x v="2"/>
    <x v="1759"/>
  </r>
  <r>
    <x v="2"/>
    <x v="1760"/>
  </r>
  <r>
    <x v="2"/>
    <x v="1761"/>
  </r>
  <r>
    <x v="2"/>
    <x v="1762"/>
  </r>
  <r>
    <x v="2"/>
    <x v="1763"/>
  </r>
  <r>
    <x v="2"/>
    <x v="1764"/>
  </r>
  <r>
    <x v="2"/>
    <x v="1765"/>
  </r>
  <r>
    <x v="2"/>
    <x v="1766"/>
  </r>
  <r>
    <x v="2"/>
    <x v="1767"/>
  </r>
  <r>
    <x v="2"/>
    <x v="1768"/>
  </r>
  <r>
    <x v="2"/>
    <x v="1769"/>
  </r>
  <r>
    <x v="2"/>
    <x v="1770"/>
  </r>
  <r>
    <x v="2"/>
    <x v="1771"/>
  </r>
  <r>
    <x v="2"/>
    <x v="1772"/>
  </r>
  <r>
    <x v="2"/>
    <x v="1773"/>
  </r>
  <r>
    <x v="2"/>
    <x v="1774"/>
  </r>
  <r>
    <x v="2"/>
    <x v="1775"/>
  </r>
  <r>
    <x v="2"/>
    <x v="1776"/>
  </r>
  <r>
    <x v="2"/>
    <x v="1777"/>
  </r>
  <r>
    <x v="2"/>
    <x v="1778"/>
  </r>
  <r>
    <x v="2"/>
    <x v="1779"/>
  </r>
  <r>
    <x v="2"/>
    <x v="1780"/>
  </r>
  <r>
    <x v="2"/>
    <x v="1781"/>
  </r>
  <r>
    <x v="2"/>
    <x v="1782"/>
  </r>
  <r>
    <x v="2"/>
    <x v="1783"/>
  </r>
  <r>
    <x v="2"/>
    <x v="1784"/>
  </r>
  <r>
    <x v="2"/>
    <x v="1785"/>
  </r>
  <r>
    <x v="2"/>
    <x v="1786"/>
  </r>
  <r>
    <x v="2"/>
    <x v="1787"/>
  </r>
  <r>
    <x v="2"/>
    <x v="1788"/>
  </r>
  <r>
    <x v="2"/>
    <x v="1789"/>
  </r>
  <r>
    <x v="0"/>
    <x v="1790"/>
  </r>
  <r>
    <x v="0"/>
    <x v="1791"/>
  </r>
  <r>
    <x v="0"/>
    <x v="1792"/>
  </r>
  <r>
    <x v="0"/>
    <x v="1793"/>
  </r>
  <r>
    <x v="0"/>
    <x v="1794"/>
  </r>
  <r>
    <x v="0"/>
    <x v="1795"/>
  </r>
  <r>
    <x v="0"/>
    <x v="1796"/>
  </r>
  <r>
    <x v="0"/>
    <x v="1797"/>
  </r>
  <r>
    <x v="2"/>
    <x v="1798"/>
  </r>
  <r>
    <x v="2"/>
    <x v="1799"/>
  </r>
  <r>
    <x v="2"/>
    <x v="1800"/>
  </r>
  <r>
    <x v="2"/>
    <x v="1801"/>
  </r>
  <r>
    <x v="2"/>
    <x v="1802"/>
  </r>
  <r>
    <x v="2"/>
    <x v="1803"/>
  </r>
  <r>
    <x v="2"/>
    <x v="1804"/>
  </r>
  <r>
    <x v="2"/>
    <x v="1805"/>
  </r>
  <r>
    <x v="2"/>
    <x v="1806"/>
  </r>
  <r>
    <x v="2"/>
    <x v="1807"/>
  </r>
  <r>
    <x v="2"/>
    <x v="1808"/>
  </r>
  <r>
    <x v="2"/>
    <x v="1809"/>
  </r>
  <r>
    <x v="2"/>
    <x v="1810"/>
  </r>
  <r>
    <x v="2"/>
    <x v="1811"/>
  </r>
  <r>
    <x v="2"/>
    <x v="1812"/>
  </r>
  <r>
    <x v="2"/>
    <x v="1813"/>
  </r>
  <r>
    <x v="2"/>
    <x v="1814"/>
  </r>
  <r>
    <x v="2"/>
    <x v="1815"/>
  </r>
  <r>
    <x v="2"/>
    <x v="1816"/>
  </r>
  <r>
    <x v="2"/>
    <x v="1817"/>
  </r>
  <r>
    <x v="2"/>
    <x v="1818"/>
  </r>
  <r>
    <x v="2"/>
    <x v="1819"/>
  </r>
  <r>
    <x v="2"/>
    <x v="1820"/>
  </r>
  <r>
    <x v="2"/>
    <x v="1821"/>
  </r>
  <r>
    <x v="2"/>
    <x v="1822"/>
  </r>
  <r>
    <x v="2"/>
    <x v="1823"/>
  </r>
  <r>
    <x v="2"/>
    <x v="1824"/>
  </r>
  <r>
    <x v="2"/>
    <x v="1825"/>
  </r>
  <r>
    <x v="2"/>
    <x v="1826"/>
  </r>
  <r>
    <x v="2"/>
    <x v="1827"/>
  </r>
  <r>
    <x v="2"/>
    <x v="1828"/>
  </r>
  <r>
    <x v="2"/>
    <x v="1829"/>
  </r>
  <r>
    <x v="2"/>
    <x v="1830"/>
  </r>
  <r>
    <x v="2"/>
    <x v="1831"/>
  </r>
  <r>
    <x v="2"/>
    <x v="1832"/>
  </r>
  <r>
    <x v="2"/>
    <x v="1833"/>
  </r>
  <r>
    <x v="2"/>
    <x v="1834"/>
  </r>
  <r>
    <x v="2"/>
    <x v="1835"/>
  </r>
  <r>
    <x v="2"/>
    <x v="1836"/>
  </r>
  <r>
    <x v="2"/>
    <x v="1837"/>
  </r>
  <r>
    <x v="2"/>
    <x v="1838"/>
  </r>
  <r>
    <x v="2"/>
    <x v="1839"/>
  </r>
  <r>
    <x v="2"/>
    <x v="1840"/>
  </r>
  <r>
    <x v="2"/>
    <x v="1841"/>
  </r>
  <r>
    <x v="2"/>
    <x v="1842"/>
  </r>
  <r>
    <x v="2"/>
    <x v="1843"/>
  </r>
  <r>
    <x v="2"/>
    <x v="1844"/>
  </r>
  <r>
    <x v="2"/>
    <x v="1845"/>
  </r>
  <r>
    <x v="2"/>
    <x v="1846"/>
  </r>
  <r>
    <x v="2"/>
    <x v="1847"/>
  </r>
  <r>
    <x v="2"/>
    <x v="1848"/>
  </r>
  <r>
    <x v="2"/>
    <x v="1849"/>
  </r>
  <r>
    <x v="2"/>
    <x v="1850"/>
  </r>
  <r>
    <x v="2"/>
    <x v="1851"/>
  </r>
  <r>
    <x v="2"/>
    <x v="1852"/>
  </r>
  <r>
    <x v="2"/>
    <x v="1853"/>
  </r>
  <r>
    <x v="2"/>
    <x v="1854"/>
  </r>
  <r>
    <x v="2"/>
    <x v="1855"/>
  </r>
  <r>
    <x v="2"/>
    <x v="1856"/>
  </r>
  <r>
    <x v="2"/>
    <x v="1857"/>
  </r>
  <r>
    <x v="2"/>
    <x v="1858"/>
  </r>
  <r>
    <x v="2"/>
    <x v="1859"/>
  </r>
  <r>
    <x v="2"/>
    <x v="1860"/>
  </r>
  <r>
    <x v="2"/>
    <x v="1861"/>
  </r>
  <r>
    <x v="2"/>
    <x v="1862"/>
  </r>
  <r>
    <x v="2"/>
    <x v="1863"/>
  </r>
  <r>
    <x v="2"/>
    <x v="1864"/>
  </r>
  <r>
    <x v="2"/>
    <x v="1865"/>
  </r>
  <r>
    <x v="2"/>
    <x v="1866"/>
  </r>
  <r>
    <x v="2"/>
    <x v="1867"/>
  </r>
  <r>
    <x v="2"/>
    <x v="1868"/>
  </r>
  <r>
    <x v="2"/>
    <x v="1869"/>
  </r>
  <r>
    <x v="2"/>
    <x v="1870"/>
  </r>
  <r>
    <x v="2"/>
    <x v="1871"/>
  </r>
  <r>
    <x v="2"/>
    <x v="1872"/>
  </r>
  <r>
    <x v="2"/>
    <x v="1873"/>
  </r>
  <r>
    <x v="2"/>
    <x v="1874"/>
  </r>
  <r>
    <x v="2"/>
    <x v="1875"/>
  </r>
  <r>
    <x v="2"/>
    <x v="1876"/>
  </r>
  <r>
    <x v="2"/>
    <x v="1877"/>
  </r>
  <r>
    <x v="2"/>
    <x v="1878"/>
  </r>
  <r>
    <x v="2"/>
    <x v="1879"/>
  </r>
  <r>
    <x v="2"/>
    <x v="1880"/>
  </r>
  <r>
    <x v="2"/>
    <x v="1881"/>
  </r>
  <r>
    <x v="2"/>
    <x v="1882"/>
  </r>
  <r>
    <x v="0"/>
    <x v="1883"/>
  </r>
  <r>
    <x v="0"/>
    <x v="1884"/>
  </r>
  <r>
    <x v="0"/>
    <x v="1885"/>
  </r>
  <r>
    <x v="0"/>
    <x v="1886"/>
  </r>
  <r>
    <x v="0"/>
    <x v="1887"/>
  </r>
  <r>
    <x v="0"/>
    <x v="1888"/>
  </r>
  <r>
    <x v="0"/>
    <x v="1889"/>
  </r>
  <r>
    <x v="0"/>
    <x v="1890"/>
  </r>
  <r>
    <x v="0"/>
    <x v="1891"/>
  </r>
  <r>
    <x v="0"/>
    <x v="1892"/>
  </r>
  <r>
    <x v="0"/>
    <x v="1893"/>
  </r>
  <r>
    <x v="0"/>
    <x v="1894"/>
  </r>
  <r>
    <x v="0"/>
    <x v="1895"/>
  </r>
  <r>
    <x v="0"/>
    <x v="1896"/>
  </r>
  <r>
    <x v="0"/>
    <x v="1897"/>
  </r>
  <r>
    <x v="0"/>
    <x v="1898"/>
  </r>
  <r>
    <x v="0"/>
    <x v="1899"/>
  </r>
  <r>
    <x v="0"/>
    <x v="1900"/>
  </r>
  <r>
    <x v="1"/>
    <x v="1901"/>
  </r>
  <r>
    <x v="1"/>
    <x v="1902"/>
  </r>
  <r>
    <x v="1"/>
    <x v="1903"/>
  </r>
  <r>
    <x v="1"/>
    <x v="1904"/>
  </r>
  <r>
    <x v="1"/>
    <x v="1905"/>
  </r>
  <r>
    <x v="1"/>
    <x v="1906"/>
  </r>
  <r>
    <x v="1"/>
    <x v="1907"/>
  </r>
  <r>
    <x v="1"/>
    <x v="1908"/>
  </r>
  <r>
    <x v="1"/>
    <x v="1909"/>
  </r>
  <r>
    <x v="1"/>
    <x v="1910"/>
  </r>
  <r>
    <x v="1"/>
    <x v="1911"/>
  </r>
  <r>
    <x v="1"/>
    <x v="1912"/>
  </r>
  <r>
    <x v="1"/>
    <x v="1913"/>
  </r>
  <r>
    <x v="1"/>
    <x v="1914"/>
  </r>
  <r>
    <x v="1"/>
    <x v="1915"/>
  </r>
  <r>
    <x v="1"/>
    <x v="1916"/>
  </r>
  <r>
    <x v="1"/>
    <x v="1917"/>
  </r>
  <r>
    <x v="1"/>
    <x v="1918"/>
  </r>
  <r>
    <x v="1"/>
    <x v="1919"/>
  </r>
  <r>
    <x v="1"/>
    <x v="1920"/>
  </r>
  <r>
    <x v="1"/>
    <x v="1921"/>
  </r>
  <r>
    <x v="1"/>
    <x v="1922"/>
  </r>
  <r>
    <x v="1"/>
    <x v="1923"/>
  </r>
  <r>
    <x v="1"/>
    <x v="1924"/>
  </r>
  <r>
    <x v="1"/>
    <x v="1925"/>
  </r>
  <r>
    <x v="1"/>
    <x v="1926"/>
  </r>
  <r>
    <x v="1"/>
    <x v="1927"/>
  </r>
  <r>
    <x v="1"/>
    <x v="1928"/>
  </r>
  <r>
    <x v="1"/>
    <x v="1929"/>
  </r>
  <r>
    <x v="1"/>
    <x v="1930"/>
  </r>
  <r>
    <x v="1"/>
    <x v="1931"/>
  </r>
  <r>
    <x v="1"/>
    <x v="1932"/>
  </r>
  <r>
    <x v="1"/>
    <x v="1933"/>
  </r>
  <r>
    <x v="1"/>
    <x v="1934"/>
  </r>
  <r>
    <x v="1"/>
    <x v="1935"/>
  </r>
  <r>
    <x v="1"/>
    <x v="1936"/>
  </r>
  <r>
    <x v="1"/>
    <x v="1937"/>
  </r>
  <r>
    <x v="1"/>
    <x v="1938"/>
  </r>
  <r>
    <x v="1"/>
    <x v="1939"/>
  </r>
  <r>
    <x v="1"/>
    <x v="1940"/>
  </r>
  <r>
    <x v="1"/>
    <x v="1941"/>
  </r>
  <r>
    <x v="1"/>
    <x v="1942"/>
  </r>
  <r>
    <x v="1"/>
    <x v="1943"/>
  </r>
  <r>
    <x v="1"/>
    <x v="1944"/>
  </r>
  <r>
    <x v="1"/>
    <x v="1945"/>
  </r>
  <r>
    <x v="1"/>
    <x v="1946"/>
  </r>
  <r>
    <x v="1"/>
    <x v="1947"/>
  </r>
  <r>
    <x v="1"/>
    <x v="1948"/>
  </r>
  <r>
    <x v="1"/>
    <x v="1949"/>
  </r>
  <r>
    <x v="1"/>
    <x v="1950"/>
  </r>
  <r>
    <x v="1"/>
    <x v="1951"/>
  </r>
  <r>
    <x v="1"/>
    <x v="1952"/>
  </r>
  <r>
    <x v="1"/>
    <x v="1953"/>
  </r>
  <r>
    <x v="1"/>
    <x v="1954"/>
  </r>
  <r>
    <x v="1"/>
    <x v="1955"/>
  </r>
  <r>
    <x v="1"/>
    <x v="1956"/>
  </r>
  <r>
    <x v="1"/>
    <x v="1957"/>
  </r>
  <r>
    <x v="1"/>
    <x v="1958"/>
  </r>
  <r>
    <x v="1"/>
    <x v="1959"/>
  </r>
  <r>
    <x v="1"/>
    <x v="1960"/>
  </r>
  <r>
    <x v="1"/>
    <x v="1961"/>
  </r>
  <r>
    <x v="1"/>
    <x v="1962"/>
  </r>
  <r>
    <x v="1"/>
    <x v="1963"/>
  </r>
  <r>
    <x v="1"/>
    <x v="1964"/>
  </r>
  <r>
    <x v="1"/>
    <x v="1965"/>
  </r>
  <r>
    <x v="1"/>
    <x v="1966"/>
  </r>
  <r>
    <x v="1"/>
    <x v="1967"/>
  </r>
  <r>
    <x v="1"/>
    <x v="1968"/>
  </r>
  <r>
    <x v="1"/>
    <x v="1969"/>
  </r>
  <r>
    <x v="1"/>
    <x v="1970"/>
  </r>
  <r>
    <x v="1"/>
    <x v="1971"/>
  </r>
  <r>
    <x v="1"/>
    <x v="1972"/>
  </r>
  <r>
    <x v="1"/>
    <x v="1973"/>
  </r>
  <r>
    <x v="1"/>
    <x v="1974"/>
  </r>
  <r>
    <x v="1"/>
    <x v="1975"/>
  </r>
  <r>
    <x v="1"/>
    <x v="1976"/>
  </r>
  <r>
    <x v="1"/>
    <x v="1977"/>
  </r>
  <r>
    <x v="1"/>
    <x v="1978"/>
  </r>
  <r>
    <x v="1"/>
    <x v="1979"/>
  </r>
  <r>
    <x v="1"/>
    <x v="1980"/>
  </r>
  <r>
    <x v="1"/>
    <x v="1981"/>
  </r>
  <r>
    <x v="1"/>
    <x v="1982"/>
  </r>
  <r>
    <x v="1"/>
    <x v="1983"/>
  </r>
  <r>
    <x v="1"/>
    <x v="1984"/>
  </r>
  <r>
    <x v="1"/>
    <x v="1985"/>
  </r>
  <r>
    <x v="1"/>
    <x v="1986"/>
  </r>
  <r>
    <x v="1"/>
    <x v="1987"/>
  </r>
  <r>
    <x v="1"/>
    <x v="1988"/>
  </r>
  <r>
    <x v="1"/>
    <x v="1989"/>
  </r>
  <r>
    <x v="1"/>
    <x v="1990"/>
  </r>
  <r>
    <x v="1"/>
    <x v="1991"/>
  </r>
  <r>
    <x v="1"/>
    <x v="1992"/>
  </r>
  <r>
    <x v="1"/>
    <x v="1993"/>
  </r>
  <r>
    <x v="1"/>
    <x v="1994"/>
  </r>
  <r>
    <x v="1"/>
    <x v="1995"/>
  </r>
  <r>
    <x v="1"/>
    <x v="1996"/>
  </r>
  <r>
    <x v="1"/>
    <x v="1997"/>
  </r>
  <r>
    <x v="1"/>
    <x v="1998"/>
  </r>
  <r>
    <x v="1"/>
    <x v="1999"/>
  </r>
  <r>
    <x v="1"/>
    <x v="2000"/>
  </r>
  <r>
    <x v="1"/>
    <x v="2001"/>
  </r>
  <r>
    <x v="1"/>
    <x v="2002"/>
  </r>
  <r>
    <x v="1"/>
    <x v="2003"/>
  </r>
  <r>
    <x v="1"/>
    <x v="2004"/>
  </r>
  <r>
    <x v="1"/>
    <x v="2005"/>
  </r>
  <r>
    <x v="1"/>
    <x v="2006"/>
  </r>
  <r>
    <x v="1"/>
    <x v="2007"/>
  </r>
  <r>
    <x v="1"/>
    <x v="2008"/>
  </r>
  <r>
    <x v="1"/>
    <x v="2009"/>
  </r>
  <r>
    <x v="1"/>
    <x v="2010"/>
  </r>
  <r>
    <x v="1"/>
    <x v="2011"/>
  </r>
  <r>
    <x v="1"/>
    <x v="2012"/>
  </r>
  <r>
    <x v="1"/>
    <x v="2013"/>
  </r>
  <r>
    <x v="1"/>
    <x v="2014"/>
  </r>
  <r>
    <x v="1"/>
    <x v="2015"/>
  </r>
  <r>
    <x v="1"/>
    <x v="2016"/>
  </r>
  <r>
    <x v="1"/>
    <x v="2017"/>
  </r>
  <r>
    <x v="1"/>
    <x v="2018"/>
  </r>
  <r>
    <x v="1"/>
    <x v="2019"/>
  </r>
  <r>
    <x v="1"/>
    <x v="2020"/>
  </r>
  <r>
    <x v="1"/>
    <x v="2021"/>
  </r>
  <r>
    <x v="1"/>
    <x v="2022"/>
  </r>
  <r>
    <x v="1"/>
    <x v="2023"/>
  </r>
  <r>
    <x v="1"/>
    <x v="2024"/>
  </r>
  <r>
    <x v="1"/>
    <x v="2025"/>
  </r>
  <r>
    <x v="1"/>
    <x v="2026"/>
  </r>
  <r>
    <x v="1"/>
    <x v="2027"/>
  </r>
  <r>
    <x v="1"/>
    <x v="2028"/>
  </r>
  <r>
    <x v="1"/>
    <x v="2029"/>
  </r>
  <r>
    <x v="1"/>
    <x v="2030"/>
  </r>
  <r>
    <x v="1"/>
    <x v="2031"/>
  </r>
  <r>
    <x v="1"/>
    <x v="2032"/>
  </r>
  <r>
    <x v="1"/>
    <x v="2033"/>
  </r>
  <r>
    <x v="1"/>
    <x v="2034"/>
  </r>
  <r>
    <x v="1"/>
    <x v="2035"/>
  </r>
  <r>
    <x v="1"/>
    <x v="2036"/>
  </r>
  <r>
    <x v="1"/>
    <x v="2037"/>
  </r>
  <r>
    <x v="1"/>
    <x v="2038"/>
  </r>
  <r>
    <x v="1"/>
    <x v="2039"/>
  </r>
  <r>
    <x v="1"/>
    <x v="2040"/>
  </r>
  <r>
    <x v="1"/>
    <x v="2041"/>
  </r>
  <r>
    <x v="1"/>
    <x v="2042"/>
  </r>
  <r>
    <x v="1"/>
    <x v="2043"/>
  </r>
  <r>
    <x v="1"/>
    <x v="2044"/>
  </r>
  <r>
    <x v="1"/>
    <x v="2045"/>
  </r>
  <r>
    <x v="1"/>
    <x v="2046"/>
  </r>
  <r>
    <x v="1"/>
    <x v="2047"/>
  </r>
  <r>
    <x v="1"/>
    <x v="2048"/>
  </r>
  <r>
    <x v="1"/>
    <x v="2049"/>
  </r>
  <r>
    <x v="1"/>
    <x v="2050"/>
  </r>
  <r>
    <x v="1"/>
    <x v="2051"/>
  </r>
  <r>
    <x v="1"/>
    <x v="2052"/>
  </r>
  <r>
    <x v="1"/>
    <x v="2053"/>
  </r>
  <r>
    <x v="1"/>
    <x v="2054"/>
  </r>
  <r>
    <x v="1"/>
    <x v="2055"/>
  </r>
  <r>
    <x v="1"/>
    <x v="2056"/>
  </r>
  <r>
    <x v="1"/>
    <x v="2057"/>
  </r>
  <r>
    <x v="1"/>
    <x v="2058"/>
  </r>
  <r>
    <x v="1"/>
    <x v="2059"/>
  </r>
  <r>
    <x v="1"/>
    <x v="2060"/>
  </r>
  <r>
    <x v="1"/>
    <x v="2061"/>
  </r>
  <r>
    <x v="1"/>
    <x v="2062"/>
  </r>
  <r>
    <x v="1"/>
    <x v="2063"/>
  </r>
  <r>
    <x v="1"/>
    <x v="2064"/>
  </r>
  <r>
    <x v="1"/>
    <x v="2065"/>
  </r>
  <r>
    <x v="1"/>
    <x v="2066"/>
  </r>
  <r>
    <x v="1"/>
    <x v="2067"/>
  </r>
  <r>
    <x v="1"/>
    <x v="2068"/>
  </r>
  <r>
    <x v="1"/>
    <x v="2069"/>
  </r>
  <r>
    <x v="1"/>
    <x v="2070"/>
  </r>
  <r>
    <x v="1"/>
    <x v="2071"/>
  </r>
  <r>
    <x v="1"/>
    <x v="2072"/>
  </r>
  <r>
    <x v="1"/>
    <x v="2073"/>
  </r>
  <r>
    <x v="1"/>
    <x v="2074"/>
  </r>
  <r>
    <x v="1"/>
    <x v="2075"/>
  </r>
  <r>
    <x v="1"/>
    <x v="2076"/>
  </r>
  <r>
    <x v="1"/>
    <x v="2077"/>
  </r>
  <r>
    <x v="1"/>
    <x v="2078"/>
  </r>
  <r>
    <x v="1"/>
    <x v="2079"/>
  </r>
  <r>
    <x v="1"/>
    <x v="2080"/>
  </r>
  <r>
    <x v="1"/>
    <x v="2081"/>
  </r>
  <r>
    <x v="1"/>
    <x v="2082"/>
  </r>
  <r>
    <x v="1"/>
    <x v="2083"/>
  </r>
  <r>
    <x v="1"/>
    <x v="2084"/>
  </r>
  <r>
    <x v="1"/>
    <x v="2085"/>
  </r>
  <r>
    <x v="1"/>
    <x v="2086"/>
  </r>
  <r>
    <x v="1"/>
    <x v="2087"/>
  </r>
  <r>
    <x v="1"/>
    <x v="2088"/>
  </r>
  <r>
    <x v="1"/>
    <x v="2089"/>
  </r>
  <r>
    <x v="1"/>
    <x v="2090"/>
  </r>
  <r>
    <x v="1"/>
    <x v="2091"/>
  </r>
  <r>
    <x v="1"/>
    <x v="2092"/>
  </r>
  <r>
    <x v="1"/>
    <x v="2093"/>
  </r>
  <r>
    <x v="1"/>
    <x v="2094"/>
  </r>
  <r>
    <x v="1"/>
    <x v="2095"/>
  </r>
  <r>
    <x v="1"/>
    <x v="2096"/>
  </r>
  <r>
    <x v="1"/>
    <x v="2097"/>
  </r>
  <r>
    <x v="1"/>
    <x v="2098"/>
  </r>
  <r>
    <x v="1"/>
    <x v="2099"/>
  </r>
  <r>
    <x v="1"/>
    <x v="2100"/>
  </r>
  <r>
    <x v="1"/>
    <x v="2101"/>
  </r>
  <r>
    <x v="1"/>
    <x v="2102"/>
  </r>
  <r>
    <x v="1"/>
    <x v="2103"/>
  </r>
  <r>
    <x v="1"/>
    <x v="2104"/>
  </r>
  <r>
    <x v="1"/>
    <x v="2105"/>
  </r>
  <r>
    <x v="1"/>
    <x v="2106"/>
  </r>
  <r>
    <x v="1"/>
    <x v="2107"/>
  </r>
  <r>
    <x v="1"/>
    <x v="2108"/>
  </r>
  <r>
    <x v="1"/>
    <x v="2109"/>
  </r>
  <r>
    <x v="1"/>
    <x v="2110"/>
  </r>
  <r>
    <x v="1"/>
    <x v="2111"/>
  </r>
  <r>
    <x v="1"/>
    <x v="2112"/>
  </r>
  <r>
    <x v="1"/>
    <x v="2113"/>
  </r>
  <r>
    <x v="1"/>
    <x v="2114"/>
  </r>
  <r>
    <x v="1"/>
    <x v="2115"/>
  </r>
  <r>
    <x v="1"/>
    <x v="2116"/>
  </r>
  <r>
    <x v="1"/>
    <x v="2117"/>
  </r>
  <r>
    <x v="1"/>
    <x v="2118"/>
  </r>
  <r>
    <x v="1"/>
    <x v="2119"/>
  </r>
  <r>
    <x v="1"/>
    <x v="2120"/>
  </r>
  <r>
    <x v="1"/>
    <x v="2121"/>
  </r>
  <r>
    <x v="1"/>
    <x v="2122"/>
  </r>
  <r>
    <x v="1"/>
    <x v="2123"/>
  </r>
  <r>
    <x v="1"/>
    <x v="2124"/>
  </r>
  <r>
    <x v="1"/>
    <x v="2125"/>
  </r>
  <r>
    <x v="1"/>
    <x v="2126"/>
  </r>
  <r>
    <x v="1"/>
    <x v="2127"/>
  </r>
  <r>
    <x v="1"/>
    <x v="2128"/>
  </r>
  <r>
    <x v="1"/>
    <x v="2129"/>
  </r>
  <r>
    <x v="1"/>
    <x v="2130"/>
  </r>
  <r>
    <x v="1"/>
    <x v="2131"/>
  </r>
  <r>
    <x v="1"/>
    <x v="2132"/>
  </r>
  <r>
    <x v="1"/>
    <x v="2133"/>
  </r>
  <r>
    <x v="1"/>
    <x v="2134"/>
  </r>
  <r>
    <x v="1"/>
    <x v="2135"/>
  </r>
  <r>
    <x v="3"/>
    <x v="2136"/>
  </r>
  <r>
    <x v="3"/>
    <x v="2137"/>
  </r>
  <r>
    <x v="3"/>
    <x v="2138"/>
  </r>
  <r>
    <x v="3"/>
    <x v="2139"/>
  </r>
  <r>
    <x v="3"/>
    <x v="2140"/>
  </r>
  <r>
    <x v="3"/>
    <x v="2141"/>
  </r>
  <r>
    <x v="3"/>
    <x v="2142"/>
  </r>
  <r>
    <x v="3"/>
    <x v="2143"/>
  </r>
  <r>
    <x v="3"/>
    <x v="2144"/>
  </r>
  <r>
    <x v="3"/>
    <x v="2145"/>
  </r>
  <r>
    <x v="3"/>
    <x v="2146"/>
  </r>
  <r>
    <x v="3"/>
    <x v="2147"/>
  </r>
  <r>
    <x v="3"/>
    <x v="2148"/>
  </r>
  <r>
    <x v="3"/>
    <x v="2149"/>
  </r>
  <r>
    <x v="3"/>
    <x v="2150"/>
  </r>
  <r>
    <x v="3"/>
    <x v="2151"/>
  </r>
  <r>
    <x v="3"/>
    <x v="2152"/>
  </r>
  <r>
    <x v="3"/>
    <x v="2153"/>
  </r>
  <r>
    <x v="3"/>
    <x v="2154"/>
  </r>
  <r>
    <x v="3"/>
    <x v="2155"/>
  </r>
  <r>
    <x v="3"/>
    <x v="2156"/>
  </r>
  <r>
    <x v="3"/>
    <x v="2157"/>
  </r>
  <r>
    <x v="3"/>
    <x v="2158"/>
  </r>
  <r>
    <x v="3"/>
    <x v="2159"/>
  </r>
  <r>
    <x v="3"/>
    <x v="2160"/>
  </r>
  <r>
    <x v="3"/>
    <x v="2161"/>
  </r>
  <r>
    <x v="3"/>
    <x v="2162"/>
  </r>
  <r>
    <x v="3"/>
    <x v="2163"/>
  </r>
  <r>
    <x v="3"/>
    <x v="2164"/>
  </r>
  <r>
    <x v="3"/>
    <x v="2165"/>
  </r>
  <r>
    <x v="3"/>
    <x v="2166"/>
  </r>
  <r>
    <x v="3"/>
    <x v="2167"/>
  </r>
  <r>
    <x v="3"/>
    <x v="2168"/>
  </r>
  <r>
    <x v="3"/>
    <x v="2169"/>
  </r>
  <r>
    <x v="3"/>
    <x v="2170"/>
  </r>
  <r>
    <x v="3"/>
    <x v="2171"/>
  </r>
  <r>
    <x v="3"/>
    <x v="2172"/>
  </r>
  <r>
    <x v="3"/>
    <x v="2173"/>
  </r>
  <r>
    <x v="3"/>
    <x v="2174"/>
  </r>
  <r>
    <x v="3"/>
    <x v="2175"/>
  </r>
  <r>
    <x v="3"/>
    <x v="2176"/>
  </r>
  <r>
    <x v="3"/>
    <x v="2177"/>
  </r>
  <r>
    <x v="3"/>
    <x v="2178"/>
  </r>
  <r>
    <x v="3"/>
    <x v="2179"/>
  </r>
  <r>
    <x v="3"/>
    <x v="2180"/>
  </r>
  <r>
    <x v="3"/>
    <x v="2181"/>
  </r>
  <r>
    <x v="3"/>
    <x v="2182"/>
  </r>
  <r>
    <x v="3"/>
    <x v="2183"/>
  </r>
  <r>
    <x v="3"/>
    <x v="2184"/>
  </r>
  <r>
    <x v="3"/>
    <x v="2185"/>
  </r>
  <r>
    <x v="3"/>
    <x v="2186"/>
  </r>
  <r>
    <x v="3"/>
    <x v="2187"/>
  </r>
  <r>
    <x v="3"/>
    <x v="2188"/>
  </r>
  <r>
    <x v="3"/>
    <x v="2189"/>
  </r>
  <r>
    <x v="3"/>
    <x v="2190"/>
  </r>
  <r>
    <x v="3"/>
    <x v="2191"/>
  </r>
  <r>
    <x v="3"/>
    <x v="2192"/>
  </r>
  <r>
    <x v="3"/>
    <x v="2193"/>
  </r>
  <r>
    <x v="3"/>
    <x v="2194"/>
  </r>
  <r>
    <x v="3"/>
    <x v="2195"/>
  </r>
  <r>
    <x v="3"/>
    <x v="2196"/>
  </r>
  <r>
    <x v="3"/>
    <x v="2197"/>
  </r>
  <r>
    <x v="3"/>
    <x v="2198"/>
  </r>
  <r>
    <x v="3"/>
    <x v="2199"/>
  </r>
  <r>
    <x v="3"/>
    <x v="2200"/>
  </r>
  <r>
    <x v="3"/>
    <x v="2201"/>
  </r>
  <r>
    <x v="3"/>
    <x v="2202"/>
  </r>
  <r>
    <x v="3"/>
    <x v="2203"/>
  </r>
  <r>
    <x v="3"/>
    <x v="2204"/>
  </r>
  <r>
    <x v="3"/>
    <x v="2205"/>
  </r>
  <r>
    <x v="3"/>
    <x v="2206"/>
  </r>
  <r>
    <x v="3"/>
    <x v="2207"/>
  </r>
  <r>
    <x v="3"/>
    <x v="2208"/>
  </r>
  <r>
    <x v="3"/>
    <x v="2209"/>
  </r>
  <r>
    <x v="3"/>
    <x v="2210"/>
  </r>
  <r>
    <x v="3"/>
    <x v="2211"/>
  </r>
  <r>
    <x v="3"/>
    <x v="2212"/>
  </r>
  <r>
    <x v="3"/>
    <x v="2213"/>
  </r>
  <r>
    <x v="3"/>
    <x v="2214"/>
  </r>
  <r>
    <x v="3"/>
    <x v="2215"/>
  </r>
  <r>
    <x v="3"/>
    <x v="2216"/>
  </r>
  <r>
    <x v="3"/>
    <x v="2217"/>
  </r>
  <r>
    <x v="3"/>
    <x v="2218"/>
  </r>
  <r>
    <x v="3"/>
    <x v="2219"/>
  </r>
  <r>
    <x v="3"/>
    <x v="2220"/>
  </r>
  <r>
    <x v="3"/>
    <x v="2221"/>
  </r>
  <r>
    <x v="3"/>
    <x v="2222"/>
  </r>
  <r>
    <x v="3"/>
    <x v="2223"/>
  </r>
  <r>
    <x v="3"/>
    <x v="2224"/>
  </r>
  <r>
    <x v="3"/>
    <x v="2225"/>
  </r>
  <r>
    <x v="3"/>
    <x v="2226"/>
  </r>
  <r>
    <x v="3"/>
    <x v="2227"/>
  </r>
  <r>
    <x v="3"/>
    <x v="2228"/>
  </r>
  <r>
    <x v="3"/>
    <x v="2229"/>
  </r>
  <r>
    <x v="3"/>
    <x v="2230"/>
  </r>
  <r>
    <x v="3"/>
    <x v="2231"/>
  </r>
  <r>
    <x v="3"/>
    <x v="2232"/>
  </r>
  <r>
    <x v="3"/>
    <x v="2233"/>
  </r>
  <r>
    <x v="3"/>
    <x v="2234"/>
  </r>
  <r>
    <x v="3"/>
    <x v="2235"/>
  </r>
  <r>
    <x v="3"/>
    <x v="2236"/>
  </r>
  <r>
    <x v="3"/>
    <x v="2237"/>
  </r>
  <r>
    <x v="3"/>
    <x v="2238"/>
  </r>
  <r>
    <x v="3"/>
    <x v="2239"/>
  </r>
  <r>
    <x v="3"/>
    <x v="2240"/>
  </r>
  <r>
    <x v="3"/>
    <x v="2241"/>
  </r>
  <r>
    <x v="3"/>
    <x v="2242"/>
  </r>
  <r>
    <x v="3"/>
    <x v="2243"/>
  </r>
  <r>
    <x v="3"/>
    <x v="2244"/>
  </r>
  <r>
    <x v="3"/>
    <x v="2245"/>
  </r>
  <r>
    <x v="3"/>
    <x v="2246"/>
  </r>
  <r>
    <x v="3"/>
    <x v="2247"/>
  </r>
  <r>
    <x v="3"/>
    <x v="2248"/>
  </r>
  <r>
    <x v="3"/>
    <x v="2249"/>
  </r>
  <r>
    <x v="3"/>
    <x v="2250"/>
  </r>
  <r>
    <x v="3"/>
    <x v="2251"/>
  </r>
  <r>
    <x v="3"/>
    <x v="2252"/>
  </r>
  <r>
    <x v="3"/>
    <x v="2253"/>
  </r>
  <r>
    <x v="3"/>
    <x v="2254"/>
  </r>
  <r>
    <x v="3"/>
    <x v="2255"/>
  </r>
  <r>
    <x v="3"/>
    <x v="2256"/>
  </r>
  <r>
    <x v="3"/>
    <x v="2257"/>
  </r>
  <r>
    <x v="3"/>
    <x v="2258"/>
  </r>
  <r>
    <x v="3"/>
    <x v="2259"/>
  </r>
  <r>
    <x v="3"/>
    <x v="2260"/>
  </r>
  <r>
    <x v="3"/>
    <x v="2261"/>
  </r>
  <r>
    <x v="3"/>
    <x v="2262"/>
  </r>
  <r>
    <x v="3"/>
    <x v="2263"/>
  </r>
  <r>
    <x v="3"/>
    <x v="2264"/>
  </r>
  <r>
    <x v="3"/>
    <x v="2265"/>
  </r>
  <r>
    <x v="3"/>
    <x v="2266"/>
  </r>
  <r>
    <x v="3"/>
    <x v="2267"/>
  </r>
  <r>
    <x v="3"/>
    <x v="2268"/>
  </r>
  <r>
    <x v="3"/>
    <x v="2269"/>
  </r>
  <r>
    <x v="3"/>
    <x v="2270"/>
  </r>
  <r>
    <x v="3"/>
    <x v="2271"/>
  </r>
  <r>
    <x v="3"/>
    <x v="2272"/>
  </r>
  <r>
    <x v="3"/>
    <x v="2273"/>
  </r>
  <r>
    <x v="3"/>
    <x v="2274"/>
  </r>
  <r>
    <x v="3"/>
    <x v="2275"/>
  </r>
  <r>
    <x v="3"/>
    <x v="2276"/>
  </r>
  <r>
    <x v="3"/>
    <x v="2277"/>
  </r>
  <r>
    <x v="3"/>
    <x v="2278"/>
  </r>
  <r>
    <x v="3"/>
    <x v="2279"/>
  </r>
  <r>
    <x v="3"/>
    <x v="2280"/>
  </r>
  <r>
    <x v="3"/>
    <x v="2281"/>
  </r>
  <r>
    <x v="3"/>
    <x v="2282"/>
  </r>
  <r>
    <x v="3"/>
    <x v="2283"/>
  </r>
  <r>
    <x v="3"/>
    <x v="2284"/>
  </r>
  <r>
    <x v="3"/>
    <x v="2285"/>
  </r>
  <r>
    <x v="3"/>
    <x v="2286"/>
  </r>
  <r>
    <x v="3"/>
    <x v="2287"/>
  </r>
  <r>
    <x v="3"/>
    <x v="2288"/>
  </r>
  <r>
    <x v="3"/>
    <x v="2289"/>
  </r>
  <r>
    <x v="3"/>
    <x v="2290"/>
  </r>
  <r>
    <x v="3"/>
    <x v="2291"/>
  </r>
  <r>
    <x v="3"/>
    <x v="2292"/>
  </r>
  <r>
    <x v="3"/>
    <x v="2293"/>
  </r>
  <r>
    <x v="3"/>
    <x v="2294"/>
  </r>
  <r>
    <x v="3"/>
    <x v="2295"/>
  </r>
  <r>
    <x v="3"/>
    <x v="2296"/>
  </r>
  <r>
    <x v="3"/>
    <x v="2297"/>
  </r>
  <r>
    <x v="3"/>
    <x v="2298"/>
  </r>
  <r>
    <x v="3"/>
    <x v="2299"/>
  </r>
  <r>
    <x v="3"/>
    <x v="2300"/>
  </r>
  <r>
    <x v="3"/>
    <x v="2301"/>
  </r>
  <r>
    <x v="3"/>
    <x v="2302"/>
  </r>
  <r>
    <x v="3"/>
    <x v="2303"/>
  </r>
  <r>
    <x v="3"/>
    <x v="2304"/>
  </r>
  <r>
    <x v="3"/>
    <x v="2305"/>
  </r>
  <r>
    <x v="3"/>
    <x v="2306"/>
  </r>
  <r>
    <x v="3"/>
    <x v="2307"/>
  </r>
  <r>
    <x v="3"/>
    <x v="2308"/>
  </r>
  <r>
    <x v="3"/>
    <x v="2309"/>
  </r>
  <r>
    <x v="3"/>
    <x v="2310"/>
  </r>
  <r>
    <x v="3"/>
    <x v="2311"/>
  </r>
  <r>
    <x v="3"/>
    <x v="2312"/>
  </r>
  <r>
    <x v="3"/>
    <x v="2313"/>
  </r>
  <r>
    <x v="3"/>
    <x v="2314"/>
  </r>
  <r>
    <x v="3"/>
    <x v="2315"/>
  </r>
  <r>
    <x v="3"/>
    <x v="2316"/>
  </r>
  <r>
    <x v="3"/>
    <x v="2317"/>
  </r>
  <r>
    <x v="3"/>
    <x v="2318"/>
  </r>
  <r>
    <x v="3"/>
    <x v="2319"/>
  </r>
  <r>
    <x v="3"/>
    <x v="2320"/>
  </r>
  <r>
    <x v="3"/>
    <x v="2321"/>
  </r>
  <r>
    <x v="3"/>
    <x v="2322"/>
  </r>
  <r>
    <x v="3"/>
    <x v="2323"/>
  </r>
  <r>
    <x v="3"/>
    <x v="2324"/>
  </r>
  <r>
    <x v="3"/>
    <x v="2325"/>
  </r>
  <r>
    <x v="3"/>
    <x v="2326"/>
  </r>
  <r>
    <x v="3"/>
    <x v="2327"/>
  </r>
  <r>
    <x v="3"/>
    <x v="2328"/>
  </r>
  <r>
    <x v="3"/>
    <x v="2329"/>
  </r>
  <r>
    <x v="3"/>
    <x v="2330"/>
  </r>
  <r>
    <x v="3"/>
    <x v="2331"/>
  </r>
  <r>
    <x v="3"/>
    <x v="2332"/>
  </r>
  <r>
    <x v="3"/>
    <x v="2333"/>
  </r>
  <r>
    <x v="3"/>
    <x v="2334"/>
  </r>
  <r>
    <x v="3"/>
    <x v="2335"/>
  </r>
  <r>
    <x v="3"/>
    <x v="2336"/>
  </r>
  <r>
    <x v="3"/>
    <x v="2337"/>
  </r>
  <r>
    <x v="3"/>
    <x v="2338"/>
  </r>
  <r>
    <x v="3"/>
    <x v="2339"/>
  </r>
  <r>
    <x v="3"/>
    <x v="2340"/>
  </r>
  <r>
    <x v="3"/>
    <x v="2341"/>
  </r>
  <r>
    <x v="3"/>
    <x v="2342"/>
  </r>
  <r>
    <x v="3"/>
    <x v="2343"/>
  </r>
  <r>
    <x v="3"/>
    <x v="2344"/>
  </r>
  <r>
    <x v="3"/>
    <x v="2345"/>
  </r>
  <r>
    <x v="3"/>
    <x v="2346"/>
  </r>
  <r>
    <x v="3"/>
    <x v="2347"/>
  </r>
  <r>
    <x v="3"/>
    <x v="2348"/>
  </r>
  <r>
    <x v="3"/>
    <x v="2349"/>
  </r>
  <r>
    <x v="3"/>
    <x v="2350"/>
  </r>
  <r>
    <x v="3"/>
    <x v="2351"/>
  </r>
  <r>
    <x v="3"/>
    <x v="2352"/>
  </r>
  <r>
    <x v="3"/>
    <x v="2353"/>
  </r>
  <r>
    <x v="3"/>
    <x v="2354"/>
  </r>
  <r>
    <x v="3"/>
    <x v="2355"/>
  </r>
  <r>
    <x v="3"/>
    <x v="2356"/>
  </r>
  <r>
    <x v="3"/>
    <x v="2357"/>
  </r>
  <r>
    <x v="3"/>
    <x v="2358"/>
  </r>
  <r>
    <x v="3"/>
    <x v="2359"/>
  </r>
  <r>
    <x v="3"/>
    <x v="2360"/>
  </r>
  <r>
    <x v="3"/>
    <x v="2361"/>
  </r>
  <r>
    <x v="3"/>
    <x v="2362"/>
  </r>
  <r>
    <x v="3"/>
    <x v="2363"/>
  </r>
  <r>
    <x v="3"/>
    <x v="2364"/>
  </r>
  <r>
    <x v="3"/>
    <x v="2365"/>
  </r>
  <r>
    <x v="3"/>
    <x v="2366"/>
  </r>
  <r>
    <x v="3"/>
    <x v="2367"/>
  </r>
  <r>
    <x v="3"/>
    <x v="2368"/>
  </r>
  <r>
    <x v="3"/>
    <x v="2369"/>
  </r>
  <r>
    <x v="3"/>
    <x v="2370"/>
  </r>
  <r>
    <x v="3"/>
    <x v="2371"/>
  </r>
  <r>
    <x v="3"/>
    <x v="2372"/>
  </r>
  <r>
    <x v="3"/>
    <x v="2373"/>
  </r>
  <r>
    <x v="3"/>
    <x v="2374"/>
  </r>
  <r>
    <x v="3"/>
    <x v="2375"/>
  </r>
  <r>
    <x v="3"/>
    <x v="2376"/>
  </r>
  <r>
    <x v="3"/>
    <x v="2377"/>
  </r>
  <r>
    <x v="3"/>
    <x v="2378"/>
  </r>
  <r>
    <x v="3"/>
    <x v="2379"/>
  </r>
  <r>
    <x v="3"/>
    <x v="2380"/>
  </r>
  <r>
    <x v="3"/>
    <x v="2381"/>
  </r>
  <r>
    <x v="3"/>
    <x v="2382"/>
  </r>
  <r>
    <x v="3"/>
    <x v="2383"/>
  </r>
  <r>
    <x v="3"/>
    <x v="2384"/>
  </r>
  <r>
    <x v="3"/>
    <x v="2385"/>
  </r>
  <r>
    <x v="3"/>
    <x v="2386"/>
  </r>
  <r>
    <x v="3"/>
    <x v="2387"/>
  </r>
  <r>
    <x v="3"/>
    <x v="2388"/>
  </r>
  <r>
    <x v="3"/>
    <x v="2389"/>
  </r>
  <r>
    <x v="3"/>
    <x v="2390"/>
  </r>
  <r>
    <x v="3"/>
    <x v="2391"/>
  </r>
  <r>
    <x v="3"/>
    <x v="2392"/>
  </r>
  <r>
    <x v="3"/>
    <x v="2393"/>
  </r>
  <r>
    <x v="3"/>
    <x v="2394"/>
  </r>
  <r>
    <x v="3"/>
    <x v="2395"/>
  </r>
  <r>
    <x v="3"/>
    <x v="2396"/>
  </r>
  <r>
    <x v="3"/>
    <x v="2397"/>
  </r>
  <r>
    <x v="3"/>
    <x v="2398"/>
  </r>
  <r>
    <x v="3"/>
    <x v="2399"/>
  </r>
  <r>
    <x v="3"/>
    <x v="2400"/>
  </r>
  <r>
    <x v="3"/>
    <x v="2401"/>
  </r>
  <r>
    <x v="3"/>
    <x v="2402"/>
  </r>
  <r>
    <x v="3"/>
    <x v="2403"/>
  </r>
  <r>
    <x v="3"/>
    <x v="2404"/>
  </r>
  <r>
    <x v="3"/>
    <x v="2405"/>
  </r>
  <r>
    <x v="3"/>
    <x v="2406"/>
  </r>
  <r>
    <x v="3"/>
    <x v="2407"/>
  </r>
  <r>
    <x v="3"/>
    <x v="2408"/>
  </r>
  <r>
    <x v="3"/>
    <x v="2409"/>
  </r>
  <r>
    <x v="3"/>
    <x v="2410"/>
  </r>
  <r>
    <x v="3"/>
    <x v="2411"/>
  </r>
  <r>
    <x v="3"/>
    <x v="2412"/>
  </r>
  <r>
    <x v="3"/>
    <x v="2413"/>
  </r>
  <r>
    <x v="3"/>
    <x v="2414"/>
  </r>
  <r>
    <x v="3"/>
    <x v="2415"/>
  </r>
  <r>
    <x v="3"/>
    <x v="2416"/>
  </r>
  <r>
    <x v="3"/>
    <x v="2417"/>
  </r>
  <r>
    <x v="3"/>
    <x v="2418"/>
  </r>
  <r>
    <x v="3"/>
    <x v="2419"/>
  </r>
  <r>
    <x v="3"/>
    <x v="2420"/>
  </r>
  <r>
    <x v="3"/>
    <x v="2421"/>
  </r>
  <r>
    <x v="3"/>
    <x v="2422"/>
  </r>
  <r>
    <x v="3"/>
    <x v="2423"/>
  </r>
  <r>
    <x v="3"/>
    <x v="2424"/>
  </r>
  <r>
    <x v="3"/>
    <x v="2425"/>
  </r>
  <r>
    <x v="3"/>
    <x v="2426"/>
  </r>
  <r>
    <x v="3"/>
    <x v="2427"/>
  </r>
  <r>
    <x v="3"/>
    <x v="2428"/>
  </r>
  <r>
    <x v="3"/>
    <x v="2429"/>
  </r>
  <r>
    <x v="3"/>
    <x v="2430"/>
  </r>
  <r>
    <x v="3"/>
    <x v="2431"/>
  </r>
  <r>
    <x v="3"/>
    <x v="2432"/>
  </r>
  <r>
    <x v="3"/>
    <x v="2433"/>
  </r>
  <r>
    <x v="3"/>
    <x v="2434"/>
  </r>
  <r>
    <x v="3"/>
    <x v="2435"/>
  </r>
  <r>
    <x v="3"/>
    <x v="2436"/>
  </r>
  <r>
    <x v="3"/>
    <x v="2437"/>
  </r>
  <r>
    <x v="3"/>
    <x v="2438"/>
  </r>
  <r>
    <x v="3"/>
    <x v="2439"/>
  </r>
  <r>
    <x v="3"/>
    <x v="2440"/>
  </r>
  <r>
    <x v="3"/>
    <x v="2441"/>
  </r>
  <r>
    <x v="3"/>
    <x v="2442"/>
  </r>
  <r>
    <x v="3"/>
    <x v="2443"/>
  </r>
  <r>
    <x v="3"/>
    <x v="2444"/>
  </r>
  <r>
    <x v="3"/>
    <x v="2445"/>
  </r>
  <r>
    <x v="3"/>
    <x v="2446"/>
  </r>
  <r>
    <x v="3"/>
    <x v="2447"/>
  </r>
  <r>
    <x v="3"/>
    <x v="2448"/>
  </r>
  <r>
    <x v="3"/>
    <x v="2449"/>
  </r>
  <r>
    <x v="3"/>
    <x v="2450"/>
  </r>
  <r>
    <x v="3"/>
    <x v="2451"/>
  </r>
  <r>
    <x v="3"/>
    <x v="2452"/>
  </r>
  <r>
    <x v="3"/>
    <x v="2453"/>
  </r>
  <r>
    <x v="3"/>
    <x v="2454"/>
  </r>
  <r>
    <x v="3"/>
    <x v="2455"/>
  </r>
  <r>
    <x v="3"/>
    <x v="2456"/>
  </r>
  <r>
    <x v="3"/>
    <x v="2457"/>
  </r>
  <r>
    <x v="3"/>
    <x v="2458"/>
  </r>
  <r>
    <x v="3"/>
    <x v="2459"/>
  </r>
  <r>
    <x v="3"/>
    <x v="2460"/>
  </r>
  <r>
    <x v="3"/>
    <x v="2461"/>
  </r>
  <r>
    <x v="3"/>
    <x v="2462"/>
  </r>
  <r>
    <x v="3"/>
    <x v="2463"/>
  </r>
  <r>
    <x v="3"/>
    <x v="2464"/>
  </r>
  <r>
    <x v="3"/>
    <x v="2465"/>
  </r>
  <r>
    <x v="3"/>
    <x v="2466"/>
  </r>
  <r>
    <x v="3"/>
    <x v="2467"/>
  </r>
  <r>
    <x v="3"/>
    <x v="2468"/>
  </r>
  <r>
    <x v="3"/>
    <x v="2469"/>
  </r>
  <r>
    <x v="3"/>
    <x v="2470"/>
  </r>
  <r>
    <x v="3"/>
    <x v="2471"/>
  </r>
  <r>
    <x v="3"/>
    <x v="2472"/>
  </r>
  <r>
    <x v="3"/>
    <x v="2473"/>
  </r>
  <r>
    <x v="3"/>
    <x v="2474"/>
  </r>
  <r>
    <x v="3"/>
    <x v="2475"/>
  </r>
  <r>
    <x v="3"/>
    <x v="2476"/>
  </r>
  <r>
    <x v="3"/>
    <x v="2477"/>
  </r>
  <r>
    <x v="3"/>
    <x v="2478"/>
  </r>
  <r>
    <x v="3"/>
    <x v="2479"/>
  </r>
  <r>
    <x v="3"/>
    <x v="2480"/>
  </r>
  <r>
    <x v="3"/>
    <x v="2481"/>
  </r>
  <r>
    <x v="3"/>
    <x v="2482"/>
  </r>
  <r>
    <x v="3"/>
    <x v="2483"/>
  </r>
  <r>
    <x v="3"/>
    <x v="2484"/>
  </r>
  <r>
    <x v="3"/>
    <x v="2485"/>
  </r>
  <r>
    <x v="3"/>
    <x v="2486"/>
  </r>
  <r>
    <x v="3"/>
    <x v="2487"/>
  </r>
  <r>
    <x v="3"/>
    <x v="2488"/>
  </r>
  <r>
    <x v="3"/>
    <x v="2489"/>
  </r>
  <r>
    <x v="3"/>
    <x v="2490"/>
  </r>
  <r>
    <x v="3"/>
    <x v="2491"/>
  </r>
  <r>
    <x v="3"/>
    <x v="2492"/>
  </r>
  <r>
    <x v="3"/>
    <x v="2493"/>
  </r>
  <r>
    <x v="3"/>
    <x v="2494"/>
  </r>
  <r>
    <x v="3"/>
    <x v="2495"/>
  </r>
  <r>
    <x v="3"/>
    <x v="2496"/>
  </r>
  <r>
    <x v="3"/>
    <x v="2497"/>
  </r>
  <r>
    <x v="3"/>
    <x v="2498"/>
  </r>
  <r>
    <x v="3"/>
    <x v="2499"/>
  </r>
  <r>
    <x v="3"/>
    <x v="2500"/>
  </r>
  <r>
    <x v="3"/>
    <x v="2501"/>
  </r>
  <r>
    <x v="3"/>
    <x v="2502"/>
  </r>
  <r>
    <x v="3"/>
    <x v="2503"/>
  </r>
  <r>
    <x v="3"/>
    <x v="2504"/>
  </r>
  <r>
    <x v="3"/>
    <x v="2505"/>
  </r>
  <r>
    <x v="3"/>
    <x v="2506"/>
  </r>
  <r>
    <x v="3"/>
    <x v="2507"/>
  </r>
  <r>
    <x v="3"/>
    <x v="2508"/>
  </r>
  <r>
    <x v="3"/>
    <x v="2509"/>
  </r>
  <r>
    <x v="3"/>
    <x v="2510"/>
  </r>
  <r>
    <x v="3"/>
    <x v="2511"/>
  </r>
  <r>
    <x v="3"/>
    <x v="2512"/>
  </r>
  <r>
    <x v="3"/>
    <x v="2513"/>
  </r>
  <r>
    <x v="3"/>
    <x v="2514"/>
  </r>
  <r>
    <x v="3"/>
    <x v="2515"/>
  </r>
  <r>
    <x v="3"/>
    <x v="2516"/>
  </r>
  <r>
    <x v="3"/>
    <x v="2517"/>
  </r>
  <r>
    <x v="3"/>
    <x v="2518"/>
  </r>
  <r>
    <x v="3"/>
    <x v="2519"/>
  </r>
  <r>
    <x v="3"/>
    <x v="2520"/>
  </r>
  <r>
    <x v="3"/>
    <x v="2521"/>
  </r>
  <r>
    <x v="3"/>
    <x v="2522"/>
  </r>
  <r>
    <x v="3"/>
    <x v="2523"/>
  </r>
  <r>
    <x v="3"/>
    <x v="2524"/>
  </r>
  <r>
    <x v="3"/>
    <x v="2525"/>
  </r>
  <r>
    <x v="3"/>
    <x v="2526"/>
  </r>
  <r>
    <x v="3"/>
    <x v="2527"/>
  </r>
  <r>
    <x v="3"/>
    <x v="2528"/>
  </r>
  <r>
    <x v="3"/>
    <x v="2529"/>
  </r>
  <r>
    <x v="3"/>
    <x v="2530"/>
  </r>
  <r>
    <x v="3"/>
    <x v="2531"/>
  </r>
  <r>
    <x v="3"/>
    <x v="2532"/>
  </r>
  <r>
    <x v="3"/>
    <x v="2533"/>
  </r>
  <r>
    <x v="3"/>
    <x v="2534"/>
  </r>
  <r>
    <x v="3"/>
    <x v="2535"/>
  </r>
  <r>
    <x v="3"/>
    <x v="2536"/>
  </r>
  <r>
    <x v="3"/>
    <x v="2533"/>
  </r>
  <r>
    <x v="3"/>
    <x v="2537"/>
  </r>
  <r>
    <x v="3"/>
    <x v="2538"/>
  </r>
  <r>
    <x v="3"/>
    <x v="2539"/>
  </r>
  <r>
    <x v="3"/>
    <x v="2540"/>
  </r>
  <r>
    <x v="3"/>
    <x v="2541"/>
  </r>
  <r>
    <x v="3"/>
    <x v="2542"/>
  </r>
  <r>
    <x v="3"/>
    <x v="2543"/>
  </r>
  <r>
    <x v="3"/>
    <x v="2544"/>
  </r>
  <r>
    <x v="3"/>
    <x v="2545"/>
  </r>
  <r>
    <x v="2"/>
    <x v="2546"/>
  </r>
  <r>
    <x v="2"/>
    <x v="2547"/>
  </r>
  <r>
    <x v="2"/>
    <x v="2548"/>
  </r>
  <r>
    <x v="2"/>
    <x v="2549"/>
  </r>
  <r>
    <x v="2"/>
    <x v="2550"/>
  </r>
  <r>
    <x v="2"/>
    <x v="2551"/>
  </r>
  <r>
    <x v="2"/>
    <x v="2552"/>
  </r>
  <r>
    <x v="2"/>
    <x v="2553"/>
  </r>
  <r>
    <x v="2"/>
    <x v="2554"/>
  </r>
  <r>
    <x v="2"/>
    <x v="2555"/>
  </r>
  <r>
    <x v="2"/>
    <x v="2556"/>
  </r>
  <r>
    <x v="2"/>
    <x v="2557"/>
  </r>
  <r>
    <x v="2"/>
    <x v="2558"/>
  </r>
  <r>
    <x v="2"/>
    <x v="2559"/>
  </r>
  <r>
    <x v="2"/>
    <x v="2560"/>
  </r>
  <r>
    <x v="2"/>
    <x v="2561"/>
  </r>
  <r>
    <x v="2"/>
    <x v="2562"/>
  </r>
  <r>
    <x v="2"/>
    <x v="2563"/>
  </r>
  <r>
    <x v="2"/>
    <x v="2564"/>
  </r>
  <r>
    <x v="2"/>
    <x v="2565"/>
  </r>
  <r>
    <x v="2"/>
    <x v="2566"/>
  </r>
  <r>
    <x v="2"/>
    <x v="2567"/>
  </r>
  <r>
    <x v="2"/>
    <x v="2568"/>
  </r>
  <r>
    <x v="2"/>
    <x v="2569"/>
  </r>
  <r>
    <x v="2"/>
    <x v="2570"/>
  </r>
  <r>
    <x v="2"/>
    <x v="2571"/>
  </r>
  <r>
    <x v="2"/>
    <x v="2572"/>
  </r>
  <r>
    <x v="2"/>
    <x v="2573"/>
  </r>
  <r>
    <x v="2"/>
    <x v="2574"/>
  </r>
  <r>
    <x v="2"/>
    <x v="2575"/>
  </r>
  <r>
    <x v="2"/>
    <x v="2576"/>
  </r>
  <r>
    <x v="2"/>
    <x v="2577"/>
  </r>
  <r>
    <x v="2"/>
    <x v="2578"/>
  </r>
  <r>
    <x v="2"/>
    <x v="2579"/>
  </r>
  <r>
    <x v="2"/>
    <x v="2573"/>
  </r>
  <r>
    <x v="2"/>
    <x v="2580"/>
  </r>
  <r>
    <x v="2"/>
    <x v="2581"/>
  </r>
  <r>
    <x v="2"/>
    <x v="2582"/>
  </r>
  <r>
    <x v="2"/>
    <x v="2583"/>
  </r>
  <r>
    <x v="2"/>
    <x v="2584"/>
  </r>
  <r>
    <x v="2"/>
    <x v="2585"/>
  </r>
  <r>
    <x v="2"/>
    <x v="2586"/>
  </r>
  <r>
    <x v="2"/>
    <x v="2587"/>
  </r>
  <r>
    <x v="2"/>
    <x v="2588"/>
  </r>
  <r>
    <x v="2"/>
    <x v="2589"/>
  </r>
  <r>
    <x v="2"/>
    <x v="2590"/>
  </r>
  <r>
    <x v="2"/>
    <x v="2591"/>
  </r>
  <r>
    <x v="2"/>
    <x v="2592"/>
  </r>
  <r>
    <x v="2"/>
    <x v="2593"/>
  </r>
  <r>
    <x v="2"/>
    <x v="2594"/>
  </r>
  <r>
    <x v="2"/>
    <x v="2595"/>
  </r>
  <r>
    <x v="2"/>
    <x v="2596"/>
  </r>
  <r>
    <x v="2"/>
    <x v="2597"/>
  </r>
  <r>
    <x v="2"/>
    <x v="2598"/>
  </r>
  <r>
    <x v="2"/>
    <x v="2599"/>
  </r>
  <r>
    <x v="2"/>
    <x v="2600"/>
  </r>
  <r>
    <x v="2"/>
    <x v="2601"/>
  </r>
  <r>
    <x v="2"/>
    <x v="2602"/>
  </r>
  <r>
    <x v="2"/>
    <x v="2603"/>
  </r>
  <r>
    <x v="2"/>
    <x v="2604"/>
  </r>
  <r>
    <x v="2"/>
    <x v="2605"/>
  </r>
  <r>
    <x v="2"/>
    <x v="2606"/>
  </r>
  <r>
    <x v="2"/>
    <x v="2607"/>
  </r>
  <r>
    <x v="2"/>
    <x v="2608"/>
  </r>
  <r>
    <x v="2"/>
    <x v="2609"/>
  </r>
  <r>
    <x v="2"/>
    <x v="2610"/>
  </r>
  <r>
    <x v="2"/>
    <x v="2611"/>
  </r>
  <r>
    <x v="2"/>
    <x v="2612"/>
  </r>
  <r>
    <x v="2"/>
    <x v="2613"/>
  </r>
  <r>
    <x v="2"/>
    <x v="2614"/>
  </r>
  <r>
    <x v="2"/>
    <x v="2615"/>
  </r>
  <r>
    <x v="2"/>
    <x v="2616"/>
  </r>
  <r>
    <x v="2"/>
    <x v="2617"/>
  </r>
  <r>
    <x v="2"/>
    <x v="2618"/>
  </r>
  <r>
    <x v="2"/>
    <x v="2619"/>
  </r>
  <r>
    <x v="2"/>
    <x v="2620"/>
  </r>
  <r>
    <x v="2"/>
    <x v="2621"/>
  </r>
  <r>
    <x v="2"/>
    <x v="2622"/>
  </r>
  <r>
    <x v="2"/>
    <x v="2623"/>
  </r>
  <r>
    <x v="2"/>
    <x v="2624"/>
  </r>
  <r>
    <x v="2"/>
    <x v="2625"/>
  </r>
  <r>
    <x v="2"/>
    <x v="2626"/>
  </r>
  <r>
    <x v="2"/>
    <x v="2627"/>
  </r>
  <r>
    <x v="2"/>
    <x v="2628"/>
  </r>
  <r>
    <x v="2"/>
    <x v="2629"/>
  </r>
  <r>
    <x v="2"/>
    <x v="2630"/>
  </r>
  <r>
    <x v="2"/>
    <x v="2631"/>
  </r>
  <r>
    <x v="2"/>
    <x v="2632"/>
  </r>
  <r>
    <x v="2"/>
    <x v="2633"/>
  </r>
  <r>
    <x v="2"/>
    <x v="2634"/>
  </r>
  <r>
    <x v="2"/>
    <x v="2635"/>
  </r>
  <r>
    <x v="2"/>
    <x v="2636"/>
  </r>
  <r>
    <x v="2"/>
    <x v="2637"/>
  </r>
  <r>
    <x v="2"/>
    <x v="2638"/>
  </r>
  <r>
    <x v="2"/>
    <x v="2639"/>
  </r>
  <r>
    <x v="2"/>
    <x v="2640"/>
  </r>
  <r>
    <x v="2"/>
    <x v="2641"/>
  </r>
  <r>
    <x v="2"/>
    <x v="2642"/>
  </r>
  <r>
    <x v="2"/>
    <x v="2643"/>
  </r>
  <r>
    <x v="2"/>
    <x v="2644"/>
  </r>
  <r>
    <x v="2"/>
    <x v="2645"/>
  </r>
  <r>
    <x v="2"/>
    <x v="2646"/>
  </r>
  <r>
    <x v="2"/>
    <x v="2647"/>
  </r>
  <r>
    <x v="2"/>
    <x v="2648"/>
  </r>
  <r>
    <x v="2"/>
    <x v="2649"/>
  </r>
  <r>
    <x v="2"/>
    <x v="2650"/>
  </r>
  <r>
    <x v="2"/>
    <x v="2651"/>
  </r>
  <r>
    <x v="2"/>
    <x v="2652"/>
  </r>
  <r>
    <x v="2"/>
    <x v="2653"/>
  </r>
  <r>
    <x v="2"/>
    <x v="2654"/>
  </r>
  <r>
    <x v="2"/>
    <x v="2655"/>
  </r>
  <r>
    <x v="2"/>
    <x v="2656"/>
  </r>
  <r>
    <x v="2"/>
    <x v="2657"/>
  </r>
  <r>
    <x v="2"/>
    <x v="2658"/>
  </r>
  <r>
    <x v="2"/>
    <x v="2659"/>
  </r>
  <r>
    <x v="2"/>
    <x v="2660"/>
  </r>
  <r>
    <x v="2"/>
    <x v="2661"/>
  </r>
  <r>
    <x v="2"/>
    <x v="2662"/>
  </r>
  <r>
    <x v="2"/>
    <x v="2663"/>
  </r>
  <r>
    <x v="2"/>
    <x v="2664"/>
  </r>
  <r>
    <x v="2"/>
    <x v="2665"/>
  </r>
  <r>
    <x v="2"/>
    <x v="2666"/>
  </r>
  <r>
    <x v="2"/>
    <x v="2667"/>
  </r>
  <r>
    <x v="2"/>
    <x v="2668"/>
  </r>
  <r>
    <x v="2"/>
    <x v="2669"/>
  </r>
  <r>
    <x v="2"/>
    <x v="2670"/>
  </r>
  <r>
    <x v="2"/>
    <x v="2671"/>
  </r>
  <r>
    <x v="2"/>
    <x v="2672"/>
  </r>
  <r>
    <x v="2"/>
    <x v="2673"/>
  </r>
  <r>
    <x v="2"/>
    <x v="2674"/>
  </r>
  <r>
    <x v="2"/>
    <x v="2675"/>
  </r>
  <r>
    <x v="2"/>
    <x v="2676"/>
  </r>
  <r>
    <x v="2"/>
    <x v="2677"/>
  </r>
  <r>
    <x v="2"/>
    <x v="2678"/>
  </r>
  <r>
    <x v="2"/>
    <x v="2679"/>
  </r>
  <r>
    <x v="2"/>
    <x v="2680"/>
  </r>
  <r>
    <x v="2"/>
    <x v="2681"/>
  </r>
  <r>
    <x v="2"/>
    <x v="2682"/>
  </r>
  <r>
    <x v="2"/>
    <x v="2683"/>
  </r>
  <r>
    <x v="2"/>
    <x v="2684"/>
  </r>
  <r>
    <x v="2"/>
    <x v="2685"/>
  </r>
  <r>
    <x v="2"/>
    <x v="2686"/>
  </r>
  <r>
    <x v="2"/>
    <x v="2687"/>
  </r>
  <r>
    <x v="2"/>
    <x v="2688"/>
  </r>
  <r>
    <x v="2"/>
    <x v="2689"/>
  </r>
  <r>
    <x v="2"/>
    <x v="2690"/>
  </r>
  <r>
    <x v="2"/>
    <x v="2691"/>
  </r>
  <r>
    <x v="2"/>
    <x v="2692"/>
  </r>
  <r>
    <x v="2"/>
    <x v="2693"/>
  </r>
  <r>
    <x v="2"/>
    <x v="2694"/>
  </r>
  <r>
    <x v="2"/>
    <x v="2695"/>
  </r>
  <r>
    <x v="2"/>
    <x v="2696"/>
  </r>
  <r>
    <x v="2"/>
    <x v="2697"/>
  </r>
  <r>
    <x v="2"/>
    <x v="2698"/>
  </r>
  <r>
    <x v="2"/>
    <x v="2699"/>
  </r>
  <r>
    <x v="2"/>
    <x v="2700"/>
  </r>
  <r>
    <x v="2"/>
    <x v="2701"/>
  </r>
  <r>
    <x v="2"/>
    <x v="2702"/>
  </r>
  <r>
    <x v="2"/>
    <x v="2703"/>
  </r>
  <r>
    <x v="2"/>
    <x v="2704"/>
  </r>
  <r>
    <x v="2"/>
    <x v="2705"/>
  </r>
  <r>
    <x v="2"/>
    <x v="2706"/>
  </r>
  <r>
    <x v="2"/>
    <x v="2707"/>
  </r>
  <r>
    <x v="2"/>
    <x v="2708"/>
  </r>
  <r>
    <x v="2"/>
    <x v="2709"/>
  </r>
  <r>
    <x v="2"/>
    <x v="2710"/>
  </r>
  <r>
    <x v="2"/>
    <x v="2711"/>
  </r>
  <r>
    <x v="2"/>
    <x v="2712"/>
  </r>
  <r>
    <x v="2"/>
    <x v="2713"/>
  </r>
  <r>
    <x v="2"/>
    <x v="2714"/>
  </r>
  <r>
    <x v="2"/>
    <x v="2715"/>
  </r>
  <r>
    <x v="2"/>
    <x v="2716"/>
  </r>
  <r>
    <x v="2"/>
    <x v="2717"/>
  </r>
  <r>
    <x v="2"/>
    <x v="2718"/>
  </r>
  <r>
    <x v="2"/>
    <x v="2719"/>
  </r>
  <r>
    <x v="2"/>
    <x v="2720"/>
  </r>
  <r>
    <x v="2"/>
    <x v="2721"/>
  </r>
  <r>
    <x v="2"/>
    <x v="2722"/>
  </r>
  <r>
    <x v="2"/>
    <x v="2723"/>
  </r>
  <r>
    <x v="2"/>
    <x v="2724"/>
  </r>
  <r>
    <x v="2"/>
    <x v="2725"/>
  </r>
  <r>
    <x v="2"/>
    <x v="2726"/>
  </r>
  <r>
    <x v="2"/>
    <x v="2727"/>
  </r>
  <r>
    <x v="2"/>
    <x v="2728"/>
  </r>
  <r>
    <x v="2"/>
    <x v="2729"/>
  </r>
  <r>
    <x v="2"/>
    <x v="2730"/>
  </r>
  <r>
    <x v="2"/>
    <x v="2731"/>
  </r>
  <r>
    <x v="2"/>
    <x v="2732"/>
  </r>
  <r>
    <x v="2"/>
    <x v="2733"/>
  </r>
  <r>
    <x v="2"/>
    <x v="2734"/>
  </r>
  <r>
    <x v="2"/>
    <x v="2735"/>
  </r>
  <r>
    <x v="2"/>
    <x v="2736"/>
  </r>
  <r>
    <x v="2"/>
    <x v="2737"/>
  </r>
  <r>
    <x v="2"/>
    <x v="2738"/>
  </r>
  <r>
    <x v="2"/>
    <x v="2739"/>
  </r>
  <r>
    <x v="2"/>
    <x v="2740"/>
  </r>
  <r>
    <x v="2"/>
    <x v="2741"/>
  </r>
  <r>
    <x v="2"/>
    <x v="2742"/>
  </r>
  <r>
    <x v="2"/>
    <x v="2743"/>
  </r>
  <r>
    <x v="2"/>
    <x v="2744"/>
  </r>
  <r>
    <x v="2"/>
    <x v="2745"/>
  </r>
  <r>
    <x v="2"/>
    <x v="2746"/>
  </r>
  <r>
    <x v="2"/>
    <x v="2747"/>
  </r>
  <r>
    <x v="2"/>
    <x v="2748"/>
  </r>
  <r>
    <x v="2"/>
    <x v="2749"/>
  </r>
  <r>
    <x v="2"/>
    <x v="2750"/>
  </r>
  <r>
    <x v="2"/>
    <x v="2751"/>
  </r>
  <r>
    <x v="2"/>
    <x v="2752"/>
  </r>
  <r>
    <x v="2"/>
    <x v="2753"/>
  </r>
  <r>
    <x v="2"/>
    <x v="2754"/>
  </r>
  <r>
    <x v="2"/>
    <x v="2755"/>
  </r>
  <r>
    <x v="2"/>
    <x v="2756"/>
  </r>
  <r>
    <x v="2"/>
    <x v="2757"/>
  </r>
  <r>
    <x v="2"/>
    <x v="2758"/>
  </r>
  <r>
    <x v="2"/>
    <x v="2759"/>
  </r>
  <r>
    <x v="2"/>
    <x v="2760"/>
  </r>
  <r>
    <x v="2"/>
    <x v="2761"/>
  </r>
  <r>
    <x v="2"/>
    <x v="2762"/>
  </r>
  <r>
    <x v="2"/>
    <x v="2763"/>
  </r>
  <r>
    <x v="2"/>
    <x v="2764"/>
  </r>
  <r>
    <x v="2"/>
    <x v="2765"/>
  </r>
  <r>
    <x v="2"/>
    <x v="2766"/>
  </r>
  <r>
    <x v="2"/>
    <x v="2767"/>
  </r>
  <r>
    <x v="2"/>
    <x v="2768"/>
  </r>
  <r>
    <x v="2"/>
    <x v="2769"/>
  </r>
  <r>
    <x v="2"/>
    <x v="2770"/>
  </r>
  <r>
    <x v="2"/>
    <x v="2771"/>
  </r>
  <r>
    <x v="2"/>
    <x v="2772"/>
  </r>
  <r>
    <x v="2"/>
    <x v="2773"/>
  </r>
  <r>
    <x v="2"/>
    <x v="2774"/>
  </r>
  <r>
    <x v="2"/>
    <x v="2775"/>
  </r>
  <r>
    <x v="2"/>
    <x v="2776"/>
  </r>
  <r>
    <x v="2"/>
    <x v="2777"/>
  </r>
  <r>
    <x v="2"/>
    <x v="2778"/>
  </r>
  <r>
    <x v="2"/>
    <x v="2779"/>
  </r>
  <r>
    <x v="2"/>
    <x v="2780"/>
  </r>
  <r>
    <x v="2"/>
    <x v="2781"/>
  </r>
  <r>
    <x v="2"/>
    <x v="2782"/>
  </r>
  <r>
    <x v="2"/>
    <x v="2783"/>
  </r>
  <r>
    <x v="2"/>
    <x v="2784"/>
  </r>
  <r>
    <x v="2"/>
    <x v="2785"/>
  </r>
  <r>
    <x v="2"/>
    <x v="2786"/>
  </r>
  <r>
    <x v="2"/>
    <x v="2787"/>
  </r>
  <r>
    <x v="2"/>
    <x v="2788"/>
  </r>
  <r>
    <x v="2"/>
    <x v="2789"/>
  </r>
  <r>
    <x v="2"/>
    <x v="2790"/>
  </r>
  <r>
    <x v="2"/>
    <x v="2791"/>
  </r>
  <r>
    <x v="2"/>
    <x v="2792"/>
  </r>
  <r>
    <x v="2"/>
    <x v="2793"/>
  </r>
  <r>
    <x v="2"/>
    <x v="2794"/>
  </r>
  <r>
    <x v="2"/>
    <x v="2795"/>
  </r>
  <r>
    <x v="2"/>
    <x v="2796"/>
  </r>
  <r>
    <x v="2"/>
    <x v="2797"/>
  </r>
  <r>
    <x v="2"/>
    <x v="2798"/>
  </r>
  <r>
    <x v="2"/>
    <x v="2799"/>
  </r>
  <r>
    <x v="2"/>
    <x v="2800"/>
  </r>
  <r>
    <x v="2"/>
    <x v="2801"/>
  </r>
  <r>
    <x v="2"/>
    <x v="2802"/>
  </r>
  <r>
    <x v="2"/>
    <x v="2803"/>
  </r>
  <r>
    <x v="2"/>
    <x v="2804"/>
  </r>
  <r>
    <x v="2"/>
    <x v="2805"/>
  </r>
  <r>
    <x v="2"/>
    <x v="2806"/>
  </r>
  <r>
    <x v="2"/>
    <x v="2807"/>
  </r>
  <r>
    <x v="2"/>
    <x v="2808"/>
  </r>
  <r>
    <x v="2"/>
    <x v="2809"/>
  </r>
  <r>
    <x v="2"/>
    <x v="2810"/>
  </r>
  <r>
    <x v="2"/>
    <x v="2811"/>
  </r>
  <r>
    <x v="2"/>
    <x v="2812"/>
  </r>
  <r>
    <x v="2"/>
    <x v="2813"/>
  </r>
  <r>
    <x v="2"/>
    <x v="2814"/>
  </r>
  <r>
    <x v="2"/>
    <x v="2815"/>
  </r>
  <r>
    <x v="2"/>
    <x v="2816"/>
  </r>
  <r>
    <x v="2"/>
    <x v="2817"/>
  </r>
  <r>
    <x v="2"/>
    <x v="2818"/>
  </r>
  <r>
    <x v="2"/>
    <x v="2819"/>
  </r>
  <r>
    <x v="2"/>
    <x v="2820"/>
  </r>
  <r>
    <x v="2"/>
    <x v="2821"/>
  </r>
  <r>
    <x v="2"/>
    <x v="2822"/>
  </r>
  <r>
    <x v="2"/>
    <x v="2823"/>
  </r>
  <r>
    <x v="2"/>
    <x v="2824"/>
  </r>
  <r>
    <x v="2"/>
    <x v="2825"/>
  </r>
  <r>
    <x v="2"/>
    <x v="2826"/>
  </r>
  <r>
    <x v="2"/>
    <x v="2827"/>
  </r>
  <r>
    <x v="2"/>
    <x v="2828"/>
  </r>
  <r>
    <x v="2"/>
    <x v="2829"/>
  </r>
  <r>
    <x v="2"/>
    <x v="2830"/>
  </r>
  <r>
    <x v="2"/>
    <x v="2831"/>
  </r>
  <r>
    <x v="2"/>
    <x v="2832"/>
  </r>
  <r>
    <x v="2"/>
    <x v="2833"/>
  </r>
  <r>
    <x v="2"/>
    <x v="2834"/>
  </r>
  <r>
    <x v="2"/>
    <x v="2835"/>
  </r>
  <r>
    <x v="2"/>
    <x v="2836"/>
  </r>
  <r>
    <x v="2"/>
    <x v="2837"/>
  </r>
  <r>
    <x v="2"/>
    <x v="2838"/>
  </r>
  <r>
    <x v="2"/>
    <x v="2839"/>
  </r>
  <r>
    <x v="2"/>
    <x v="2840"/>
  </r>
  <r>
    <x v="2"/>
    <x v="2841"/>
  </r>
  <r>
    <x v="2"/>
    <x v="2842"/>
  </r>
  <r>
    <x v="2"/>
    <x v="2843"/>
  </r>
  <r>
    <x v="2"/>
    <x v="2844"/>
  </r>
  <r>
    <x v="2"/>
    <x v="2845"/>
  </r>
  <r>
    <x v="2"/>
    <x v="2846"/>
  </r>
  <r>
    <x v="2"/>
    <x v="2847"/>
  </r>
  <r>
    <x v="2"/>
    <x v="2848"/>
  </r>
  <r>
    <x v="2"/>
    <x v="2849"/>
  </r>
  <r>
    <x v="2"/>
    <x v="2850"/>
  </r>
  <r>
    <x v="2"/>
    <x v="2851"/>
  </r>
  <r>
    <x v="2"/>
    <x v="2852"/>
  </r>
  <r>
    <x v="2"/>
    <x v="2853"/>
  </r>
  <r>
    <x v="2"/>
    <x v="2854"/>
  </r>
  <r>
    <x v="2"/>
    <x v="2855"/>
  </r>
  <r>
    <x v="2"/>
    <x v="2856"/>
  </r>
  <r>
    <x v="2"/>
    <x v="2857"/>
  </r>
  <r>
    <x v="2"/>
    <x v="2858"/>
  </r>
  <r>
    <x v="2"/>
    <x v="2859"/>
  </r>
  <r>
    <x v="2"/>
    <x v="2860"/>
  </r>
  <r>
    <x v="2"/>
    <x v="2861"/>
  </r>
  <r>
    <x v="2"/>
    <x v="2862"/>
  </r>
  <r>
    <x v="2"/>
    <x v="2863"/>
  </r>
  <r>
    <x v="2"/>
    <x v="2864"/>
  </r>
  <r>
    <x v="2"/>
    <x v="2865"/>
  </r>
  <r>
    <x v="2"/>
    <x v="2866"/>
  </r>
  <r>
    <x v="2"/>
    <x v="2867"/>
  </r>
  <r>
    <x v="2"/>
    <x v="2868"/>
  </r>
  <r>
    <x v="2"/>
    <x v="2869"/>
  </r>
  <r>
    <x v="2"/>
    <x v="2870"/>
  </r>
  <r>
    <x v="2"/>
    <x v="2871"/>
  </r>
  <r>
    <x v="2"/>
    <x v="2872"/>
  </r>
  <r>
    <x v="2"/>
    <x v="2873"/>
  </r>
  <r>
    <x v="2"/>
    <x v="2874"/>
  </r>
  <r>
    <x v="2"/>
    <x v="2875"/>
  </r>
  <r>
    <x v="2"/>
    <x v="2876"/>
  </r>
  <r>
    <x v="2"/>
    <x v="2877"/>
  </r>
  <r>
    <x v="2"/>
    <x v="2878"/>
  </r>
  <r>
    <x v="2"/>
    <x v="2879"/>
  </r>
  <r>
    <x v="2"/>
    <x v="2880"/>
  </r>
  <r>
    <x v="2"/>
    <x v="2881"/>
  </r>
  <r>
    <x v="2"/>
    <x v="2882"/>
  </r>
  <r>
    <x v="2"/>
    <x v="2883"/>
  </r>
  <r>
    <x v="2"/>
    <x v="2884"/>
  </r>
  <r>
    <x v="2"/>
    <x v="2885"/>
  </r>
  <r>
    <x v="2"/>
    <x v="2886"/>
  </r>
  <r>
    <x v="2"/>
    <x v="2887"/>
  </r>
  <r>
    <x v="2"/>
    <x v="2888"/>
  </r>
  <r>
    <x v="2"/>
    <x v="2889"/>
  </r>
  <r>
    <x v="2"/>
    <x v="2890"/>
  </r>
  <r>
    <x v="2"/>
    <x v="2891"/>
  </r>
  <r>
    <x v="2"/>
    <x v="2892"/>
  </r>
  <r>
    <x v="2"/>
    <x v="2893"/>
  </r>
  <r>
    <x v="2"/>
    <x v="2894"/>
  </r>
  <r>
    <x v="2"/>
    <x v="2895"/>
  </r>
  <r>
    <x v="2"/>
    <x v="2896"/>
  </r>
  <r>
    <x v="2"/>
    <x v="2897"/>
  </r>
  <r>
    <x v="2"/>
    <x v="2898"/>
  </r>
  <r>
    <x v="2"/>
    <x v="2899"/>
  </r>
  <r>
    <x v="2"/>
    <x v="2900"/>
  </r>
  <r>
    <x v="2"/>
    <x v="2901"/>
  </r>
  <r>
    <x v="2"/>
    <x v="2902"/>
  </r>
  <r>
    <x v="2"/>
    <x v="2903"/>
  </r>
  <r>
    <x v="2"/>
    <x v="2904"/>
  </r>
  <r>
    <x v="2"/>
    <x v="2905"/>
  </r>
  <r>
    <x v="2"/>
    <x v="2906"/>
  </r>
  <r>
    <x v="2"/>
    <x v="2907"/>
  </r>
  <r>
    <x v="2"/>
    <x v="2908"/>
  </r>
  <r>
    <x v="2"/>
    <x v="2909"/>
  </r>
  <r>
    <x v="2"/>
    <x v="2910"/>
  </r>
  <r>
    <x v="2"/>
    <x v="2911"/>
  </r>
  <r>
    <x v="2"/>
    <x v="2912"/>
  </r>
  <r>
    <x v="2"/>
    <x v="2913"/>
  </r>
  <r>
    <x v="2"/>
    <x v="2914"/>
  </r>
  <r>
    <x v="2"/>
    <x v="2915"/>
  </r>
  <r>
    <x v="2"/>
    <x v="2916"/>
  </r>
  <r>
    <x v="2"/>
    <x v="2917"/>
  </r>
  <r>
    <x v="2"/>
    <x v="2918"/>
  </r>
  <r>
    <x v="2"/>
    <x v="2919"/>
  </r>
  <r>
    <x v="2"/>
    <x v="2920"/>
  </r>
  <r>
    <x v="2"/>
    <x v="2921"/>
  </r>
  <r>
    <x v="2"/>
    <x v="2922"/>
  </r>
  <r>
    <x v="2"/>
    <x v="2923"/>
  </r>
  <r>
    <x v="2"/>
    <x v="2924"/>
  </r>
  <r>
    <x v="2"/>
    <x v="2925"/>
  </r>
  <r>
    <x v="2"/>
    <x v="2926"/>
  </r>
  <r>
    <x v="2"/>
    <x v="2927"/>
  </r>
  <r>
    <x v="2"/>
    <x v="2928"/>
  </r>
  <r>
    <x v="2"/>
    <x v="2929"/>
  </r>
  <r>
    <x v="2"/>
    <x v="2930"/>
  </r>
  <r>
    <x v="2"/>
    <x v="2931"/>
  </r>
  <r>
    <x v="2"/>
    <x v="2932"/>
  </r>
  <r>
    <x v="2"/>
    <x v="2933"/>
  </r>
  <r>
    <x v="2"/>
    <x v="2934"/>
  </r>
  <r>
    <x v="2"/>
    <x v="2935"/>
  </r>
  <r>
    <x v="2"/>
    <x v="2936"/>
  </r>
  <r>
    <x v="2"/>
    <x v="2937"/>
  </r>
  <r>
    <x v="2"/>
    <x v="2938"/>
  </r>
  <r>
    <x v="2"/>
    <x v="2939"/>
  </r>
  <r>
    <x v="2"/>
    <x v="2940"/>
  </r>
  <r>
    <x v="2"/>
    <x v="2941"/>
  </r>
  <r>
    <x v="2"/>
    <x v="2942"/>
  </r>
  <r>
    <x v="2"/>
    <x v="2943"/>
  </r>
  <r>
    <x v="2"/>
    <x v="2944"/>
  </r>
  <r>
    <x v="2"/>
    <x v="2945"/>
  </r>
  <r>
    <x v="2"/>
    <x v="2946"/>
  </r>
  <r>
    <x v="2"/>
    <x v="2947"/>
  </r>
  <r>
    <x v="2"/>
    <x v="2948"/>
  </r>
  <r>
    <x v="2"/>
    <x v="2949"/>
  </r>
  <r>
    <x v="2"/>
    <x v="2950"/>
  </r>
  <r>
    <x v="2"/>
    <x v="2951"/>
  </r>
  <r>
    <x v="2"/>
    <x v="2952"/>
  </r>
  <r>
    <x v="2"/>
    <x v="2953"/>
  </r>
  <r>
    <x v="2"/>
    <x v="2954"/>
  </r>
  <r>
    <x v="2"/>
    <x v="2955"/>
  </r>
  <r>
    <x v="2"/>
    <x v="2956"/>
  </r>
  <r>
    <x v="2"/>
    <x v="2957"/>
  </r>
  <r>
    <x v="2"/>
    <x v="2958"/>
  </r>
  <r>
    <x v="2"/>
    <x v="2959"/>
  </r>
  <r>
    <x v="2"/>
    <x v="2960"/>
  </r>
  <r>
    <x v="2"/>
    <x v="2961"/>
  </r>
  <r>
    <x v="2"/>
    <x v="2962"/>
  </r>
  <r>
    <x v="2"/>
    <x v="2963"/>
  </r>
  <r>
    <x v="2"/>
    <x v="2964"/>
  </r>
  <r>
    <x v="2"/>
    <x v="2965"/>
  </r>
  <r>
    <x v="2"/>
    <x v="2966"/>
  </r>
  <r>
    <x v="2"/>
    <x v="2967"/>
  </r>
  <r>
    <x v="2"/>
    <x v="2968"/>
  </r>
  <r>
    <x v="2"/>
    <x v="2969"/>
  </r>
  <r>
    <x v="2"/>
    <x v="2970"/>
  </r>
  <r>
    <x v="2"/>
    <x v="2971"/>
  </r>
  <r>
    <x v="2"/>
    <x v="2972"/>
  </r>
  <r>
    <x v="2"/>
    <x v="2973"/>
  </r>
  <r>
    <x v="2"/>
    <x v="2974"/>
  </r>
  <r>
    <x v="2"/>
    <x v="2975"/>
  </r>
  <r>
    <x v="2"/>
    <x v="2976"/>
  </r>
  <r>
    <x v="2"/>
    <x v="2977"/>
  </r>
  <r>
    <x v="2"/>
    <x v="2978"/>
  </r>
  <r>
    <x v="2"/>
    <x v="2979"/>
  </r>
  <r>
    <x v="2"/>
    <x v="2980"/>
  </r>
  <r>
    <x v="2"/>
    <x v="2981"/>
  </r>
  <r>
    <x v="2"/>
    <x v="2982"/>
  </r>
  <r>
    <x v="2"/>
    <x v="2983"/>
  </r>
  <r>
    <x v="2"/>
    <x v="2984"/>
  </r>
  <r>
    <x v="2"/>
    <x v="2985"/>
  </r>
  <r>
    <x v="2"/>
    <x v="2986"/>
  </r>
  <r>
    <x v="2"/>
    <x v="2987"/>
  </r>
  <r>
    <x v="2"/>
    <x v="2988"/>
  </r>
  <r>
    <x v="2"/>
    <x v="2989"/>
  </r>
  <r>
    <x v="2"/>
    <x v="2990"/>
  </r>
  <r>
    <x v="2"/>
    <x v="2991"/>
  </r>
  <r>
    <x v="2"/>
    <x v="2992"/>
  </r>
  <r>
    <x v="2"/>
    <x v="2993"/>
  </r>
  <r>
    <x v="2"/>
    <x v="2994"/>
  </r>
  <r>
    <x v="2"/>
    <x v="2995"/>
  </r>
  <r>
    <x v="2"/>
    <x v="2996"/>
  </r>
  <r>
    <x v="2"/>
    <x v="2997"/>
  </r>
  <r>
    <x v="2"/>
    <x v="2998"/>
  </r>
  <r>
    <x v="2"/>
    <x v="2999"/>
  </r>
  <r>
    <x v="2"/>
    <x v="3000"/>
  </r>
  <r>
    <x v="2"/>
    <x v="3001"/>
  </r>
  <r>
    <x v="2"/>
    <x v="3002"/>
  </r>
  <r>
    <x v="2"/>
    <x v="3003"/>
  </r>
  <r>
    <x v="2"/>
    <x v="3004"/>
  </r>
  <r>
    <x v="2"/>
    <x v="3005"/>
  </r>
  <r>
    <x v="2"/>
    <x v="3006"/>
  </r>
  <r>
    <x v="2"/>
    <x v="3007"/>
  </r>
  <r>
    <x v="2"/>
    <x v="3008"/>
  </r>
  <r>
    <x v="2"/>
    <x v="3009"/>
  </r>
  <r>
    <x v="2"/>
    <x v="3010"/>
  </r>
  <r>
    <x v="2"/>
    <x v="3011"/>
  </r>
  <r>
    <x v="2"/>
    <x v="3012"/>
  </r>
  <r>
    <x v="2"/>
    <x v="3013"/>
  </r>
  <r>
    <x v="2"/>
    <x v="3014"/>
  </r>
  <r>
    <x v="2"/>
    <x v="3015"/>
  </r>
  <r>
    <x v="2"/>
    <x v="3016"/>
  </r>
  <r>
    <x v="2"/>
    <x v="3017"/>
  </r>
  <r>
    <x v="2"/>
    <x v="3018"/>
  </r>
  <r>
    <x v="2"/>
    <x v="3019"/>
  </r>
  <r>
    <x v="2"/>
    <x v="3020"/>
  </r>
  <r>
    <x v="2"/>
    <x v="3021"/>
  </r>
  <r>
    <x v="2"/>
    <x v="3022"/>
  </r>
  <r>
    <x v="2"/>
    <x v="3023"/>
  </r>
  <r>
    <x v="2"/>
    <x v="3024"/>
  </r>
  <r>
    <x v="2"/>
    <x v="3025"/>
  </r>
  <r>
    <x v="2"/>
    <x v="3026"/>
  </r>
  <r>
    <x v="2"/>
    <x v="3027"/>
  </r>
  <r>
    <x v="2"/>
    <x v="3028"/>
  </r>
  <r>
    <x v="2"/>
    <x v="3029"/>
  </r>
  <r>
    <x v="2"/>
    <x v="3030"/>
  </r>
  <r>
    <x v="2"/>
    <x v="3031"/>
  </r>
  <r>
    <x v="2"/>
    <x v="3032"/>
  </r>
  <r>
    <x v="2"/>
    <x v="3033"/>
  </r>
  <r>
    <x v="2"/>
    <x v="3034"/>
  </r>
  <r>
    <x v="2"/>
    <x v="3035"/>
  </r>
  <r>
    <x v="2"/>
    <x v="3036"/>
  </r>
  <r>
    <x v="2"/>
    <x v="3037"/>
  </r>
  <r>
    <x v="2"/>
    <x v="3038"/>
  </r>
  <r>
    <x v="2"/>
    <x v="3039"/>
  </r>
  <r>
    <x v="2"/>
    <x v="3040"/>
  </r>
  <r>
    <x v="2"/>
    <x v="3041"/>
  </r>
  <r>
    <x v="2"/>
    <x v="3042"/>
  </r>
  <r>
    <x v="2"/>
    <x v="3043"/>
  </r>
  <r>
    <x v="2"/>
    <x v="3044"/>
  </r>
  <r>
    <x v="2"/>
    <x v="3045"/>
  </r>
  <r>
    <x v="2"/>
    <x v="3046"/>
  </r>
  <r>
    <x v="2"/>
    <x v="3047"/>
  </r>
  <r>
    <x v="2"/>
    <x v="3048"/>
  </r>
  <r>
    <x v="2"/>
    <x v="3049"/>
  </r>
  <r>
    <x v="2"/>
    <x v="3050"/>
  </r>
  <r>
    <x v="2"/>
    <x v="3051"/>
  </r>
  <r>
    <x v="2"/>
    <x v="3052"/>
  </r>
  <r>
    <x v="2"/>
    <x v="3053"/>
  </r>
  <r>
    <x v="2"/>
    <x v="3054"/>
  </r>
  <r>
    <x v="2"/>
    <x v="3055"/>
  </r>
  <r>
    <x v="2"/>
    <x v="3056"/>
  </r>
  <r>
    <x v="2"/>
    <x v="3057"/>
  </r>
  <r>
    <x v="2"/>
    <x v="3058"/>
  </r>
  <r>
    <x v="2"/>
    <x v="3059"/>
  </r>
  <r>
    <x v="2"/>
    <x v="3060"/>
  </r>
  <r>
    <x v="2"/>
    <x v="3061"/>
  </r>
  <r>
    <x v="2"/>
    <x v="3062"/>
  </r>
  <r>
    <x v="2"/>
    <x v="3063"/>
  </r>
  <r>
    <x v="2"/>
    <x v="3064"/>
  </r>
  <r>
    <x v="2"/>
    <x v="3065"/>
  </r>
  <r>
    <x v="2"/>
    <x v="3066"/>
  </r>
  <r>
    <x v="2"/>
    <x v="3067"/>
  </r>
  <r>
    <x v="2"/>
    <x v="3068"/>
  </r>
  <r>
    <x v="2"/>
    <x v="3069"/>
  </r>
  <r>
    <x v="2"/>
    <x v="3070"/>
  </r>
  <r>
    <x v="2"/>
    <x v="3071"/>
  </r>
  <r>
    <x v="2"/>
    <x v="3072"/>
  </r>
  <r>
    <x v="2"/>
    <x v="3073"/>
  </r>
  <r>
    <x v="2"/>
    <x v="3074"/>
  </r>
  <r>
    <x v="2"/>
    <x v="3075"/>
  </r>
  <r>
    <x v="2"/>
    <x v="3076"/>
  </r>
  <r>
    <x v="2"/>
    <x v="3077"/>
  </r>
  <r>
    <x v="2"/>
    <x v="3078"/>
  </r>
  <r>
    <x v="2"/>
    <x v="3079"/>
  </r>
  <r>
    <x v="2"/>
    <x v="3080"/>
  </r>
  <r>
    <x v="2"/>
    <x v="3081"/>
  </r>
  <r>
    <x v="2"/>
    <x v="3082"/>
  </r>
  <r>
    <x v="2"/>
    <x v="3083"/>
  </r>
  <r>
    <x v="2"/>
    <x v="3084"/>
  </r>
  <r>
    <x v="2"/>
    <x v="3085"/>
  </r>
  <r>
    <x v="2"/>
    <x v="3086"/>
  </r>
  <r>
    <x v="2"/>
    <x v="3087"/>
  </r>
  <r>
    <x v="2"/>
    <x v="3088"/>
  </r>
  <r>
    <x v="2"/>
    <x v="3089"/>
  </r>
  <r>
    <x v="2"/>
    <x v="3090"/>
  </r>
  <r>
    <x v="2"/>
    <x v="3091"/>
  </r>
  <r>
    <x v="2"/>
    <x v="3092"/>
  </r>
  <r>
    <x v="2"/>
    <x v="3093"/>
  </r>
  <r>
    <x v="2"/>
    <x v="3094"/>
  </r>
  <r>
    <x v="2"/>
    <x v="3095"/>
  </r>
  <r>
    <x v="2"/>
    <x v="3096"/>
  </r>
  <r>
    <x v="2"/>
    <x v="3097"/>
  </r>
  <r>
    <x v="2"/>
    <x v="3098"/>
  </r>
  <r>
    <x v="2"/>
    <x v="3099"/>
  </r>
  <r>
    <x v="2"/>
    <x v="3100"/>
  </r>
  <r>
    <x v="2"/>
    <x v="3101"/>
  </r>
  <r>
    <x v="2"/>
    <x v="3102"/>
  </r>
  <r>
    <x v="2"/>
    <x v="3103"/>
  </r>
  <r>
    <x v="2"/>
    <x v="3104"/>
  </r>
  <r>
    <x v="2"/>
    <x v="3105"/>
  </r>
  <r>
    <x v="2"/>
    <x v="3106"/>
  </r>
  <r>
    <x v="2"/>
    <x v="3107"/>
  </r>
  <r>
    <x v="2"/>
    <x v="3108"/>
  </r>
  <r>
    <x v="2"/>
    <x v="3109"/>
  </r>
  <r>
    <x v="2"/>
    <x v="3110"/>
  </r>
  <r>
    <x v="2"/>
    <x v="3111"/>
  </r>
  <r>
    <x v="2"/>
    <x v="3112"/>
  </r>
  <r>
    <x v="2"/>
    <x v="3113"/>
  </r>
  <r>
    <x v="2"/>
    <x v="3114"/>
  </r>
  <r>
    <x v="2"/>
    <x v="3115"/>
  </r>
  <r>
    <x v="2"/>
    <x v="3116"/>
  </r>
  <r>
    <x v="2"/>
    <x v="3117"/>
  </r>
  <r>
    <x v="2"/>
    <x v="3118"/>
  </r>
  <r>
    <x v="2"/>
    <x v="3119"/>
  </r>
  <r>
    <x v="2"/>
    <x v="3120"/>
  </r>
  <r>
    <x v="2"/>
    <x v="3121"/>
  </r>
  <r>
    <x v="2"/>
    <x v="3122"/>
  </r>
  <r>
    <x v="2"/>
    <x v="3123"/>
  </r>
  <r>
    <x v="2"/>
    <x v="3124"/>
  </r>
  <r>
    <x v="2"/>
    <x v="3125"/>
  </r>
  <r>
    <x v="2"/>
    <x v="3126"/>
  </r>
  <r>
    <x v="2"/>
    <x v="3127"/>
  </r>
  <r>
    <x v="2"/>
    <x v="3128"/>
  </r>
  <r>
    <x v="2"/>
    <x v="3129"/>
  </r>
  <r>
    <x v="2"/>
    <x v="3130"/>
  </r>
  <r>
    <x v="2"/>
    <x v="3131"/>
  </r>
  <r>
    <x v="2"/>
    <x v="3132"/>
  </r>
  <r>
    <x v="2"/>
    <x v="3133"/>
  </r>
  <r>
    <x v="2"/>
    <x v="3134"/>
  </r>
  <r>
    <x v="2"/>
    <x v="3135"/>
  </r>
  <r>
    <x v="2"/>
    <x v="3136"/>
  </r>
  <r>
    <x v="2"/>
    <x v="3137"/>
  </r>
  <r>
    <x v="2"/>
    <x v="3138"/>
  </r>
  <r>
    <x v="2"/>
    <x v="3139"/>
  </r>
  <r>
    <x v="2"/>
    <x v="3140"/>
  </r>
  <r>
    <x v="2"/>
    <x v="3141"/>
  </r>
  <r>
    <x v="2"/>
    <x v="3142"/>
  </r>
  <r>
    <x v="2"/>
    <x v="3143"/>
  </r>
  <r>
    <x v="2"/>
    <x v="3144"/>
  </r>
  <r>
    <x v="2"/>
    <x v="3145"/>
  </r>
  <r>
    <x v="2"/>
    <x v="3146"/>
  </r>
  <r>
    <x v="2"/>
    <x v="3147"/>
  </r>
  <r>
    <x v="2"/>
    <x v="3148"/>
  </r>
  <r>
    <x v="2"/>
    <x v="3149"/>
  </r>
  <r>
    <x v="2"/>
    <x v="3150"/>
  </r>
  <r>
    <x v="2"/>
    <x v="3151"/>
  </r>
  <r>
    <x v="2"/>
    <x v="3152"/>
  </r>
  <r>
    <x v="2"/>
    <x v="3153"/>
  </r>
  <r>
    <x v="2"/>
    <x v="3154"/>
  </r>
  <r>
    <x v="2"/>
    <x v="3155"/>
  </r>
  <r>
    <x v="2"/>
    <x v="3156"/>
  </r>
  <r>
    <x v="2"/>
    <x v="3157"/>
  </r>
  <r>
    <x v="2"/>
    <x v="3158"/>
  </r>
  <r>
    <x v="2"/>
    <x v="3159"/>
  </r>
  <r>
    <x v="2"/>
    <x v="3160"/>
  </r>
  <r>
    <x v="2"/>
    <x v="3161"/>
  </r>
  <r>
    <x v="2"/>
    <x v="3162"/>
  </r>
  <r>
    <x v="2"/>
    <x v="3163"/>
  </r>
  <r>
    <x v="2"/>
    <x v="3164"/>
  </r>
  <r>
    <x v="2"/>
    <x v="3165"/>
  </r>
  <r>
    <x v="2"/>
    <x v="3166"/>
  </r>
  <r>
    <x v="2"/>
    <x v="3167"/>
  </r>
  <r>
    <x v="2"/>
    <x v="3168"/>
  </r>
  <r>
    <x v="2"/>
    <x v="3169"/>
  </r>
  <r>
    <x v="2"/>
    <x v="3170"/>
  </r>
  <r>
    <x v="2"/>
    <x v="3171"/>
  </r>
  <r>
    <x v="2"/>
    <x v="3172"/>
  </r>
  <r>
    <x v="2"/>
    <x v="3173"/>
  </r>
  <r>
    <x v="2"/>
    <x v="3174"/>
  </r>
  <r>
    <x v="2"/>
    <x v="3175"/>
  </r>
  <r>
    <x v="2"/>
    <x v="3176"/>
  </r>
  <r>
    <x v="2"/>
    <x v="3177"/>
  </r>
  <r>
    <x v="2"/>
    <x v="3178"/>
  </r>
  <r>
    <x v="2"/>
    <x v="3179"/>
  </r>
  <r>
    <x v="2"/>
    <x v="3180"/>
  </r>
  <r>
    <x v="2"/>
    <x v="3181"/>
  </r>
  <r>
    <x v="2"/>
    <x v="3182"/>
  </r>
  <r>
    <x v="2"/>
    <x v="3183"/>
  </r>
  <r>
    <x v="2"/>
    <x v="3184"/>
  </r>
  <r>
    <x v="2"/>
    <x v="3185"/>
  </r>
  <r>
    <x v="2"/>
    <x v="3186"/>
  </r>
  <r>
    <x v="2"/>
    <x v="3187"/>
  </r>
  <r>
    <x v="2"/>
    <x v="3188"/>
  </r>
  <r>
    <x v="2"/>
    <x v="3189"/>
  </r>
  <r>
    <x v="2"/>
    <x v="3190"/>
  </r>
  <r>
    <x v="2"/>
    <x v="3191"/>
  </r>
  <r>
    <x v="2"/>
    <x v="3192"/>
  </r>
  <r>
    <x v="2"/>
    <x v="3193"/>
  </r>
  <r>
    <x v="2"/>
    <x v="3194"/>
  </r>
  <r>
    <x v="2"/>
    <x v="3195"/>
  </r>
  <r>
    <x v="2"/>
    <x v="3196"/>
  </r>
  <r>
    <x v="2"/>
    <x v="3197"/>
  </r>
  <r>
    <x v="2"/>
    <x v="3198"/>
  </r>
  <r>
    <x v="2"/>
    <x v="3199"/>
  </r>
  <r>
    <x v="2"/>
    <x v="3200"/>
  </r>
  <r>
    <x v="2"/>
    <x v="3201"/>
  </r>
  <r>
    <x v="2"/>
    <x v="3202"/>
  </r>
  <r>
    <x v="2"/>
    <x v="3203"/>
  </r>
  <r>
    <x v="2"/>
    <x v="3204"/>
  </r>
  <r>
    <x v="2"/>
    <x v="3205"/>
  </r>
  <r>
    <x v="2"/>
    <x v="3206"/>
  </r>
  <r>
    <x v="2"/>
    <x v="3207"/>
  </r>
  <r>
    <x v="2"/>
    <x v="3208"/>
  </r>
  <r>
    <x v="2"/>
    <x v="3209"/>
  </r>
  <r>
    <x v="2"/>
    <x v="3210"/>
  </r>
  <r>
    <x v="2"/>
    <x v="3211"/>
  </r>
  <r>
    <x v="2"/>
    <x v="3212"/>
  </r>
  <r>
    <x v="2"/>
    <x v="3213"/>
  </r>
  <r>
    <x v="2"/>
    <x v="3214"/>
  </r>
  <r>
    <x v="2"/>
    <x v="3215"/>
  </r>
  <r>
    <x v="2"/>
    <x v="3216"/>
  </r>
  <r>
    <x v="2"/>
    <x v="3217"/>
  </r>
  <r>
    <x v="2"/>
    <x v="3218"/>
  </r>
  <r>
    <x v="2"/>
    <x v="3219"/>
  </r>
  <r>
    <x v="2"/>
    <x v="3220"/>
  </r>
  <r>
    <x v="2"/>
    <x v="3221"/>
  </r>
  <r>
    <x v="2"/>
    <x v="3222"/>
  </r>
  <r>
    <x v="2"/>
    <x v="3223"/>
  </r>
  <r>
    <x v="2"/>
    <x v="3224"/>
  </r>
  <r>
    <x v="2"/>
    <x v="3225"/>
  </r>
  <r>
    <x v="2"/>
    <x v="3226"/>
  </r>
  <r>
    <x v="2"/>
    <x v="3227"/>
  </r>
  <r>
    <x v="2"/>
    <x v="3228"/>
  </r>
  <r>
    <x v="2"/>
    <x v="3229"/>
  </r>
  <r>
    <x v="2"/>
    <x v="3230"/>
  </r>
  <r>
    <x v="2"/>
    <x v="3231"/>
  </r>
  <r>
    <x v="2"/>
    <x v="3232"/>
  </r>
  <r>
    <x v="2"/>
    <x v="3233"/>
  </r>
  <r>
    <x v="2"/>
    <x v="3234"/>
  </r>
  <r>
    <x v="2"/>
    <x v="3235"/>
  </r>
  <r>
    <x v="2"/>
    <x v="3236"/>
  </r>
  <r>
    <x v="2"/>
    <x v="3237"/>
  </r>
  <r>
    <x v="2"/>
    <x v="3238"/>
  </r>
  <r>
    <x v="2"/>
    <x v="3239"/>
  </r>
  <r>
    <x v="2"/>
    <x v="3240"/>
  </r>
  <r>
    <x v="2"/>
    <x v="3241"/>
  </r>
  <r>
    <x v="2"/>
    <x v="3242"/>
  </r>
  <r>
    <x v="2"/>
    <x v="3243"/>
  </r>
  <r>
    <x v="2"/>
    <x v="3244"/>
  </r>
  <r>
    <x v="2"/>
    <x v="3245"/>
  </r>
  <r>
    <x v="2"/>
    <x v="3246"/>
  </r>
  <r>
    <x v="2"/>
    <x v="3247"/>
  </r>
  <r>
    <x v="2"/>
    <x v="3248"/>
  </r>
  <r>
    <x v="2"/>
    <x v="3249"/>
  </r>
  <r>
    <x v="2"/>
    <x v="3250"/>
  </r>
  <r>
    <x v="2"/>
    <x v="3251"/>
  </r>
  <r>
    <x v="2"/>
    <x v="3252"/>
  </r>
  <r>
    <x v="2"/>
    <x v="3253"/>
  </r>
  <r>
    <x v="2"/>
    <x v="3254"/>
  </r>
  <r>
    <x v="2"/>
    <x v="3255"/>
  </r>
  <r>
    <x v="2"/>
    <x v="3256"/>
  </r>
  <r>
    <x v="2"/>
    <x v="3257"/>
  </r>
  <r>
    <x v="2"/>
    <x v="3258"/>
  </r>
  <r>
    <x v="2"/>
    <x v="3259"/>
  </r>
  <r>
    <x v="2"/>
    <x v="3260"/>
  </r>
  <r>
    <x v="2"/>
    <x v="3261"/>
  </r>
  <r>
    <x v="2"/>
    <x v="3262"/>
  </r>
  <r>
    <x v="2"/>
    <x v="3263"/>
  </r>
  <r>
    <x v="2"/>
    <x v="3264"/>
  </r>
  <r>
    <x v="2"/>
    <x v="3265"/>
  </r>
  <r>
    <x v="2"/>
    <x v="3266"/>
  </r>
  <r>
    <x v="2"/>
    <x v="3267"/>
  </r>
  <r>
    <x v="2"/>
    <x v="3268"/>
  </r>
  <r>
    <x v="2"/>
    <x v="3269"/>
  </r>
  <r>
    <x v="2"/>
    <x v="3270"/>
  </r>
  <r>
    <x v="2"/>
    <x v="3271"/>
  </r>
  <r>
    <x v="2"/>
    <x v="3272"/>
  </r>
  <r>
    <x v="2"/>
    <x v="3273"/>
  </r>
  <r>
    <x v="2"/>
    <x v="3274"/>
  </r>
  <r>
    <x v="2"/>
    <x v="3275"/>
  </r>
  <r>
    <x v="2"/>
    <x v="3276"/>
  </r>
  <r>
    <x v="2"/>
    <x v="3277"/>
  </r>
  <r>
    <x v="2"/>
    <x v="3278"/>
  </r>
  <r>
    <x v="2"/>
    <x v="3279"/>
  </r>
  <r>
    <x v="2"/>
    <x v="3280"/>
  </r>
  <r>
    <x v="2"/>
    <x v="3281"/>
  </r>
  <r>
    <x v="2"/>
    <x v="3282"/>
  </r>
  <r>
    <x v="2"/>
    <x v="3283"/>
  </r>
  <r>
    <x v="2"/>
    <x v="3284"/>
  </r>
  <r>
    <x v="2"/>
    <x v="3285"/>
  </r>
  <r>
    <x v="2"/>
    <x v="3286"/>
  </r>
  <r>
    <x v="2"/>
    <x v="3287"/>
  </r>
  <r>
    <x v="2"/>
    <x v="3288"/>
  </r>
  <r>
    <x v="2"/>
    <x v="3289"/>
  </r>
  <r>
    <x v="2"/>
    <x v="3290"/>
  </r>
  <r>
    <x v="2"/>
    <x v="3291"/>
  </r>
  <r>
    <x v="2"/>
    <x v="3292"/>
  </r>
  <r>
    <x v="2"/>
    <x v="3293"/>
  </r>
  <r>
    <x v="2"/>
    <x v="3294"/>
  </r>
  <r>
    <x v="2"/>
    <x v="3295"/>
  </r>
  <r>
    <x v="2"/>
    <x v="3296"/>
  </r>
  <r>
    <x v="2"/>
    <x v="3297"/>
  </r>
  <r>
    <x v="2"/>
    <x v="3298"/>
  </r>
  <r>
    <x v="2"/>
    <x v="3299"/>
  </r>
  <r>
    <x v="2"/>
    <x v="3300"/>
  </r>
  <r>
    <x v="2"/>
    <x v="3301"/>
  </r>
  <r>
    <x v="2"/>
    <x v="3302"/>
  </r>
  <r>
    <x v="2"/>
    <x v="3303"/>
  </r>
  <r>
    <x v="2"/>
    <x v="3304"/>
  </r>
  <r>
    <x v="2"/>
    <x v="3305"/>
  </r>
  <r>
    <x v="2"/>
    <x v="3306"/>
  </r>
  <r>
    <x v="2"/>
    <x v="3307"/>
  </r>
  <r>
    <x v="2"/>
    <x v="3308"/>
  </r>
  <r>
    <x v="2"/>
    <x v="3309"/>
  </r>
  <r>
    <x v="2"/>
    <x v="3310"/>
  </r>
  <r>
    <x v="2"/>
    <x v="3311"/>
  </r>
  <r>
    <x v="2"/>
    <x v="3312"/>
  </r>
  <r>
    <x v="2"/>
    <x v="3313"/>
  </r>
  <r>
    <x v="2"/>
    <x v="3314"/>
  </r>
  <r>
    <x v="2"/>
    <x v="3315"/>
  </r>
  <r>
    <x v="2"/>
    <x v="3316"/>
  </r>
  <r>
    <x v="2"/>
    <x v="3317"/>
  </r>
  <r>
    <x v="2"/>
    <x v="3318"/>
  </r>
  <r>
    <x v="2"/>
    <x v="3319"/>
  </r>
  <r>
    <x v="2"/>
    <x v="3320"/>
  </r>
  <r>
    <x v="2"/>
    <x v="3321"/>
  </r>
  <r>
    <x v="2"/>
    <x v="3322"/>
  </r>
  <r>
    <x v="2"/>
    <x v="3323"/>
  </r>
  <r>
    <x v="2"/>
    <x v="3324"/>
  </r>
  <r>
    <x v="2"/>
    <x v="3325"/>
  </r>
  <r>
    <x v="2"/>
    <x v="3326"/>
  </r>
  <r>
    <x v="2"/>
    <x v="3327"/>
  </r>
  <r>
    <x v="2"/>
    <x v="3328"/>
  </r>
  <r>
    <x v="2"/>
    <x v="3329"/>
  </r>
  <r>
    <x v="2"/>
    <x v="3330"/>
  </r>
  <r>
    <x v="2"/>
    <x v="3331"/>
  </r>
  <r>
    <x v="2"/>
    <x v="3332"/>
  </r>
  <r>
    <x v="2"/>
    <x v="3333"/>
  </r>
  <r>
    <x v="2"/>
    <x v="3334"/>
  </r>
  <r>
    <x v="2"/>
    <x v="3335"/>
  </r>
  <r>
    <x v="2"/>
    <x v="3336"/>
  </r>
  <r>
    <x v="2"/>
    <x v="3337"/>
  </r>
  <r>
    <x v="2"/>
    <x v="3338"/>
  </r>
  <r>
    <x v="2"/>
    <x v="3339"/>
  </r>
  <r>
    <x v="2"/>
    <x v="3340"/>
  </r>
  <r>
    <x v="2"/>
    <x v="3341"/>
  </r>
  <r>
    <x v="2"/>
    <x v="3342"/>
  </r>
  <r>
    <x v="2"/>
    <x v="3343"/>
  </r>
  <r>
    <x v="2"/>
    <x v="3344"/>
  </r>
  <r>
    <x v="2"/>
    <x v="3345"/>
  </r>
  <r>
    <x v="2"/>
    <x v="3346"/>
  </r>
  <r>
    <x v="2"/>
    <x v="3347"/>
  </r>
  <r>
    <x v="2"/>
    <x v="3348"/>
  </r>
  <r>
    <x v="2"/>
    <x v="3349"/>
  </r>
  <r>
    <x v="2"/>
    <x v="3350"/>
  </r>
  <r>
    <x v="2"/>
    <x v="3351"/>
  </r>
  <r>
    <x v="2"/>
    <x v="3352"/>
  </r>
  <r>
    <x v="2"/>
    <x v="3345"/>
  </r>
  <r>
    <x v="2"/>
    <x v="3346"/>
  </r>
  <r>
    <x v="2"/>
    <x v="3347"/>
  </r>
  <r>
    <x v="2"/>
    <x v="3348"/>
  </r>
  <r>
    <x v="2"/>
    <x v="3353"/>
  </r>
  <r>
    <x v="2"/>
    <x v="3354"/>
  </r>
  <r>
    <x v="2"/>
    <x v="3355"/>
  </r>
  <r>
    <x v="2"/>
    <x v="3356"/>
  </r>
  <r>
    <x v="2"/>
    <x v="3357"/>
  </r>
  <r>
    <x v="2"/>
    <x v="3358"/>
  </r>
  <r>
    <x v="2"/>
    <x v="3359"/>
  </r>
  <r>
    <x v="2"/>
    <x v="3360"/>
  </r>
  <r>
    <x v="2"/>
    <x v="3361"/>
  </r>
  <r>
    <x v="2"/>
    <x v="3362"/>
  </r>
  <r>
    <x v="2"/>
    <x v="3363"/>
  </r>
  <r>
    <x v="2"/>
    <x v="3364"/>
  </r>
  <r>
    <x v="2"/>
    <x v="3365"/>
  </r>
  <r>
    <x v="2"/>
    <x v="3366"/>
  </r>
  <r>
    <x v="2"/>
    <x v="3367"/>
  </r>
  <r>
    <x v="2"/>
    <x v="3368"/>
  </r>
  <r>
    <x v="2"/>
    <x v="3369"/>
  </r>
  <r>
    <x v="2"/>
    <x v="3370"/>
  </r>
  <r>
    <x v="2"/>
    <x v="3371"/>
  </r>
  <r>
    <x v="2"/>
    <x v="3372"/>
  </r>
  <r>
    <x v="2"/>
    <x v="3373"/>
  </r>
  <r>
    <x v="2"/>
    <x v="3374"/>
  </r>
  <r>
    <x v="2"/>
    <x v="3375"/>
  </r>
  <r>
    <x v="2"/>
    <x v="3376"/>
  </r>
  <r>
    <x v="2"/>
    <x v="3377"/>
  </r>
  <r>
    <x v="2"/>
    <x v="3378"/>
  </r>
  <r>
    <x v="2"/>
    <x v="3379"/>
  </r>
  <r>
    <x v="2"/>
    <x v="3380"/>
  </r>
  <r>
    <x v="2"/>
    <x v="3381"/>
  </r>
  <r>
    <x v="2"/>
    <x v="3382"/>
  </r>
  <r>
    <x v="2"/>
    <x v="3383"/>
  </r>
  <r>
    <x v="2"/>
    <x v="3384"/>
  </r>
  <r>
    <x v="2"/>
    <x v="3385"/>
  </r>
  <r>
    <x v="2"/>
    <x v="3386"/>
  </r>
  <r>
    <x v="2"/>
    <x v="3387"/>
  </r>
  <r>
    <x v="2"/>
    <x v="3388"/>
  </r>
  <r>
    <x v="2"/>
    <x v="3389"/>
  </r>
  <r>
    <x v="2"/>
    <x v="3390"/>
  </r>
  <r>
    <x v="2"/>
    <x v="3391"/>
  </r>
  <r>
    <x v="2"/>
    <x v="3392"/>
  </r>
  <r>
    <x v="2"/>
    <x v="3393"/>
  </r>
  <r>
    <x v="2"/>
    <x v="3394"/>
  </r>
  <r>
    <x v="2"/>
    <x v="3395"/>
  </r>
  <r>
    <x v="2"/>
    <x v="3396"/>
  </r>
  <r>
    <x v="2"/>
    <x v="3397"/>
  </r>
  <r>
    <x v="2"/>
    <x v="3398"/>
  </r>
  <r>
    <x v="2"/>
    <x v="3399"/>
  </r>
  <r>
    <x v="2"/>
    <x v="3400"/>
  </r>
  <r>
    <x v="2"/>
    <x v="3401"/>
  </r>
  <r>
    <x v="2"/>
    <x v="3402"/>
  </r>
  <r>
    <x v="2"/>
    <x v="3403"/>
  </r>
  <r>
    <x v="2"/>
    <x v="3404"/>
  </r>
  <r>
    <x v="2"/>
    <x v="3405"/>
  </r>
  <r>
    <x v="2"/>
    <x v="3406"/>
  </r>
  <r>
    <x v="2"/>
    <x v="3407"/>
  </r>
  <r>
    <x v="2"/>
    <x v="3408"/>
  </r>
  <r>
    <x v="2"/>
    <x v="3409"/>
  </r>
  <r>
    <x v="2"/>
    <x v="3410"/>
  </r>
  <r>
    <x v="2"/>
    <x v="3411"/>
  </r>
  <r>
    <x v="2"/>
    <x v="3412"/>
  </r>
  <r>
    <x v="2"/>
    <x v="3413"/>
  </r>
  <r>
    <x v="2"/>
    <x v="3414"/>
  </r>
  <r>
    <x v="2"/>
    <x v="3415"/>
  </r>
  <r>
    <x v="2"/>
    <x v="3416"/>
  </r>
  <r>
    <x v="2"/>
    <x v="3417"/>
  </r>
  <r>
    <x v="2"/>
    <x v="3418"/>
  </r>
  <r>
    <x v="2"/>
    <x v="3419"/>
  </r>
  <r>
    <x v="2"/>
    <x v="3420"/>
  </r>
  <r>
    <x v="2"/>
    <x v="3421"/>
  </r>
  <r>
    <x v="2"/>
    <x v="3422"/>
  </r>
  <r>
    <x v="2"/>
    <x v="3423"/>
  </r>
  <r>
    <x v="2"/>
    <x v="3424"/>
  </r>
  <r>
    <x v="2"/>
    <x v="3425"/>
  </r>
  <r>
    <x v="2"/>
    <x v="3426"/>
  </r>
  <r>
    <x v="2"/>
    <x v="3427"/>
  </r>
  <r>
    <x v="2"/>
    <x v="3428"/>
  </r>
  <r>
    <x v="2"/>
    <x v="3429"/>
  </r>
  <r>
    <x v="2"/>
    <x v="3430"/>
  </r>
  <r>
    <x v="2"/>
    <x v="3431"/>
  </r>
  <r>
    <x v="2"/>
    <x v="3432"/>
  </r>
  <r>
    <x v="2"/>
    <x v="3433"/>
  </r>
  <r>
    <x v="2"/>
    <x v="3434"/>
  </r>
  <r>
    <x v="2"/>
    <x v="3435"/>
  </r>
  <r>
    <x v="2"/>
    <x v="3436"/>
  </r>
  <r>
    <x v="2"/>
    <x v="3437"/>
  </r>
  <r>
    <x v="2"/>
    <x v="3438"/>
  </r>
  <r>
    <x v="2"/>
    <x v="3439"/>
  </r>
  <r>
    <x v="2"/>
    <x v="3440"/>
  </r>
  <r>
    <x v="2"/>
    <x v="3441"/>
  </r>
  <r>
    <x v="2"/>
    <x v="3442"/>
  </r>
  <r>
    <x v="2"/>
    <x v="3443"/>
  </r>
  <r>
    <x v="2"/>
    <x v="3444"/>
  </r>
  <r>
    <x v="2"/>
    <x v="3445"/>
  </r>
  <r>
    <x v="2"/>
    <x v="3446"/>
  </r>
  <r>
    <x v="2"/>
    <x v="3447"/>
  </r>
  <r>
    <x v="2"/>
    <x v="3448"/>
  </r>
  <r>
    <x v="2"/>
    <x v="3449"/>
  </r>
  <r>
    <x v="2"/>
    <x v="3450"/>
  </r>
  <r>
    <x v="2"/>
    <x v="3451"/>
  </r>
  <r>
    <x v="2"/>
    <x v="3452"/>
  </r>
  <r>
    <x v="2"/>
    <x v="3453"/>
  </r>
  <r>
    <x v="2"/>
    <x v="3454"/>
  </r>
  <r>
    <x v="2"/>
    <x v="3455"/>
  </r>
  <r>
    <x v="2"/>
    <x v="3456"/>
  </r>
  <r>
    <x v="2"/>
    <x v="3457"/>
  </r>
  <r>
    <x v="2"/>
    <x v="3458"/>
  </r>
  <r>
    <x v="2"/>
    <x v="3459"/>
  </r>
  <r>
    <x v="2"/>
    <x v="3460"/>
  </r>
  <r>
    <x v="2"/>
    <x v="3461"/>
  </r>
  <r>
    <x v="2"/>
    <x v="3462"/>
  </r>
  <r>
    <x v="2"/>
    <x v="3463"/>
  </r>
  <r>
    <x v="2"/>
    <x v="3464"/>
  </r>
  <r>
    <x v="2"/>
    <x v="3465"/>
  </r>
  <r>
    <x v="2"/>
    <x v="3466"/>
  </r>
  <r>
    <x v="2"/>
    <x v="3467"/>
  </r>
  <r>
    <x v="2"/>
    <x v="3468"/>
  </r>
  <r>
    <x v="2"/>
    <x v="3469"/>
  </r>
  <r>
    <x v="2"/>
    <x v="3470"/>
  </r>
  <r>
    <x v="2"/>
    <x v="3471"/>
  </r>
  <r>
    <x v="2"/>
    <x v="3472"/>
  </r>
  <r>
    <x v="2"/>
    <x v="3473"/>
  </r>
  <r>
    <x v="2"/>
    <x v="3474"/>
  </r>
  <r>
    <x v="2"/>
    <x v="3475"/>
  </r>
  <r>
    <x v="2"/>
    <x v="3476"/>
  </r>
  <r>
    <x v="2"/>
    <x v="3477"/>
  </r>
  <r>
    <x v="2"/>
    <x v="3478"/>
  </r>
  <r>
    <x v="2"/>
    <x v="3479"/>
  </r>
  <r>
    <x v="2"/>
    <x v="3480"/>
  </r>
  <r>
    <x v="2"/>
    <x v="3481"/>
  </r>
  <r>
    <x v="2"/>
    <x v="3482"/>
  </r>
  <r>
    <x v="2"/>
    <x v="3483"/>
  </r>
  <r>
    <x v="2"/>
    <x v="3484"/>
  </r>
  <r>
    <x v="2"/>
    <x v="3485"/>
  </r>
  <r>
    <x v="2"/>
    <x v="3486"/>
  </r>
  <r>
    <x v="2"/>
    <x v="3487"/>
  </r>
  <r>
    <x v="2"/>
    <x v="3488"/>
  </r>
  <r>
    <x v="2"/>
    <x v="3489"/>
  </r>
  <r>
    <x v="2"/>
    <x v="3490"/>
  </r>
  <r>
    <x v="2"/>
    <x v="3491"/>
  </r>
  <r>
    <x v="2"/>
    <x v="3492"/>
  </r>
  <r>
    <x v="2"/>
    <x v="3493"/>
  </r>
  <r>
    <x v="2"/>
    <x v="3494"/>
  </r>
  <r>
    <x v="2"/>
    <x v="3495"/>
  </r>
  <r>
    <x v="2"/>
    <x v="3496"/>
  </r>
  <r>
    <x v="2"/>
    <x v="3497"/>
  </r>
  <r>
    <x v="2"/>
    <x v="3498"/>
  </r>
  <r>
    <x v="2"/>
    <x v="3499"/>
  </r>
  <r>
    <x v="2"/>
    <x v="3500"/>
  </r>
  <r>
    <x v="2"/>
    <x v="3501"/>
  </r>
  <r>
    <x v="2"/>
    <x v="3502"/>
  </r>
  <r>
    <x v="2"/>
    <x v="3503"/>
  </r>
  <r>
    <x v="2"/>
    <x v="3504"/>
  </r>
  <r>
    <x v="2"/>
    <x v="3505"/>
  </r>
  <r>
    <x v="2"/>
    <x v="3506"/>
  </r>
  <r>
    <x v="2"/>
    <x v="3507"/>
  </r>
  <r>
    <x v="2"/>
    <x v="3508"/>
  </r>
  <r>
    <x v="2"/>
    <x v="3509"/>
  </r>
  <r>
    <x v="2"/>
    <x v="3510"/>
  </r>
  <r>
    <x v="2"/>
    <x v="3511"/>
  </r>
  <r>
    <x v="2"/>
    <x v="3512"/>
  </r>
  <r>
    <x v="2"/>
    <x v="3513"/>
  </r>
  <r>
    <x v="2"/>
    <x v="3514"/>
  </r>
  <r>
    <x v="2"/>
    <x v="3515"/>
  </r>
  <r>
    <x v="2"/>
    <x v="3516"/>
  </r>
  <r>
    <x v="2"/>
    <x v="3517"/>
  </r>
  <r>
    <x v="2"/>
    <x v="3518"/>
  </r>
  <r>
    <x v="2"/>
    <x v="3519"/>
  </r>
  <r>
    <x v="2"/>
    <x v="3520"/>
  </r>
  <r>
    <x v="2"/>
    <x v="3521"/>
  </r>
  <r>
    <x v="2"/>
    <x v="3522"/>
  </r>
  <r>
    <x v="2"/>
    <x v="3523"/>
  </r>
  <r>
    <x v="2"/>
    <x v="3524"/>
  </r>
  <r>
    <x v="2"/>
    <x v="3525"/>
  </r>
  <r>
    <x v="2"/>
    <x v="3526"/>
  </r>
  <r>
    <x v="2"/>
    <x v="3527"/>
  </r>
  <r>
    <x v="2"/>
    <x v="3528"/>
  </r>
  <r>
    <x v="2"/>
    <x v="3529"/>
  </r>
  <r>
    <x v="2"/>
    <x v="3530"/>
  </r>
  <r>
    <x v="2"/>
    <x v="3531"/>
  </r>
  <r>
    <x v="2"/>
    <x v="3532"/>
  </r>
  <r>
    <x v="2"/>
    <x v="3533"/>
  </r>
  <r>
    <x v="2"/>
    <x v="3534"/>
  </r>
  <r>
    <x v="2"/>
    <x v="3535"/>
  </r>
  <r>
    <x v="2"/>
    <x v="3536"/>
  </r>
  <r>
    <x v="2"/>
    <x v="3537"/>
  </r>
  <r>
    <x v="2"/>
    <x v="3538"/>
  </r>
  <r>
    <x v="2"/>
    <x v="3539"/>
  </r>
  <r>
    <x v="2"/>
    <x v="3540"/>
  </r>
  <r>
    <x v="2"/>
    <x v="3541"/>
  </r>
  <r>
    <x v="2"/>
    <x v="3542"/>
  </r>
  <r>
    <x v="2"/>
    <x v="3543"/>
  </r>
  <r>
    <x v="2"/>
    <x v="3544"/>
  </r>
  <r>
    <x v="2"/>
    <x v="3545"/>
  </r>
  <r>
    <x v="2"/>
    <x v="3546"/>
  </r>
  <r>
    <x v="2"/>
    <x v="3547"/>
  </r>
  <r>
    <x v="2"/>
    <x v="3548"/>
  </r>
  <r>
    <x v="2"/>
    <x v="3549"/>
  </r>
  <r>
    <x v="2"/>
    <x v="3550"/>
  </r>
  <r>
    <x v="2"/>
    <x v="3551"/>
  </r>
  <r>
    <x v="2"/>
    <x v="3552"/>
  </r>
  <r>
    <x v="2"/>
    <x v="3553"/>
  </r>
  <r>
    <x v="2"/>
    <x v="3554"/>
  </r>
  <r>
    <x v="2"/>
    <x v="3555"/>
  </r>
  <r>
    <x v="2"/>
    <x v="3556"/>
  </r>
  <r>
    <x v="2"/>
    <x v="3557"/>
  </r>
  <r>
    <x v="2"/>
    <x v="3558"/>
  </r>
  <r>
    <x v="2"/>
    <x v="3559"/>
  </r>
  <r>
    <x v="2"/>
    <x v="3560"/>
  </r>
  <r>
    <x v="2"/>
    <x v="3561"/>
  </r>
  <r>
    <x v="2"/>
    <x v="3562"/>
  </r>
  <r>
    <x v="2"/>
    <x v="3563"/>
  </r>
  <r>
    <x v="2"/>
    <x v="3564"/>
  </r>
  <r>
    <x v="2"/>
    <x v="3565"/>
  </r>
  <r>
    <x v="2"/>
    <x v="3566"/>
  </r>
  <r>
    <x v="2"/>
    <x v="3567"/>
  </r>
  <r>
    <x v="2"/>
    <x v="3568"/>
  </r>
  <r>
    <x v="2"/>
    <x v="3569"/>
  </r>
  <r>
    <x v="2"/>
    <x v="3570"/>
  </r>
  <r>
    <x v="2"/>
    <x v="3571"/>
  </r>
  <r>
    <x v="2"/>
    <x v="3572"/>
  </r>
  <r>
    <x v="2"/>
    <x v="3573"/>
  </r>
  <r>
    <x v="2"/>
    <x v="3574"/>
  </r>
  <r>
    <x v="2"/>
    <x v="3575"/>
  </r>
  <r>
    <x v="2"/>
    <x v="3576"/>
  </r>
  <r>
    <x v="2"/>
    <x v="3577"/>
  </r>
  <r>
    <x v="2"/>
    <x v="3578"/>
  </r>
  <r>
    <x v="2"/>
    <x v="3579"/>
  </r>
  <r>
    <x v="2"/>
    <x v="3580"/>
  </r>
  <r>
    <x v="2"/>
    <x v="3581"/>
  </r>
  <r>
    <x v="2"/>
    <x v="3582"/>
  </r>
  <r>
    <x v="2"/>
    <x v="3583"/>
  </r>
  <r>
    <x v="2"/>
    <x v="3584"/>
  </r>
  <r>
    <x v="2"/>
    <x v="3585"/>
  </r>
  <r>
    <x v="2"/>
    <x v="3586"/>
  </r>
  <r>
    <x v="2"/>
    <x v="3587"/>
  </r>
  <r>
    <x v="2"/>
    <x v="3588"/>
  </r>
  <r>
    <x v="2"/>
    <x v="3589"/>
  </r>
  <r>
    <x v="2"/>
    <x v="3590"/>
  </r>
  <r>
    <x v="2"/>
    <x v="3591"/>
  </r>
  <r>
    <x v="2"/>
    <x v="3592"/>
  </r>
  <r>
    <x v="2"/>
    <x v="3593"/>
  </r>
  <r>
    <x v="2"/>
    <x v="3594"/>
  </r>
  <r>
    <x v="2"/>
    <x v="3595"/>
  </r>
  <r>
    <x v="2"/>
    <x v="3596"/>
  </r>
  <r>
    <x v="2"/>
    <x v="3597"/>
  </r>
  <r>
    <x v="2"/>
    <x v="3598"/>
  </r>
  <r>
    <x v="2"/>
    <x v="3599"/>
  </r>
  <r>
    <x v="2"/>
    <x v="3600"/>
  </r>
  <r>
    <x v="2"/>
    <x v="3601"/>
  </r>
  <r>
    <x v="2"/>
    <x v="3602"/>
  </r>
  <r>
    <x v="2"/>
    <x v="3603"/>
  </r>
  <r>
    <x v="2"/>
    <x v="3604"/>
  </r>
  <r>
    <x v="2"/>
    <x v="3605"/>
  </r>
  <r>
    <x v="2"/>
    <x v="3606"/>
  </r>
  <r>
    <x v="2"/>
    <x v="3607"/>
  </r>
  <r>
    <x v="2"/>
    <x v="3608"/>
  </r>
  <r>
    <x v="2"/>
    <x v="3609"/>
  </r>
  <r>
    <x v="2"/>
    <x v="3610"/>
  </r>
  <r>
    <x v="2"/>
    <x v="3611"/>
  </r>
  <r>
    <x v="2"/>
    <x v="3612"/>
  </r>
  <r>
    <x v="2"/>
    <x v="3613"/>
  </r>
  <r>
    <x v="2"/>
    <x v="3614"/>
  </r>
  <r>
    <x v="2"/>
    <x v="3615"/>
  </r>
  <r>
    <x v="2"/>
    <x v="3616"/>
  </r>
  <r>
    <x v="2"/>
    <x v="3617"/>
  </r>
  <r>
    <x v="2"/>
    <x v="3618"/>
  </r>
  <r>
    <x v="2"/>
    <x v="3619"/>
  </r>
  <r>
    <x v="2"/>
    <x v="3620"/>
  </r>
  <r>
    <x v="2"/>
    <x v="3621"/>
  </r>
  <r>
    <x v="2"/>
    <x v="3622"/>
  </r>
  <r>
    <x v="2"/>
    <x v="3623"/>
  </r>
  <r>
    <x v="2"/>
    <x v="3624"/>
  </r>
  <r>
    <x v="2"/>
    <x v="3625"/>
  </r>
  <r>
    <x v="2"/>
    <x v="3626"/>
  </r>
  <r>
    <x v="2"/>
    <x v="3627"/>
  </r>
  <r>
    <x v="2"/>
    <x v="3628"/>
  </r>
  <r>
    <x v="2"/>
    <x v="3629"/>
  </r>
  <r>
    <x v="2"/>
    <x v="3630"/>
  </r>
  <r>
    <x v="2"/>
    <x v="3631"/>
  </r>
  <r>
    <x v="2"/>
    <x v="3632"/>
  </r>
  <r>
    <x v="2"/>
    <x v="3633"/>
  </r>
  <r>
    <x v="2"/>
    <x v="3634"/>
  </r>
  <r>
    <x v="2"/>
    <x v="3635"/>
  </r>
  <r>
    <x v="2"/>
    <x v="3636"/>
  </r>
  <r>
    <x v="2"/>
    <x v="3637"/>
  </r>
  <r>
    <x v="2"/>
    <x v="3638"/>
  </r>
  <r>
    <x v="2"/>
    <x v="3639"/>
  </r>
  <r>
    <x v="2"/>
    <x v="3640"/>
  </r>
  <r>
    <x v="2"/>
    <x v="3641"/>
  </r>
  <r>
    <x v="2"/>
    <x v="3642"/>
  </r>
  <r>
    <x v="2"/>
    <x v="3643"/>
  </r>
  <r>
    <x v="2"/>
    <x v="3644"/>
  </r>
  <r>
    <x v="2"/>
    <x v="3645"/>
  </r>
  <r>
    <x v="2"/>
    <x v="3646"/>
  </r>
  <r>
    <x v="2"/>
    <x v="3647"/>
  </r>
  <r>
    <x v="2"/>
    <x v="3648"/>
  </r>
  <r>
    <x v="2"/>
    <x v="3649"/>
  </r>
  <r>
    <x v="2"/>
    <x v="3650"/>
  </r>
  <r>
    <x v="2"/>
    <x v="3651"/>
  </r>
  <r>
    <x v="2"/>
    <x v="3652"/>
  </r>
  <r>
    <x v="2"/>
    <x v="3653"/>
  </r>
  <r>
    <x v="2"/>
    <x v="3654"/>
  </r>
  <r>
    <x v="2"/>
    <x v="3655"/>
  </r>
  <r>
    <x v="2"/>
    <x v="3656"/>
  </r>
  <r>
    <x v="2"/>
    <x v="3657"/>
  </r>
  <r>
    <x v="2"/>
    <x v="3658"/>
  </r>
  <r>
    <x v="2"/>
    <x v="3659"/>
  </r>
  <r>
    <x v="2"/>
    <x v="3660"/>
  </r>
  <r>
    <x v="2"/>
    <x v="3661"/>
  </r>
  <r>
    <x v="2"/>
    <x v="3662"/>
  </r>
  <r>
    <x v="2"/>
    <x v="3663"/>
  </r>
  <r>
    <x v="2"/>
    <x v="3664"/>
  </r>
  <r>
    <x v="2"/>
    <x v="3665"/>
  </r>
  <r>
    <x v="2"/>
    <x v="3666"/>
  </r>
  <r>
    <x v="2"/>
    <x v="3667"/>
  </r>
  <r>
    <x v="2"/>
    <x v="3668"/>
  </r>
  <r>
    <x v="2"/>
    <x v="3669"/>
  </r>
  <r>
    <x v="2"/>
    <x v="3670"/>
  </r>
  <r>
    <x v="2"/>
    <x v="3671"/>
  </r>
  <r>
    <x v="2"/>
    <x v="3672"/>
  </r>
  <r>
    <x v="2"/>
    <x v="3673"/>
  </r>
  <r>
    <x v="2"/>
    <x v="3674"/>
  </r>
  <r>
    <x v="2"/>
    <x v="3675"/>
  </r>
  <r>
    <x v="2"/>
    <x v="3676"/>
  </r>
  <r>
    <x v="2"/>
    <x v="3677"/>
  </r>
  <r>
    <x v="2"/>
    <x v="3678"/>
  </r>
  <r>
    <x v="2"/>
    <x v="3679"/>
  </r>
  <r>
    <x v="2"/>
    <x v="3680"/>
  </r>
  <r>
    <x v="2"/>
    <x v="3681"/>
  </r>
  <r>
    <x v="2"/>
    <x v="3682"/>
  </r>
  <r>
    <x v="2"/>
    <x v="3683"/>
  </r>
  <r>
    <x v="2"/>
    <x v="3684"/>
  </r>
  <r>
    <x v="2"/>
    <x v="3685"/>
  </r>
  <r>
    <x v="2"/>
    <x v="3686"/>
  </r>
  <r>
    <x v="2"/>
    <x v="3687"/>
  </r>
  <r>
    <x v="2"/>
    <x v="3688"/>
  </r>
  <r>
    <x v="2"/>
    <x v="3689"/>
  </r>
  <r>
    <x v="2"/>
    <x v="3690"/>
  </r>
  <r>
    <x v="2"/>
    <x v="3691"/>
  </r>
  <r>
    <x v="2"/>
    <x v="3692"/>
  </r>
  <r>
    <x v="2"/>
    <x v="3693"/>
  </r>
  <r>
    <x v="2"/>
    <x v="3694"/>
  </r>
  <r>
    <x v="2"/>
    <x v="3695"/>
  </r>
  <r>
    <x v="2"/>
    <x v="3696"/>
  </r>
  <r>
    <x v="2"/>
    <x v="3697"/>
  </r>
  <r>
    <x v="2"/>
    <x v="3698"/>
  </r>
  <r>
    <x v="2"/>
    <x v="3699"/>
  </r>
  <r>
    <x v="2"/>
    <x v="3700"/>
  </r>
  <r>
    <x v="2"/>
    <x v="3701"/>
  </r>
  <r>
    <x v="2"/>
    <x v="3702"/>
  </r>
  <r>
    <x v="2"/>
    <x v="3703"/>
  </r>
  <r>
    <x v="2"/>
    <x v="3704"/>
  </r>
  <r>
    <x v="2"/>
    <x v="3705"/>
  </r>
  <r>
    <x v="2"/>
    <x v="3706"/>
  </r>
  <r>
    <x v="2"/>
    <x v="3707"/>
  </r>
  <r>
    <x v="2"/>
    <x v="3708"/>
  </r>
  <r>
    <x v="2"/>
    <x v="3709"/>
  </r>
  <r>
    <x v="2"/>
    <x v="3710"/>
  </r>
  <r>
    <x v="2"/>
    <x v="3711"/>
  </r>
  <r>
    <x v="2"/>
    <x v="3712"/>
  </r>
  <r>
    <x v="2"/>
    <x v="3713"/>
  </r>
  <r>
    <x v="2"/>
    <x v="3714"/>
  </r>
  <r>
    <x v="2"/>
    <x v="3715"/>
  </r>
  <r>
    <x v="2"/>
    <x v="3716"/>
  </r>
  <r>
    <x v="2"/>
    <x v="3717"/>
  </r>
  <r>
    <x v="2"/>
    <x v="3718"/>
  </r>
  <r>
    <x v="2"/>
    <x v="3719"/>
  </r>
  <r>
    <x v="2"/>
    <x v="3720"/>
  </r>
  <r>
    <x v="2"/>
    <x v="3721"/>
  </r>
  <r>
    <x v="2"/>
    <x v="3722"/>
  </r>
  <r>
    <x v="2"/>
    <x v="3723"/>
  </r>
  <r>
    <x v="2"/>
    <x v="3724"/>
  </r>
  <r>
    <x v="2"/>
    <x v="3725"/>
  </r>
  <r>
    <x v="2"/>
    <x v="3726"/>
  </r>
  <r>
    <x v="2"/>
    <x v="3727"/>
  </r>
  <r>
    <x v="2"/>
    <x v="3728"/>
  </r>
  <r>
    <x v="2"/>
    <x v="3729"/>
  </r>
  <r>
    <x v="2"/>
    <x v="3730"/>
  </r>
  <r>
    <x v="2"/>
    <x v="3731"/>
  </r>
  <r>
    <x v="2"/>
    <x v="3732"/>
  </r>
  <r>
    <x v="2"/>
    <x v="3733"/>
  </r>
  <r>
    <x v="2"/>
    <x v="3734"/>
  </r>
  <r>
    <x v="2"/>
    <x v="3735"/>
  </r>
  <r>
    <x v="2"/>
    <x v="3736"/>
  </r>
  <r>
    <x v="2"/>
    <x v="3737"/>
  </r>
  <r>
    <x v="2"/>
    <x v="3738"/>
  </r>
  <r>
    <x v="2"/>
    <x v="3739"/>
  </r>
  <r>
    <x v="2"/>
    <x v="3740"/>
  </r>
  <r>
    <x v="2"/>
    <x v="3741"/>
  </r>
  <r>
    <x v="2"/>
    <x v="3742"/>
  </r>
  <r>
    <x v="2"/>
    <x v="3743"/>
  </r>
  <r>
    <x v="2"/>
    <x v="3744"/>
  </r>
  <r>
    <x v="2"/>
    <x v="3745"/>
  </r>
  <r>
    <x v="2"/>
    <x v="3746"/>
  </r>
  <r>
    <x v="2"/>
    <x v="3747"/>
  </r>
  <r>
    <x v="2"/>
    <x v="3748"/>
  </r>
  <r>
    <x v="2"/>
    <x v="3749"/>
  </r>
  <r>
    <x v="2"/>
    <x v="3750"/>
  </r>
  <r>
    <x v="2"/>
    <x v="3751"/>
  </r>
  <r>
    <x v="2"/>
    <x v="3752"/>
  </r>
  <r>
    <x v="2"/>
    <x v="3753"/>
  </r>
  <r>
    <x v="2"/>
    <x v="3754"/>
  </r>
  <r>
    <x v="2"/>
    <x v="3755"/>
  </r>
  <r>
    <x v="2"/>
    <x v="3756"/>
  </r>
  <r>
    <x v="2"/>
    <x v="3757"/>
  </r>
  <r>
    <x v="2"/>
    <x v="3758"/>
  </r>
  <r>
    <x v="2"/>
    <x v="3759"/>
  </r>
  <r>
    <x v="2"/>
    <x v="3760"/>
  </r>
  <r>
    <x v="2"/>
    <x v="3761"/>
  </r>
  <r>
    <x v="2"/>
    <x v="3762"/>
  </r>
  <r>
    <x v="2"/>
    <x v="3763"/>
  </r>
  <r>
    <x v="2"/>
    <x v="3764"/>
  </r>
  <r>
    <x v="2"/>
    <x v="3765"/>
  </r>
  <r>
    <x v="2"/>
    <x v="3766"/>
  </r>
  <r>
    <x v="2"/>
    <x v="3767"/>
  </r>
  <r>
    <x v="2"/>
    <x v="3768"/>
  </r>
  <r>
    <x v="2"/>
    <x v="3769"/>
  </r>
  <r>
    <x v="2"/>
    <x v="3770"/>
  </r>
  <r>
    <x v="2"/>
    <x v="3771"/>
  </r>
  <r>
    <x v="2"/>
    <x v="3772"/>
  </r>
  <r>
    <x v="2"/>
    <x v="3773"/>
  </r>
  <r>
    <x v="2"/>
    <x v="3774"/>
  </r>
  <r>
    <x v="2"/>
    <x v="3775"/>
  </r>
  <r>
    <x v="2"/>
    <x v="3776"/>
  </r>
  <r>
    <x v="2"/>
    <x v="3777"/>
  </r>
  <r>
    <x v="2"/>
    <x v="3778"/>
  </r>
  <r>
    <x v="2"/>
    <x v="3779"/>
  </r>
  <r>
    <x v="2"/>
    <x v="3780"/>
  </r>
  <r>
    <x v="2"/>
    <x v="3781"/>
  </r>
  <r>
    <x v="2"/>
    <x v="3782"/>
  </r>
  <r>
    <x v="2"/>
    <x v="3783"/>
  </r>
  <r>
    <x v="2"/>
    <x v="3784"/>
  </r>
  <r>
    <x v="2"/>
    <x v="3785"/>
  </r>
  <r>
    <x v="2"/>
    <x v="3786"/>
  </r>
  <r>
    <x v="2"/>
    <x v="3787"/>
  </r>
  <r>
    <x v="2"/>
    <x v="3788"/>
  </r>
  <r>
    <x v="2"/>
    <x v="3789"/>
  </r>
  <r>
    <x v="2"/>
    <x v="3790"/>
  </r>
  <r>
    <x v="2"/>
    <x v="3791"/>
  </r>
  <r>
    <x v="2"/>
    <x v="3792"/>
  </r>
  <r>
    <x v="2"/>
    <x v="3793"/>
  </r>
  <r>
    <x v="2"/>
    <x v="3794"/>
  </r>
  <r>
    <x v="2"/>
    <x v="3795"/>
  </r>
  <r>
    <x v="2"/>
    <x v="3796"/>
  </r>
  <r>
    <x v="2"/>
    <x v="3797"/>
  </r>
  <r>
    <x v="2"/>
    <x v="3798"/>
  </r>
  <r>
    <x v="2"/>
    <x v="3799"/>
  </r>
  <r>
    <x v="2"/>
    <x v="3800"/>
  </r>
  <r>
    <x v="2"/>
    <x v="3801"/>
  </r>
  <r>
    <x v="2"/>
    <x v="3802"/>
  </r>
  <r>
    <x v="2"/>
    <x v="3803"/>
  </r>
  <r>
    <x v="2"/>
    <x v="3804"/>
  </r>
  <r>
    <x v="2"/>
    <x v="3805"/>
  </r>
  <r>
    <x v="2"/>
    <x v="3806"/>
  </r>
  <r>
    <x v="2"/>
    <x v="3807"/>
  </r>
  <r>
    <x v="2"/>
    <x v="3808"/>
  </r>
  <r>
    <x v="2"/>
    <x v="3809"/>
  </r>
  <r>
    <x v="2"/>
    <x v="3810"/>
  </r>
  <r>
    <x v="2"/>
    <x v="3811"/>
  </r>
  <r>
    <x v="2"/>
    <x v="3812"/>
  </r>
  <r>
    <x v="2"/>
    <x v="3813"/>
  </r>
  <r>
    <x v="2"/>
    <x v="3814"/>
  </r>
  <r>
    <x v="2"/>
    <x v="3815"/>
  </r>
  <r>
    <x v="2"/>
    <x v="3816"/>
  </r>
  <r>
    <x v="2"/>
    <x v="3817"/>
  </r>
  <r>
    <x v="2"/>
    <x v="3818"/>
  </r>
  <r>
    <x v="2"/>
    <x v="3819"/>
  </r>
  <r>
    <x v="2"/>
    <x v="3820"/>
  </r>
  <r>
    <x v="2"/>
    <x v="3821"/>
  </r>
  <r>
    <x v="2"/>
    <x v="3822"/>
  </r>
  <r>
    <x v="2"/>
    <x v="3823"/>
  </r>
  <r>
    <x v="2"/>
    <x v="3824"/>
  </r>
  <r>
    <x v="2"/>
    <x v="3825"/>
  </r>
  <r>
    <x v="2"/>
    <x v="3826"/>
  </r>
  <r>
    <x v="2"/>
    <x v="3827"/>
  </r>
  <r>
    <x v="2"/>
    <x v="3828"/>
  </r>
  <r>
    <x v="2"/>
    <x v="3829"/>
  </r>
  <r>
    <x v="2"/>
    <x v="3830"/>
  </r>
  <r>
    <x v="2"/>
    <x v="3827"/>
  </r>
  <r>
    <x v="2"/>
    <x v="3828"/>
  </r>
  <r>
    <x v="2"/>
    <x v="3831"/>
  </r>
  <r>
    <x v="2"/>
    <x v="3832"/>
  </r>
  <r>
    <x v="2"/>
    <x v="3833"/>
  </r>
  <r>
    <x v="2"/>
    <x v="3834"/>
  </r>
  <r>
    <x v="2"/>
    <x v="3835"/>
  </r>
  <r>
    <x v="2"/>
    <x v="3836"/>
  </r>
  <r>
    <x v="2"/>
    <x v="3837"/>
  </r>
  <r>
    <x v="2"/>
    <x v="3838"/>
  </r>
  <r>
    <x v="2"/>
    <x v="3839"/>
  </r>
  <r>
    <x v="2"/>
    <x v="3840"/>
  </r>
  <r>
    <x v="2"/>
    <x v="3841"/>
  </r>
  <r>
    <x v="2"/>
    <x v="3842"/>
  </r>
  <r>
    <x v="2"/>
    <x v="3843"/>
  </r>
  <r>
    <x v="2"/>
    <x v="3844"/>
  </r>
  <r>
    <x v="2"/>
    <x v="3845"/>
  </r>
  <r>
    <x v="2"/>
    <x v="3846"/>
  </r>
  <r>
    <x v="2"/>
    <x v="3847"/>
  </r>
  <r>
    <x v="2"/>
    <x v="3848"/>
  </r>
  <r>
    <x v="2"/>
    <x v="3849"/>
  </r>
  <r>
    <x v="2"/>
    <x v="3850"/>
  </r>
  <r>
    <x v="2"/>
    <x v="3851"/>
  </r>
  <r>
    <x v="2"/>
    <x v="3852"/>
  </r>
  <r>
    <x v="2"/>
    <x v="3853"/>
  </r>
  <r>
    <x v="2"/>
    <x v="3854"/>
  </r>
  <r>
    <x v="2"/>
    <x v="3855"/>
  </r>
  <r>
    <x v="2"/>
    <x v="3856"/>
  </r>
  <r>
    <x v="2"/>
    <x v="3857"/>
  </r>
  <r>
    <x v="2"/>
    <x v="3858"/>
  </r>
  <r>
    <x v="2"/>
    <x v="3859"/>
  </r>
  <r>
    <x v="2"/>
    <x v="3860"/>
  </r>
  <r>
    <x v="2"/>
    <x v="3861"/>
  </r>
  <r>
    <x v="2"/>
    <x v="3862"/>
  </r>
  <r>
    <x v="2"/>
    <x v="3863"/>
  </r>
  <r>
    <x v="2"/>
    <x v="3864"/>
  </r>
  <r>
    <x v="2"/>
    <x v="3865"/>
  </r>
  <r>
    <x v="2"/>
    <x v="3866"/>
  </r>
  <r>
    <x v="2"/>
    <x v="3867"/>
  </r>
  <r>
    <x v="2"/>
    <x v="3868"/>
  </r>
  <r>
    <x v="2"/>
    <x v="3869"/>
  </r>
  <r>
    <x v="2"/>
    <x v="3870"/>
  </r>
  <r>
    <x v="2"/>
    <x v="3871"/>
  </r>
  <r>
    <x v="2"/>
    <x v="3872"/>
  </r>
  <r>
    <x v="2"/>
    <x v="3873"/>
  </r>
  <r>
    <x v="2"/>
    <x v="3874"/>
  </r>
  <r>
    <x v="2"/>
    <x v="3875"/>
  </r>
  <r>
    <x v="2"/>
    <x v="3876"/>
  </r>
  <r>
    <x v="2"/>
    <x v="3877"/>
  </r>
  <r>
    <x v="2"/>
    <x v="3878"/>
  </r>
  <r>
    <x v="2"/>
    <x v="3879"/>
  </r>
  <r>
    <x v="2"/>
    <x v="3880"/>
  </r>
  <r>
    <x v="2"/>
    <x v="3881"/>
  </r>
  <r>
    <x v="2"/>
    <x v="3882"/>
  </r>
  <r>
    <x v="2"/>
    <x v="3883"/>
  </r>
  <r>
    <x v="2"/>
    <x v="3884"/>
  </r>
  <r>
    <x v="2"/>
    <x v="3885"/>
  </r>
  <r>
    <x v="2"/>
    <x v="3886"/>
  </r>
  <r>
    <x v="2"/>
    <x v="3887"/>
  </r>
  <r>
    <x v="2"/>
    <x v="3888"/>
  </r>
  <r>
    <x v="2"/>
    <x v="3889"/>
  </r>
  <r>
    <x v="2"/>
    <x v="3890"/>
  </r>
  <r>
    <x v="2"/>
    <x v="3891"/>
  </r>
  <r>
    <x v="2"/>
    <x v="3892"/>
  </r>
  <r>
    <x v="2"/>
    <x v="3893"/>
  </r>
  <r>
    <x v="2"/>
    <x v="3894"/>
  </r>
  <r>
    <x v="2"/>
    <x v="3895"/>
  </r>
  <r>
    <x v="2"/>
    <x v="3896"/>
  </r>
  <r>
    <x v="2"/>
    <x v="3897"/>
  </r>
  <r>
    <x v="2"/>
    <x v="3898"/>
  </r>
  <r>
    <x v="2"/>
    <x v="3899"/>
  </r>
  <r>
    <x v="2"/>
    <x v="3900"/>
  </r>
  <r>
    <x v="2"/>
    <x v="3901"/>
  </r>
  <r>
    <x v="2"/>
    <x v="3902"/>
  </r>
  <r>
    <x v="2"/>
    <x v="3903"/>
  </r>
  <r>
    <x v="2"/>
    <x v="3904"/>
  </r>
  <r>
    <x v="2"/>
    <x v="3905"/>
  </r>
  <r>
    <x v="2"/>
    <x v="3906"/>
  </r>
  <r>
    <x v="2"/>
    <x v="3907"/>
  </r>
  <r>
    <x v="2"/>
    <x v="3908"/>
  </r>
  <r>
    <x v="2"/>
    <x v="3909"/>
  </r>
  <r>
    <x v="2"/>
    <x v="3910"/>
  </r>
  <r>
    <x v="2"/>
    <x v="3911"/>
  </r>
  <r>
    <x v="2"/>
    <x v="3912"/>
  </r>
  <r>
    <x v="2"/>
    <x v="3913"/>
  </r>
  <r>
    <x v="2"/>
    <x v="3914"/>
  </r>
  <r>
    <x v="2"/>
    <x v="3915"/>
  </r>
  <r>
    <x v="2"/>
    <x v="3916"/>
  </r>
  <r>
    <x v="2"/>
    <x v="3917"/>
  </r>
  <r>
    <x v="2"/>
    <x v="3918"/>
  </r>
  <r>
    <x v="2"/>
    <x v="3919"/>
  </r>
  <r>
    <x v="2"/>
    <x v="3920"/>
  </r>
  <r>
    <x v="2"/>
    <x v="3921"/>
  </r>
  <r>
    <x v="2"/>
    <x v="3922"/>
  </r>
  <r>
    <x v="2"/>
    <x v="3923"/>
  </r>
  <r>
    <x v="2"/>
    <x v="3924"/>
  </r>
  <r>
    <x v="2"/>
    <x v="3925"/>
  </r>
  <r>
    <x v="2"/>
    <x v="3926"/>
  </r>
  <r>
    <x v="2"/>
    <x v="3927"/>
  </r>
  <r>
    <x v="2"/>
    <x v="3928"/>
  </r>
  <r>
    <x v="2"/>
    <x v="3929"/>
  </r>
  <r>
    <x v="2"/>
    <x v="3930"/>
  </r>
  <r>
    <x v="2"/>
    <x v="3931"/>
  </r>
  <r>
    <x v="2"/>
    <x v="3932"/>
  </r>
  <r>
    <x v="2"/>
    <x v="3933"/>
  </r>
  <r>
    <x v="2"/>
    <x v="3934"/>
  </r>
  <r>
    <x v="2"/>
    <x v="3935"/>
  </r>
  <r>
    <x v="2"/>
    <x v="3936"/>
  </r>
  <r>
    <x v="2"/>
    <x v="3937"/>
  </r>
  <r>
    <x v="2"/>
    <x v="3938"/>
  </r>
  <r>
    <x v="2"/>
    <x v="3939"/>
  </r>
  <r>
    <x v="2"/>
    <x v="3940"/>
  </r>
  <r>
    <x v="2"/>
    <x v="3941"/>
  </r>
  <r>
    <x v="2"/>
    <x v="3942"/>
  </r>
  <r>
    <x v="2"/>
    <x v="3943"/>
  </r>
  <r>
    <x v="2"/>
    <x v="3944"/>
  </r>
  <r>
    <x v="2"/>
    <x v="3945"/>
  </r>
  <r>
    <x v="2"/>
    <x v="3946"/>
  </r>
  <r>
    <x v="2"/>
    <x v="3947"/>
  </r>
  <r>
    <x v="2"/>
    <x v="3948"/>
  </r>
  <r>
    <x v="2"/>
    <x v="3949"/>
  </r>
  <r>
    <x v="2"/>
    <x v="3950"/>
  </r>
  <r>
    <x v="2"/>
    <x v="3951"/>
  </r>
  <r>
    <x v="2"/>
    <x v="3952"/>
  </r>
  <r>
    <x v="2"/>
    <x v="3953"/>
  </r>
  <r>
    <x v="2"/>
    <x v="3954"/>
  </r>
  <r>
    <x v="2"/>
    <x v="3955"/>
  </r>
  <r>
    <x v="2"/>
    <x v="3956"/>
  </r>
  <r>
    <x v="2"/>
    <x v="3957"/>
  </r>
  <r>
    <x v="2"/>
    <x v="3958"/>
  </r>
  <r>
    <x v="2"/>
    <x v="3959"/>
  </r>
  <r>
    <x v="2"/>
    <x v="3960"/>
  </r>
  <r>
    <x v="2"/>
    <x v="3961"/>
  </r>
  <r>
    <x v="2"/>
    <x v="3962"/>
  </r>
  <r>
    <x v="2"/>
    <x v="3963"/>
  </r>
  <r>
    <x v="2"/>
    <x v="3964"/>
  </r>
  <r>
    <x v="2"/>
    <x v="3965"/>
  </r>
  <r>
    <x v="2"/>
    <x v="3966"/>
  </r>
  <r>
    <x v="2"/>
    <x v="3967"/>
  </r>
  <r>
    <x v="2"/>
    <x v="3968"/>
  </r>
  <r>
    <x v="2"/>
    <x v="3969"/>
  </r>
  <r>
    <x v="2"/>
    <x v="3970"/>
  </r>
  <r>
    <x v="2"/>
    <x v="3971"/>
  </r>
  <r>
    <x v="2"/>
    <x v="3972"/>
  </r>
  <r>
    <x v="2"/>
    <x v="3973"/>
  </r>
  <r>
    <x v="2"/>
    <x v="3974"/>
  </r>
  <r>
    <x v="2"/>
    <x v="3975"/>
  </r>
  <r>
    <x v="2"/>
    <x v="3976"/>
  </r>
  <r>
    <x v="2"/>
    <x v="3977"/>
  </r>
  <r>
    <x v="2"/>
    <x v="3978"/>
  </r>
  <r>
    <x v="2"/>
    <x v="3979"/>
  </r>
  <r>
    <x v="2"/>
    <x v="3980"/>
  </r>
  <r>
    <x v="2"/>
    <x v="3981"/>
  </r>
  <r>
    <x v="2"/>
    <x v="3982"/>
  </r>
  <r>
    <x v="2"/>
    <x v="3983"/>
  </r>
  <r>
    <x v="2"/>
    <x v="3984"/>
  </r>
  <r>
    <x v="2"/>
    <x v="3985"/>
  </r>
  <r>
    <x v="2"/>
    <x v="3986"/>
  </r>
  <r>
    <x v="2"/>
    <x v="3987"/>
  </r>
  <r>
    <x v="2"/>
    <x v="3988"/>
  </r>
  <r>
    <x v="2"/>
    <x v="3989"/>
  </r>
  <r>
    <x v="2"/>
    <x v="3990"/>
  </r>
  <r>
    <x v="2"/>
    <x v="3991"/>
  </r>
  <r>
    <x v="2"/>
    <x v="3992"/>
  </r>
  <r>
    <x v="2"/>
    <x v="3993"/>
  </r>
  <r>
    <x v="2"/>
    <x v="3994"/>
  </r>
  <r>
    <x v="2"/>
    <x v="3995"/>
  </r>
  <r>
    <x v="2"/>
    <x v="3996"/>
  </r>
  <r>
    <x v="2"/>
    <x v="3997"/>
  </r>
  <r>
    <x v="2"/>
    <x v="3998"/>
  </r>
  <r>
    <x v="2"/>
    <x v="3999"/>
  </r>
  <r>
    <x v="2"/>
    <x v="4000"/>
  </r>
  <r>
    <x v="2"/>
    <x v="4001"/>
  </r>
  <r>
    <x v="2"/>
    <x v="4002"/>
  </r>
  <r>
    <x v="2"/>
    <x v="4003"/>
  </r>
  <r>
    <x v="2"/>
    <x v="4004"/>
  </r>
  <r>
    <x v="2"/>
    <x v="4005"/>
  </r>
  <r>
    <x v="2"/>
    <x v="4006"/>
  </r>
  <r>
    <x v="2"/>
    <x v="4007"/>
  </r>
  <r>
    <x v="2"/>
    <x v="4008"/>
  </r>
  <r>
    <x v="2"/>
    <x v="4009"/>
  </r>
  <r>
    <x v="2"/>
    <x v="4010"/>
  </r>
  <r>
    <x v="2"/>
    <x v="4011"/>
  </r>
  <r>
    <x v="2"/>
    <x v="4012"/>
  </r>
  <r>
    <x v="2"/>
    <x v="4013"/>
  </r>
  <r>
    <x v="2"/>
    <x v="4014"/>
  </r>
  <r>
    <x v="2"/>
    <x v="4015"/>
  </r>
  <r>
    <x v="2"/>
    <x v="4016"/>
  </r>
  <r>
    <x v="2"/>
    <x v="4017"/>
  </r>
  <r>
    <x v="2"/>
    <x v="4018"/>
  </r>
  <r>
    <x v="2"/>
    <x v="4019"/>
  </r>
  <r>
    <x v="2"/>
    <x v="4020"/>
  </r>
  <r>
    <x v="2"/>
    <x v="4021"/>
  </r>
  <r>
    <x v="2"/>
    <x v="4022"/>
  </r>
  <r>
    <x v="2"/>
    <x v="4023"/>
  </r>
  <r>
    <x v="2"/>
    <x v="4024"/>
  </r>
  <r>
    <x v="2"/>
    <x v="4025"/>
  </r>
  <r>
    <x v="2"/>
    <x v="4026"/>
  </r>
  <r>
    <x v="2"/>
    <x v="4027"/>
  </r>
  <r>
    <x v="2"/>
    <x v="4028"/>
  </r>
  <r>
    <x v="2"/>
    <x v="4029"/>
  </r>
  <r>
    <x v="2"/>
    <x v="4030"/>
  </r>
  <r>
    <x v="2"/>
    <x v="4031"/>
  </r>
  <r>
    <x v="2"/>
    <x v="4032"/>
  </r>
  <r>
    <x v="2"/>
    <x v="4033"/>
  </r>
  <r>
    <x v="2"/>
    <x v="4034"/>
  </r>
  <r>
    <x v="2"/>
    <x v="4035"/>
  </r>
  <r>
    <x v="2"/>
    <x v="4036"/>
  </r>
  <r>
    <x v="2"/>
    <x v="4037"/>
  </r>
  <r>
    <x v="2"/>
    <x v="4038"/>
  </r>
  <r>
    <x v="2"/>
    <x v="4039"/>
  </r>
  <r>
    <x v="2"/>
    <x v="4040"/>
  </r>
  <r>
    <x v="2"/>
    <x v="4041"/>
  </r>
  <r>
    <x v="2"/>
    <x v="4042"/>
  </r>
  <r>
    <x v="2"/>
    <x v="4043"/>
  </r>
  <r>
    <x v="2"/>
    <x v="4044"/>
  </r>
  <r>
    <x v="2"/>
    <x v="4045"/>
  </r>
  <r>
    <x v="2"/>
    <x v="4046"/>
  </r>
  <r>
    <x v="2"/>
    <x v="4047"/>
  </r>
  <r>
    <x v="2"/>
    <x v="4048"/>
  </r>
  <r>
    <x v="2"/>
    <x v="4049"/>
  </r>
  <r>
    <x v="2"/>
    <x v="4050"/>
  </r>
  <r>
    <x v="2"/>
    <x v="4051"/>
  </r>
  <r>
    <x v="2"/>
    <x v="4052"/>
  </r>
  <r>
    <x v="2"/>
    <x v="4053"/>
  </r>
  <r>
    <x v="2"/>
    <x v="4054"/>
  </r>
  <r>
    <x v="2"/>
    <x v="4055"/>
  </r>
  <r>
    <x v="2"/>
    <x v="4056"/>
  </r>
  <r>
    <x v="2"/>
    <x v="4057"/>
  </r>
  <r>
    <x v="2"/>
    <x v="4058"/>
  </r>
  <r>
    <x v="2"/>
    <x v="4059"/>
  </r>
  <r>
    <x v="2"/>
    <x v="4060"/>
  </r>
  <r>
    <x v="2"/>
    <x v="4061"/>
  </r>
  <r>
    <x v="2"/>
    <x v="4062"/>
  </r>
  <r>
    <x v="2"/>
    <x v="4063"/>
  </r>
  <r>
    <x v="2"/>
    <x v="4064"/>
  </r>
  <r>
    <x v="2"/>
    <x v="4065"/>
  </r>
  <r>
    <x v="2"/>
    <x v="4066"/>
  </r>
  <r>
    <x v="2"/>
    <x v="4067"/>
  </r>
  <r>
    <x v="2"/>
    <x v="4068"/>
  </r>
  <r>
    <x v="2"/>
    <x v="4069"/>
  </r>
  <r>
    <x v="2"/>
    <x v="4070"/>
  </r>
  <r>
    <x v="2"/>
    <x v="4071"/>
  </r>
  <r>
    <x v="2"/>
    <x v="4072"/>
  </r>
  <r>
    <x v="2"/>
    <x v="4073"/>
  </r>
  <r>
    <x v="2"/>
    <x v="4074"/>
  </r>
  <r>
    <x v="2"/>
    <x v="4075"/>
  </r>
  <r>
    <x v="2"/>
    <x v="4076"/>
  </r>
  <r>
    <x v="2"/>
    <x v="4077"/>
  </r>
  <r>
    <x v="2"/>
    <x v="4078"/>
  </r>
  <r>
    <x v="2"/>
    <x v="4079"/>
  </r>
  <r>
    <x v="2"/>
    <x v="4080"/>
  </r>
  <r>
    <x v="2"/>
    <x v="4081"/>
  </r>
  <r>
    <x v="2"/>
    <x v="4082"/>
  </r>
  <r>
    <x v="2"/>
    <x v="4083"/>
  </r>
  <r>
    <x v="2"/>
    <x v="4084"/>
  </r>
  <r>
    <x v="2"/>
    <x v="4085"/>
  </r>
  <r>
    <x v="2"/>
    <x v="4086"/>
  </r>
  <r>
    <x v="2"/>
    <x v="4087"/>
  </r>
  <r>
    <x v="2"/>
    <x v="4088"/>
  </r>
  <r>
    <x v="2"/>
    <x v="4089"/>
  </r>
  <r>
    <x v="2"/>
    <x v="4090"/>
  </r>
  <r>
    <x v="2"/>
    <x v="4091"/>
  </r>
  <r>
    <x v="2"/>
    <x v="4092"/>
  </r>
  <r>
    <x v="2"/>
    <x v="4093"/>
  </r>
  <r>
    <x v="2"/>
    <x v="4094"/>
  </r>
  <r>
    <x v="2"/>
    <x v="4095"/>
  </r>
  <r>
    <x v="2"/>
    <x v="4096"/>
  </r>
  <r>
    <x v="2"/>
    <x v="4097"/>
  </r>
  <r>
    <x v="2"/>
    <x v="4098"/>
  </r>
  <r>
    <x v="2"/>
    <x v="4099"/>
  </r>
  <r>
    <x v="2"/>
    <x v="4100"/>
  </r>
  <r>
    <x v="2"/>
    <x v="4101"/>
  </r>
  <r>
    <x v="2"/>
    <x v="4102"/>
  </r>
  <r>
    <x v="2"/>
    <x v="4103"/>
  </r>
  <r>
    <x v="2"/>
    <x v="4104"/>
  </r>
  <r>
    <x v="2"/>
    <x v="4105"/>
  </r>
  <r>
    <x v="2"/>
    <x v="4106"/>
  </r>
  <r>
    <x v="2"/>
    <x v="4107"/>
  </r>
  <r>
    <x v="2"/>
    <x v="4108"/>
  </r>
  <r>
    <x v="2"/>
    <x v="4109"/>
  </r>
  <r>
    <x v="2"/>
    <x v="4110"/>
  </r>
  <r>
    <x v="2"/>
    <x v="4111"/>
  </r>
  <r>
    <x v="2"/>
    <x v="4112"/>
  </r>
  <r>
    <x v="2"/>
    <x v="4113"/>
  </r>
  <r>
    <x v="2"/>
    <x v="4114"/>
  </r>
  <r>
    <x v="2"/>
    <x v="4115"/>
  </r>
  <r>
    <x v="2"/>
    <x v="4116"/>
  </r>
  <r>
    <x v="2"/>
    <x v="4117"/>
  </r>
  <r>
    <x v="2"/>
    <x v="4118"/>
  </r>
  <r>
    <x v="2"/>
    <x v="4119"/>
  </r>
  <r>
    <x v="2"/>
    <x v="4120"/>
  </r>
  <r>
    <x v="2"/>
    <x v="4121"/>
  </r>
  <r>
    <x v="2"/>
    <x v="4122"/>
  </r>
  <r>
    <x v="2"/>
    <x v="4123"/>
  </r>
  <r>
    <x v="2"/>
    <x v="4124"/>
  </r>
  <r>
    <x v="2"/>
    <x v="4125"/>
  </r>
  <r>
    <x v="2"/>
    <x v="4126"/>
  </r>
  <r>
    <x v="2"/>
    <x v="4127"/>
  </r>
  <r>
    <x v="2"/>
    <x v="4128"/>
  </r>
  <r>
    <x v="2"/>
    <x v="4129"/>
  </r>
  <r>
    <x v="2"/>
    <x v="4130"/>
  </r>
  <r>
    <x v="2"/>
    <x v="4131"/>
  </r>
  <r>
    <x v="2"/>
    <x v="4132"/>
  </r>
  <r>
    <x v="2"/>
    <x v="4133"/>
  </r>
  <r>
    <x v="2"/>
    <x v="4134"/>
  </r>
  <r>
    <x v="2"/>
    <x v="4135"/>
  </r>
  <r>
    <x v="2"/>
    <x v="4136"/>
  </r>
  <r>
    <x v="2"/>
    <x v="4137"/>
  </r>
  <r>
    <x v="2"/>
    <x v="4138"/>
  </r>
  <r>
    <x v="2"/>
    <x v="4139"/>
  </r>
  <r>
    <x v="2"/>
    <x v="4140"/>
  </r>
  <r>
    <x v="2"/>
    <x v="4141"/>
  </r>
  <r>
    <x v="2"/>
    <x v="4142"/>
  </r>
  <r>
    <x v="2"/>
    <x v="4143"/>
  </r>
  <r>
    <x v="2"/>
    <x v="4144"/>
  </r>
  <r>
    <x v="2"/>
    <x v="4145"/>
  </r>
  <r>
    <x v="2"/>
    <x v="4146"/>
  </r>
  <r>
    <x v="2"/>
    <x v="4147"/>
  </r>
  <r>
    <x v="2"/>
    <x v="4148"/>
  </r>
  <r>
    <x v="2"/>
    <x v="4149"/>
  </r>
  <r>
    <x v="2"/>
    <x v="4150"/>
  </r>
  <r>
    <x v="2"/>
    <x v="4151"/>
  </r>
  <r>
    <x v="2"/>
    <x v="4152"/>
  </r>
  <r>
    <x v="2"/>
    <x v="4153"/>
  </r>
  <r>
    <x v="2"/>
    <x v="4154"/>
  </r>
  <r>
    <x v="2"/>
    <x v="4155"/>
  </r>
  <r>
    <x v="2"/>
    <x v="4156"/>
  </r>
  <r>
    <x v="2"/>
    <x v="4157"/>
  </r>
  <r>
    <x v="2"/>
    <x v="4158"/>
  </r>
  <r>
    <x v="2"/>
    <x v="4159"/>
  </r>
  <r>
    <x v="2"/>
    <x v="4160"/>
  </r>
  <r>
    <x v="2"/>
    <x v="4161"/>
  </r>
  <r>
    <x v="2"/>
    <x v="4162"/>
  </r>
  <r>
    <x v="2"/>
    <x v="4163"/>
  </r>
  <r>
    <x v="2"/>
    <x v="4164"/>
  </r>
  <r>
    <x v="2"/>
    <x v="4165"/>
  </r>
  <r>
    <x v="2"/>
    <x v="4166"/>
  </r>
  <r>
    <x v="2"/>
    <x v="4167"/>
  </r>
  <r>
    <x v="2"/>
    <x v="4168"/>
  </r>
  <r>
    <x v="2"/>
    <x v="4169"/>
  </r>
  <r>
    <x v="2"/>
    <x v="4170"/>
  </r>
  <r>
    <x v="2"/>
    <x v="4171"/>
  </r>
  <r>
    <x v="2"/>
    <x v="4172"/>
  </r>
  <r>
    <x v="2"/>
    <x v="4173"/>
  </r>
  <r>
    <x v="2"/>
    <x v="4174"/>
  </r>
  <r>
    <x v="2"/>
    <x v="4175"/>
  </r>
  <r>
    <x v="2"/>
    <x v="4176"/>
  </r>
  <r>
    <x v="2"/>
    <x v="4177"/>
  </r>
  <r>
    <x v="2"/>
    <x v="4178"/>
  </r>
  <r>
    <x v="2"/>
    <x v="4179"/>
  </r>
  <r>
    <x v="2"/>
    <x v="4180"/>
  </r>
  <r>
    <x v="2"/>
    <x v="4181"/>
  </r>
  <r>
    <x v="2"/>
    <x v="4182"/>
  </r>
  <r>
    <x v="2"/>
    <x v="4183"/>
  </r>
  <r>
    <x v="2"/>
    <x v="4184"/>
  </r>
  <r>
    <x v="2"/>
    <x v="4185"/>
  </r>
  <r>
    <x v="2"/>
    <x v="4186"/>
  </r>
  <r>
    <x v="2"/>
    <x v="4187"/>
  </r>
  <r>
    <x v="2"/>
    <x v="4188"/>
  </r>
  <r>
    <x v="2"/>
    <x v="4189"/>
  </r>
  <r>
    <x v="2"/>
    <x v="4190"/>
  </r>
  <r>
    <x v="2"/>
    <x v="4191"/>
  </r>
  <r>
    <x v="2"/>
    <x v="4192"/>
  </r>
  <r>
    <x v="2"/>
    <x v="4193"/>
  </r>
  <r>
    <x v="2"/>
    <x v="4194"/>
  </r>
  <r>
    <x v="2"/>
    <x v="4195"/>
  </r>
  <r>
    <x v="2"/>
    <x v="4196"/>
  </r>
  <r>
    <x v="2"/>
    <x v="4197"/>
  </r>
  <r>
    <x v="2"/>
    <x v="4198"/>
  </r>
  <r>
    <x v="2"/>
    <x v="4199"/>
  </r>
  <r>
    <x v="2"/>
    <x v="4200"/>
  </r>
  <r>
    <x v="2"/>
    <x v="4201"/>
  </r>
  <r>
    <x v="2"/>
    <x v="4202"/>
  </r>
  <r>
    <x v="2"/>
    <x v="4203"/>
  </r>
  <r>
    <x v="2"/>
    <x v="4204"/>
  </r>
  <r>
    <x v="2"/>
    <x v="4205"/>
  </r>
  <r>
    <x v="2"/>
    <x v="4206"/>
  </r>
  <r>
    <x v="2"/>
    <x v="4207"/>
  </r>
  <r>
    <x v="2"/>
    <x v="4208"/>
  </r>
  <r>
    <x v="2"/>
    <x v="4209"/>
  </r>
  <r>
    <x v="2"/>
    <x v="4210"/>
  </r>
  <r>
    <x v="2"/>
    <x v="4211"/>
  </r>
  <r>
    <x v="2"/>
    <x v="4212"/>
  </r>
  <r>
    <x v="2"/>
    <x v="4213"/>
  </r>
  <r>
    <x v="2"/>
    <x v="4214"/>
  </r>
  <r>
    <x v="2"/>
    <x v="4215"/>
  </r>
  <r>
    <x v="2"/>
    <x v="4216"/>
  </r>
  <r>
    <x v="2"/>
    <x v="4217"/>
  </r>
  <r>
    <x v="2"/>
    <x v="4218"/>
  </r>
  <r>
    <x v="2"/>
    <x v="4219"/>
  </r>
  <r>
    <x v="2"/>
    <x v="4220"/>
  </r>
  <r>
    <x v="2"/>
    <x v="4221"/>
  </r>
  <r>
    <x v="2"/>
    <x v="4222"/>
  </r>
  <r>
    <x v="2"/>
    <x v="4223"/>
  </r>
  <r>
    <x v="2"/>
    <x v="4224"/>
  </r>
  <r>
    <x v="2"/>
    <x v="4225"/>
  </r>
  <r>
    <x v="2"/>
    <x v="4226"/>
  </r>
  <r>
    <x v="2"/>
    <x v="4227"/>
  </r>
  <r>
    <x v="2"/>
    <x v="4228"/>
  </r>
  <r>
    <x v="2"/>
    <x v="4229"/>
  </r>
  <r>
    <x v="2"/>
    <x v="4230"/>
  </r>
  <r>
    <x v="2"/>
    <x v="4231"/>
  </r>
  <r>
    <x v="2"/>
    <x v="4232"/>
  </r>
  <r>
    <x v="2"/>
    <x v="4233"/>
  </r>
  <r>
    <x v="2"/>
    <x v="4234"/>
  </r>
  <r>
    <x v="2"/>
    <x v="4235"/>
  </r>
  <r>
    <x v="2"/>
    <x v="4236"/>
  </r>
  <r>
    <x v="2"/>
    <x v="4237"/>
  </r>
  <r>
    <x v="2"/>
    <x v="4238"/>
  </r>
  <r>
    <x v="2"/>
    <x v="4239"/>
  </r>
  <r>
    <x v="2"/>
    <x v="4240"/>
  </r>
  <r>
    <x v="2"/>
    <x v="4241"/>
  </r>
  <r>
    <x v="2"/>
    <x v="4242"/>
  </r>
  <r>
    <x v="2"/>
    <x v="4243"/>
  </r>
  <r>
    <x v="2"/>
    <x v="4244"/>
  </r>
  <r>
    <x v="2"/>
    <x v="4245"/>
  </r>
  <r>
    <x v="2"/>
    <x v="4246"/>
  </r>
  <r>
    <x v="2"/>
    <x v="4247"/>
  </r>
  <r>
    <x v="2"/>
    <x v="4248"/>
  </r>
  <r>
    <x v="2"/>
    <x v="4249"/>
  </r>
  <r>
    <x v="2"/>
    <x v="4250"/>
  </r>
  <r>
    <x v="2"/>
    <x v="4251"/>
  </r>
  <r>
    <x v="2"/>
    <x v="4252"/>
  </r>
  <r>
    <x v="2"/>
    <x v="4253"/>
  </r>
  <r>
    <x v="2"/>
    <x v="4254"/>
  </r>
  <r>
    <x v="2"/>
    <x v="4255"/>
  </r>
  <r>
    <x v="2"/>
    <x v="4256"/>
  </r>
  <r>
    <x v="2"/>
    <x v="4257"/>
  </r>
  <r>
    <x v="2"/>
    <x v="4258"/>
  </r>
  <r>
    <x v="2"/>
    <x v="4259"/>
  </r>
  <r>
    <x v="2"/>
    <x v="4260"/>
  </r>
  <r>
    <x v="2"/>
    <x v="4261"/>
  </r>
  <r>
    <x v="2"/>
    <x v="4262"/>
  </r>
  <r>
    <x v="2"/>
    <x v="4263"/>
  </r>
  <r>
    <x v="2"/>
    <x v="4264"/>
  </r>
  <r>
    <x v="2"/>
    <x v="4265"/>
  </r>
  <r>
    <x v="2"/>
    <x v="4266"/>
  </r>
  <r>
    <x v="2"/>
    <x v="4267"/>
  </r>
  <r>
    <x v="2"/>
    <x v="4268"/>
  </r>
  <r>
    <x v="2"/>
    <x v="4269"/>
  </r>
  <r>
    <x v="2"/>
    <x v="4270"/>
  </r>
  <r>
    <x v="2"/>
    <x v="4271"/>
  </r>
  <r>
    <x v="2"/>
    <x v="4272"/>
  </r>
  <r>
    <x v="2"/>
    <x v="4273"/>
  </r>
  <r>
    <x v="2"/>
    <x v="4274"/>
  </r>
  <r>
    <x v="2"/>
    <x v="4275"/>
  </r>
  <r>
    <x v="2"/>
    <x v="4276"/>
  </r>
  <r>
    <x v="2"/>
    <x v="4277"/>
  </r>
  <r>
    <x v="2"/>
    <x v="4278"/>
  </r>
  <r>
    <x v="2"/>
    <x v="4279"/>
  </r>
  <r>
    <x v="2"/>
    <x v="4280"/>
  </r>
  <r>
    <x v="2"/>
    <x v="4281"/>
  </r>
  <r>
    <x v="2"/>
    <x v="4282"/>
  </r>
  <r>
    <x v="2"/>
    <x v="4283"/>
  </r>
  <r>
    <x v="2"/>
    <x v="4284"/>
  </r>
  <r>
    <x v="2"/>
    <x v="4285"/>
  </r>
  <r>
    <x v="2"/>
    <x v="4286"/>
  </r>
  <r>
    <x v="2"/>
    <x v="4287"/>
  </r>
  <r>
    <x v="2"/>
    <x v="4288"/>
  </r>
  <r>
    <x v="2"/>
    <x v="4289"/>
  </r>
  <r>
    <x v="2"/>
    <x v="4290"/>
  </r>
  <r>
    <x v="2"/>
    <x v="4291"/>
  </r>
  <r>
    <x v="2"/>
    <x v="4292"/>
  </r>
  <r>
    <x v="2"/>
    <x v="4293"/>
  </r>
  <r>
    <x v="2"/>
    <x v="4294"/>
  </r>
  <r>
    <x v="2"/>
    <x v="4295"/>
  </r>
  <r>
    <x v="2"/>
    <x v="4296"/>
  </r>
  <r>
    <x v="2"/>
    <x v="4297"/>
  </r>
  <r>
    <x v="2"/>
    <x v="4298"/>
  </r>
  <r>
    <x v="2"/>
    <x v="4299"/>
  </r>
  <r>
    <x v="2"/>
    <x v="4300"/>
  </r>
  <r>
    <x v="2"/>
    <x v="4301"/>
  </r>
  <r>
    <x v="2"/>
    <x v="4302"/>
  </r>
  <r>
    <x v="2"/>
    <x v="4303"/>
  </r>
  <r>
    <x v="2"/>
    <x v="4304"/>
  </r>
  <r>
    <x v="2"/>
    <x v="4305"/>
  </r>
  <r>
    <x v="2"/>
    <x v="4306"/>
  </r>
  <r>
    <x v="2"/>
    <x v="4307"/>
  </r>
  <r>
    <x v="2"/>
    <x v="4308"/>
  </r>
  <r>
    <x v="2"/>
    <x v="4309"/>
  </r>
  <r>
    <x v="2"/>
    <x v="4310"/>
  </r>
  <r>
    <x v="2"/>
    <x v="4311"/>
  </r>
  <r>
    <x v="2"/>
    <x v="4312"/>
  </r>
  <r>
    <x v="2"/>
    <x v="4313"/>
  </r>
  <r>
    <x v="2"/>
    <x v="4314"/>
  </r>
  <r>
    <x v="2"/>
    <x v="4315"/>
  </r>
  <r>
    <x v="2"/>
    <x v="4316"/>
  </r>
  <r>
    <x v="2"/>
    <x v="4317"/>
  </r>
  <r>
    <x v="2"/>
    <x v="4318"/>
  </r>
  <r>
    <x v="2"/>
    <x v="4319"/>
  </r>
  <r>
    <x v="2"/>
    <x v="4320"/>
  </r>
  <r>
    <x v="2"/>
    <x v="4321"/>
  </r>
  <r>
    <x v="2"/>
    <x v="4322"/>
  </r>
  <r>
    <x v="4"/>
    <x v="4323"/>
  </r>
  <r>
    <x v="4"/>
    <x v="4324"/>
  </r>
  <r>
    <x v="4"/>
    <x v="4325"/>
  </r>
  <r>
    <x v="0"/>
    <x v="4326"/>
  </r>
  <r>
    <x v="0"/>
    <x v="4327"/>
  </r>
  <r>
    <x v="0"/>
    <x v="4328"/>
  </r>
  <r>
    <x v="3"/>
    <x v="4329"/>
  </r>
  <r>
    <x v="3"/>
    <x v="4330"/>
  </r>
  <r>
    <x v="3"/>
    <x v="4331"/>
  </r>
  <r>
    <x v="3"/>
    <x v="4332"/>
  </r>
  <r>
    <x v="3"/>
    <x v="4333"/>
  </r>
  <r>
    <x v="3"/>
    <x v="4334"/>
  </r>
  <r>
    <x v="3"/>
    <x v="4335"/>
  </r>
  <r>
    <x v="3"/>
    <x v="4336"/>
  </r>
  <r>
    <x v="3"/>
    <x v="4337"/>
  </r>
  <r>
    <x v="2"/>
    <x v="4338"/>
  </r>
  <r>
    <x v="2"/>
    <x v="4339"/>
  </r>
  <r>
    <x v="2"/>
    <x v="4340"/>
  </r>
  <r>
    <x v="0"/>
    <x v="4341"/>
  </r>
  <r>
    <x v="0"/>
    <x v="43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39505-E98B-9945-889E-3EC67B6E49A9}" name="피벗 테이블7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D3:E426" firstHeaderRow="1" firstDataRow="1" firstDataCol="2"/>
  <pivotFields count="2">
    <pivotField axis="axisRow" compact="0" outline="0" showAll="0">
      <items count="7">
        <item h="1" x="0"/>
        <item h="1" m="1" x="5"/>
        <item x="1"/>
        <item h="1" x="3"/>
        <item h="1" x="2"/>
        <item h="1" x="4"/>
        <item t="default"/>
      </items>
    </pivotField>
    <pivotField axis="axisRow" compact="0" outline="0" showAll="0">
      <items count="5211">
        <item x="2041"/>
        <item x="2042"/>
        <item x="2037"/>
        <item x="2043"/>
        <item x="2044"/>
        <item x="2045"/>
        <item x="2038"/>
        <item x="2039"/>
        <item x="2040"/>
        <item x="2050"/>
        <item x="2051"/>
        <item x="2046"/>
        <item x="2052"/>
        <item x="2053"/>
        <item x="2054"/>
        <item x="2047"/>
        <item x="2048"/>
        <item x="2049"/>
        <item x="1992"/>
        <item m="1" x="4812"/>
        <item x="1993"/>
        <item m="1" x="4813"/>
        <item x="1988"/>
        <item m="1" x="4814"/>
        <item x="1994"/>
        <item m="1" x="4815"/>
        <item x="1995"/>
        <item m="1" x="4816"/>
        <item x="1996"/>
        <item m="1" x="4817"/>
        <item x="1989"/>
        <item m="1" x="4818"/>
        <item x="1990"/>
        <item m="1" x="4819"/>
        <item x="1991"/>
        <item m="1" x="4820"/>
        <item x="2001"/>
        <item m="1" x="4821"/>
        <item x="2002"/>
        <item m="1" x="4822"/>
        <item x="1997"/>
        <item m="1" x="4823"/>
        <item x="2003"/>
        <item m="1" x="4824"/>
        <item x="2004"/>
        <item m="1" x="4825"/>
        <item x="2005"/>
        <item m="1" x="4826"/>
        <item x="1998"/>
        <item m="1" x="4827"/>
        <item x="1999"/>
        <item m="1" x="4828"/>
        <item x="2000"/>
        <item m="1" x="4829"/>
        <item x="2059"/>
        <item x="2060"/>
        <item x="2055"/>
        <item x="2061"/>
        <item x="2062"/>
        <item x="2063"/>
        <item x="2056"/>
        <item x="2057"/>
        <item x="2058"/>
        <item x="2068"/>
        <item x="2069"/>
        <item x="2064"/>
        <item x="2070"/>
        <item x="2071"/>
        <item x="2072"/>
        <item x="2065"/>
        <item x="2066"/>
        <item x="2067"/>
        <item x="2025"/>
        <item m="1" x="4830"/>
        <item x="2026"/>
        <item m="1" x="4831"/>
        <item x="2021"/>
        <item m="1" x="4832"/>
        <item x="2027"/>
        <item m="1" x="4833"/>
        <item x="2028"/>
        <item m="1" x="4834"/>
        <item x="2029"/>
        <item m="1" x="4835"/>
        <item x="2022"/>
        <item m="1" x="4836"/>
        <item x="2023"/>
        <item m="1" x="4837"/>
        <item x="2024"/>
        <item m="1" x="4838"/>
        <item x="2016"/>
        <item m="1" x="4839"/>
        <item x="2017"/>
        <item m="1" x="4840"/>
        <item x="2012"/>
        <item m="1" x="4841"/>
        <item x="2018"/>
        <item m="1" x="4842"/>
        <item x="2019"/>
        <item m="1" x="4843"/>
        <item x="2020"/>
        <item m="1" x="4844"/>
        <item x="2013"/>
        <item m="1" x="4845"/>
        <item x="2014"/>
        <item m="1" x="4846"/>
        <item x="2015"/>
        <item m="1" x="4847"/>
        <item x="2112"/>
        <item x="2104"/>
        <item x="2108"/>
        <item x="2105"/>
        <item x="2106"/>
        <item x="2107"/>
        <item x="2109"/>
        <item x="2110"/>
        <item x="2111"/>
        <item x="2116"/>
        <item x="661"/>
        <item m="1" x="4778"/>
        <item x="662"/>
        <item m="1" x="4779"/>
        <item x="657"/>
        <item m="1" x="4774"/>
        <item x="663"/>
        <item m="1" x="4780"/>
        <item x="664"/>
        <item m="1" x="4781"/>
        <item x="665"/>
        <item m="1" x="4782"/>
        <item x="658"/>
        <item m="1" x="4775"/>
        <item x="659"/>
        <item m="1" x="4776"/>
        <item x="660"/>
        <item m="1" x="4777"/>
        <item x="670"/>
        <item m="1" x="4787"/>
        <item x="671"/>
        <item m="1" x="4788"/>
        <item x="666"/>
        <item m="1" x="4783"/>
        <item x="672"/>
        <item m="1" x="4789"/>
        <item x="673"/>
        <item m="1" x="4790"/>
        <item x="674"/>
        <item m="1" x="4791"/>
        <item x="667"/>
        <item m="1" x="4784"/>
        <item x="668"/>
        <item m="1" x="4785"/>
        <item x="669"/>
        <item m="1" x="4786"/>
        <item x="679"/>
        <item m="1" x="4739"/>
        <item x="680"/>
        <item m="1" x="4740"/>
        <item x="675"/>
        <item m="1" x="4735"/>
        <item x="681"/>
        <item m="1" x="4741"/>
        <item x="682"/>
        <item m="1" x="4742"/>
        <item x="683"/>
        <item m="1" x="4743"/>
        <item x="676"/>
        <item m="1" x="4736"/>
        <item x="677"/>
        <item m="1" x="4737"/>
        <item x="678"/>
        <item m="1" x="4738"/>
        <item x="694"/>
        <item x="687"/>
        <item x="688"/>
        <item x="689"/>
        <item x="690"/>
        <item x="691"/>
        <item x="684"/>
        <item x="692"/>
        <item x="685"/>
        <item x="693"/>
        <item x="686"/>
        <item x="706"/>
        <item x="707"/>
        <item x="708"/>
        <item x="709"/>
        <item x="710"/>
        <item x="703"/>
        <item x="704"/>
        <item x="705"/>
        <item x="698"/>
        <item x="699"/>
        <item x="700"/>
        <item x="701"/>
        <item x="702"/>
        <item x="695"/>
        <item x="696"/>
        <item x="697"/>
        <item m="1" x="4344"/>
        <item x="65"/>
        <item x="66"/>
        <item m="1" x="4345"/>
        <item m="1" x="4346"/>
        <item x="67"/>
        <item m="1" x="4347"/>
        <item m="1" x="4348"/>
        <item x="80"/>
        <item x="81"/>
        <item x="61"/>
        <item x="60"/>
        <item m="1" x="4349"/>
        <item m="1" x="4350"/>
        <item m="1" x="4351"/>
        <item x="59"/>
        <item m="1" x="4352"/>
        <item m="1" x="4353"/>
        <item m="1" x="4354"/>
        <item x="84"/>
        <item x="85"/>
        <item x="64"/>
        <item x="63"/>
        <item m="1" x="4355"/>
        <item m="1" x="4356"/>
        <item x="62"/>
        <item m="1" x="4357"/>
        <item m="1" x="4358"/>
        <item x="82"/>
        <item x="83"/>
        <item m="1" x="4359"/>
        <item m="1" x="4360"/>
        <item x="58"/>
        <item x="57"/>
        <item m="1" x="4361"/>
        <item m="1" x="4362"/>
        <item x="56"/>
        <item m="1" x="4363"/>
        <item m="1" x="4364"/>
        <item m="1" x="4365"/>
        <item x="86"/>
        <item x="87"/>
        <item x="55"/>
        <item x="53"/>
        <item m="1" x="4366"/>
        <item m="1" x="4367"/>
        <item x="51"/>
        <item m="1" x="4368"/>
        <item m="1" x="4369"/>
        <item x="54"/>
        <item m="1" x="4370"/>
        <item x="52"/>
        <item m="1" x="4371"/>
        <item x="50"/>
        <item x="48"/>
        <item m="1" x="4372"/>
        <item m="1" x="4373"/>
        <item x="46"/>
        <item m="1" x="4374"/>
        <item m="1" x="4375"/>
        <item x="49"/>
        <item m="1" x="4376"/>
        <item x="47"/>
        <item m="1" x="4377"/>
        <item x="45"/>
        <item x="43"/>
        <item m="1" x="4378"/>
        <item x="41"/>
        <item m="1" x="4379"/>
        <item x="44"/>
        <item m="1" x="4380"/>
        <item x="42"/>
        <item m="1" x="4381"/>
        <item x="40"/>
        <item x="38"/>
        <item x="36"/>
        <item x="39"/>
        <item x="37"/>
        <item x="22"/>
        <item x="21"/>
        <item m="1" x="4382"/>
        <item m="1" x="4383"/>
        <item x="20"/>
        <item m="1" x="4384"/>
        <item m="1" x="4385"/>
        <item x="90"/>
        <item x="91"/>
        <item x="25"/>
        <item x="24"/>
        <item m="1" x="4386"/>
        <item m="1" x="4387"/>
        <item x="23"/>
        <item m="1" x="4388"/>
        <item m="1" x="4389"/>
        <item x="88"/>
        <item x="89"/>
        <item x="10"/>
        <item x="11"/>
        <item x="12"/>
        <item x="13"/>
        <item x="14"/>
        <item x="15"/>
        <item x="16"/>
        <item x="17"/>
        <item x="18"/>
        <item x="19"/>
        <item x="4"/>
        <item x="9"/>
        <item x="7"/>
        <item m="1" x="4390"/>
        <item m="1" x="4391"/>
        <item x="5"/>
        <item m="1" x="4392"/>
        <item m="1" x="4393"/>
        <item x="8"/>
        <item m="1" x="4394"/>
        <item x="6"/>
        <item m="1" x="4395"/>
        <item x="2"/>
        <item m="1" x="4396"/>
        <item m="1" x="4397"/>
        <item x="0"/>
        <item m="1" x="4398"/>
        <item m="1" x="4399"/>
        <item x="3"/>
        <item m="1" x="4400"/>
        <item x="1"/>
        <item m="1" x="4401"/>
        <item m="1" x="4402"/>
        <item m="1" x="4403"/>
        <item m="1" x="4404"/>
        <item m="1" x="4405"/>
        <item m="1" x="4406"/>
        <item x="1797"/>
        <item m="1" x="4407"/>
        <item x="1796"/>
        <item x="1794"/>
        <item x="1795"/>
        <item x="2007"/>
        <item x="2008"/>
        <item x="2009"/>
        <item x="2010"/>
        <item x="2006"/>
        <item x="2115"/>
        <item x="2114"/>
        <item x="2113"/>
        <item x="2103"/>
        <item x="2102"/>
        <item x="2101"/>
        <item x="2100"/>
        <item x="2099"/>
        <item x="2098"/>
        <item x="711"/>
        <item x="712"/>
        <item x="713"/>
        <item x="2129"/>
        <item x="2130"/>
        <item x="2131"/>
        <item x="2132"/>
        <item x="2133"/>
        <item x="2134"/>
        <item x="2126"/>
        <item x="2127"/>
        <item x="2128"/>
        <item x="2120"/>
        <item x="2121"/>
        <item x="2122"/>
        <item x="2123"/>
        <item x="2124"/>
        <item x="2125"/>
        <item x="2117"/>
        <item x="2118"/>
        <item x="2119"/>
        <item m="1" x="4408"/>
        <item x="528"/>
        <item x="529"/>
        <item x="530"/>
        <item x="531"/>
        <item x="568"/>
        <item x="566"/>
        <item m="1" x="4696"/>
        <item x="562"/>
        <item x="564"/>
        <item x="560"/>
        <item x="567"/>
        <item x="565"/>
        <item x="563"/>
        <item x="536"/>
        <item x="538"/>
        <item m="1" x="4697"/>
        <item x="539"/>
        <item x="540"/>
        <item m="1" x="4698"/>
        <item x="541"/>
        <item m="1" x="4699"/>
        <item x="542"/>
        <item x="543"/>
        <item x="544"/>
        <item m="1" x="4700"/>
        <item x="537"/>
        <item x="545"/>
        <item x="546"/>
        <item x="547"/>
        <item m="1" x="4701"/>
        <item x="548"/>
        <item x="552"/>
        <item x="551"/>
        <item x="550"/>
        <item x="555"/>
        <item x="533"/>
        <item x="535"/>
        <item x="558"/>
        <item x="553"/>
        <item x="559"/>
        <item m="1" x="4409"/>
        <item x="557"/>
        <item x="556"/>
        <item x="534"/>
        <item x="549"/>
        <item x="554"/>
        <item x="608"/>
        <item x="610"/>
        <item x="609"/>
        <item x="589"/>
        <item m="1" x="4768"/>
        <item x="591"/>
        <item m="1" x="4770"/>
        <item x="590"/>
        <item m="1" x="4769"/>
        <item x="588"/>
        <item x="613"/>
        <item x="611"/>
        <item x="612"/>
        <item x="593"/>
        <item m="1" x="4771"/>
        <item x="595"/>
        <item m="1" x="4773"/>
        <item x="594"/>
        <item m="1" x="4772"/>
        <item x="592"/>
        <item x="614"/>
        <item x="616"/>
        <item x="615"/>
        <item x="596"/>
        <item x="598"/>
        <item x="597"/>
        <item x="585"/>
        <item m="1" x="4765"/>
        <item x="587"/>
        <item m="1" x="4767"/>
        <item x="586"/>
        <item m="1" x="4766"/>
        <item x="584"/>
        <item x="617"/>
        <item x="571"/>
        <item x="607"/>
        <item x="606"/>
        <item x="605"/>
        <item x="577"/>
        <item m="1" x="4761"/>
        <item x="576"/>
        <item m="1" x="4760"/>
        <item x="575"/>
        <item m="1" x="4759"/>
        <item x="604"/>
        <item x="603"/>
        <item x="602"/>
        <item x="580"/>
        <item m="1" x="4764"/>
        <item x="579"/>
        <item m="1" x="4763"/>
        <item x="578"/>
        <item m="1" x="4762"/>
        <item x="601"/>
        <item x="600"/>
        <item x="599"/>
        <item x="583"/>
        <item x="582"/>
        <item x="581"/>
        <item x="574"/>
        <item x="573"/>
        <item x="572"/>
        <item m="1" x="4758"/>
        <item x="629"/>
        <item x="630"/>
        <item x="631"/>
        <item x="632"/>
        <item x="625"/>
        <item x="626"/>
        <item x="627"/>
        <item x="628"/>
        <item x="633"/>
        <item x="618"/>
        <item m="1" x="4728"/>
        <item x="620"/>
        <item m="1" x="4729"/>
        <item x="619"/>
        <item m="1" x="4730"/>
        <item x="622"/>
        <item m="1" x="4731"/>
        <item x="621"/>
        <item m="1" x="4732"/>
        <item x="623"/>
        <item m="1" x="4733"/>
        <item x="624"/>
        <item m="1" x="4734"/>
        <item x="634"/>
        <item x="635"/>
        <item x="636"/>
        <item x="637"/>
        <item x="652"/>
        <item x="653"/>
        <item x="654"/>
        <item x="655"/>
        <item x="656"/>
        <item x="638"/>
        <item x="639"/>
        <item x="640"/>
        <item x="641"/>
        <item x="642"/>
        <item x="643"/>
        <item x="644"/>
        <item x="645"/>
        <item x="647"/>
        <item x="646"/>
        <item x="649"/>
        <item x="648"/>
        <item x="650"/>
        <item x="651"/>
        <item x="569"/>
        <item x="715"/>
        <item x="714"/>
        <item x="718"/>
        <item m="1" x="4410"/>
        <item m="1" x="4411"/>
        <item x="717"/>
        <item x="716"/>
        <item x="1401"/>
        <item x="1397"/>
        <item m="1" x="4412"/>
        <item x="1398"/>
        <item m="1" x="4413"/>
        <item x="1399"/>
        <item m="1" x="4414"/>
        <item m="1" x="4415"/>
        <item m="1" x="4416"/>
        <item m="1" x="4417"/>
        <item m="1" x="4418"/>
        <item m="1" x="4419"/>
        <item x="1400"/>
        <item m="1" x="4420"/>
        <item x="1402"/>
        <item x="1391"/>
        <item x="1392"/>
        <item m="1" x="4421"/>
        <item x="1393"/>
        <item m="1" x="4422"/>
        <item x="1394"/>
        <item m="1" x="4423"/>
        <item m="1" x="4424"/>
        <item m="1" x="4425"/>
        <item m="1" x="4426"/>
        <item m="1" x="4427"/>
        <item m="1" x="4428"/>
        <item x="1395"/>
        <item m="1" x="4429"/>
        <item x="1396"/>
        <item x="1405"/>
        <item x="1620"/>
        <item x="1555"/>
        <item x="1550"/>
        <item x="1551"/>
        <item x="1552"/>
        <item x="1553"/>
        <item m="1" x="4430"/>
        <item m="1" x="4431"/>
        <item x="1554"/>
        <item x="1556"/>
        <item m="1" x="4432"/>
        <item x="1549"/>
        <item x="1544"/>
        <item x="1545"/>
        <item x="1546"/>
        <item x="1547"/>
        <item m="1" x="4433"/>
        <item m="1" x="4434"/>
        <item x="1582"/>
        <item x="1577"/>
        <item x="1578"/>
        <item x="1579"/>
        <item x="1580"/>
        <item m="1" x="4435"/>
        <item m="1" x="4436"/>
        <item m="1" x="4437"/>
        <item m="1" x="4438"/>
        <item m="1" x="4439"/>
        <item m="1" x="4440"/>
        <item m="1" x="4441"/>
        <item x="1581"/>
        <item x="1576"/>
        <item x="1570"/>
        <item x="1571"/>
        <item x="1572"/>
        <item x="1573"/>
        <item m="1" x="4442"/>
        <item m="1" x="4443"/>
        <item m="1" x="4444"/>
        <item x="1574"/>
        <item x="1588"/>
        <item x="1583"/>
        <item x="1584"/>
        <item x="1585"/>
        <item x="1586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x="1587"/>
        <item x="1569"/>
        <item x="1564"/>
        <item x="1565"/>
        <item x="1566"/>
        <item x="1567"/>
        <item m="1" x="4455"/>
        <item m="1" x="4456"/>
        <item x="1568"/>
        <item x="1563"/>
        <item x="1557"/>
        <item x="1558"/>
        <item x="1559"/>
        <item x="1560"/>
        <item m="1" x="4457"/>
        <item m="1" x="4458"/>
        <item m="1" x="4459"/>
        <item x="1561"/>
        <item x="1543"/>
        <item x="1538"/>
        <item x="1539"/>
        <item x="1540"/>
        <item x="1541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x="1542"/>
        <item x="1613"/>
        <item x="1608"/>
        <item x="1609"/>
        <item x="1610"/>
        <item x="1611"/>
        <item m="1" x="4470"/>
        <item m="1" x="4471"/>
        <item m="1" x="4472"/>
        <item m="1" x="4473"/>
        <item m="1" x="4474"/>
        <item m="1" x="4475"/>
        <item m="1" x="4476"/>
        <item x="1612"/>
        <item x="1619"/>
        <item x="1614"/>
        <item x="1615"/>
        <item x="1616"/>
        <item x="1617"/>
        <item m="1" x="4477"/>
        <item m="1" x="4478"/>
        <item x="1618"/>
        <item x="1607"/>
        <item x="1602"/>
        <item x="1603"/>
        <item x="1604"/>
        <item m="1" x="4479"/>
        <item m="1" x="4480"/>
        <item x="1605"/>
        <item x="1594"/>
        <item x="1589"/>
        <item x="1590"/>
        <item x="1591"/>
        <item x="1592"/>
        <item m="1" x="4481"/>
        <item m="1" x="4482"/>
        <item m="1" x="4483"/>
        <item m="1" x="4484"/>
        <item x="1593"/>
        <item x="1601"/>
        <item x="1595"/>
        <item x="1596"/>
        <item x="1597"/>
        <item x="1598"/>
        <item m="1" x="4485"/>
        <item m="1" x="4486"/>
        <item x="1599"/>
        <item x="1468"/>
        <item x="1463"/>
        <item x="1464"/>
        <item x="1465"/>
        <item x="1466"/>
        <item m="1" x="4487"/>
        <item m="1" x="4488"/>
        <item m="1" x="4489"/>
        <item m="1" x="4490"/>
        <item x="1467"/>
        <item x="1474"/>
        <item x="1469"/>
        <item x="1470"/>
        <item x="1471"/>
        <item x="1472"/>
        <item m="1" x="4491"/>
        <item x="1473"/>
        <item x="1475"/>
        <item x="1455"/>
        <item x="1450"/>
        <item x="1451"/>
        <item x="1452"/>
        <item x="1453"/>
        <item m="1" x="4492"/>
        <item m="1" x="4493"/>
        <item m="1" x="4494"/>
        <item m="1" x="4495"/>
        <item x="1454"/>
        <item x="1461"/>
        <item x="1456"/>
        <item x="1457"/>
        <item x="1458"/>
        <item x="1459"/>
        <item m="1" x="4496"/>
        <item m="1" x="4497"/>
        <item x="1460"/>
        <item x="1462"/>
        <item x="1484"/>
        <item x="1481"/>
        <item x="1479"/>
        <item x="1478"/>
        <item x="1480"/>
        <item x="1476"/>
        <item m="1" x="4498"/>
        <item m="1" x="4499"/>
        <item m="1" x="4500"/>
        <item m="1" x="4501"/>
        <item x="1477"/>
        <item x="1483"/>
        <item x="1482"/>
        <item x="1485"/>
        <item x="1504"/>
        <item x="1499"/>
        <item x="1500"/>
        <item x="1501"/>
        <item x="1502"/>
        <item m="1" x="4502"/>
        <item m="1" x="4503"/>
        <item m="1" x="4504"/>
        <item m="1" x="4505"/>
        <item x="1503"/>
        <item x="1510"/>
        <item x="1505"/>
        <item x="1506"/>
        <item x="1507"/>
        <item x="1508"/>
        <item m="1" x="4506"/>
        <item m="1" x="4507"/>
        <item x="1509"/>
        <item x="1511"/>
        <item x="1491"/>
        <item x="1486"/>
        <item x="1487"/>
        <item x="1488"/>
        <item x="1489"/>
        <item m="1" x="4508"/>
        <item m="1" x="4509"/>
        <item m="1" x="4510"/>
        <item m="1" x="4511"/>
        <item x="1490"/>
        <item x="1497"/>
        <item x="1492"/>
        <item x="1493"/>
        <item x="1494"/>
        <item x="1495"/>
        <item m="1" x="4512"/>
        <item m="1" x="4513"/>
        <item x="1496"/>
        <item x="1498"/>
        <item x="1536"/>
        <item x="1531"/>
        <item x="1532"/>
        <item x="1533"/>
        <item x="1534"/>
        <item m="1" x="4514"/>
        <item m="1" x="4515"/>
        <item x="1535"/>
        <item x="1530"/>
        <item x="1525"/>
        <item x="1526"/>
        <item x="1527"/>
        <item x="1528"/>
        <item x="1529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x="1537"/>
        <item x="1411"/>
        <item x="1406"/>
        <item x="1407"/>
        <item x="1408"/>
        <item x="1409"/>
        <item m="1" x="4533"/>
        <item m="1" x="4534"/>
        <item m="1" x="4535"/>
        <item m="1" x="4536"/>
        <item x="1410"/>
        <item x="1424"/>
        <item x="1419"/>
        <item x="1420"/>
        <item x="1421"/>
        <item x="1422"/>
        <item x="1423"/>
        <item m="1" x="4537"/>
        <item m="1" x="4538"/>
        <item m="1" x="4539"/>
        <item x="1417"/>
        <item x="1412"/>
        <item x="1413"/>
        <item x="1414"/>
        <item x="1415"/>
        <item x="1416"/>
        <item x="1430"/>
        <item x="1425"/>
        <item x="1426"/>
        <item x="1427"/>
        <item x="1428"/>
        <item x="1429"/>
        <item x="1418"/>
        <item x="1436"/>
        <item m="1" x="4540"/>
        <item m="1" x="4541"/>
        <item x="1431"/>
        <item x="1432"/>
        <item x="1433"/>
        <item x="1434"/>
        <item m="1" x="4542"/>
        <item m="1" x="4543"/>
        <item m="1" x="4544"/>
        <item m="1" x="4545"/>
        <item x="1435"/>
        <item x="1442"/>
        <item x="1437"/>
        <item x="1438"/>
        <item x="1439"/>
        <item x="1440"/>
        <item x="1441"/>
        <item x="1443"/>
        <item x="1667"/>
        <item x="1666"/>
        <item x="1647"/>
        <item x="1648"/>
        <item x="1655"/>
        <item x="1657"/>
        <item x="1658"/>
        <item x="1656"/>
        <item x="1654"/>
        <item x="1637"/>
        <item x="1635"/>
        <item x="1638"/>
        <item x="1636"/>
        <item x="1662"/>
        <item x="1650"/>
        <item x="1643"/>
        <item x="1641"/>
        <item x="1644"/>
        <item x="1642"/>
        <item x="1661"/>
        <item x="1649"/>
        <item x="239"/>
        <item x="238"/>
        <item x="237"/>
        <item x="4326"/>
        <item x="247"/>
        <item m="1" x="4546"/>
        <item x="245"/>
        <item x="246"/>
        <item m="1" x="4547"/>
        <item m="1" x="4548"/>
        <item m="1" x="4549"/>
        <item x="244"/>
        <item m="1" x="4550"/>
        <item m="1" x="4551"/>
        <item x="248"/>
        <item x="4327"/>
        <item x="253"/>
        <item m="1" x="4552"/>
        <item x="251"/>
        <item x="249"/>
        <item x="252"/>
        <item x="250"/>
        <item x="1245"/>
        <item x="1246"/>
        <item x="1359"/>
        <item x="1360"/>
        <item x="1361"/>
        <item x="1362"/>
        <item x="1355"/>
        <item x="1356"/>
        <item x="1354"/>
        <item x="1353"/>
        <item x="1357"/>
        <item x="1358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x="1270"/>
        <item x="1271"/>
        <item m="1" x="4566"/>
        <item m="1" x="4567"/>
        <item m="1" x="4568"/>
        <item x="1272"/>
        <item x="1273"/>
        <item x="1274"/>
        <item m="1" x="4569"/>
        <item m="1" x="4570"/>
        <item m="1" x="4571"/>
        <item x="1278"/>
        <item x="1279"/>
        <item x="1280"/>
        <item m="1" x="4572"/>
        <item m="1" x="4573"/>
        <item x="1281"/>
        <item m="1" x="4574"/>
        <item m="1" x="4575"/>
        <item m="1" x="4576"/>
        <item m="1" x="4577"/>
        <item x="1282"/>
        <item m="1" x="4578"/>
        <item m="1" x="4579"/>
        <item m="1" x="4580"/>
        <item m="1" x="4581"/>
        <item x="1283"/>
        <item x="1275"/>
        <item x="1276"/>
        <item x="1277"/>
        <item x="1255"/>
        <item x="1256"/>
        <item x="1257"/>
        <item x="1258"/>
        <item x="1259"/>
        <item x="1260"/>
        <item x="1249"/>
        <item m="1" x="4582"/>
        <item m="1" x="4583"/>
        <item x="1250"/>
        <item x="1251"/>
        <item x="1247"/>
        <item x="1248"/>
        <item x="1252"/>
        <item x="1253"/>
        <item x="1254"/>
        <item x="1264"/>
        <item x="1265"/>
        <item x="1266"/>
        <item x="1261"/>
        <item x="1262"/>
        <item x="1263"/>
        <item x="1284"/>
        <item m="1" x="4584"/>
        <item m="1" x="4585"/>
        <item x="1285"/>
        <item m="1" x="4586"/>
        <item m="1" x="4587"/>
        <item x="1286"/>
        <item x="1309"/>
        <item x="1310"/>
        <item x="1307"/>
        <item m="1" x="4588"/>
        <item x="1308"/>
        <item m="1" x="4589"/>
        <item x="1311"/>
        <item x="1302"/>
        <item x="1303"/>
        <item x="1304"/>
        <item m="1" x="4590"/>
        <item x="1305"/>
        <item m="1" x="4591"/>
        <item x="1306"/>
        <item x="1290"/>
        <item x="1291"/>
        <item x="1297"/>
        <item x="1298"/>
        <item x="1299"/>
        <item m="1" x="4592"/>
        <item m="1" x="4593"/>
        <item m="1" x="4594"/>
        <item m="1" x="4595"/>
        <item x="1300"/>
        <item m="1" x="4596"/>
        <item m="1" x="4597"/>
        <item m="1" x="4598"/>
        <item m="1" x="4599"/>
        <item x="1301"/>
        <item x="1292"/>
        <item x="1293"/>
        <item x="1294"/>
        <item x="1295"/>
        <item x="1296"/>
        <item m="1" x="4600"/>
        <item x="1287"/>
        <item x="1288"/>
        <item x="1289"/>
        <item x="1312"/>
        <item x="1313"/>
        <item x="1314"/>
        <item m="1" x="4601"/>
        <item m="1" x="4602"/>
        <item m="1" x="4603"/>
        <item x="1238"/>
        <item x="1239"/>
        <item x="1240"/>
        <item x="1235"/>
        <item x="1236"/>
        <item x="1237"/>
        <item x="1232"/>
        <item x="1233"/>
        <item x="1234"/>
        <item x="1226"/>
        <item x="1227"/>
        <item x="1225"/>
        <item x="1223"/>
        <item m="1" x="4604"/>
        <item x="1220"/>
        <item x="1221"/>
        <item x="1222"/>
        <item x="1212"/>
        <item x="1213"/>
        <item x="1214"/>
        <item x="1215"/>
        <item x="1217"/>
        <item x="1218"/>
        <item x="1219"/>
        <item x="1230"/>
        <item x="1231"/>
        <item x="1228"/>
        <item x="1229"/>
        <item x="1241"/>
        <item x="1242"/>
        <item x="1243"/>
        <item x="1208"/>
        <item m="1" x="4605"/>
        <item x="1209"/>
        <item x="1210"/>
        <item m="1" x="4606"/>
        <item x="1211"/>
        <item x="1189"/>
        <item x="1190"/>
        <item x="1191"/>
        <item x="1186"/>
        <item x="1187"/>
        <item x="1188"/>
        <item x="1195"/>
        <item x="1196"/>
        <item x="1197"/>
        <item x="1192"/>
        <item x="1193"/>
        <item x="1194"/>
        <item x="1202"/>
        <item x="1203"/>
        <item x="1201"/>
        <item x="1199"/>
        <item x="1200"/>
        <item x="1198"/>
        <item x="1183"/>
        <item x="1184"/>
        <item x="1185"/>
        <item x="1180"/>
        <item x="1181"/>
        <item x="1182"/>
        <item x="1177"/>
        <item x="1178"/>
        <item x="1179"/>
        <item x="1174"/>
        <item x="1175"/>
        <item x="1176"/>
        <item m="1" x="4607"/>
        <item m="1" x="4608"/>
        <item m="1" x="4609"/>
        <item x="1166"/>
        <item x="1167"/>
        <item x="1168"/>
        <item x="1169"/>
        <item x="1170"/>
        <item x="1171"/>
        <item x="1172"/>
        <item x="1173"/>
        <item m="1" x="4610"/>
        <item m="1" x="4611"/>
        <item x="1097"/>
        <item x="1094"/>
        <item x="1095"/>
        <item x="1096"/>
        <item x="1098"/>
        <item x="1099"/>
        <item x="1085"/>
        <item x="1081"/>
        <item x="1082"/>
        <item x="1083"/>
        <item x="1084"/>
        <item x="1086"/>
        <item x="1087"/>
        <item x="955"/>
        <item x="952"/>
        <item x="953"/>
        <item x="954"/>
        <item x="956"/>
        <item x="957"/>
        <item x="920"/>
        <item x="918"/>
        <item x="919"/>
        <item x="921"/>
        <item x="1017"/>
        <item x="1016"/>
        <item x="1018"/>
        <item x="1019"/>
        <item x="971"/>
        <item x="969"/>
        <item x="970"/>
        <item x="968"/>
        <item x="972"/>
        <item x="973"/>
        <item x="939"/>
        <item x="937"/>
        <item x="938"/>
        <item x="940"/>
        <item x="941"/>
        <item x="924"/>
        <item x="922"/>
        <item x="923"/>
        <item x="925"/>
        <item x="926"/>
        <item x="1028"/>
        <item x="1027"/>
        <item x="1029"/>
        <item x="1024"/>
        <item x="1025"/>
        <item x="1026"/>
        <item x="1030"/>
        <item x="978"/>
        <item x="975"/>
        <item x="976"/>
        <item x="974"/>
        <item x="977"/>
        <item x="979"/>
        <item x="949"/>
        <item x="947"/>
        <item x="948"/>
        <item x="950"/>
        <item x="951"/>
        <item x="934"/>
        <item x="932"/>
        <item x="933"/>
        <item x="935"/>
        <item x="936"/>
        <item x="1021"/>
        <item x="1020"/>
        <item x="1022"/>
        <item x="1023"/>
        <item x="983"/>
        <item x="981"/>
        <item x="982"/>
        <item x="980"/>
        <item x="984"/>
        <item x="985"/>
        <item x="944"/>
        <item x="942"/>
        <item x="943"/>
        <item x="945"/>
        <item x="946"/>
        <item x="929"/>
        <item x="927"/>
        <item x="928"/>
        <item x="930"/>
        <item x="931"/>
        <item x="1091"/>
        <item x="1088"/>
        <item x="1089"/>
        <item x="1090"/>
        <item x="1092"/>
        <item x="1093"/>
        <item x="989"/>
        <item x="986"/>
        <item x="987"/>
        <item x="988"/>
        <item x="990"/>
        <item x="991"/>
        <item x="1078"/>
        <item x="1075"/>
        <item x="1076"/>
        <item x="1077"/>
        <item x="1079"/>
        <item x="1080"/>
        <item x="1007"/>
        <item x="1004"/>
        <item x="1005"/>
        <item x="1006"/>
        <item x="1008"/>
        <item x="1009"/>
        <item x="966"/>
        <item x="962"/>
        <item x="963"/>
        <item x="964"/>
        <item x="965"/>
        <item x="967"/>
        <item x="960"/>
        <item x="958"/>
        <item x="959"/>
        <item x="961"/>
        <item x="916"/>
        <item x="914"/>
        <item x="915"/>
        <item x="917"/>
        <item x="995"/>
        <item x="992"/>
        <item x="993"/>
        <item x="994"/>
        <item x="996"/>
        <item x="997"/>
        <item x="1001"/>
        <item x="998"/>
        <item x="999"/>
        <item x="1000"/>
        <item x="1002"/>
        <item x="1003"/>
        <item x="1013"/>
        <item x="1010"/>
        <item x="1011"/>
        <item x="1012"/>
        <item x="1014"/>
        <item x="1015"/>
        <item m="1" x="4612"/>
        <item x="1064"/>
        <item m="1" x="4613"/>
        <item x="1061"/>
        <item x="1062"/>
        <item x="1063"/>
        <item x="1065"/>
        <item x="1044"/>
        <item x="1045"/>
        <item x="1043"/>
        <item x="1046"/>
        <item x="1032"/>
        <item x="1033"/>
        <item x="1031"/>
        <item x="1034"/>
        <item x="1054"/>
        <item x="1055"/>
        <item x="1053"/>
        <item m="1" x="4614"/>
        <item x="1056"/>
        <item x="1051"/>
        <item x="1052"/>
        <item x="1040"/>
        <item x="1041"/>
        <item x="1039"/>
        <item x="1042"/>
        <item x="1048"/>
        <item x="1049"/>
        <item x="1047"/>
        <item x="1050"/>
        <item x="1036"/>
        <item x="1037"/>
        <item x="1035"/>
        <item x="1038"/>
        <item m="1" x="4615"/>
        <item x="1059"/>
        <item x="1057"/>
        <item x="1058"/>
        <item x="1060"/>
        <item m="1" x="4616"/>
        <item x="1073"/>
        <item m="1" x="4617"/>
        <item x="1070"/>
        <item x="1071"/>
        <item x="1072"/>
        <item x="1074"/>
        <item m="1" x="4618"/>
        <item x="1068"/>
        <item x="1066"/>
        <item x="1067"/>
        <item x="1069"/>
        <item x="1124"/>
        <item x="1121"/>
        <item x="1122"/>
        <item x="1123"/>
        <item x="1125"/>
        <item x="1126"/>
        <item x="1130"/>
        <item x="1127"/>
        <item x="1128"/>
        <item x="1129"/>
        <item x="1131"/>
        <item x="1132"/>
        <item x="1104"/>
        <item x="1100"/>
        <item x="1101"/>
        <item x="1102"/>
        <item x="1103"/>
        <item x="1105"/>
        <item x="1109"/>
        <item x="1106"/>
        <item x="1107"/>
        <item x="1108"/>
        <item x="1110"/>
        <item x="1111"/>
        <item x="1115"/>
        <item x="1112"/>
        <item x="1113"/>
        <item x="1114"/>
        <item x="1116"/>
        <item x="1117"/>
        <item x="1118"/>
        <item x="1119"/>
        <item x="1120"/>
        <item x="1136"/>
        <item x="1137"/>
        <item x="1133"/>
        <item x="1134"/>
        <item x="1135"/>
        <item x="1138"/>
        <item x="1139"/>
        <item x="1143"/>
        <item x="1144"/>
        <item m="1" x="4619"/>
        <item m="1" x="4620"/>
        <item x="1142"/>
        <item x="1140"/>
        <item x="1141"/>
        <item x="1145"/>
        <item m="1" x="4621"/>
        <item m="1" x="4622"/>
        <item x="1146"/>
        <item x="1150"/>
        <item x="1147"/>
        <item x="1148"/>
        <item x="1149"/>
        <item x="1151"/>
        <item x="1152"/>
        <item x="1156"/>
        <item m="1" x="4623"/>
        <item x="1153"/>
        <item x="1154"/>
        <item x="1155"/>
        <item x="1157"/>
        <item x="1159"/>
        <item x="1163"/>
        <item x="1160"/>
        <item x="1161"/>
        <item x="1162"/>
        <item x="1164"/>
        <item x="1165"/>
        <item x="913"/>
        <item x="911"/>
        <item x="912"/>
        <item x="909"/>
        <item x="910"/>
        <item x="894"/>
        <item x="895"/>
        <item x="896"/>
        <item x="897"/>
        <item x="908"/>
        <item x="902"/>
        <item x="905"/>
        <item x="904"/>
        <item x="903"/>
        <item x="906"/>
        <item x="898"/>
        <item x="899"/>
        <item x="900"/>
        <item x="901"/>
        <item x="907"/>
        <item x="852"/>
        <item x="854"/>
        <item x="853"/>
        <item x="845"/>
        <item x="837"/>
        <item x="838"/>
        <item x="839"/>
        <item x="840"/>
        <item x="841"/>
        <item x="842"/>
        <item x="847"/>
        <item x="814"/>
        <item x="813"/>
        <item x="850"/>
        <item x="851"/>
        <item x="846"/>
        <item x="816"/>
        <item x="815"/>
        <item x="848"/>
        <item x="849"/>
        <item x="827"/>
        <item x="828"/>
        <item x="801"/>
        <item x="807"/>
        <item x="802"/>
        <item x="808"/>
        <item x="803"/>
        <item x="809"/>
        <item x="804"/>
        <item x="810"/>
        <item x="805"/>
        <item x="806"/>
        <item x="811"/>
        <item x="812"/>
        <item x="829"/>
        <item x="830"/>
        <item x="831"/>
        <item x="832"/>
        <item x="833"/>
        <item x="834"/>
        <item x="835"/>
        <item x="836"/>
        <item x="795"/>
        <item x="856"/>
        <item x="855"/>
        <item x="843"/>
        <item x="844"/>
        <item x="790"/>
        <item x="796"/>
        <item x="791"/>
        <item x="797"/>
        <item x="792"/>
        <item x="798"/>
        <item x="793"/>
        <item x="799"/>
        <item x="794"/>
        <item x="800"/>
        <item m="1" x="4624"/>
        <item x="825"/>
        <item x="826"/>
        <item x="821"/>
        <item x="823"/>
        <item x="824"/>
        <item x="789"/>
        <item x="857"/>
        <item x="817"/>
        <item x="785"/>
        <item m="1" x="4625"/>
        <item x="783"/>
        <item m="1" x="4626"/>
        <item x="788"/>
        <item x="818"/>
        <item x="820"/>
        <item x="819"/>
        <item x="781"/>
        <item x="782"/>
        <item x="774"/>
        <item x="776"/>
        <item x="777"/>
        <item x="775"/>
        <item x="766"/>
        <item x="767"/>
        <item x="764"/>
        <item x="765"/>
        <item x="770"/>
        <item x="771"/>
        <item x="768"/>
        <item x="769"/>
        <item x="772"/>
        <item x="773"/>
        <item x="778"/>
        <item x="744"/>
        <item x="743"/>
        <item x="742"/>
        <item x="741"/>
        <item x="737"/>
        <item x="739"/>
        <item x="738"/>
        <item x="740"/>
        <item x="761"/>
        <item x="779"/>
        <item x="752"/>
        <item x="751"/>
        <item x="750"/>
        <item x="749"/>
        <item x="745"/>
        <item x="747"/>
        <item x="746"/>
        <item x="748"/>
        <item x="762"/>
        <item x="780"/>
        <item x="760"/>
        <item x="759"/>
        <item x="757"/>
        <item x="756"/>
        <item x="753"/>
        <item x="755"/>
        <item x="754"/>
        <item x="758"/>
        <item x="763"/>
        <item x="393"/>
        <item x="394"/>
        <item x="396"/>
        <item x="395"/>
        <item x="390"/>
        <item x="391"/>
        <item x="392"/>
        <item x="347"/>
        <item x="348"/>
        <item x="349"/>
        <item x="350"/>
        <item x="355"/>
        <item x="356"/>
        <item x="351"/>
        <item x="352"/>
        <item x="353"/>
        <item x="354"/>
        <item x="365"/>
        <item x="366"/>
        <item m="1" x="4627"/>
        <item m="1" x="4628"/>
        <item x="363"/>
        <item x="364"/>
        <item m="1" x="4629"/>
        <item m="1" x="4630"/>
        <item x="367"/>
        <item x="368"/>
        <item x="361"/>
        <item x="362"/>
        <item x="357"/>
        <item x="358"/>
        <item m="1" x="4631"/>
        <item m="1" x="4632"/>
        <item x="359"/>
        <item x="360"/>
        <item m="1" x="4633"/>
        <item m="1" x="4634"/>
        <item m="1" x="4635"/>
        <item m="1" x="4636"/>
        <item x="343"/>
        <item x="344"/>
        <item x="345"/>
        <item x="346"/>
        <item x="294"/>
        <item x="295"/>
        <item x="373"/>
        <item x="310"/>
        <item x="309"/>
        <item x="307"/>
        <item x="306"/>
        <item x="308"/>
        <item x="312"/>
        <item x="311"/>
        <item x="375"/>
        <item m="1" x="4637"/>
        <item x="282"/>
        <item x="372"/>
        <item x="377"/>
        <item x="317"/>
        <item x="316"/>
        <item x="314"/>
        <item x="313"/>
        <item x="315"/>
        <item x="321"/>
        <item x="320"/>
        <item x="319"/>
        <item x="378"/>
        <item x="379"/>
        <item x="318"/>
        <item m="1" x="4638"/>
        <item x="278"/>
        <item x="279"/>
        <item x="380"/>
        <item x="371"/>
        <item x="381"/>
        <item x="326"/>
        <item x="324"/>
        <item x="322"/>
        <item x="4328"/>
        <item x="323"/>
        <item x="327"/>
        <item x="325"/>
        <item x="382"/>
        <item x="269"/>
        <item x="270"/>
        <item x="383"/>
        <item x="370"/>
        <item x="386"/>
        <item x="387"/>
        <item x="389"/>
        <item x="388"/>
        <item x="369"/>
        <item x="333"/>
        <item x="331"/>
        <item x="329"/>
        <item x="328"/>
        <item x="330"/>
        <item x="335"/>
        <item x="332"/>
        <item x="334"/>
        <item x="384"/>
        <item x="340"/>
        <item x="339"/>
        <item x="337"/>
        <item x="336"/>
        <item x="338"/>
        <item x="342"/>
        <item x="341"/>
        <item x="385"/>
        <item x="1674"/>
        <item x="1676"/>
        <item x="1675"/>
        <item x="1677"/>
        <item x="1678"/>
        <item x="1679"/>
        <item x="1680"/>
        <item x="1681"/>
        <item x="1690"/>
        <item x="1692"/>
        <item x="1691"/>
        <item x="1693"/>
        <item x="1696"/>
        <item x="1697"/>
        <item x="1694"/>
        <item x="1695"/>
        <item x="1682"/>
        <item x="1684"/>
        <item x="1683"/>
        <item x="1685"/>
        <item x="1686"/>
        <item x="1687"/>
        <item x="1688"/>
        <item x="1689"/>
        <item x="1673"/>
        <item m="1" x="4639"/>
        <item m="1" x="4640"/>
        <item x="1698"/>
        <item x="1699"/>
        <item x="1700"/>
        <item x="1701"/>
        <item x="1702"/>
        <item x="1703"/>
        <item x="1704"/>
        <item x="1705"/>
        <item x="1708"/>
        <item x="1709"/>
        <item x="1706"/>
        <item x="1707"/>
        <item x="1710"/>
        <item x="1711"/>
        <item x="1712"/>
        <item x="1713"/>
        <item x="1714"/>
        <item x="1715"/>
        <item x="1716"/>
        <item x="1382"/>
        <item x="1383"/>
        <item x="1384"/>
        <item x="1385"/>
        <item x="1386"/>
        <item x="1387"/>
        <item x="1388"/>
        <item x="1389"/>
        <item x="1723"/>
        <item x="1724"/>
        <item x="1668"/>
        <item x="722"/>
        <item x="721"/>
        <item m="1" x="4641"/>
        <item m="1" x="4642"/>
        <item m="1" x="4643"/>
        <item m="1" x="4644"/>
        <item m="1" x="4645"/>
        <item m="1" x="4646"/>
        <item m="1" x="4647"/>
        <item m="1" x="4648"/>
        <item m="1" x="4811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x="2093"/>
        <item x="2094"/>
        <item x="2095"/>
        <item x="2096"/>
        <item x="2089"/>
        <item x="2090"/>
        <item x="2091"/>
        <item x="2092"/>
        <item m="1" x="4663"/>
        <item x="1756"/>
        <item x="1757"/>
        <item x="1755"/>
        <item x="1742"/>
        <item x="1741"/>
        <item x="1754"/>
        <item x="1736"/>
        <item x="1735"/>
        <item x="1740"/>
        <item x="1739"/>
        <item x="1377"/>
        <item x="1376"/>
        <item x="1728"/>
        <item x="1726"/>
        <item x="1725"/>
        <item x="1734"/>
        <item m="1" x="4664"/>
        <item x="1747"/>
        <item x="1745"/>
        <item x="1749"/>
        <item x="1750"/>
        <item x="1748"/>
        <item x="1746"/>
        <item m="1" x="4665"/>
        <item m="1" x="4666"/>
        <item m="1" x="4667"/>
        <item m="1" x="4668"/>
        <item m="1" x="4669"/>
        <item x="1381"/>
        <item m="1" x="4670"/>
        <item m="1" x="4671"/>
        <item m="1" x="4672"/>
        <item m="1" x="4673"/>
        <item m="1" x="4674"/>
        <item m="1" x="4675"/>
        <item m="1" x="4676"/>
        <item x="1671"/>
        <item x="1733"/>
        <item x="1730"/>
        <item x="1729"/>
        <item x="1378"/>
        <item x="1371"/>
        <item x="1372"/>
        <item x="1374"/>
        <item x="1379"/>
        <item x="1375"/>
        <item x="1380"/>
        <item x="1373"/>
        <item x="1370"/>
        <item x="1368"/>
        <item x="1367"/>
        <item x="1369"/>
        <item x="1366"/>
        <item x="1363"/>
        <item x="1364"/>
        <item x="1365"/>
        <item x="730"/>
        <item x="732"/>
        <item x="731"/>
        <item x="729"/>
        <item x="728"/>
        <item x="726"/>
        <item x="725"/>
        <item x="724"/>
        <item x="1751"/>
        <item x="1631"/>
        <item x="1624"/>
        <item x="1625"/>
        <item x="1623"/>
        <item x="1627"/>
        <item x="1632"/>
        <item x="1663"/>
        <item x="1664"/>
        <item x="1665"/>
        <item m="1" x="4677"/>
        <item x="720"/>
        <item x="719"/>
        <item x="1752"/>
        <item x="1753"/>
        <item x="733"/>
        <item x="734"/>
        <item x="735"/>
        <item x="736"/>
        <item m="1" x="4678"/>
        <item x="229"/>
        <item x="230"/>
        <item x="168"/>
        <item x="228"/>
        <item x="180"/>
        <item x="200"/>
        <item x="170"/>
        <item x="175"/>
        <item x="201"/>
        <item x="190"/>
        <item x="195"/>
        <item x="185"/>
        <item x="181"/>
        <item m="1" x="4679"/>
        <item x="227"/>
        <item x="171"/>
        <item x="176"/>
        <item m="1" x="4680"/>
        <item x="202"/>
        <item x="191"/>
        <item x="196"/>
        <item x="186"/>
        <item x="182"/>
        <item x="226"/>
        <item x="172"/>
        <item x="177"/>
        <item x="203"/>
        <item x="192"/>
        <item x="197"/>
        <item x="187"/>
        <item x="183"/>
        <item x="225"/>
        <item x="173"/>
        <item x="178"/>
        <item m="1" x="4681"/>
        <item x="204"/>
        <item x="193"/>
        <item x="198"/>
        <item x="188"/>
        <item x="184"/>
        <item x="224"/>
        <item x="174"/>
        <item x="179"/>
        <item x="205"/>
        <item x="194"/>
        <item x="199"/>
        <item x="189"/>
        <item x="206"/>
        <item m="1" x="4682"/>
        <item x="223"/>
        <item x="208"/>
        <item x="211"/>
        <item x="210"/>
        <item m="1" x="4683"/>
        <item x="212"/>
        <item x="209"/>
        <item x="213"/>
        <item x="215"/>
        <item x="214"/>
        <item x="217"/>
        <item x="216"/>
        <item x="220"/>
        <item x="218"/>
        <item x="219"/>
        <item x="222"/>
        <item x="221"/>
        <item x="148"/>
        <item x="162"/>
        <item x="132"/>
        <item x="128"/>
        <item x="152"/>
        <item x="136"/>
        <item x="140"/>
        <item x="144"/>
        <item x="146"/>
        <item x="161"/>
        <item x="131"/>
        <item x="126"/>
        <item x="151"/>
        <item x="134"/>
        <item x="139"/>
        <item x="142"/>
        <item x="147"/>
        <item x="160"/>
        <item x="130"/>
        <item x="127"/>
        <item x="150"/>
        <item x="135"/>
        <item x="138"/>
        <item x="143"/>
        <item x="145"/>
        <item x="159"/>
        <item x="129"/>
        <item x="125"/>
        <item x="149"/>
        <item x="133"/>
        <item x="137"/>
        <item x="141"/>
        <item x="112"/>
        <item x="108"/>
        <item x="116"/>
        <item x="120"/>
        <item x="124"/>
        <item x="111"/>
        <item x="107"/>
        <item x="115"/>
        <item x="119"/>
        <item x="123"/>
        <item x="155"/>
        <item x="154"/>
        <item x="153"/>
        <item x="156"/>
        <item m="1" x="4684"/>
        <item x="157"/>
        <item x="158"/>
        <item m="1" x="4685"/>
        <item x="236"/>
        <item x="232"/>
        <item x="235"/>
        <item x="231"/>
        <item m="1" x="4686"/>
        <item x="234"/>
        <item x="73"/>
        <item x="70"/>
        <item x="74"/>
        <item x="71"/>
        <item x="75"/>
        <item m="1" x="4687"/>
        <item m="1" x="4688"/>
        <item m="1" x="4689"/>
        <item x="72"/>
        <item x="69"/>
        <item x="1924"/>
        <item x="1912"/>
        <item m="1" x="4745"/>
        <item x="1919"/>
        <item m="1" x="4750"/>
        <item x="1914"/>
        <item m="1" x="4747"/>
        <item x="1913"/>
        <item m="1" x="4746"/>
        <item x="1916"/>
        <item m="1" x="4748"/>
        <item x="1915"/>
        <item x="1920"/>
        <item x="1921"/>
        <item m="1" x="4712"/>
        <item m="1" x="4751"/>
        <item x="1922"/>
        <item x="1923"/>
        <item m="1" x="4711"/>
        <item x="1918"/>
        <item m="1" x="4749"/>
        <item x="1917"/>
        <item x="1910"/>
        <item m="1" x="4716"/>
        <item x="1903"/>
        <item m="1" x="4708"/>
        <item x="1902"/>
        <item m="1" x="4704"/>
        <item x="1904"/>
        <item m="1" x="4703"/>
        <item x="1905"/>
        <item m="1" x="4709"/>
        <item x="1911"/>
        <item x="3789"/>
        <item x="3790"/>
        <item x="3791"/>
        <item x="3792"/>
        <item x="3785"/>
        <item x="3786"/>
        <item x="3783"/>
        <item x="3784"/>
        <item x="3781"/>
        <item x="3782"/>
        <item x="3779"/>
        <item x="3780"/>
        <item x="3777"/>
        <item x="3778"/>
        <item x="3787"/>
        <item x="3788"/>
        <item x="3771"/>
        <item x="3772"/>
        <item x="3773"/>
        <item x="3774"/>
        <item x="3775"/>
        <item x="3776"/>
        <item x="3793"/>
        <item x="3794"/>
        <item x="3795"/>
        <item x="3796"/>
        <item x="3735"/>
        <item x="3736"/>
        <item x="3739"/>
        <item x="3740"/>
        <item x="3737"/>
        <item x="3738"/>
        <item x="3741"/>
        <item x="3742"/>
        <item x="3725"/>
        <item x="3726"/>
        <item x="3727"/>
        <item x="3728"/>
        <item x="3721"/>
        <item x="3722"/>
        <item x="3719"/>
        <item x="3720"/>
        <item x="3723"/>
        <item x="3724"/>
        <item m="1" x="5183"/>
        <item m="1" x="5182"/>
        <item m="1" x="5181"/>
        <item m="1" x="5180"/>
        <item m="1" x="5185"/>
        <item m="1" x="5184"/>
        <item x="3731"/>
        <item x="3732"/>
        <item x="3729"/>
        <item x="3730"/>
        <item m="1" x="5187"/>
        <item m="1" x="5186"/>
        <item m="1" x="5191"/>
        <item m="1" x="5190"/>
        <item m="1" x="5195"/>
        <item m="1" x="5194"/>
        <item m="1" x="5192"/>
        <item m="1" x="5193"/>
        <item x="3743"/>
        <item x="3744"/>
        <item x="3755"/>
        <item x="3756"/>
        <item x="3753"/>
        <item x="3754"/>
        <item x="3747"/>
        <item x="3748"/>
        <item x="3751"/>
        <item x="3752"/>
        <item x="3749"/>
        <item x="3750"/>
        <item x="3745"/>
        <item x="3746"/>
        <item m="1" x="5197"/>
        <item m="1" x="5196"/>
        <item m="1" x="5189"/>
        <item m="1" x="5188"/>
        <item m="1" x="5199"/>
        <item m="1" x="5198"/>
        <item m="1" x="5203"/>
        <item m="1" x="5202"/>
        <item m="1" x="5207"/>
        <item m="1" x="5206"/>
        <item m="1" x="5209"/>
        <item m="1" x="5208"/>
        <item x="3758"/>
        <item x="3757"/>
        <item m="1" x="5201"/>
        <item m="1" x="5200"/>
        <item m="1" x="5205"/>
        <item m="1" x="5204"/>
        <item x="3699"/>
        <item x="3700"/>
        <item x="3697"/>
        <item x="3698"/>
        <item x="3695"/>
        <item x="3696"/>
        <item x="3705"/>
        <item x="3706"/>
        <item x="3703"/>
        <item x="3704"/>
        <item x="3707"/>
        <item x="3708"/>
        <item x="3711"/>
        <item x="3712"/>
        <item x="3713"/>
        <item x="3714"/>
        <item x="3709"/>
        <item x="3710"/>
        <item x="3717"/>
        <item x="3718"/>
        <item x="3715"/>
        <item x="3716"/>
        <item x="3701"/>
        <item x="3702"/>
        <item x="3691"/>
        <item x="3692"/>
        <item x="3797"/>
        <item x="3798"/>
        <item m="1" x="4991"/>
        <item m="1" x="4992"/>
        <item x="3799"/>
        <item x="3800"/>
        <item x="3824"/>
        <item m="1" x="4989"/>
        <item m="1" x="5175"/>
        <item m="1" x="5174"/>
        <item m="1" x="5177"/>
        <item m="1" x="5176"/>
        <item m="1" x="5179"/>
        <item m="1" x="5178"/>
        <item m="1" x="5169"/>
        <item m="1" x="5168"/>
        <item m="1" x="5171"/>
        <item m="1" x="5170"/>
        <item m="1" x="5165"/>
        <item m="1" x="5164"/>
        <item m="1" x="5167"/>
        <item m="1" x="5166"/>
        <item m="1" x="5173"/>
        <item m="1" x="5172"/>
        <item m="1" x="5163"/>
        <item m="1" x="5162"/>
        <item x="3683"/>
        <item x="3684"/>
        <item x="3687"/>
        <item x="3688"/>
        <item x="3685"/>
        <item x="3686"/>
        <item x="3679"/>
        <item x="3680"/>
        <item x="3681"/>
        <item x="3682"/>
        <item x="3677"/>
        <item x="3678"/>
        <item x="3829"/>
        <item x="3830"/>
        <item x="3827"/>
        <item x="3828"/>
        <item x="3825"/>
        <item x="3826"/>
        <item m="1" x="5002"/>
        <item m="1" x="5001"/>
        <item x="3839"/>
        <item x="3840"/>
        <item x="3837"/>
        <item x="3838"/>
        <item x="3841"/>
        <item x="3842"/>
        <item x="3835"/>
        <item x="3836"/>
        <item x="3833"/>
        <item x="3834"/>
        <item x="3831"/>
        <item x="3832"/>
        <item x="3847"/>
        <item x="3848"/>
        <item x="3845"/>
        <item x="3846"/>
        <item x="3843"/>
        <item x="3844"/>
        <item x="3821"/>
        <item x="3822"/>
        <item x="3819"/>
        <item x="3820"/>
        <item x="3813"/>
        <item x="3814"/>
        <item x="3817"/>
        <item x="3818"/>
        <item x="3815"/>
        <item x="3816"/>
        <item x="3811"/>
        <item x="3812"/>
        <item x="3809"/>
        <item x="3810"/>
        <item m="1" x="4987"/>
        <item m="1" x="4988"/>
        <item x="3851"/>
        <item x="3852"/>
        <item x="3849"/>
        <item x="3850"/>
        <item x="3673"/>
        <item x="3674"/>
        <item x="3669"/>
        <item x="3670"/>
        <item x="3671"/>
        <item x="3672"/>
        <item x="3597"/>
        <item x="3598"/>
        <item x="3599"/>
        <item x="3600"/>
        <item x="3605"/>
        <item x="3606"/>
        <item x="3601"/>
        <item x="3602"/>
        <item x="3607"/>
        <item x="3608"/>
        <item x="3603"/>
        <item x="3604"/>
        <item x="3609"/>
        <item x="3610"/>
        <item x="3545"/>
        <item x="3546"/>
        <item x="3547"/>
        <item x="3548"/>
        <item x="3531"/>
        <item x="3532"/>
        <item x="3533"/>
        <item x="3534"/>
        <item x="3549"/>
        <item x="3550"/>
        <item x="3567"/>
        <item x="3568"/>
        <item x="3559"/>
        <item x="3560"/>
        <item x="3517"/>
        <item x="3518"/>
        <item x="3511"/>
        <item x="3512"/>
        <item x="3505"/>
        <item x="3506"/>
        <item x="3561"/>
        <item x="3562"/>
        <item x="3563"/>
        <item x="3564"/>
        <item x="3519"/>
        <item x="3520"/>
        <item x="3515"/>
        <item x="3516"/>
        <item x="3509"/>
        <item x="3510"/>
        <item x="3565"/>
        <item x="3566"/>
        <item x="3521"/>
        <item x="3522"/>
        <item x="3513"/>
        <item x="3514"/>
        <item x="3507"/>
        <item x="3508"/>
        <item x="3551"/>
        <item x="3552"/>
        <item x="3537"/>
        <item x="3538"/>
        <item x="3535"/>
        <item x="3536"/>
        <item x="3539"/>
        <item x="3540"/>
        <item x="3541"/>
        <item x="3542"/>
        <item x="3543"/>
        <item x="3544"/>
        <item x="3569"/>
        <item x="3570"/>
        <item x="3553"/>
        <item x="3554"/>
        <item x="3557"/>
        <item x="3558"/>
        <item m="1" x="5149"/>
        <item m="1" x="5150"/>
        <item x="3555"/>
        <item x="3556"/>
        <item x="3571"/>
        <item x="3572"/>
        <item x="3573"/>
        <item x="3574"/>
        <item x="3577"/>
        <item x="3578"/>
        <item x="3585"/>
        <item x="3586"/>
        <item x="3581"/>
        <item x="3582"/>
        <item x="3583"/>
        <item x="3584"/>
        <item x="3589"/>
        <item x="3590"/>
        <item x="3579"/>
        <item x="3580"/>
        <item x="3587"/>
        <item x="3588"/>
        <item x="3575"/>
        <item x="3576"/>
        <item x="3591"/>
        <item x="3592"/>
        <item x="3593"/>
        <item x="3594"/>
        <item x="3595"/>
        <item x="3596"/>
        <item x="3611"/>
        <item x="3612"/>
        <item x="3613"/>
        <item x="3614"/>
        <item x="3619"/>
        <item x="3620"/>
        <item x="3621"/>
        <item x="3622"/>
        <item x="3615"/>
        <item x="3616"/>
        <item x="3617"/>
        <item x="3618"/>
        <item x="3647"/>
        <item x="3648"/>
        <item x="3649"/>
        <item x="3650"/>
        <item x="3637"/>
        <item x="3638"/>
        <item x="3639"/>
        <item x="3640"/>
        <item x="3641"/>
        <item x="3642"/>
        <item x="3643"/>
        <item x="3644"/>
        <item x="3645"/>
        <item x="3646"/>
        <item x="3625"/>
        <item x="3626"/>
        <item x="3627"/>
        <item x="3628"/>
        <item x="3525"/>
        <item x="3526"/>
        <item x="3527"/>
        <item x="3528"/>
        <item x="3529"/>
        <item x="3530"/>
        <item x="3623"/>
        <item x="3624"/>
        <item x="3523"/>
        <item x="3524"/>
        <item x="3629"/>
        <item x="3630"/>
        <item x="3631"/>
        <item x="3632"/>
        <item x="3633"/>
        <item x="3634"/>
        <item x="3635"/>
        <item x="3636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7"/>
        <item x="3668"/>
        <item x="3663"/>
        <item x="3664"/>
        <item x="3665"/>
        <item x="3666"/>
        <item x="3487"/>
        <item x="3488"/>
        <item x="3491"/>
        <item x="3492"/>
        <item x="3489"/>
        <item x="3490"/>
        <item x="3453"/>
        <item x="3454"/>
        <item x="3461"/>
        <item x="3462"/>
        <item x="3457"/>
        <item x="3458"/>
        <item x="3465"/>
        <item x="3466"/>
        <item x="3451"/>
        <item x="3452"/>
        <item x="3459"/>
        <item x="3460"/>
        <item x="3455"/>
        <item x="3456"/>
        <item x="3463"/>
        <item x="3464"/>
        <item x="3469"/>
        <item x="3470"/>
        <item x="3467"/>
        <item x="3468"/>
        <item x="3477"/>
        <item x="3478"/>
        <item x="3475"/>
        <item x="3476"/>
        <item x="3473"/>
        <item x="3474"/>
        <item x="3471"/>
        <item x="3472"/>
        <item x="3479"/>
        <item x="3480"/>
        <item x="3449"/>
        <item x="3450"/>
        <item x="3445"/>
        <item x="3446"/>
        <item x="3433"/>
        <item x="3434"/>
        <item x="3447"/>
        <item x="3448"/>
        <item x="3443"/>
        <item x="3444"/>
        <item x="3435"/>
        <item x="3436"/>
        <item x="3441"/>
        <item x="3442"/>
        <item x="3437"/>
        <item x="3438"/>
        <item x="3439"/>
        <item x="3440"/>
        <item x="3853"/>
        <item x="3854"/>
        <item x="3855"/>
        <item x="3856"/>
        <item x="3423"/>
        <item x="3424"/>
        <item x="3425"/>
        <item x="3426"/>
        <item x="3417"/>
        <item x="3418"/>
        <item x="3427"/>
        <item x="3428"/>
        <item x="3413"/>
        <item x="3414"/>
        <item x="3431"/>
        <item x="3432"/>
        <item x="3429"/>
        <item x="3430"/>
        <item m="1" x="4927"/>
        <item m="1" x="4926"/>
        <item x="3481"/>
        <item x="3482"/>
        <item x="471"/>
        <item x="472"/>
        <item x="473"/>
        <item x="474"/>
        <item x="475"/>
        <item x="476"/>
        <item x="477"/>
        <item x="478"/>
        <item x="426"/>
        <item x="427"/>
        <item x="416"/>
        <item x="417"/>
        <item x="499"/>
        <item x="500"/>
        <item x="497"/>
        <item x="498"/>
        <item x="503"/>
        <item x="504"/>
        <item x="501"/>
        <item x="502"/>
        <item x="505"/>
        <item x="506"/>
        <item x="507"/>
        <item x="508"/>
        <item x="479"/>
        <item x="480"/>
        <item x="513"/>
        <item x="514"/>
        <item x="515"/>
        <item x="516"/>
        <item x="485"/>
        <item m="1" x="4690"/>
        <item m="1" x="4691"/>
        <item x="486"/>
        <item x="487"/>
        <item m="1" x="4692"/>
        <item m="1" x="4693"/>
        <item x="488"/>
        <item x="481"/>
        <item x="482"/>
        <item x="483"/>
        <item x="484"/>
        <item x="527"/>
        <item x="424"/>
        <item x="425"/>
        <item x="518"/>
        <item x="517"/>
        <item x="520"/>
        <item x="519"/>
        <item x="411"/>
        <item x="412"/>
        <item x="413"/>
        <item x="414"/>
        <item x="415"/>
        <item x="521"/>
        <item x="522"/>
        <item x="439"/>
        <item x="407"/>
        <item x="408"/>
        <item x="403"/>
        <item x="404"/>
        <item x="440"/>
        <item x="409"/>
        <item x="410"/>
        <item x="401"/>
        <item x="402"/>
        <item x="405"/>
        <item x="406"/>
        <item x="489"/>
        <item x="490"/>
        <item x="491"/>
        <item x="492"/>
        <item x="493"/>
        <item x="494"/>
        <item x="495"/>
        <item x="496"/>
        <item x="445"/>
        <item x="446"/>
        <item x="447"/>
        <item x="448"/>
        <item x="441"/>
        <item x="443"/>
        <item x="442"/>
        <item x="444"/>
        <item x="449"/>
        <item x="451"/>
        <item x="450"/>
        <item x="452"/>
        <item x="453"/>
        <item x="454"/>
        <item x="455"/>
        <item x="456"/>
        <item x="457"/>
        <item x="458"/>
        <item x="459"/>
        <item x="460"/>
        <item x="422"/>
        <item x="461"/>
        <item m="1" x="4694"/>
        <item x="437"/>
        <item x="438"/>
        <item x="435"/>
        <item x="436"/>
        <item x="423"/>
        <item x="462"/>
        <item x="463"/>
        <item x="464"/>
        <item x="465"/>
        <item x="466"/>
        <item x="467"/>
        <item x="468"/>
        <item x="469"/>
        <item x="470"/>
        <item m="1" x="4695"/>
        <item x="77"/>
        <item x="76"/>
        <item x="399"/>
        <item x="400"/>
        <item x="397"/>
        <item x="2097"/>
        <item x="2084"/>
        <item m="1" x="4756"/>
        <item x="2079"/>
        <item m="1" x="4753"/>
        <item x="2078"/>
        <item m="1" x="4752"/>
        <item x="2077"/>
        <item x="2081"/>
        <item m="1" x="4754"/>
        <item x="2080"/>
        <item x="2085"/>
        <item x="2086"/>
        <item m="1" x="4713"/>
        <item m="1" x="4757"/>
        <item x="2087"/>
        <item x="2088"/>
        <item m="1" x="4710"/>
        <item x="2083"/>
        <item m="1" x="4755"/>
        <item x="2082"/>
        <item x="2074"/>
        <item m="1" x="4717"/>
        <item x="2073"/>
        <item x="2031"/>
        <item m="1" x="4705"/>
        <item x="2030"/>
        <item m="1" x="4706"/>
        <item x="2032"/>
        <item m="1" x="4702"/>
        <item x="2033"/>
        <item m="1" x="4707"/>
        <item x="2135"/>
        <item m="1" x="4714"/>
        <item x="1937"/>
        <item m="1" x="4720"/>
        <item x="1942"/>
        <item m="1" x="4726"/>
        <item x="1931"/>
        <item x="1927"/>
        <item m="1" x="4721"/>
        <item x="1939"/>
        <item m="1" x="4727"/>
        <item x="1938"/>
        <item m="1" x="4793"/>
        <item x="1932"/>
        <item m="1" x="4722"/>
        <item x="1933"/>
        <item m="1" x="4723"/>
        <item x="1935"/>
        <item x="1940"/>
        <item m="1" x="4724"/>
        <item x="1946"/>
        <item x="1945"/>
        <item m="1" x="4715"/>
        <item m="1" x="4725"/>
        <item x="1943"/>
        <item x="1944"/>
        <item m="1" x="4719"/>
        <item x="1936"/>
        <item m="1" x="4792"/>
        <item x="1947"/>
        <item m="1" x="4718"/>
        <item x="1930"/>
        <item x="1925"/>
        <item x="1926"/>
        <item x="1950"/>
        <item x="1951"/>
        <item m="1" x="4800"/>
        <item x="1953"/>
        <item m="1" x="4798"/>
        <item x="1952"/>
        <item m="1" x="4801"/>
        <item x="1954"/>
        <item m="1" x="4794"/>
        <item x="1957"/>
        <item m="1" x="4802"/>
        <item x="1958"/>
        <item x="1959"/>
        <item m="1" x="4799"/>
        <item x="1955"/>
        <item x="1956"/>
        <item m="1" x="4803"/>
        <item x="1948"/>
        <item x="1986"/>
        <item x="1987"/>
        <item m="1" x="4804"/>
        <item x="1974"/>
        <item m="1" x="4806"/>
        <item x="1976"/>
        <item x="1975"/>
        <item x="1978"/>
        <item x="1977"/>
        <item x="1979"/>
        <item m="1" x="4807"/>
        <item x="1980"/>
        <item m="1" x="4808"/>
        <item x="1968"/>
        <item x="1969"/>
        <item x="1970"/>
        <item x="1981"/>
        <item m="1" x="4809"/>
        <item x="1982"/>
        <item m="1" x="4810"/>
        <item x="1972"/>
        <item x="1971"/>
        <item x="1973"/>
        <item m="1" x="4805"/>
        <item x="1983"/>
        <item x="1985"/>
        <item x="1984"/>
        <item x="1960"/>
        <item x="1964"/>
        <item x="1965"/>
        <item m="1" x="4744"/>
        <item x="1961"/>
        <item m="1" x="4795"/>
        <item x="1963"/>
        <item x="1962"/>
        <item m="1" x="4796"/>
        <item x="1966"/>
        <item x="1967"/>
        <item m="1" x="4797"/>
        <item x="2403"/>
        <item x="2402"/>
        <item x="2401"/>
        <item x="2404"/>
        <item x="2380"/>
        <item x="2379"/>
        <item x="2382"/>
        <item x="2375"/>
        <item x="2376"/>
        <item x="2381"/>
        <item x="2377"/>
        <item x="2378"/>
        <item x="2388"/>
        <item x="2387"/>
        <item x="2386"/>
        <item x="2385"/>
        <item x="2383"/>
        <item x="2384"/>
        <item x="2406"/>
        <item x="2363"/>
        <item x="2365"/>
        <item x="2366"/>
        <item x="2367"/>
        <item x="2364"/>
        <item m="1" x="4871"/>
        <item m="1" x="4873"/>
        <item m="1" x="4874"/>
        <item x="2293"/>
        <item m="1" x="4886"/>
        <item m="1" x="4887"/>
        <item m="1" x="4888"/>
        <item m="1" x="4889"/>
        <item x="2338"/>
        <item x="2339"/>
        <item x="2340"/>
        <item x="2344"/>
        <item x="2345"/>
        <item x="2346"/>
        <item x="2350"/>
        <item x="2351"/>
        <item x="2352"/>
        <item m="1" x="4875"/>
        <item m="1" x="4849"/>
        <item m="1" x="4850"/>
        <item m="1" x="4876"/>
        <item m="1" x="4877"/>
        <item m="1" x="4890"/>
        <item m="1" x="4851"/>
        <item m="1" x="4852"/>
        <item m="1" x="4894"/>
        <item m="1" x="4895"/>
        <item x="2341"/>
        <item m="1" x="4859"/>
        <item x="2342"/>
        <item x="2343"/>
        <item x="2347"/>
        <item m="1" x="4860"/>
        <item x="2348"/>
        <item x="2349"/>
        <item x="2353"/>
        <item m="1" x="4861"/>
        <item x="2354"/>
        <item x="2355"/>
        <item x="2359"/>
        <item m="1" x="4853"/>
        <item m="1" x="4854"/>
        <item x="2360"/>
        <item x="2361"/>
        <item m="1" x="4891"/>
        <item m="1" x="4862"/>
        <item m="1" x="4892"/>
        <item m="1" x="4893"/>
        <item x="2356"/>
        <item x="2357"/>
        <item x="2358"/>
        <item m="1" x="4896"/>
        <item m="1" x="4897"/>
        <item x="2362"/>
        <item m="1" x="4898"/>
        <item m="1" x="4899"/>
        <item x="2372"/>
        <item x="2371"/>
        <item x="2370"/>
        <item m="1" x="4868"/>
        <item x="2368"/>
        <item x="2450"/>
        <item x="2452"/>
        <item x="2451"/>
        <item x="2455"/>
        <item x="2454"/>
        <item x="2453"/>
        <item x="2149"/>
        <item x="2147"/>
        <item x="2145"/>
        <item x="2148"/>
        <item x="2146"/>
        <item m="1" x="4880"/>
        <item m="1" x="4881"/>
        <item m="1" x="4882"/>
        <item m="1" x="4908"/>
        <item m="1" x="4907"/>
        <item m="1" x="4906"/>
        <item m="1" x="4903"/>
        <item m="1" x="4904"/>
        <item m="1" x="4905"/>
        <item x="2230"/>
        <item x="2231"/>
        <item x="2232"/>
        <item x="2236"/>
        <item x="2237"/>
        <item x="2238"/>
        <item x="2242"/>
        <item x="2243"/>
        <item x="2244"/>
        <item m="1" x="4883"/>
        <item m="1" x="4884"/>
        <item m="1" x="4885"/>
        <item m="1" x="4909"/>
        <item m="1" x="4855"/>
        <item m="1" x="4856"/>
        <item m="1" x="4910"/>
        <item m="1" x="4911"/>
        <item x="2233"/>
        <item m="1" x="4863"/>
        <item x="2234"/>
        <item x="2235"/>
        <item x="2239"/>
        <item m="1" x="4864"/>
        <item x="2240"/>
        <item x="2241"/>
        <item x="2245"/>
        <item m="1" x="4865"/>
        <item x="2246"/>
        <item x="2247"/>
        <item x="2281"/>
        <item x="2282"/>
        <item x="2283"/>
        <item m="1" x="4912"/>
        <item m="1" x="4866"/>
        <item m="1" x="4857"/>
        <item m="1" x="4858"/>
        <item m="1" x="4913"/>
        <item m="1" x="4914"/>
        <item x="2278"/>
        <item x="2279"/>
        <item x="2280"/>
        <item m="1" x="4900"/>
        <item x="2284"/>
        <item m="1" x="4901"/>
        <item m="1" x="4902"/>
        <item x="2223"/>
        <item x="2222"/>
        <item m="1" x="4848"/>
        <item m="1" x="4870"/>
        <item x="2292"/>
        <item x="2291"/>
        <item x="2290"/>
        <item m="1" x="4867"/>
        <item x="2288"/>
        <item m="1" x="4879"/>
        <item m="1" x="4878"/>
        <item x="2285"/>
        <item x="2286"/>
        <item x="2287"/>
        <item x="2398"/>
        <item x="2397"/>
        <item x="2396"/>
        <item x="2395"/>
        <item x="2394"/>
        <item x="2392"/>
        <item x="2391"/>
        <item x="2390"/>
        <item x="2389"/>
        <item x="2393"/>
        <item x="2400"/>
        <item m="1" x="4915"/>
        <item x="2399"/>
        <item x="2374"/>
        <item x="2373"/>
        <item x="2417"/>
        <item x="2418"/>
        <item m="1" x="4917"/>
        <item x="2412"/>
        <item x="2410"/>
        <item x="2416"/>
        <item x="2409"/>
        <item x="2415"/>
        <item x="2413"/>
        <item x="2408"/>
        <item x="2414"/>
        <item x="2411"/>
        <item x="2407"/>
        <item m="1" x="4916"/>
        <item x="2424"/>
        <item x="2421"/>
        <item x="2422"/>
        <item x="2423"/>
        <item x="2425"/>
        <item x="2426"/>
        <item x="2435"/>
        <item x="2437"/>
        <item x="2436"/>
        <item m="1" x="4869"/>
        <item x="2419"/>
        <item x="4332"/>
        <item x="4331"/>
        <item x="4330"/>
        <item x="4329"/>
        <item x="2429"/>
        <item x="2427"/>
        <item x="2438"/>
        <item x="2428"/>
        <item x="2432"/>
        <item x="2420"/>
        <item x="4333"/>
        <item m="1" x="4872"/>
        <item x="2431"/>
        <item x="2430"/>
        <item x="2405"/>
        <item x="2446"/>
        <item x="2441"/>
        <item x="2440"/>
        <item x="2442"/>
        <item x="2439"/>
        <item x="2443"/>
        <item x="2444"/>
        <item x="2445"/>
        <item x="4335"/>
        <item x="4336"/>
        <item x="4334"/>
        <item x="4337"/>
        <item x="3249"/>
        <item x="3250"/>
        <item x="3251"/>
        <item x="4253"/>
        <item x="4254"/>
        <item x="3252"/>
        <item x="3253"/>
        <item x="3254"/>
        <item x="4255"/>
        <item x="4256"/>
        <item x="3243"/>
        <item x="3244"/>
        <item x="3245"/>
        <item x="4250"/>
        <item x="4249"/>
        <item x="3240"/>
        <item x="3241"/>
        <item x="3242"/>
        <item x="4247"/>
        <item x="4248"/>
        <item x="3237"/>
        <item x="3238"/>
        <item x="3239"/>
        <item x="4246"/>
        <item x="4245"/>
        <item x="3234"/>
        <item x="3235"/>
        <item x="3236"/>
        <item x="4244"/>
        <item x="4243"/>
        <item x="3231"/>
        <item x="3232"/>
        <item x="3233"/>
        <item x="4242"/>
        <item x="4241"/>
        <item x="3246"/>
        <item x="3247"/>
        <item x="3248"/>
        <item x="4252"/>
        <item x="4251"/>
        <item x="3228"/>
        <item x="3229"/>
        <item x="3230"/>
        <item x="4235"/>
        <item x="4236"/>
        <item x="3222"/>
        <item x="3223"/>
        <item x="3224"/>
        <item x="4237"/>
        <item x="4238"/>
        <item x="3225"/>
        <item x="3226"/>
        <item x="3227"/>
        <item x="4239"/>
        <item x="4240"/>
        <item x="3258"/>
        <item x="3259"/>
        <item x="3260"/>
        <item x="4257"/>
        <item x="4258"/>
        <item x="3255"/>
        <item x="3256"/>
        <item x="3257"/>
        <item x="4259"/>
        <item x="4260"/>
        <item m="1" x="5013"/>
        <item m="1" x="5012"/>
        <item x="3198"/>
        <item x="3199"/>
        <item x="3200"/>
        <item x="4199"/>
        <item x="4200"/>
        <item x="3195"/>
        <item x="3196"/>
        <item x="3197"/>
        <item x="4201"/>
        <item x="4202"/>
        <item x="3192"/>
        <item x="3193"/>
        <item x="3194"/>
        <item x="4203"/>
        <item x="4204"/>
        <item m="1" x="5016"/>
        <item m="1" x="5017"/>
        <item m="1" x="5018"/>
        <item x="3189"/>
        <item x="3190"/>
        <item x="3191"/>
        <item x="4205"/>
        <item x="4206"/>
        <item x="3159"/>
        <item x="3160"/>
        <item x="3161"/>
        <item x="4185"/>
        <item x="4186"/>
        <item x="3162"/>
        <item x="3163"/>
        <item x="3164"/>
        <item x="4183"/>
        <item x="4184"/>
        <item x="3153"/>
        <item x="3154"/>
        <item m="1" x="5022"/>
        <item x="3155"/>
        <item x="4193"/>
        <item x="4194"/>
        <item x="3150"/>
        <item x="3151"/>
        <item x="3152"/>
        <item x="4191"/>
        <item x="4192"/>
        <item x="3156"/>
        <item x="3157"/>
        <item x="3158"/>
        <item x="4195"/>
        <item x="4196"/>
        <item m="1" x="5031"/>
        <item m="1" x="5030"/>
        <item m="1" x="5029"/>
        <item m="1" x="5036"/>
        <item m="1" x="5035"/>
        <item m="1" x="5026"/>
        <item m="1" x="5025"/>
        <item m="1" x="5024"/>
        <item m="1" x="5028"/>
        <item m="1" x="5027"/>
        <item m="1" x="5034"/>
        <item m="1" x="5033"/>
        <item m="1" x="5032"/>
        <item m="1" x="5038"/>
        <item m="1" x="5037"/>
        <item x="3147"/>
        <item x="3148"/>
        <item x="3149"/>
        <item x="4189"/>
        <item x="4190"/>
        <item x="3146"/>
        <item x="3145"/>
        <item x="3144"/>
        <item x="4187"/>
        <item x="4188"/>
        <item m="1" x="5041"/>
        <item m="1" x="5040"/>
        <item m="1" x="5039"/>
        <item m="1" x="5045"/>
        <item m="1" x="5044"/>
        <item m="1" x="5076"/>
        <item m="1" x="5075"/>
        <item m="1" x="5074"/>
        <item m="1" x="5078"/>
        <item m="1" x="5077"/>
        <item m="1" x="5081"/>
        <item m="1" x="5080"/>
        <item m="1" x="5079"/>
        <item m="1" x="5083"/>
        <item m="1" x="5082"/>
        <item m="1" x="5071"/>
        <item m="1" x="5070"/>
        <item m="1" x="5069"/>
        <item m="1" x="5073"/>
        <item m="1" x="5072"/>
        <item x="3168"/>
        <item x="3169"/>
        <item x="3170"/>
        <item x="4208"/>
        <item x="4207"/>
        <item x="3177"/>
        <item x="3178"/>
        <item x="3179"/>
        <item x="4213"/>
        <item x="4214"/>
        <item x="3174"/>
        <item x="3175"/>
        <item x="3176"/>
        <item x="4211"/>
        <item x="4212"/>
        <item x="3186"/>
        <item x="3187"/>
        <item x="3188"/>
        <item x="4215"/>
        <item x="4216"/>
        <item x="3183"/>
        <item x="3184"/>
        <item x="3185"/>
        <item x="4217"/>
        <item x="4218"/>
        <item x="3180"/>
        <item x="3181"/>
        <item x="3182"/>
        <item x="4209"/>
        <item x="4210"/>
        <item x="3171"/>
        <item x="3172"/>
        <item x="3173"/>
        <item x="4219"/>
        <item x="4220"/>
        <item m="1" x="5043"/>
        <item m="1" x="5042"/>
        <item m="1" x="5048"/>
        <item m="1" x="5047"/>
        <item m="1" x="5046"/>
        <item m="1" x="5050"/>
        <item m="1" x="5049"/>
        <item m="1" x="5055"/>
        <item m="1" x="5054"/>
        <item m="1" x="5053"/>
        <item m="1" x="5058"/>
        <item m="1" x="5057"/>
        <item m="1" x="5061"/>
        <item m="1" x="5060"/>
        <item m="1" x="5059"/>
        <item m="1" x="5063"/>
        <item m="1" x="5062"/>
        <item m="1" x="5066"/>
        <item m="1" x="5065"/>
        <item m="1" x="5064"/>
        <item m="1" x="5068"/>
        <item m="1" x="5067"/>
        <item x="3201"/>
        <item x="3202"/>
        <item x="3203"/>
        <item x="4221"/>
        <item x="4222"/>
        <item m="1" x="5052"/>
        <item m="1" x="5051"/>
        <item m="1" x="5056"/>
        <item x="3114"/>
        <item x="3115"/>
        <item x="3116"/>
        <item x="4161"/>
        <item x="4162"/>
        <item x="4163"/>
        <item x="4164"/>
        <item x="3111"/>
        <item x="3112"/>
        <item x="3113"/>
        <item x="4159"/>
        <item x="4160"/>
        <item x="3108"/>
        <item x="3109"/>
        <item x="3110"/>
        <item x="4157"/>
        <item x="4158"/>
        <item x="3129"/>
        <item x="3130"/>
        <item x="3131"/>
        <item x="4175"/>
        <item x="4176"/>
        <item x="3126"/>
        <item x="3127"/>
        <item x="3128"/>
        <item x="4173"/>
        <item x="4174"/>
        <item m="1" x="4918"/>
        <item x="3141"/>
        <item x="3142"/>
        <item x="3143"/>
        <item x="4165"/>
        <item x="4166"/>
        <item x="3135"/>
        <item x="3136"/>
        <item x="3137"/>
        <item x="4170"/>
        <item x="4169"/>
        <item x="3138"/>
        <item x="3139"/>
        <item x="3140"/>
        <item x="4172"/>
        <item x="4171"/>
        <item x="3132"/>
        <item x="3133"/>
        <item x="3134"/>
        <item x="4167"/>
        <item x="4168"/>
        <item x="3123"/>
        <item x="3124"/>
        <item x="3125"/>
        <item x="4179"/>
        <item x="4180"/>
        <item x="3120"/>
        <item x="3121"/>
        <item x="3122"/>
        <item x="4177"/>
        <item x="4178"/>
        <item x="3117"/>
        <item x="3118"/>
        <item x="3119"/>
        <item x="4181"/>
        <item x="4182"/>
        <item x="3102"/>
        <item x="3103"/>
        <item x="3104"/>
        <item m="1" x="4990"/>
        <item x="4155"/>
        <item x="4156"/>
        <item x="3105"/>
        <item x="3106"/>
        <item x="3107"/>
        <item m="1" x="4919"/>
        <item m="1" x="5084"/>
        <item m="1" x="5085"/>
        <item x="3269"/>
        <item x="3270"/>
        <item x="3271"/>
        <item x="3272"/>
        <item x="4269"/>
        <item x="4270"/>
        <item m="1" x="4993"/>
        <item m="1" x="4994"/>
        <item m="1" x="4995"/>
        <item m="1" x="4996"/>
        <item x="4271"/>
        <item x="4272"/>
        <item x="3277"/>
        <item x="3278"/>
        <item x="3279"/>
        <item x="3280"/>
        <item x="4273"/>
        <item x="4274"/>
        <item x="3273"/>
        <item x="3274"/>
        <item x="3275"/>
        <item x="3276"/>
        <item x="4266"/>
        <item x="4265"/>
        <item x="3042"/>
        <item x="3043"/>
        <item x="3044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x="3051"/>
        <item x="3052"/>
        <item x="3053"/>
        <item m="1" x="5086"/>
        <item m="1" x="5087"/>
        <item m="1" x="5088"/>
        <item x="3048"/>
        <item x="3049"/>
        <item x="3050"/>
        <item m="1" x="5110"/>
        <item m="1" x="5111"/>
        <item m="1" x="5112"/>
        <item m="1" x="5113"/>
        <item m="1" x="5114"/>
        <item m="1" x="5115"/>
        <item x="3054"/>
        <item x="3055"/>
        <item x="3056"/>
        <item x="3063"/>
        <item x="3064"/>
        <item x="3065"/>
        <item m="1" x="5116"/>
        <item m="1" x="5117"/>
        <item m="1" x="5118"/>
        <item x="3057"/>
        <item x="3058"/>
        <item x="3059"/>
        <item x="3069"/>
        <item x="3070"/>
        <item x="3071"/>
        <item x="3066"/>
        <item x="3067"/>
        <item x="3068"/>
        <item x="3060"/>
        <item x="3061"/>
        <item x="3062"/>
        <item x="3072"/>
        <item x="3073"/>
        <item x="3074"/>
        <item m="1" x="5119"/>
        <item m="1" x="5120"/>
        <item m="1" x="5121"/>
        <item m="1" x="5122"/>
        <item m="1" x="5123"/>
        <item m="1" x="5124"/>
        <item x="3075"/>
        <item x="3076"/>
        <item x="3077"/>
        <item x="3078"/>
        <item x="3079"/>
        <item x="3080"/>
        <item x="3098"/>
        <item x="3097"/>
        <item x="3096"/>
        <item x="3081"/>
        <item x="3082"/>
        <item x="3083"/>
        <item x="3084"/>
        <item x="3085"/>
        <item x="3086"/>
        <item x="3095"/>
        <item x="3094"/>
        <item x="3093"/>
        <item x="3092"/>
        <item x="3091"/>
        <item x="3090"/>
        <item x="3087"/>
        <item x="3088"/>
        <item x="3089"/>
        <item x="3045"/>
        <item x="3046"/>
        <item x="3047"/>
        <item x="3039"/>
        <item x="3040"/>
        <item x="3041"/>
        <item m="1" x="5005"/>
        <item m="1" x="5006"/>
        <item m="1" x="5007"/>
        <item x="3036"/>
        <item x="3037"/>
        <item x="3038"/>
        <item m="1" x="5008"/>
        <item m="1" x="5009"/>
        <item m="1" x="5010"/>
        <item m="1" x="5128"/>
        <item m="1" x="5127"/>
        <item m="1" x="5130"/>
        <item m="1" x="5129"/>
        <item m="1" x="5132"/>
        <item m="1" x="5131"/>
        <item m="1" x="5134"/>
        <item m="1" x="5133"/>
        <item m="1" x="5138"/>
        <item m="1" x="5137"/>
        <item m="1" x="5139"/>
        <item m="1" x="5126"/>
        <item m="1" x="5125"/>
        <item m="1" x="5136"/>
        <item m="1" x="5135"/>
        <item m="1" x="5141"/>
        <item m="1" x="5140"/>
        <item m="1" x="5145"/>
        <item m="1" x="5144"/>
        <item m="1" x="5143"/>
        <item m="1" x="5142"/>
        <item x="3024"/>
        <item x="3025"/>
        <item x="3026"/>
        <item x="4147"/>
        <item x="4148"/>
        <item x="3030"/>
        <item x="3031"/>
        <item x="3032"/>
        <item x="4151"/>
        <item x="4152"/>
        <item x="3027"/>
        <item x="3028"/>
        <item x="3029"/>
        <item x="4149"/>
        <item x="4150"/>
        <item x="3018"/>
        <item x="3019"/>
        <item x="3020"/>
        <item x="4143"/>
        <item x="4144"/>
        <item x="3021"/>
        <item x="3022"/>
        <item x="3023"/>
        <item x="4145"/>
        <item x="4146"/>
        <item x="3015"/>
        <item x="3016"/>
        <item x="3017"/>
        <item x="4141"/>
        <item x="4142"/>
        <item x="3349"/>
        <item x="3350"/>
        <item x="3351"/>
        <item x="3352"/>
        <item x="4291"/>
        <item x="4292"/>
        <item x="3345"/>
        <item x="3346"/>
        <item x="3347"/>
        <item x="3348"/>
        <item x="4289"/>
        <item x="4290"/>
        <item x="3341"/>
        <item x="3342"/>
        <item x="3343"/>
        <item x="3344"/>
        <item x="4293"/>
        <item x="4294"/>
        <item m="1" x="5000"/>
        <item m="1" x="4999"/>
        <item m="1" x="4998"/>
        <item m="1" x="4997"/>
        <item m="1" x="5004"/>
        <item m="1" x="5003"/>
        <item x="3365"/>
        <item x="3366"/>
        <item x="3367"/>
        <item x="3368"/>
        <item x="4303"/>
        <item x="4304"/>
        <item x="3361"/>
        <item x="3362"/>
        <item x="3363"/>
        <item x="3364"/>
        <item x="4305"/>
        <item x="4306"/>
        <item x="3369"/>
        <item x="3370"/>
        <item x="3371"/>
        <item x="3372"/>
        <item x="4295"/>
        <item x="4296"/>
        <item x="3357"/>
        <item x="3358"/>
        <item x="3359"/>
        <item x="3360"/>
        <item x="4301"/>
        <item x="4302"/>
        <item x="3353"/>
        <item x="3354"/>
        <item x="3355"/>
        <item x="3356"/>
        <item x="4298"/>
        <item x="4297"/>
        <item x="3337"/>
        <item x="3338"/>
        <item x="3339"/>
        <item x="3340"/>
        <item x="4299"/>
        <item x="4300"/>
        <item x="3381"/>
        <item x="3382"/>
        <item x="3383"/>
        <item x="3384"/>
        <item x="4312"/>
        <item x="4311"/>
        <item x="3377"/>
        <item x="3378"/>
        <item x="3379"/>
        <item x="3380"/>
        <item x="4307"/>
        <item x="4308"/>
        <item x="3373"/>
        <item x="3374"/>
        <item x="3375"/>
        <item x="3376"/>
        <item x="4310"/>
        <item x="4309"/>
        <item x="3333"/>
        <item x="3334"/>
        <item x="3335"/>
        <item x="3336"/>
        <item x="4275"/>
        <item x="4276"/>
        <item x="3329"/>
        <item x="3330"/>
        <item x="3331"/>
        <item x="3332"/>
        <item x="4277"/>
        <item x="4278"/>
        <item x="3317"/>
        <item x="3318"/>
        <item x="3319"/>
        <item x="3320"/>
        <item x="4286"/>
        <item x="4285"/>
        <item x="3325"/>
        <item x="3326"/>
        <item x="3327"/>
        <item x="3328"/>
        <item x="4279"/>
        <item x="4280"/>
        <item x="3321"/>
        <item x="3322"/>
        <item x="3323"/>
        <item x="3324"/>
        <item x="4281"/>
        <item x="4282"/>
        <item x="3293"/>
        <item x="3294"/>
        <item x="3295"/>
        <item x="3296"/>
        <item x="4283"/>
        <item x="4284"/>
        <item x="3289"/>
        <item x="3290"/>
        <item x="3291"/>
        <item x="3292"/>
        <item x="3301"/>
        <item x="3302"/>
        <item x="3303"/>
        <item x="3304"/>
        <item x="4315"/>
        <item x="4316"/>
        <item x="3305"/>
        <item x="3306"/>
        <item x="3307"/>
        <item x="3308"/>
        <item x="4317"/>
        <item x="4318"/>
        <item x="3008"/>
        <item x="3007"/>
        <item x="3006"/>
        <item x="4137"/>
        <item x="4138"/>
        <item x="3011"/>
        <item x="3010"/>
        <item x="3009"/>
        <item x="4133"/>
        <item x="4134"/>
        <item x="3014"/>
        <item x="3013"/>
        <item x="3012"/>
        <item x="4135"/>
        <item x="4136"/>
        <item m="1" x="5148"/>
        <item m="1" x="5147"/>
        <item m="1" x="5146"/>
        <item x="2937"/>
        <item x="2938"/>
        <item x="2939"/>
        <item x="4089"/>
        <item x="4090"/>
        <item x="2919"/>
        <item x="2920"/>
        <item x="2921"/>
        <item x="4077"/>
        <item x="4078"/>
        <item x="2928"/>
        <item x="2929"/>
        <item x="2930"/>
        <item x="4079"/>
        <item x="4080"/>
        <item x="2922"/>
        <item x="2923"/>
        <item x="2924"/>
        <item x="4081"/>
        <item x="4082"/>
        <item x="2931"/>
        <item x="2932"/>
        <item x="2933"/>
        <item x="4083"/>
        <item x="4084"/>
        <item x="2925"/>
        <item x="2926"/>
        <item x="2927"/>
        <item x="4085"/>
        <item x="4086"/>
        <item x="2934"/>
        <item x="2935"/>
        <item x="2936"/>
        <item x="4087"/>
        <item x="4088"/>
        <item x="2859"/>
        <item x="2860"/>
        <item x="2861"/>
        <item x="4013"/>
        <item x="4014"/>
        <item x="2862"/>
        <item x="2863"/>
        <item x="2864"/>
        <item x="4015"/>
        <item x="4016"/>
        <item x="2838"/>
        <item x="2839"/>
        <item x="2840"/>
        <item x="4017"/>
        <item x="4018"/>
        <item x="2841"/>
        <item x="2842"/>
        <item x="2843"/>
        <item x="4019"/>
        <item x="4020"/>
        <item x="2874"/>
        <item x="2875"/>
        <item x="2876"/>
        <item x="4021"/>
        <item x="4022"/>
        <item x="2913"/>
        <item x="2914"/>
        <item x="2915"/>
        <item x="4023"/>
        <item x="4024"/>
        <item x="2877"/>
        <item x="2878"/>
        <item x="2879"/>
        <item x="4045"/>
        <item x="4046"/>
        <item x="2817"/>
        <item x="2818"/>
        <item x="2819"/>
        <item x="4008"/>
        <item x="4007"/>
        <item x="2808"/>
        <item x="2809"/>
        <item x="2810"/>
        <item x="3999"/>
        <item x="4000"/>
        <item x="2799"/>
        <item x="2800"/>
        <item x="2801"/>
        <item x="3993"/>
        <item x="3994"/>
        <item x="2880"/>
        <item x="2881"/>
        <item x="2882"/>
        <item x="4049"/>
        <item x="4050"/>
        <item x="2883"/>
        <item x="2884"/>
        <item x="2885"/>
        <item x="4005"/>
        <item x="4006"/>
        <item x="2820"/>
        <item x="2821"/>
        <item x="2822"/>
        <item x="4012"/>
        <item x="4011"/>
        <item x="2814"/>
        <item x="2815"/>
        <item x="2816"/>
        <item x="4003"/>
        <item x="4004"/>
        <item x="2805"/>
        <item x="2806"/>
        <item x="2807"/>
        <item x="3997"/>
        <item x="3998"/>
        <item x="2886"/>
        <item x="2887"/>
        <item x="2888"/>
        <item x="4047"/>
        <item x="4048"/>
        <item x="2823"/>
        <item x="2824"/>
        <item x="2825"/>
        <item x="4010"/>
        <item x="4009"/>
        <item x="2811"/>
        <item x="2812"/>
        <item x="2813"/>
        <item x="4001"/>
        <item x="4002"/>
        <item x="2802"/>
        <item x="2803"/>
        <item x="2804"/>
        <item x="3995"/>
        <item x="3996"/>
        <item x="2865"/>
        <item x="2866"/>
        <item x="2867"/>
        <item x="4029"/>
        <item x="4030"/>
        <item x="2847"/>
        <item x="2848"/>
        <item x="2849"/>
        <item x="4025"/>
        <item x="4026"/>
        <item x="2844"/>
        <item x="2845"/>
        <item x="2846"/>
        <item x="4031"/>
        <item x="4032"/>
        <item x="2850"/>
        <item x="2851"/>
        <item x="2852"/>
        <item x="4027"/>
        <item x="4028"/>
        <item x="2853"/>
        <item x="2854"/>
        <item x="2855"/>
        <item x="4033"/>
        <item x="4034"/>
        <item x="2856"/>
        <item x="2857"/>
        <item x="2858"/>
        <item x="4035"/>
        <item x="4036"/>
        <item x="2916"/>
        <item x="2917"/>
        <item x="2918"/>
        <item x="4037"/>
        <item x="4038"/>
        <item x="2868"/>
        <item x="2869"/>
        <item x="2870"/>
        <item x="4039"/>
        <item x="4040"/>
        <item x="2910"/>
        <item x="2911"/>
        <item x="2912"/>
        <item x="4041"/>
        <item x="4042"/>
        <item m="1" x="5151"/>
        <item m="1" x="5152"/>
        <item m="1" x="5153"/>
        <item m="1" x="5154"/>
        <item m="1" x="5155"/>
        <item x="2871"/>
        <item x="2872"/>
        <item x="2873"/>
        <item x="4043"/>
        <item x="4044"/>
        <item x="2790"/>
        <item x="2791"/>
        <item x="2792"/>
        <item x="4051"/>
        <item x="4052"/>
        <item x="2793"/>
        <item x="2794"/>
        <item x="2795"/>
        <item x="4053"/>
        <item x="4054"/>
        <item x="2778"/>
        <item x="2779"/>
        <item m="1" x="5023"/>
        <item x="2780"/>
        <item x="4057"/>
        <item x="4058"/>
        <item x="2769"/>
        <item x="2770"/>
        <item x="2771"/>
        <item x="4066"/>
        <item x="4065"/>
        <item x="2784"/>
        <item x="2785"/>
        <item x="2786"/>
        <item x="4061"/>
        <item x="4062"/>
        <item x="2787"/>
        <item x="2788"/>
        <item x="2789"/>
        <item x="4063"/>
        <item x="4064"/>
        <item x="2775"/>
        <item x="2776"/>
        <item x="2777"/>
        <item x="4070"/>
        <item x="4069"/>
        <item x="2781"/>
        <item x="2782"/>
        <item x="2783"/>
        <item x="4059"/>
        <item x="4060"/>
        <item x="2772"/>
        <item x="2773"/>
        <item x="2774"/>
        <item x="4068"/>
        <item x="4067"/>
        <item x="2796"/>
        <item x="2797"/>
        <item x="2798"/>
        <item x="4055"/>
        <item x="4056"/>
        <item x="2760"/>
        <item x="2761"/>
        <item x="2762"/>
        <item x="4071"/>
        <item x="4072"/>
        <item x="2763"/>
        <item x="2764"/>
        <item x="2765"/>
        <item x="4073"/>
        <item x="4074"/>
        <item x="2766"/>
        <item x="2767"/>
        <item x="2768"/>
        <item x="4075"/>
        <item x="4076"/>
        <item x="2940"/>
        <item x="2941"/>
        <item x="2942"/>
        <item x="4091"/>
        <item x="4092"/>
        <item x="2943"/>
        <item x="2944"/>
        <item x="2945"/>
        <item x="4093"/>
        <item x="4094"/>
        <item x="2952"/>
        <item x="2953"/>
        <item x="2954"/>
        <item x="4099"/>
        <item x="4100"/>
        <item x="2955"/>
        <item x="2956"/>
        <item x="2957"/>
        <item x="4101"/>
        <item x="4102"/>
        <item x="2946"/>
        <item x="2947"/>
        <item x="2948"/>
        <item x="4095"/>
        <item x="4096"/>
        <item x="2949"/>
        <item x="2950"/>
        <item x="2951"/>
        <item x="4097"/>
        <item x="4098"/>
        <item x="2985"/>
        <item x="2986"/>
        <item x="2987"/>
        <item x="4113"/>
        <item x="4114"/>
        <item x="2988"/>
        <item x="2989"/>
        <item x="2990"/>
        <item x="4115"/>
        <item x="4116"/>
        <item x="2964"/>
        <item x="2965"/>
        <item x="2966"/>
        <item x="4103"/>
        <item x="4104"/>
        <item x="2967"/>
        <item x="2968"/>
        <item x="2969"/>
        <item x="4105"/>
        <item x="4106"/>
        <item x="2958"/>
        <item x="2959"/>
        <item x="2960"/>
        <item x="4107"/>
        <item x="4108"/>
        <item x="2961"/>
        <item x="2962"/>
        <item x="2963"/>
        <item x="4109"/>
        <item x="4110"/>
        <item x="2970"/>
        <item x="2971"/>
        <item x="2972"/>
        <item x="4111"/>
        <item x="4112"/>
        <item x="2892"/>
        <item x="2893"/>
        <item x="2894"/>
        <item x="3975"/>
        <item x="3976"/>
        <item x="2895"/>
        <item x="2896"/>
        <item x="2897"/>
        <item x="3983"/>
        <item x="3984"/>
        <item x="2829"/>
        <item x="2830"/>
        <item x="2831"/>
        <item x="3978"/>
        <item x="3977"/>
        <item x="2832"/>
        <item x="2833"/>
        <item x="2834"/>
        <item x="3982"/>
        <item x="3981"/>
        <item x="2835"/>
        <item x="2836"/>
        <item x="2837"/>
        <item x="3980"/>
        <item x="3979"/>
        <item x="2889"/>
        <item x="2890"/>
        <item x="2891"/>
        <item x="3973"/>
        <item x="3974"/>
        <item x="2826"/>
        <item x="2827"/>
        <item x="2828"/>
        <item x="3972"/>
        <item x="3971"/>
        <item x="2901"/>
        <item x="2902"/>
        <item x="2903"/>
        <item x="3987"/>
        <item x="3988"/>
        <item x="2898"/>
        <item x="2899"/>
        <item x="2900"/>
        <item x="3985"/>
        <item x="3986"/>
        <item x="2904"/>
        <item x="2905"/>
        <item x="2906"/>
        <item x="3989"/>
        <item x="3990"/>
        <item x="2907"/>
        <item x="2908"/>
        <item x="2909"/>
        <item x="3992"/>
        <item x="3991"/>
        <item x="2979"/>
        <item x="2980"/>
        <item x="2981"/>
        <item x="4117"/>
        <item x="4118"/>
        <item x="2982"/>
        <item x="2983"/>
        <item x="2984"/>
        <item x="4119"/>
        <item x="4120"/>
        <item x="2976"/>
        <item x="2977"/>
        <item x="2978"/>
        <item x="4121"/>
        <item x="4122"/>
        <item x="2973"/>
        <item x="2974"/>
        <item x="2975"/>
        <item x="4123"/>
        <item x="4124"/>
        <item x="2997"/>
        <item x="2998"/>
        <item x="2999"/>
        <item x="4125"/>
        <item x="4126"/>
        <item x="3000"/>
        <item x="3001"/>
        <item x="3002"/>
        <item x="4127"/>
        <item x="4128"/>
        <item x="3003"/>
        <item x="3004"/>
        <item x="3005"/>
        <item x="3969"/>
        <item x="3970"/>
        <item x="2991"/>
        <item x="2992"/>
        <item x="2993"/>
        <item x="4129"/>
        <item x="4130"/>
        <item x="2994"/>
        <item x="2995"/>
        <item x="2996"/>
        <item x="4131"/>
        <item x="4132"/>
        <item x="2751"/>
        <item x="2752"/>
        <item x="2753"/>
        <item x="3963"/>
        <item x="3964"/>
        <item x="2757"/>
        <item x="2758"/>
        <item x="2759"/>
        <item x="3965"/>
        <item x="3966"/>
        <item x="2754"/>
        <item x="2755"/>
        <item x="2756"/>
        <item x="3967"/>
        <item x="3968"/>
        <item x="2701"/>
        <item x="2702"/>
        <item x="2703"/>
        <item x="3915"/>
        <item x="3916"/>
        <item x="2695"/>
        <item x="2696"/>
        <item x="2697"/>
        <item x="3917"/>
        <item x="3918"/>
        <item x="2692"/>
        <item x="2693"/>
        <item x="2694"/>
        <item x="3919"/>
        <item x="3920"/>
        <item x="2698"/>
        <item x="2699"/>
        <item x="2700"/>
        <item x="3921"/>
        <item x="3922"/>
        <item x="2713"/>
        <item x="2714"/>
        <item x="2715"/>
        <item x="3923"/>
        <item x="3924"/>
        <item x="2707"/>
        <item x="2708"/>
        <item x="2709"/>
        <item x="3925"/>
        <item x="3926"/>
        <item x="2704"/>
        <item x="2705"/>
        <item x="2706"/>
        <item x="3927"/>
        <item x="3928"/>
        <item x="2710"/>
        <item x="2711"/>
        <item x="2712"/>
        <item x="3929"/>
        <item x="3930"/>
        <item x="2716"/>
        <item x="2717"/>
        <item x="2718"/>
        <item x="3931"/>
        <item x="3932"/>
        <item x="2719"/>
        <item x="2720"/>
        <item x="2721"/>
        <item x="3933"/>
        <item x="3934"/>
        <item x="2680"/>
        <item x="2681"/>
        <item x="2682"/>
        <item x="3940"/>
        <item x="3939"/>
        <item x="2683"/>
        <item x="2684"/>
        <item x="2685"/>
        <item x="3942"/>
        <item x="3941"/>
        <item x="2686"/>
        <item m="1" x="5156"/>
        <item x="2687"/>
        <item m="1" x="5157"/>
        <item x="2688"/>
        <item m="1" x="5158"/>
        <item x="3935"/>
        <item x="3936"/>
        <item x="2689"/>
        <item m="1" x="5159"/>
        <item x="2690"/>
        <item m="1" x="5160"/>
        <item x="2691"/>
        <item m="1" x="5161"/>
        <item x="3937"/>
        <item x="3938"/>
        <item x="2678"/>
        <item x="2677"/>
        <item x="2679"/>
        <item x="3944"/>
        <item x="3943"/>
        <item m="1" x="5019"/>
        <item m="1" x="5020"/>
        <item m="1" x="5021"/>
        <item x="2665"/>
        <item x="2666"/>
        <item x="2667"/>
        <item x="3907"/>
        <item x="3908"/>
        <item x="2656"/>
        <item x="2657"/>
        <item x="2658"/>
        <item x="3901"/>
        <item x="3902"/>
        <item x="2668"/>
        <item x="2669"/>
        <item x="2670"/>
        <item x="3909"/>
        <item x="3910"/>
        <item x="2659"/>
        <item x="2660"/>
        <item x="2661"/>
        <item x="3903"/>
        <item x="3904"/>
        <item x="2671"/>
        <item x="2672"/>
        <item x="2673"/>
        <item x="3911"/>
        <item x="3912"/>
        <item x="2662"/>
        <item x="2663"/>
        <item x="2664"/>
        <item x="3905"/>
        <item x="3906"/>
        <item x="2674"/>
        <item x="2675"/>
        <item x="2676"/>
        <item x="3913"/>
        <item x="3914"/>
        <item x="3261"/>
        <item x="3262"/>
        <item x="3263"/>
        <item x="3264"/>
        <item x="4319"/>
        <item x="4320"/>
        <item x="3265"/>
        <item x="3266"/>
        <item x="3267"/>
        <item x="3268"/>
        <item x="4321"/>
        <item x="4322"/>
        <item x="2638"/>
        <item x="2639"/>
        <item x="2640"/>
        <item x="3889"/>
        <item x="3890"/>
        <item x="2644"/>
        <item x="2645"/>
        <item x="2646"/>
        <item x="3891"/>
        <item x="3892"/>
        <item x="2641"/>
        <item x="2642"/>
        <item x="2643"/>
        <item x="3893"/>
        <item x="3894"/>
        <item x="2629"/>
        <item x="2630"/>
        <item x="2631"/>
        <item x="3885"/>
        <item x="3886"/>
        <item x="2647"/>
        <item x="2648"/>
        <item x="2649"/>
        <item x="3895"/>
        <item x="3896"/>
        <item x="2623"/>
        <item x="2624"/>
        <item x="2625"/>
        <item x="3883"/>
        <item x="3884"/>
        <item x="2653"/>
        <item x="2654"/>
        <item x="2655"/>
        <item x="3899"/>
        <item x="3900"/>
        <item x="2650"/>
        <item x="2651"/>
        <item x="2652"/>
        <item x="3897"/>
        <item x="3898"/>
        <item x="2546"/>
        <item x="2616"/>
        <item x="2615"/>
        <item x="2607"/>
        <item x="2608"/>
        <item x="2609"/>
        <item x="2610"/>
        <item x="2611"/>
        <item x="2612"/>
        <item x="2598"/>
        <item x="2599"/>
        <item x="2600"/>
        <item x="2601"/>
        <item x="2602"/>
        <item x="2603"/>
        <item x="2604"/>
        <item x="2605"/>
        <item x="2606"/>
        <item m="1" x="4920"/>
        <item x="2573"/>
        <item x="2580"/>
        <item x="2552"/>
        <item x="2551"/>
        <item x="2550"/>
        <item x="4338"/>
        <item x="2572"/>
        <item x="2569"/>
        <item x="2570"/>
        <item x="2571"/>
        <item x="2579"/>
        <item x="2564"/>
        <item x="2565"/>
        <item x="2566"/>
        <item x="2567"/>
        <item x="2568"/>
        <item m="1" x="4969"/>
        <item x="2557"/>
        <item x="2562"/>
        <item x="2563"/>
        <item m="1" x="4970"/>
        <item m="1" x="4971"/>
        <item x="2558"/>
        <item x="2559"/>
        <item x="2560"/>
        <item x="2561"/>
        <item m="1" x="4985"/>
        <item m="1" x="4986"/>
        <item x="2574"/>
        <item x="4339"/>
        <item x="4340"/>
        <item x="2577"/>
        <item x="2575"/>
        <item x="2578"/>
        <item x="2576"/>
        <item x="2614"/>
        <item m="1" x="4925"/>
        <item m="1" x="4924"/>
        <item m="1" x="4922"/>
        <item m="1" x="4929"/>
        <item m="1" x="4928"/>
        <item x="2728"/>
        <item m="1" x="4921"/>
        <item m="1" x="4923"/>
        <item x="2722"/>
        <item x="2723"/>
        <item x="2724"/>
        <item x="3949"/>
        <item x="3950"/>
        <item x="2725"/>
        <item m="1" x="5014"/>
        <item m="1" x="5015"/>
        <item x="2548"/>
        <item x="2549"/>
        <item x="2547"/>
        <item m="1" x="5011"/>
        <item x="2583"/>
        <item x="2584"/>
        <item x="3870"/>
        <item x="2581"/>
        <item x="2582"/>
        <item x="3869"/>
        <item x="2589"/>
        <item x="2590"/>
        <item x="2591"/>
        <item m="1" x="4965"/>
        <item m="1" x="4966"/>
        <item x="3873"/>
        <item m="1" x="4967"/>
        <item m="1" x="4968"/>
        <item x="3874"/>
        <item x="2585"/>
        <item x="2586"/>
        <item x="3871"/>
        <item x="2587"/>
        <item x="2588"/>
        <item x="3872"/>
        <item x="2613"/>
        <item x="2592"/>
        <item x="2593"/>
        <item x="2594"/>
        <item m="1" x="4942"/>
        <item m="1" x="4972"/>
        <item m="1" x="4973"/>
        <item m="1" x="4974"/>
        <item m="1" x="4952"/>
        <item m="1" x="4976"/>
        <item m="1" x="4977"/>
        <item m="1" x="4978"/>
        <item m="1" x="4979"/>
        <item m="1" x="4980"/>
        <item m="1" x="4981"/>
        <item m="1" x="4982"/>
        <item m="1" x="4975"/>
        <item m="1" x="4983"/>
        <item m="1" x="4984"/>
        <item m="1" x="4951"/>
        <item x="1871"/>
        <item x="1872"/>
        <item m="1" x="4953"/>
        <item m="1" x="4948"/>
        <item m="1" x="4949"/>
        <item m="1" x="4950"/>
        <item x="1870"/>
        <item m="1" x="4964"/>
        <item m="1" x="4961"/>
        <item m="1" x="4962"/>
        <item m="1" x="4960"/>
        <item m="1" x="4963"/>
        <item x="1836"/>
        <item x="1835"/>
        <item x="1834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59"/>
        <item m="1" x="4958"/>
        <item x="1758"/>
        <item x="1771"/>
        <item x="1770"/>
        <item x="1769"/>
        <item x="1759"/>
        <item x="1772"/>
        <item x="1777"/>
        <item x="1778"/>
        <item x="1779"/>
        <item x="1789"/>
        <item x="1788"/>
        <item x="1781"/>
        <item x="1782"/>
        <item x="1783"/>
        <item x="1784"/>
        <item x="1785"/>
        <item x="1780"/>
        <item x="1787"/>
        <item x="1786"/>
        <item x="1765"/>
        <item x="1766"/>
        <item x="1761"/>
        <item x="1763"/>
        <item x="1760"/>
        <item x="1762"/>
        <item x="1764"/>
        <item x="1768"/>
        <item x="1767"/>
        <item x="1773"/>
        <item x="1775"/>
        <item x="1774"/>
        <item x="1776"/>
        <item x="1878"/>
        <item m="1" x="4957"/>
        <item x="1873"/>
        <item m="1" x="4947"/>
        <item m="1" x="4943"/>
        <item m="1" x="4944"/>
        <item m="1" x="4945"/>
        <item m="1" x="4946"/>
        <item m="1" x="4954"/>
        <item m="1" x="4955"/>
        <item m="1" x="4956"/>
        <item x="1790"/>
        <item m="1" x="4343"/>
        <item x="26"/>
        <item x="27"/>
        <item x="28"/>
        <item x="29"/>
        <item x="30"/>
        <item x="31"/>
        <item x="32"/>
        <item x="33"/>
        <item x="34"/>
        <item x="35"/>
        <item x="68"/>
        <item x="78"/>
        <item x="7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10"/>
        <item x="113"/>
        <item x="114"/>
        <item x="117"/>
        <item x="118"/>
        <item x="121"/>
        <item x="122"/>
        <item x="163"/>
        <item x="164"/>
        <item x="165"/>
        <item x="166"/>
        <item x="167"/>
        <item x="169"/>
        <item x="207"/>
        <item x="233"/>
        <item x="240"/>
        <item x="241"/>
        <item x="242"/>
        <item x="24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6"/>
        <item x="297"/>
        <item x="298"/>
        <item x="299"/>
        <item x="300"/>
        <item x="301"/>
        <item x="302"/>
        <item x="303"/>
        <item x="304"/>
        <item x="305"/>
        <item x="374"/>
        <item x="376"/>
        <item x="398"/>
        <item x="418"/>
        <item x="419"/>
        <item x="420"/>
        <item x="421"/>
        <item x="428"/>
        <item x="429"/>
        <item x="430"/>
        <item x="431"/>
        <item x="432"/>
        <item x="433"/>
        <item x="434"/>
        <item x="509"/>
        <item x="510"/>
        <item x="511"/>
        <item x="512"/>
        <item x="523"/>
        <item x="524"/>
        <item x="525"/>
        <item x="526"/>
        <item x="532"/>
        <item x="561"/>
        <item x="570"/>
        <item x="723"/>
        <item x="727"/>
        <item x="784"/>
        <item x="786"/>
        <item x="787"/>
        <item x="822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1158"/>
        <item x="1204"/>
        <item x="1205"/>
        <item x="1206"/>
        <item x="1207"/>
        <item x="1216"/>
        <item x="1224"/>
        <item x="1244"/>
        <item x="1267"/>
        <item x="1268"/>
        <item x="1269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90"/>
        <item x="1403"/>
        <item x="1404"/>
        <item x="1444"/>
        <item x="1445"/>
        <item x="1446"/>
        <item x="1447"/>
        <item x="1448"/>
        <item x="1449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48"/>
        <item x="1562"/>
        <item x="1575"/>
        <item x="1600"/>
        <item x="1606"/>
        <item x="1621"/>
        <item x="1622"/>
        <item x="1626"/>
        <item x="1628"/>
        <item x="1629"/>
        <item x="1630"/>
        <item x="1633"/>
        <item x="1634"/>
        <item x="1639"/>
        <item x="1640"/>
        <item x="1645"/>
        <item x="1646"/>
        <item x="1651"/>
        <item x="1652"/>
        <item x="1653"/>
        <item x="1659"/>
        <item x="1660"/>
        <item x="1669"/>
        <item x="1670"/>
        <item x="1672"/>
        <item x="1717"/>
        <item x="1718"/>
        <item x="1719"/>
        <item x="1720"/>
        <item x="1721"/>
        <item x="1722"/>
        <item x="1727"/>
        <item x="1731"/>
        <item x="1732"/>
        <item x="1737"/>
        <item x="1738"/>
        <item x="1743"/>
        <item x="1744"/>
        <item x="1791"/>
        <item x="1792"/>
        <item x="1793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4"/>
        <item x="1875"/>
        <item x="1876"/>
        <item x="1877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6"/>
        <item x="1907"/>
        <item x="1908"/>
        <item x="1909"/>
        <item x="1928"/>
        <item x="1929"/>
        <item x="1934"/>
        <item x="1941"/>
        <item x="1949"/>
        <item x="2011"/>
        <item x="2034"/>
        <item x="2035"/>
        <item x="2036"/>
        <item x="2075"/>
        <item x="2076"/>
        <item x="2136"/>
        <item x="2137"/>
        <item x="2138"/>
        <item x="2139"/>
        <item x="2140"/>
        <item x="2141"/>
        <item x="2142"/>
        <item x="2143"/>
        <item x="2144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4"/>
        <item x="2225"/>
        <item x="2226"/>
        <item x="2227"/>
        <item x="2228"/>
        <item x="2229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89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69"/>
        <item x="2433"/>
        <item x="2434"/>
        <item x="2447"/>
        <item x="2448"/>
        <item x="2449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53"/>
        <item x="2554"/>
        <item x="2555"/>
        <item x="2556"/>
        <item x="2595"/>
        <item x="2596"/>
        <item x="2597"/>
        <item x="2617"/>
        <item x="2618"/>
        <item x="2619"/>
        <item x="2620"/>
        <item x="2621"/>
        <item x="2622"/>
        <item x="2626"/>
        <item x="2627"/>
        <item x="2628"/>
        <item x="2632"/>
        <item x="2633"/>
        <item x="2634"/>
        <item x="2635"/>
        <item x="2636"/>
        <item x="2637"/>
        <item x="2726"/>
        <item x="2727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3033"/>
        <item x="3034"/>
        <item x="3035"/>
        <item x="3099"/>
        <item x="3100"/>
        <item x="3101"/>
        <item x="3165"/>
        <item x="3166"/>
        <item x="3167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81"/>
        <item x="3282"/>
        <item x="3283"/>
        <item x="3284"/>
        <item x="3285"/>
        <item x="3286"/>
        <item x="3287"/>
        <item x="3288"/>
        <item x="3297"/>
        <item x="3298"/>
        <item x="3299"/>
        <item x="3300"/>
        <item x="3309"/>
        <item x="3310"/>
        <item x="3311"/>
        <item x="3312"/>
        <item x="3313"/>
        <item x="3314"/>
        <item x="3315"/>
        <item x="3316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5"/>
        <item x="3416"/>
        <item x="3419"/>
        <item x="3420"/>
        <item x="3421"/>
        <item x="3422"/>
        <item x="3483"/>
        <item x="3484"/>
        <item x="3485"/>
        <item x="3486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675"/>
        <item x="3676"/>
        <item x="3689"/>
        <item x="3690"/>
        <item x="3693"/>
        <item x="3694"/>
        <item x="3733"/>
        <item x="3734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801"/>
        <item x="3802"/>
        <item x="3803"/>
        <item x="3804"/>
        <item x="3805"/>
        <item x="3806"/>
        <item x="3807"/>
        <item x="3808"/>
        <item x="3823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5"/>
        <item x="3876"/>
        <item x="3877"/>
        <item x="3878"/>
        <item x="3879"/>
        <item x="3880"/>
        <item x="3881"/>
        <item x="3882"/>
        <item x="3887"/>
        <item x="3888"/>
        <item x="3945"/>
        <item x="3946"/>
        <item x="3947"/>
        <item x="3948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4139"/>
        <item x="4140"/>
        <item x="4153"/>
        <item x="4154"/>
        <item x="4197"/>
        <item x="4198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61"/>
        <item x="4262"/>
        <item x="4263"/>
        <item x="4264"/>
        <item x="4267"/>
        <item x="4268"/>
        <item x="4287"/>
        <item x="4288"/>
        <item x="4313"/>
        <item x="4314"/>
        <item x="4323"/>
        <item x="4324"/>
        <item x="4325"/>
        <item x="4341"/>
        <item x="4342"/>
        <item t="default"/>
      </items>
    </pivotField>
  </pivotFields>
  <rowFields count="2">
    <field x="0"/>
    <field x="1"/>
  </rowFields>
  <rowItems count="423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4"/>
    </i>
    <i r="1">
      <x v="26"/>
    </i>
    <i r="1">
      <x v="28"/>
    </i>
    <i r="1">
      <x v="30"/>
    </i>
    <i r="1">
      <x v="32"/>
    </i>
    <i r="1">
      <x v="34"/>
    </i>
    <i r="1">
      <x v="36"/>
    </i>
    <i r="1">
      <x v="38"/>
    </i>
    <i r="1">
      <x v="40"/>
    </i>
    <i r="1">
      <x v="42"/>
    </i>
    <i r="1">
      <x v="44"/>
    </i>
    <i r="1">
      <x v="46"/>
    </i>
    <i r="1">
      <x v="48"/>
    </i>
    <i r="1">
      <x v="50"/>
    </i>
    <i r="1">
      <x v="52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6"/>
    </i>
    <i r="1">
      <x v="78"/>
    </i>
    <i r="1">
      <x v="80"/>
    </i>
    <i r="1">
      <x v="82"/>
    </i>
    <i r="1">
      <x v="84"/>
    </i>
    <i r="1">
      <x v="86"/>
    </i>
    <i r="1">
      <x v="88"/>
    </i>
    <i r="1">
      <x v="90"/>
    </i>
    <i r="1">
      <x v="92"/>
    </i>
    <i r="1">
      <x v="94"/>
    </i>
    <i r="1">
      <x v="96"/>
    </i>
    <i r="1">
      <x v="98"/>
    </i>
    <i r="1">
      <x v="100"/>
    </i>
    <i r="1">
      <x v="102"/>
    </i>
    <i r="1">
      <x v="104"/>
    </i>
    <i r="1">
      <x v="106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0"/>
    </i>
    <i r="1">
      <x v="122"/>
    </i>
    <i r="1">
      <x v="124"/>
    </i>
    <i r="1">
      <x v="126"/>
    </i>
    <i r="1">
      <x v="128"/>
    </i>
    <i r="1">
      <x v="130"/>
    </i>
    <i r="1">
      <x v="132"/>
    </i>
    <i r="1">
      <x v="134"/>
    </i>
    <i r="1">
      <x v="136"/>
    </i>
    <i r="1">
      <x v="138"/>
    </i>
    <i r="1">
      <x v="140"/>
    </i>
    <i r="1">
      <x v="142"/>
    </i>
    <i r="1">
      <x v="144"/>
    </i>
    <i r="1">
      <x v="146"/>
    </i>
    <i r="1">
      <x v="148"/>
    </i>
    <i r="1">
      <x v="150"/>
    </i>
    <i r="1">
      <x v="152"/>
    </i>
    <i r="1">
      <x v="154"/>
    </i>
    <i r="1">
      <x v="156"/>
    </i>
    <i r="1">
      <x v="158"/>
    </i>
    <i r="1">
      <x v="160"/>
    </i>
    <i r="1">
      <x v="162"/>
    </i>
    <i r="1">
      <x v="164"/>
    </i>
    <i r="1">
      <x v="166"/>
    </i>
    <i r="1">
      <x v="168"/>
    </i>
    <i r="1">
      <x v="170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9"/>
    </i>
    <i r="1">
      <x v="390"/>
    </i>
    <i r="1">
      <x v="392"/>
    </i>
    <i r="1">
      <x v="394"/>
    </i>
    <i r="1">
      <x v="395"/>
    </i>
    <i r="1">
      <x v="396"/>
    </i>
    <i r="1">
      <x v="398"/>
    </i>
    <i r="1">
      <x v="399"/>
    </i>
    <i r="1">
      <x v="400"/>
    </i>
    <i r="1">
      <x v="401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4"/>
    </i>
    <i r="1">
      <x v="426"/>
    </i>
    <i r="1">
      <x v="428"/>
    </i>
    <i r="1">
      <x v="429"/>
    </i>
    <i r="1">
      <x v="430"/>
    </i>
    <i r="1">
      <x v="431"/>
    </i>
    <i r="1">
      <x v="432"/>
    </i>
    <i r="1">
      <x v="434"/>
    </i>
    <i r="1">
      <x v="436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7"/>
    </i>
    <i r="1">
      <x v="449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9"/>
    </i>
    <i r="1">
      <x v="461"/>
    </i>
    <i r="1">
      <x v="463"/>
    </i>
    <i r="1">
      <x v="464"/>
    </i>
    <i r="1">
      <x v="465"/>
    </i>
    <i r="1">
      <x v="466"/>
    </i>
    <i r="1">
      <x v="468"/>
    </i>
    <i r="1">
      <x v="470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3"/>
    </i>
    <i r="1">
      <x v="495"/>
    </i>
    <i r="1">
      <x v="497"/>
    </i>
    <i r="1">
      <x v="499"/>
    </i>
    <i r="1">
      <x v="501"/>
    </i>
    <i r="1">
      <x v="503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1719"/>
    </i>
    <i r="1">
      <x v="1720"/>
    </i>
    <i r="1">
      <x v="1721"/>
    </i>
    <i r="1">
      <x v="1722"/>
    </i>
    <i r="1">
      <x v="1723"/>
    </i>
    <i r="1">
      <x v="1724"/>
    </i>
    <i r="1">
      <x v="1725"/>
    </i>
    <i r="1">
      <x v="1726"/>
    </i>
    <i r="1">
      <x v="1944"/>
    </i>
    <i r="1">
      <x v="1945"/>
    </i>
    <i r="1">
      <x v="1947"/>
    </i>
    <i r="1">
      <x v="1949"/>
    </i>
    <i r="1">
      <x v="1951"/>
    </i>
    <i r="1">
      <x v="1953"/>
    </i>
    <i r="1">
      <x v="1955"/>
    </i>
    <i r="1">
      <x v="1956"/>
    </i>
    <i r="1">
      <x v="1957"/>
    </i>
    <i r="1">
      <x v="1960"/>
    </i>
    <i r="1">
      <x v="1961"/>
    </i>
    <i r="1">
      <x v="1963"/>
    </i>
    <i r="1">
      <x v="1965"/>
    </i>
    <i r="1">
      <x v="1966"/>
    </i>
    <i r="1">
      <x v="1968"/>
    </i>
    <i r="1">
      <x v="1970"/>
    </i>
    <i r="1">
      <x v="1972"/>
    </i>
    <i r="1">
      <x v="1974"/>
    </i>
    <i r="1">
      <x v="1976"/>
    </i>
    <i r="1">
      <x v="2548"/>
    </i>
    <i r="1">
      <x v="2549"/>
    </i>
    <i r="1">
      <x v="2551"/>
    </i>
    <i r="1">
      <x v="2553"/>
    </i>
    <i r="1">
      <x v="2555"/>
    </i>
    <i r="1">
      <x v="2556"/>
    </i>
    <i r="1">
      <x v="2558"/>
    </i>
    <i r="1">
      <x v="2559"/>
    </i>
    <i r="1">
      <x v="2560"/>
    </i>
    <i r="1">
      <x v="2563"/>
    </i>
    <i r="1">
      <x v="2564"/>
    </i>
    <i r="1">
      <x v="2566"/>
    </i>
    <i r="1">
      <x v="2568"/>
    </i>
    <i r="1">
      <x v="2569"/>
    </i>
    <i r="1">
      <x v="2571"/>
    </i>
    <i r="1">
      <x v="2572"/>
    </i>
    <i r="1">
      <x v="2574"/>
    </i>
    <i r="1">
      <x v="2576"/>
    </i>
    <i r="1">
      <x v="2578"/>
    </i>
    <i r="1">
      <x v="2580"/>
    </i>
    <i r="1">
      <x v="2582"/>
    </i>
    <i r="1">
      <x v="2584"/>
    </i>
    <i r="1">
      <x v="2586"/>
    </i>
    <i r="1">
      <x v="2587"/>
    </i>
    <i r="1">
      <x v="2589"/>
    </i>
    <i r="1">
      <x v="2591"/>
    </i>
    <i r="1">
      <x v="2593"/>
    </i>
    <i r="1">
      <x v="2595"/>
    </i>
    <i r="1">
      <x v="2597"/>
    </i>
    <i r="1">
      <x v="2598"/>
    </i>
    <i r="1">
      <x v="2600"/>
    </i>
    <i r="1">
      <x v="2601"/>
    </i>
    <i r="1">
      <x v="2604"/>
    </i>
    <i r="1">
      <x v="2605"/>
    </i>
    <i r="1">
      <x v="2607"/>
    </i>
    <i r="1">
      <x v="2609"/>
    </i>
    <i r="1">
      <x v="2611"/>
    </i>
    <i r="1">
      <x v="2612"/>
    </i>
    <i r="1">
      <x v="2613"/>
    </i>
    <i r="1">
      <x v="2614"/>
    </i>
    <i r="1">
      <x v="2615"/>
    </i>
    <i r="1">
      <x v="2617"/>
    </i>
    <i r="1">
      <x v="2619"/>
    </i>
    <i r="1">
      <x v="2621"/>
    </i>
    <i r="1">
      <x v="2623"/>
    </i>
    <i r="1">
      <x v="2625"/>
    </i>
    <i r="1">
      <x v="2626"/>
    </i>
    <i r="1">
      <x v="2628"/>
    </i>
    <i r="1">
      <x v="2629"/>
    </i>
    <i r="1">
      <x v="2631"/>
    </i>
    <i r="1">
      <x v="2632"/>
    </i>
    <i r="1">
      <x v="2633"/>
    </i>
    <i r="1">
      <x v="2635"/>
    </i>
    <i r="1">
      <x v="2637"/>
    </i>
    <i r="1">
      <x v="2638"/>
    </i>
    <i r="1">
      <x v="2639"/>
    </i>
    <i r="1">
      <x v="2640"/>
    </i>
    <i r="1">
      <x v="2641"/>
    </i>
    <i r="1">
      <x v="2643"/>
    </i>
    <i r="1">
      <x v="2645"/>
    </i>
    <i r="1">
      <x v="2646"/>
    </i>
    <i r="1">
      <x v="2647"/>
    </i>
    <i r="1">
      <x v="2648"/>
    </i>
    <i r="1">
      <x v="2650"/>
    </i>
    <i r="1">
      <x v="2652"/>
    </i>
    <i r="1">
      <x v="2653"/>
    </i>
    <i r="1">
      <x v="2654"/>
    </i>
    <i r="1">
      <x v="2656"/>
    </i>
    <i r="1">
      <x v="2657"/>
    </i>
    <i r="1">
      <x v="2658"/>
    </i>
    <i r="1">
      <x v="2659"/>
    </i>
    <i r="1">
      <x v="2660"/>
    </i>
    <i r="1">
      <x v="2661"/>
    </i>
    <i r="1">
      <x v="2663"/>
    </i>
    <i r="1">
      <x v="2665"/>
    </i>
    <i r="1">
      <x v="2666"/>
    </i>
    <i r="1">
      <x v="2668"/>
    </i>
    <i r="1">
      <x v="2669"/>
    </i>
    <i r="1">
      <x v="4441"/>
    </i>
    <i r="1">
      <x v="4442"/>
    </i>
    <i r="1">
      <x v="4443"/>
    </i>
    <i r="1">
      <x v="4693"/>
    </i>
    <i r="1">
      <x v="4694"/>
    </i>
    <i r="1">
      <x v="4695"/>
    </i>
    <i r="1">
      <x v="4696"/>
    </i>
    <i r="1">
      <x v="4697"/>
    </i>
    <i r="1">
      <x v="4698"/>
    </i>
    <i r="1">
      <x v="4699"/>
    </i>
    <i r="1">
      <x v="4700"/>
    </i>
    <i r="1">
      <x v="4701"/>
    </i>
    <i r="1">
      <x v="4702"/>
    </i>
    <i r="1">
      <x v="4703"/>
    </i>
    <i r="1">
      <x v="4704"/>
    </i>
    <i r="1">
      <x v="4705"/>
    </i>
    <i r="1">
      <x v="4706"/>
    </i>
    <i r="1">
      <x v="4707"/>
    </i>
    <i r="1">
      <x v="4708"/>
    </i>
    <i t="default">
      <x v="2"/>
    </i>
    <i t="grand">
      <x/>
    </i>
  </rowItems>
  <colItems count="1">
    <i/>
  </colItem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22289-245E-C24C-9181-09F251691296}" name="피벗 테이블5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B1608" firstHeaderRow="1" firstDataRow="1" firstDataCol="2"/>
  <pivotFields count="2">
    <pivotField axis="axisRow" compact="0" outline="0" showAll="0">
      <items count="7">
        <item x="0"/>
        <item h="1" m="1" x="5"/>
        <item h="1" x="1"/>
        <item h="1" x="3"/>
        <item h="1" x="2"/>
        <item h="1" x="4"/>
        <item t="default"/>
      </items>
    </pivotField>
    <pivotField axis="axisRow" compact="0" outline="0" showAll="0">
      <items count="5211">
        <item x="2041"/>
        <item x="2042"/>
        <item x="2037"/>
        <item x="2043"/>
        <item x="2044"/>
        <item x="2045"/>
        <item x="2038"/>
        <item x="2039"/>
        <item x="2040"/>
        <item x="2050"/>
        <item x="2051"/>
        <item x="2046"/>
        <item x="2052"/>
        <item x="2053"/>
        <item x="2054"/>
        <item x="2047"/>
        <item x="2048"/>
        <item x="2049"/>
        <item x="1992"/>
        <item m="1" x="4812"/>
        <item x="1993"/>
        <item m="1" x="4813"/>
        <item x="1988"/>
        <item m="1" x="4814"/>
        <item x="1994"/>
        <item m="1" x="4815"/>
        <item x="1995"/>
        <item m="1" x="4816"/>
        <item x="1996"/>
        <item m="1" x="4817"/>
        <item x="1989"/>
        <item m="1" x="4818"/>
        <item x="1990"/>
        <item m="1" x="4819"/>
        <item x="1991"/>
        <item m="1" x="4820"/>
        <item x="2001"/>
        <item m="1" x="4821"/>
        <item x="2002"/>
        <item m="1" x="4822"/>
        <item x="1997"/>
        <item m="1" x="4823"/>
        <item x="2003"/>
        <item m="1" x="4824"/>
        <item x="2004"/>
        <item m="1" x="4825"/>
        <item x="2005"/>
        <item m="1" x="4826"/>
        <item x="1998"/>
        <item m="1" x="4827"/>
        <item x="1999"/>
        <item m="1" x="4828"/>
        <item x="2000"/>
        <item m="1" x="4829"/>
        <item x="2059"/>
        <item x="2060"/>
        <item x="2055"/>
        <item x="2061"/>
        <item x="2062"/>
        <item x="2063"/>
        <item x="2056"/>
        <item x="2057"/>
        <item x="2058"/>
        <item x="2068"/>
        <item x="2069"/>
        <item x="2064"/>
        <item x="2070"/>
        <item x="2071"/>
        <item x="2072"/>
        <item x="2065"/>
        <item x="2066"/>
        <item x="2067"/>
        <item x="2025"/>
        <item m="1" x="4830"/>
        <item x="2026"/>
        <item m="1" x="4831"/>
        <item x="2021"/>
        <item m="1" x="4832"/>
        <item x="2027"/>
        <item m="1" x="4833"/>
        <item x="2028"/>
        <item m="1" x="4834"/>
        <item x="2029"/>
        <item m="1" x="4835"/>
        <item x="2022"/>
        <item m="1" x="4836"/>
        <item x="2023"/>
        <item m="1" x="4837"/>
        <item x="2024"/>
        <item m="1" x="4838"/>
        <item x="2016"/>
        <item m="1" x="4839"/>
        <item x="2017"/>
        <item m="1" x="4840"/>
        <item x="2012"/>
        <item m="1" x="4841"/>
        <item x="2018"/>
        <item m="1" x="4842"/>
        <item x="2019"/>
        <item m="1" x="4843"/>
        <item x="2020"/>
        <item m="1" x="4844"/>
        <item x="2013"/>
        <item m="1" x="4845"/>
        <item x="2014"/>
        <item m="1" x="4846"/>
        <item x="2015"/>
        <item m="1" x="4847"/>
        <item x="2112"/>
        <item x="2104"/>
        <item x="2108"/>
        <item x="2105"/>
        <item x="2106"/>
        <item x="2107"/>
        <item x="2109"/>
        <item x="2110"/>
        <item x="2111"/>
        <item x="2116"/>
        <item x="661"/>
        <item m="1" x="4778"/>
        <item x="662"/>
        <item m="1" x="4779"/>
        <item x="657"/>
        <item m="1" x="4774"/>
        <item x="663"/>
        <item m="1" x="4780"/>
        <item x="664"/>
        <item m="1" x="4781"/>
        <item x="665"/>
        <item m="1" x="4782"/>
        <item x="658"/>
        <item m="1" x="4775"/>
        <item x="659"/>
        <item m="1" x="4776"/>
        <item x="660"/>
        <item m="1" x="4777"/>
        <item x="670"/>
        <item m="1" x="4787"/>
        <item x="671"/>
        <item m="1" x="4788"/>
        <item x="666"/>
        <item m="1" x="4783"/>
        <item x="672"/>
        <item m="1" x="4789"/>
        <item x="673"/>
        <item m="1" x="4790"/>
        <item x="674"/>
        <item m="1" x="4791"/>
        <item x="667"/>
        <item m="1" x="4784"/>
        <item x="668"/>
        <item m="1" x="4785"/>
        <item x="669"/>
        <item m="1" x="4786"/>
        <item x="679"/>
        <item m="1" x="4739"/>
        <item x="680"/>
        <item m="1" x="4740"/>
        <item x="675"/>
        <item m="1" x="4735"/>
        <item x="681"/>
        <item m="1" x="4741"/>
        <item x="682"/>
        <item m="1" x="4742"/>
        <item x="683"/>
        <item m="1" x="4743"/>
        <item x="676"/>
        <item m="1" x="4736"/>
        <item x="677"/>
        <item m="1" x="4737"/>
        <item x="678"/>
        <item m="1" x="4738"/>
        <item x="694"/>
        <item x="687"/>
        <item x="688"/>
        <item x="689"/>
        <item x="690"/>
        <item x="691"/>
        <item x="684"/>
        <item x="692"/>
        <item x="685"/>
        <item x="693"/>
        <item x="686"/>
        <item x="706"/>
        <item x="707"/>
        <item x="708"/>
        <item x="709"/>
        <item x="710"/>
        <item x="703"/>
        <item x="704"/>
        <item x="705"/>
        <item x="698"/>
        <item x="699"/>
        <item x="700"/>
        <item x="701"/>
        <item x="702"/>
        <item x="695"/>
        <item x="696"/>
        <item x="697"/>
        <item m="1" x="4344"/>
        <item x="65"/>
        <item x="66"/>
        <item m="1" x="4345"/>
        <item m="1" x="4346"/>
        <item x="67"/>
        <item m="1" x="4347"/>
        <item m="1" x="4348"/>
        <item x="80"/>
        <item x="81"/>
        <item x="61"/>
        <item x="60"/>
        <item m="1" x="4349"/>
        <item m="1" x="4350"/>
        <item m="1" x="4351"/>
        <item x="59"/>
        <item m="1" x="4352"/>
        <item m="1" x="4353"/>
        <item m="1" x="4354"/>
        <item x="84"/>
        <item x="85"/>
        <item x="64"/>
        <item x="63"/>
        <item m="1" x="4355"/>
        <item m="1" x="4356"/>
        <item x="62"/>
        <item m="1" x="4357"/>
        <item m="1" x="4358"/>
        <item x="82"/>
        <item x="83"/>
        <item m="1" x="4359"/>
        <item m="1" x="4360"/>
        <item x="58"/>
        <item x="57"/>
        <item m="1" x="4361"/>
        <item m="1" x="4362"/>
        <item x="56"/>
        <item m="1" x="4363"/>
        <item m="1" x="4364"/>
        <item m="1" x="4365"/>
        <item x="86"/>
        <item x="87"/>
        <item x="55"/>
        <item x="53"/>
        <item m="1" x="4366"/>
        <item m="1" x="4367"/>
        <item x="51"/>
        <item m="1" x="4368"/>
        <item m="1" x="4369"/>
        <item x="54"/>
        <item m="1" x="4370"/>
        <item x="52"/>
        <item m="1" x="4371"/>
        <item x="50"/>
        <item x="48"/>
        <item m="1" x="4372"/>
        <item m="1" x="4373"/>
        <item x="46"/>
        <item m="1" x="4374"/>
        <item m="1" x="4375"/>
        <item x="49"/>
        <item m="1" x="4376"/>
        <item x="47"/>
        <item m="1" x="4377"/>
        <item x="45"/>
        <item x="43"/>
        <item m="1" x="4378"/>
        <item x="41"/>
        <item m="1" x="4379"/>
        <item x="44"/>
        <item m="1" x="4380"/>
        <item x="42"/>
        <item m="1" x="4381"/>
        <item x="40"/>
        <item x="38"/>
        <item x="36"/>
        <item x="39"/>
        <item x="37"/>
        <item x="22"/>
        <item x="21"/>
        <item m="1" x="4382"/>
        <item m="1" x="4383"/>
        <item x="20"/>
        <item m="1" x="4384"/>
        <item m="1" x="4385"/>
        <item x="90"/>
        <item x="91"/>
        <item x="25"/>
        <item x="24"/>
        <item m="1" x="4386"/>
        <item m="1" x="4387"/>
        <item x="23"/>
        <item m="1" x="4388"/>
        <item m="1" x="4389"/>
        <item x="88"/>
        <item x="89"/>
        <item x="10"/>
        <item x="11"/>
        <item x="12"/>
        <item x="13"/>
        <item x="14"/>
        <item x="15"/>
        <item x="16"/>
        <item x="17"/>
        <item x="18"/>
        <item x="19"/>
        <item x="4"/>
        <item x="9"/>
        <item x="7"/>
        <item m="1" x="4390"/>
        <item m="1" x="4391"/>
        <item x="5"/>
        <item m="1" x="4392"/>
        <item m="1" x="4393"/>
        <item x="8"/>
        <item m="1" x="4394"/>
        <item x="6"/>
        <item m="1" x="4395"/>
        <item x="2"/>
        <item m="1" x="4396"/>
        <item m="1" x="4397"/>
        <item x="0"/>
        <item m="1" x="4398"/>
        <item m="1" x="4399"/>
        <item x="3"/>
        <item m="1" x="4400"/>
        <item x="1"/>
        <item m="1" x="4401"/>
        <item m="1" x="4402"/>
        <item m="1" x="4403"/>
        <item m="1" x="4404"/>
        <item m="1" x="4405"/>
        <item m="1" x="4406"/>
        <item x="1797"/>
        <item m="1" x="4407"/>
        <item x="1796"/>
        <item x="1794"/>
        <item x="1795"/>
        <item x="2007"/>
        <item x="2008"/>
        <item x="2009"/>
        <item x="2010"/>
        <item x="2006"/>
        <item x="2115"/>
        <item x="2114"/>
        <item x="2113"/>
        <item x="2103"/>
        <item x="2102"/>
        <item x="2101"/>
        <item x="2100"/>
        <item x="2099"/>
        <item x="2098"/>
        <item x="711"/>
        <item x="712"/>
        <item x="713"/>
        <item x="2129"/>
        <item x="2130"/>
        <item x="2131"/>
        <item x="2132"/>
        <item x="2133"/>
        <item x="2134"/>
        <item x="2126"/>
        <item x="2127"/>
        <item x="2128"/>
        <item x="2120"/>
        <item x="2121"/>
        <item x="2122"/>
        <item x="2123"/>
        <item x="2124"/>
        <item x="2125"/>
        <item x="2117"/>
        <item x="2118"/>
        <item x="2119"/>
        <item m="1" x="4408"/>
        <item x="528"/>
        <item x="529"/>
        <item x="530"/>
        <item x="531"/>
        <item x="568"/>
        <item x="566"/>
        <item m="1" x="4696"/>
        <item x="562"/>
        <item x="564"/>
        <item x="560"/>
        <item x="567"/>
        <item x="565"/>
        <item x="563"/>
        <item x="536"/>
        <item x="538"/>
        <item m="1" x="4697"/>
        <item x="539"/>
        <item x="540"/>
        <item m="1" x="4698"/>
        <item x="541"/>
        <item m="1" x="4699"/>
        <item x="542"/>
        <item x="543"/>
        <item x="544"/>
        <item m="1" x="4700"/>
        <item x="537"/>
        <item x="545"/>
        <item x="546"/>
        <item x="547"/>
        <item m="1" x="4701"/>
        <item x="548"/>
        <item x="552"/>
        <item x="551"/>
        <item x="550"/>
        <item x="555"/>
        <item x="533"/>
        <item x="535"/>
        <item x="558"/>
        <item x="553"/>
        <item x="559"/>
        <item m="1" x="4409"/>
        <item x="557"/>
        <item x="556"/>
        <item x="534"/>
        <item x="549"/>
        <item x="554"/>
        <item x="608"/>
        <item x="610"/>
        <item x="609"/>
        <item x="589"/>
        <item m="1" x="4768"/>
        <item x="591"/>
        <item m="1" x="4770"/>
        <item x="590"/>
        <item m="1" x="4769"/>
        <item x="588"/>
        <item x="613"/>
        <item x="611"/>
        <item x="612"/>
        <item x="593"/>
        <item m="1" x="4771"/>
        <item x="595"/>
        <item m="1" x="4773"/>
        <item x="594"/>
        <item m="1" x="4772"/>
        <item x="592"/>
        <item x="614"/>
        <item x="616"/>
        <item x="615"/>
        <item x="596"/>
        <item x="598"/>
        <item x="597"/>
        <item x="585"/>
        <item m="1" x="4765"/>
        <item x="587"/>
        <item m="1" x="4767"/>
        <item x="586"/>
        <item m="1" x="4766"/>
        <item x="584"/>
        <item x="617"/>
        <item x="571"/>
        <item x="607"/>
        <item x="606"/>
        <item x="605"/>
        <item x="577"/>
        <item m="1" x="4761"/>
        <item x="576"/>
        <item m="1" x="4760"/>
        <item x="575"/>
        <item m="1" x="4759"/>
        <item x="604"/>
        <item x="603"/>
        <item x="602"/>
        <item x="580"/>
        <item m="1" x="4764"/>
        <item x="579"/>
        <item m="1" x="4763"/>
        <item x="578"/>
        <item m="1" x="4762"/>
        <item x="601"/>
        <item x="600"/>
        <item x="599"/>
        <item x="583"/>
        <item x="582"/>
        <item x="581"/>
        <item x="574"/>
        <item x="573"/>
        <item x="572"/>
        <item m="1" x="4758"/>
        <item x="629"/>
        <item x="630"/>
        <item x="631"/>
        <item x="632"/>
        <item x="625"/>
        <item x="626"/>
        <item x="627"/>
        <item x="628"/>
        <item x="633"/>
        <item x="618"/>
        <item m="1" x="4728"/>
        <item x="620"/>
        <item m="1" x="4729"/>
        <item x="619"/>
        <item m="1" x="4730"/>
        <item x="622"/>
        <item m="1" x="4731"/>
        <item x="621"/>
        <item m="1" x="4732"/>
        <item x="623"/>
        <item m="1" x="4733"/>
        <item x="624"/>
        <item m="1" x="4734"/>
        <item x="634"/>
        <item x="635"/>
        <item x="636"/>
        <item x="637"/>
        <item x="652"/>
        <item x="653"/>
        <item x="654"/>
        <item x="655"/>
        <item x="656"/>
        <item x="638"/>
        <item x="639"/>
        <item x="640"/>
        <item x="641"/>
        <item x="642"/>
        <item x="643"/>
        <item x="644"/>
        <item x="645"/>
        <item x="647"/>
        <item x="646"/>
        <item x="649"/>
        <item x="648"/>
        <item x="650"/>
        <item x="651"/>
        <item x="569"/>
        <item x="715"/>
        <item x="714"/>
        <item x="718"/>
        <item m="1" x="4410"/>
        <item m="1" x="4411"/>
        <item x="717"/>
        <item x="716"/>
        <item x="1401"/>
        <item x="1397"/>
        <item m="1" x="4412"/>
        <item x="1398"/>
        <item m="1" x="4413"/>
        <item x="1399"/>
        <item m="1" x="4414"/>
        <item m="1" x="4415"/>
        <item m="1" x="4416"/>
        <item m="1" x="4417"/>
        <item m="1" x="4418"/>
        <item m="1" x="4419"/>
        <item x="1400"/>
        <item m="1" x="4420"/>
        <item x="1402"/>
        <item x="1391"/>
        <item x="1392"/>
        <item m="1" x="4421"/>
        <item x="1393"/>
        <item m="1" x="4422"/>
        <item x="1394"/>
        <item m="1" x="4423"/>
        <item m="1" x="4424"/>
        <item m="1" x="4425"/>
        <item m="1" x="4426"/>
        <item m="1" x="4427"/>
        <item m="1" x="4428"/>
        <item x="1395"/>
        <item m="1" x="4429"/>
        <item x="1396"/>
        <item x="1405"/>
        <item x="1620"/>
        <item x="1555"/>
        <item x="1550"/>
        <item x="1551"/>
        <item x="1552"/>
        <item x="1553"/>
        <item m="1" x="4430"/>
        <item m="1" x="4431"/>
        <item x="1554"/>
        <item x="1556"/>
        <item m="1" x="4432"/>
        <item x="1549"/>
        <item x="1544"/>
        <item x="1545"/>
        <item x="1546"/>
        <item x="1547"/>
        <item m="1" x="4433"/>
        <item m="1" x="4434"/>
        <item x="1582"/>
        <item x="1577"/>
        <item x="1578"/>
        <item x="1579"/>
        <item x="1580"/>
        <item m="1" x="4435"/>
        <item m="1" x="4436"/>
        <item m="1" x="4437"/>
        <item m="1" x="4438"/>
        <item m="1" x="4439"/>
        <item m="1" x="4440"/>
        <item m="1" x="4441"/>
        <item x="1581"/>
        <item x="1576"/>
        <item x="1570"/>
        <item x="1571"/>
        <item x="1572"/>
        <item x="1573"/>
        <item m="1" x="4442"/>
        <item m="1" x="4443"/>
        <item m="1" x="4444"/>
        <item x="1574"/>
        <item x="1588"/>
        <item x="1583"/>
        <item x="1584"/>
        <item x="1585"/>
        <item x="1586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x="1587"/>
        <item x="1569"/>
        <item x="1564"/>
        <item x="1565"/>
        <item x="1566"/>
        <item x="1567"/>
        <item m="1" x="4455"/>
        <item m="1" x="4456"/>
        <item x="1568"/>
        <item x="1563"/>
        <item x="1557"/>
        <item x="1558"/>
        <item x="1559"/>
        <item x="1560"/>
        <item m="1" x="4457"/>
        <item m="1" x="4458"/>
        <item m="1" x="4459"/>
        <item x="1561"/>
        <item x="1543"/>
        <item x="1538"/>
        <item x="1539"/>
        <item x="1540"/>
        <item x="1541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x="1542"/>
        <item x="1613"/>
        <item x="1608"/>
        <item x="1609"/>
        <item x="1610"/>
        <item x="1611"/>
        <item m="1" x="4470"/>
        <item m="1" x="4471"/>
        <item m="1" x="4472"/>
        <item m="1" x="4473"/>
        <item m="1" x="4474"/>
        <item m="1" x="4475"/>
        <item m="1" x="4476"/>
        <item x="1612"/>
        <item x="1619"/>
        <item x="1614"/>
        <item x="1615"/>
        <item x="1616"/>
        <item x="1617"/>
        <item m="1" x="4477"/>
        <item m="1" x="4478"/>
        <item x="1618"/>
        <item x="1607"/>
        <item x="1602"/>
        <item x="1603"/>
        <item x="1604"/>
        <item m="1" x="4479"/>
        <item m="1" x="4480"/>
        <item x="1605"/>
        <item x="1594"/>
        <item x="1589"/>
        <item x="1590"/>
        <item x="1591"/>
        <item x="1592"/>
        <item m="1" x="4481"/>
        <item m="1" x="4482"/>
        <item m="1" x="4483"/>
        <item m="1" x="4484"/>
        <item x="1593"/>
        <item x="1601"/>
        <item x="1595"/>
        <item x="1596"/>
        <item x="1597"/>
        <item x="1598"/>
        <item m="1" x="4485"/>
        <item m="1" x="4486"/>
        <item x="1599"/>
        <item x="1468"/>
        <item x="1463"/>
        <item x="1464"/>
        <item x="1465"/>
        <item x="1466"/>
        <item m="1" x="4487"/>
        <item m="1" x="4488"/>
        <item m="1" x="4489"/>
        <item m="1" x="4490"/>
        <item x="1467"/>
        <item x="1474"/>
        <item x="1469"/>
        <item x="1470"/>
        <item x="1471"/>
        <item x="1472"/>
        <item m="1" x="4491"/>
        <item x="1473"/>
        <item x="1475"/>
        <item x="1455"/>
        <item x="1450"/>
        <item x="1451"/>
        <item x="1452"/>
        <item x="1453"/>
        <item m="1" x="4492"/>
        <item m="1" x="4493"/>
        <item m="1" x="4494"/>
        <item m="1" x="4495"/>
        <item x="1454"/>
        <item x="1461"/>
        <item x="1456"/>
        <item x="1457"/>
        <item x="1458"/>
        <item x="1459"/>
        <item m="1" x="4496"/>
        <item m="1" x="4497"/>
        <item x="1460"/>
        <item x="1462"/>
        <item x="1484"/>
        <item x="1481"/>
        <item x="1479"/>
        <item x="1478"/>
        <item x="1480"/>
        <item x="1476"/>
        <item m="1" x="4498"/>
        <item m="1" x="4499"/>
        <item m="1" x="4500"/>
        <item m="1" x="4501"/>
        <item x="1477"/>
        <item x="1483"/>
        <item x="1482"/>
        <item x="1485"/>
        <item x="1504"/>
        <item x="1499"/>
        <item x="1500"/>
        <item x="1501"/>
        <item x="1502"/>
        <item m="1" x="4502"/>
        <item m="1" x="4503"/>
        <item m="1" x="4504"/>
        <item m="1" x="4505"/>
        <item x="1503"/>
        <item x="1510"/>
        <item x="1505"/>
        <item x="1506"/>
        <item x="1507"/>
        <item x="1508"/>
        <item m="1" x="4506"/>
        <item m="1" x="4507"/>
        <item x="1509"/>
        <item x="1511"/>
        <item x="1491"/>
        <item x="1486"/>
        <item x="1487"/>
        <item x="1488"/>
        <item x="1489"/>
        <item m="1" x="4508"/>
        <item m="1" x="4509"/>
        <item m="1" x="4510"/>
        <item m="1" x="4511"/>
        <item x="1490"/>
        <item x="1497"/>
        <item x="1492"/>
        <item x="1493"/>
        <item x="1494"/>
        <item x="1495"/>
        <item m="1" x="4512"/>
        <item m="1" x="4513"/>
        <item x="1496"/>
        <item x="1498"/>
        <item x="1536"/>
        <item x="1531"/>
        <item x="1532"/>
        <item x="1533"/>
        <item x="1534"/>
        <item m="1" x="4514"/>
        <item m="1" x="4515"/>
        <item x="1535"/>
        <item x="1530"/>
        <item x="1525"/>
        <item x="1526"/>
        <item x="1527"/>
        <item x="1528"/>
        <item x="1529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x="1537"/>
        <item x="1411"/>
        <item x="1406"/>
        <item x="1407"/>
        <item x="1408"/>
        <item x="1409"/>
        <item m="1" x="4533"/>
        <item m="1" x="4534"/>
        <item m="1" x="4535"/>
        <item m="1" x="4536"/>
        <item x="1410"/>
        <item x="1424"/>
        <item x="1419"/>
        <item x="1420"/>
        <item x="1421"/>
        <item x="1422"/>
        <item x="1423"/>
        <item m="1" x="4537"/>
        <item m="1" x="4538"/>
        <item m="1" x="4539"/>
        <item x="1417"/>
        <item x="1412"/>
        <item x="1413"/>
        <item x="1414"/>
        <item x="1415"/>
        <item x="1416"/>
        <item x="1430"/>
        <item x="1425"/>
        <item x="1426"/>
        <item x="1427"/>
        <item x="1428"/>
        <item x="1429"/>
        <item x="1418"/>
        <item x="1436"/>
        <item m="1" x="4540"/>
        <item m="1" x="4541"/>
        <item x="1431"/>
        <item x="1432"/>
        <item x="1433"/>
        <item x="1434"/>
        <item m="1" x="4542"/>
        <item m="1" x="4543"/>
        <item m="1" x="4544"/>
        <item m="1" x="4545"/>
        <item x="1435"/>
        <item x="1442"/>
        <item x="1437"/>
        <item x="1438"/>
        <item x="1439"/>
        <item x="1440"/>
        <item x="1441"/>
        <item x="1443"/>
        <item x="1667"/>
        <item x="1666"/>
        <item x="1647"/>
        <item x="1648"/>
        <item x="1655"/>
        <item x="1657"/>
        <item x="1658"/>
        <item x="1656"/>
        <item x="1654"/>
        <item x="1637"/>
        <item x="1635"/>
        <item x="1638"/>
        <item x="1636"/>
        <item x="1662"/>
        <item x="1650"/>
        <item x="1643"/>
        <item x="1641"/>
        <item x="1644"/>
        <item x="1642"/>
        <item x="1661"/>
        <item x="1649"/>
        <item x="239"/>
        <item x="238"/>
        <item x="237"/>
        <item x="4326"/>
        <item x="247"/>
        <item m="1" x="4546"/>
        <item x="245"/>
        <item x="246"/>
        <item m="1" x="4547"/>
        <item m="1" x="4548"/>
        <item m="1" x="4549"/>
        <item x="244"/>
        <item m="1" x="4550"/>
        <item m="1" x="4551"/>
        <item x="248"/>
        <item x="4327"/>
        <item x="253"/>
        <item m="1" x="4552"/>
        <item x="251"/>
        <item x="249"/>
        <item x="252"/>
        <item x="250"/>
        <item x="1245"/>
        <item x="1246"/>
        <item x="1359"/>
        <item x="1360"/>
        <item x="1361"/>
        <item x="1362"/>
        <item x="1355"/>
        <item x="1356"/>
        <item x="1354"/>
        <item x="1353"/>
        <item x="1357"/>
        <item x="1358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x="1270"/>
        <item x="1271"/>
        <item m="1" x="4566"/>
        <item m="1" x="4567"/>
        <item m="1" x="4568"/>
        <item x="1272"/>
        <item x="1273"/>
        <item x="1274"/>
        <item m="1" x="4569"/>
        <item m="1" x="4570"/>
        <item m="1" x="4571"/>
        <item x="1278"/>
        <item x="1279"/>
        <item x="1280"/>
        <item m="1" x="4572"/>
        <item m="1" x="4573"/>
        <item x="1281"/>
        <item m="1" x="4574"/>
        <item m="1" x="4575"/>
        <item m="1" x="4576"/>
        <item m="1" x="4577"/>
        <item x="1282"/>
        <item m="1" x="4578"/>
        <item m="1" x="4579"/>
        <item m="1" x="4580"/>
        <item m="1" x="4581"/>
        <item x="1283"/>
        <item x="1275"/>
        <item x="1276"/>
        <item x="1277"/>
        <item x="1255"/>
        <item x="1256"/>
        <item x="1257"/>
        <item x="1258"/>
        <item x="1259"/>
        <item x="1260"/>
        <item x="1249"/>
        <item m="1" x="4582"/>
        <item m="1" x="4583"/>
        <item x="1250"/>
        <item x="1251"/>
        <item x="1247"/>
        <item x="1248"/>
        <item x="1252"/>
        <item x="1253"/>
        <item x="1254"/>
        <item x="1264"/>
        <item x="1265"/>
        <item x="1266"/>
        <item x="1261"/>
        <item x="1262"/>
        <item x="1263"/>
        <item x="1284"/>
        <item m="1" x="4584"/>
        <item m="1" x="4585"/>
        <item x="1285"/>
        <item m="1" x="4586"/>
        <item m="1" x="4587"/>
        <item x="1286"/>
        <item x="1309"/>
        <item x="1310"/>
        <item x="1307"/>
        <item m="1" x="4588"/>
        <item x="1308"/>
        <item m="1" x="4589"/>
        <item x="1311"/>
        <item x="1302"/>
        <item x="1303"/>
        <item x="1304"/>
        <item m="1" x="4590"/>
        <item x="1305"/>
        <item m="1" x="4591"/>
        <item x="1306"/>
        <item x="1290"/>
        <item x="1291"/>
        <item x="1297"/>
        <item x="1298"/>
        <item x="1299"/>
        <item m="1" x="4592"/>
        <item m="1" x="4593"/>
        <item m="1" x="4594"/>
        <item m="1" x="4595"/>
        <item x="1300"/>
        <item m="1" x="4596"/>
        <item m="1" x="4597"/>
        <item m="1" x="4598"/>
        <item m="1" x="4599"/>
        <item x="1301"/>
        <item x="1292"/>
        <item x="1293"/>
        <item x="1294"/>
        <item x="1295"/>
        <item x="1296"/>
        <item m="1" x="4600"/>
        <item x="1287"/>
        <item x="1288"/>
        <item x="1289"/>
        <item x="1312"/>
        <item x="1313"/>
        <item x="1314"/>
        <item m="1" x="4601"/>
        <item m="1" x="4602"/>
        <item m="1" x="4603"/>
        <item x="1238"/>
        <item x="1239"/>
        <item x="1240"/>
        <item x="1235"/>
        <item x="1236"/>
        <item x="1237"/>
        <item x="1232"/>
        <item x="1233"/>
        <item x="1234"/>
        <item x="1226"/>
        <item x="1227"/>
        <item x="1225"/>
        <item x="1223"/>
        <item m="1" x="4604"/>
        <item x="1220"/>
        <item x="1221"/>
        <item x="1222"/>
        <item x="1212"/>
        <item x="1213"/>
        <item x="1214"/>
        <item x="1215"/>
        <item x="1217"/>
        <item x="1218"/>
        <item x="1219"/>
        <item x="1230"/>
        <item x="1231"/>
        <item x="1228"/>
        <item x="1229"/>
        <item x="1241"/>
        <item x="1242"/>
        <item x="1243"/>
        <item x="1208"/>
        <item m="1" x="4605"/>
        <item x="1209"/>
        <item x="1210"/>
        <item m="1" x="4606"/>
        <item x="1211"/>
        <item x="1189"/>
        <item x="1190"/>
        <item x="1191"/>
        <item x="1186"/>
        <item x="1187"/>
        <item x="1188"/>
        <item x="1195"/>
        <item x="1196"/>
        <item x="1197"/>
        <item x="1192"/>
        <item x="1193"/>
        <item x="1194"/>
        <item x="1202"/>
        <item x="1203"/>
        <item x="1201"/>
        <item x="1199"/>
        <item x="1200"/>
        <item x="1198"/>
        <item x="1183"/>
        <item x="1184"/>
        <item x="1185"/>
        <item x="1180"/>
        <item x="1181"/>
        <item x="1182"/>
        <item x="1177"/>
        <item x="1178"/>
        <item x="1179"/>
        <item x="1174"/>
        <item x="1175"/>
        <item x="1176"/>
        <item m="1" x="4607"/>
        <item m="1" x="4608"/>
        <item m="1" x="4609"/>
        <item x="1166"/>
        <item x="1167"/>
        <item x="1168"/>
        <item x="1169"/>
        <item x="1170"/>
        <item x="1171"/>
        <item x="1172"/>
        <item x="1173"/>
        <item m="1" x="4610"/>
        <item m="1" x="4611"/>
        <item x="1097"/>
        <item x="1094"/>
        <item x="1095"/>
        <item x="1096"/>
        <item x="1098"/>
        <item x="1099"/>
        <item x="1085"/>
        <item x="1081"/>
        <item x="1082"/>
        <item x="1083"/>
        <item x="1084"/>
        <item x="1086"/>
        <item x="1087"/>
        <item x="955"/>
        <item x="952"/>
        <item x="953"/>
        <item x="954"/>
        <item x="956"/>
        <item x="957"/>
        <item x="920"/>
        <item x="918"/>
        <item x="919"/>
        <item x="921"/>
        <item x="1017"/>
        <item x="1016"/>
        <item x="1018"/>
        <item x="1019"/>
        <item x="971"/>
        <item x="969"/>
        <item x="970"/>
        <item x="968"/>
        <item x="972"/>
        <item x="973"/>
        <item x="939"/>
        <item x="937"/>
        <item x="938"/>
        <item x="940"/>
        <item x="941"/>
        <item x="924"/>
        <item x="922"/>
        <item x="923"/>
        <item x="925"/>
        <item x="926"/>
        <item x="1028"/>
        <item x="1027"/>
        <item x="1029"/>
        <item x="1024"/>
        <item x="1025"/>
        <item x="1026"/>
        <item x="1030"/>
        <item x="978"/>
        <item x="975"/>
        <item x="976"/>
        <item x="974"/>
        <item x="977"/>
        <item x="979"/>
        <item x="949"/>
        <item x="947"/>
        <item x="948"/>
        <item x="950"/>
        <item x="951"/>
        <item x="934"/>
        <item x="932"/>
        <item x="933"/>
        <item x="935"/>
        <item x="936"/>
        <item x="1021"/>
        <item x="1020"/>
        <item x="1022"/>
        <item x="1023"/>
        <item x="983"/>
        <item x="981"/>
        <item x="982"/>
        <item x="980"/>
        <item x="984"/>
        <item x="985"/>
        <item x="944"/>
        <item x="942"/>
        <item x="943"/>
        <item x="945"/>
        <item x="946"/>
        <item x="929"/>
        <item x="927"/>
        <item x="928"/>
        <item x="930"/>
        <item x="931"/>
        <item x="1091"/>
        <item x="1088"/>
        <item x="1089"/>
        <item x="1090"/>
        <item x="1092"/>
        <item x="1093"/>
        <item x="989"/>
        <item x="986"/>
        <item x="987"/>
        <item x="988"/>
        <item x="990"/>
        <item x="991"/>
        <item x="1078"/>
        <item x="1075"/>
        <item x="1076"/>
        <item x="1077"/>
        <item x="1079"/>
        <item x="1080"/>
        <item x="1007"/>
        <item x="1004"/>
        <item x="1005"/>
        <item x="1006"/>
        <item x="1008"/>
        <item x="1009"/>
        <item x="966"/>
        <item x="962"/>
        <item x="963"/>
        <item x="964"/>
        <item x="965"/>
        <item x="967"/>
        <item x="960"/>
        <item x="958"/>
        <item x="959"/>
        <item x="961"/>
        <item x="916"/>
        <item x="914"/>
        <item x="915"/>
        <item x="917"/>
        <item x="995"/>
        <item x="992"/>
        <item x="993"/>
        <item x="994"/>
        <item x="996"/>
        <item x="997"/>
        <item x="1001"/>
        <item x="998"/>
        <item x="999"/>
        <item x="1000"/>
        <item x="1002"/>
        <item x="1003"/>
        <item x="1013"/>
        <item x="1010"/>
        <item x="1011"/>
        <item x="1012"/>
        <item x="1014"/>
        <item x="1015"/>
        <item m="1" x="4612"/>
        <item x="1064"/>
        <item m="1" x="4613"/>
        <item x="1061"/>
        <item x="1062"/>
        <item x="1063"/>
        <item x="1065"/>
        <item x="1044"/>
        <item x="1045"/>
        <item x="1043"/>
        <item x="1046"/>
        <item x="1032"/>
        <item x="1033"/>
        <item x="1031"/>
        <item x="1034"/>
        <item x="1054"/>
        <item x="1055"/>
        <item x="1053"/>
        <item m="1" x="4614"/>
        <item x="1056"/>
        <item x="1051"/>
        <item x="1052"/>
        <item x="1040"/>
        <item x="1041"/>
        <item x="1039"/>
        <item x="1042"/>
        <item x="1048"/>
        <item x="1049"/>
        <item x="1047"/>
        <item x="1050"/>
        <item x="1036"/>
        <item x="1037"/>
        <item x="1035"/>
        <item x="1038"/>
        <item m="1" x="4615"/>
        <item x="1059"/>
        <item x="1057"/>
        <item x="1058"/>
        <item x="1060"/>
        <item m="1" x="4616"/>
        <item x="1073"/>
        <item m="1" x="4617"/>
        <item x="1070"/>
        <item x="1071"/>
        <item x="1072"/>
        <item x="1074"/>
        <item m="1" x="4618"/>
        <item x="1068"/>
        <item x="1066"/>
        <item x="1067"/>
        <item x="1069"/>
        <item x="1124"/>
        <item x="1121"/>
        <item x="1122"/>
        <item x="1123"/>
        <item x="1125"/>
        <item x="1126"/>
        <item x="1130"/>
        <item x="1127"/>
        <item x="1128"/>
        <item x="1129"/>
        <item x="1131"/>
        <item x="1132"/>
        <item x="1104"/>
        <item x="1100"/>
        <item x="1101"/>
        <item x="1102"/>
        <item x="1103"/>
        <item x="1105"/>
        <item x="1109"/>
        <item x="1106"/>
        <item x="1107"/>
        <item x="1108"/>
        <item x="1110"/>
        <item x="1111"/>
        <item x="1115"/>
        <item x="1112"/>
        <item x="1113"/>
        <item x="1114"/>
        <item x="1116"/>
        <item x="1117"/>
        <item x="1118"/>
        <item x="1119"/>
        <item x="1120"/>
        <item x="1136"/>
        <item x="1137"/>
        <item x="1133"/>
        <item x="1134"/>
        <item x="1135"/>
        <item x="1138"/>
        <item x="1139"/>
        <item x="1143"/>
        <item x="1144"/>
        <item m="1" x="4619"/>
        <item m="1" x="4620"/>
        <item x="1142"/>
        <item x="1140"/>
        <item x="1141"/>
        <item x="1145"/>
        <item m="1" x="4621"/>
        <item m="1" x="4622"/>
        <item x="1146"/>
        <item x="1150"/>
        <item x="1147"/>
        <item x="1148"/>
        <item x="1149"/>
        <item x="1151"/>
        <item x="1152"/>
        <item x="1156"/>
        <item m="1" x="4623"/>
        <item x="1153"/>
        <item x="1154"/>
        <item x="1155"/>
        <item x="1157"/>
        <item x="1159"/>
        <item x="1163"/>
        <item x="1160"/>
        <item x="1161"/>
        <item x="1162"/>
        <item x="1164"/>
        <item x="1165"/>
        <item x="913"/>
        <item x="911"/>
        <item x="912"/>
        <item x="909"/>
        <item x="910"/>
        <item x="894"/>
        <item x="895"/>
        <item x="896"/>
        <item x="897"/>
        <item x="908"/>
        <item x="902"/>
        <item x="905"/>
        <item x="904"/>
        <item x="903"/>
        <item x="906"/>
        <item x="898"/>
        <item x="899"/>
        <item x="900"/>
        <item x="901"/>
        <item x="907"/>
        <item x="852"/>
        <item x="854"/>
        <item x="853"/>
        <item x="845"/>
        <item x="837"/>
        <item x="838"/>
        <item x="839"/>
        <item x="840"/>
        <item x="841"/>
        <item x="842"/>
        <item x="847"/>
        <item x="814"/>
        <item x="813"/>
        <item x="850"/>
        <item x="851"/>
        <item x="846"/>
        <item x="816"/>
        <item x="815"/>
        <item x="848"/>
        <item x="849"/>
        <item x="827"/>
        <item x="828"/>
        <item x="801"/>
        <item x="807"/>
        <item x="802"/>
        <item x="808"/>
        <item x="803"/>
        <item x="809"/>
        <item x="804"/>
        <item x="810"/>
        <item x="805"/>
        <item x="806"/>
        <item x="811"/>
        <item x="812"/>
        <item x="829"/>
        <item x="830"/>
        <item x="831"/>
        <item x="832"/>
        <item x="833"/>
        <item x="834"/>
        <item x="835"/>
        <item x="836"/>
        <item x="795"/>
        <item x="856"/>
        <item x="855"/>
        <item x="843"/>
        <item x="844"/>
        <item x="790"/>
        <item x="796"/>
        <item x="791"/>
        <item x="797"/>
        <item x="792"/>
        <item x="798"/>
        <item x="793"/>
        <item x="799"/>
        <item x="794"/>
        <item x="800"/>
        <item m="1" x="4624"/>
        <item x="825"/>
        <item x="826"/>
        <item x="821"/>
        <item x="823"/>
        <item x="824"/>
        <item x="789"/>
        <item x="857"/>
        <item x="817"/>
        <item x="785"/>
        <item m="1" x="4625"/>
        <item x="783"/>
        <item m="1" x="4626"/>
        <item x="788"/>
        <item x="818"/>
        <item x="820"/>
        <item x="819"/>
        <item x="781"/>
        <item x="782"/>
        <item x="774"/>
        <item x="776"/>
        <item x="777"/>
        <item x="775"/>
        <item x="766"/>
        <item x="767"/>
        <item x="764"/>
        <item x="765"/>
        <item x="770"/>
        <item x="771"/>
        <item x="768"/>
        <item x="769"/>
        <item x="772"/>
        <item x="773"/>
        <item x="778"/>
        <item x="744"/>
        <item x="743"/>
        <item x="742"/>
        <item x="741"/>
        <item x="737"/>
        <item x="739"/>
        <item x="738"/>
        <item x="740"/>
        <item x="761"/>
        <item x="779"/>
        <item x="752"/>
        <item x="751"/>
        <item x="750"/>
        <item x="749"/>
        <item x="745"/>
        <item x="747"/>
        <item x="746"/>
        <item x="748"/>
        <item x="762"/>
        <item x="780"/>
        <item x="760"/>
        <item x="759"/>
        <item x="757"/>
        <item x="756"/>
        <item x="753"/>
        <item x="755"/>
        <item x="754"/>
        <item x="758"/>
        <item x="763"/>
        <item x="393"/>
        <item x="394"/>
        <item x="396"/>
        <item x="395"/>
        <item x="390"/>
        <item x="391"/>
        <item x="392"/>
        <item x="347"/>
        <item x="348"/>
        <item x="349"/>
        <item x="350"/>
        <item x="355"/>
        <item x="356"/>
        <item x="351"/>
        <item x="352"/>
        <item x="353"/>
        <item x="354"/>
        <item x="365"/>
        <item x="366"/>
        <item m="1" x="4627"/>
        <item m="1" x="4628"/>
        <item x="363"/>
        <item x="364"/>
        <item m="1" x="4629"/>
        <item m="1" x="4630"/>
        <item x="367"/>
        <item x="368"/>
        <item x="361"/>
        <item x="362"/>
        <item x="357"/>
        <item x="358"/>
        <item m="1" x="4631"/>
        <item m="1" x="4632"/>
        <item x="359"/>
        <item x="360"/>
        <item m="1" x="4633"/>
        <item m="1" x="4634"/>
        <item m="1" x="4635"/>
        <item m="1" x="4636"/>
        <item x="343"/>
        <item x="344"/>
        <item x="345"/>
        <item x="346"/>
        <item x="294"/>
        <item x="295"/>
        <item x="373"/>
        <item x="310"/>
        <item x="309"/>
        <item x="307"/>
        <item x="306"/>
        <item x="308"/>
        <item x="312"/>
        <item x="311"/>
        <item x="375"/>
        <item m="1" x="4637"/>
        <item x="282"/>
        <item x="372"/>
        <item x="377"/>
        <item x="317"/>
        <item x="316"/>
        <item x="314"/>
        <item x="313"/>
        <item x="315"/>
        <item x="321"/>
        <item x="320"/>
        <item x="319"/>
        <item x="378"/>
        <item x="379"/>
        <item x="318"/>
        <item m="1" x="4638"/>
        <item x="278"/>
        <item x="279"/>
        <item x="380"/>
        <item x="371"/>
        <item x="381"/>
        <item x="326"/>
        <item x="324"/>
        <item x="322"/>
        <item x="4328"/>
        <item x="323"/>
        <item x="327"/>
        <item x="325"/>
        <item x="382"/>
        <item x="269"/>
        <item x="270"/>
        <item x="383"/>
        <item x="370"/>
        <item x="386"/>
        <item x="387"/>
        <item x="389"/>
        <item x="388"/>
        <item x="369"/>
        <item x="333"/>
        <item x="331"/>
        <item x="329"/>
        <item x="328"/>
        <item x="330"/>
        <item x="335"/>
        <item x="332"/>
        <item x="334"/>
        <item x="384"/>
        <item x="340"/>
        <item x="339"/>
        <item x="337"/>
        <item x="336"/>
        <item x="338"/>
        <item x="342"/>
        <item x="341"/>
        <item x="385"/>
        <item x="1674"/>
        <item x="1676"/>
        <item x="1675"/>
        <item x="1677"/>
        <item x="1678"/>
        <item x="1679"/>
        <item x="1680"/>
        <item x="1681"/>
        <item x="1690"/>
        <item x="1692"/>
        <item x="1691"/>
        <item x="1693"/>
        <item x="1696"/>
        <item x="1697"/>
        <item x="1694"/>
        <item x="1695"/>
        <item x="1682"/>
        <item x="1684"/>
        <item x="1683"/>
        <item x="1685"/>
        <item x="1686"/>
        <item x="1687"/>
        <item x="1688"/>
        <item x="1689"/>
        <item x="1673"/>
        <item m="1" x="4639"/>
        <item m="1" x="4640"/>
        <item x="1698"/>
        <item x="1699"/>
        <item x="1700"/>
        <item x="1701"/>
        <item x="1702"/>
        <item x="1703"/>
        <item x="1704"/>
        <item x="1705"/>
        <item x="1708"/>
        <item x="1709"/>
        <item x="1706"/>
        <item x="1707"/>
        <item x="1710"/>
        <item x="1711"/>
        <item x="1712"/>
        <item x="1713"/>
        <item x="1714"/>
        <item x="1715"/>
        <item x="1716"/>
        <item x="1382"/>
        <item x="1383"/>
        <item x="1384"/>
        <item x="1385"/>
        <item x="1386"/>
        <item x="1387"/>
        <item x="1388"/>
        <item x="1389"/>
        <item x="1723"/>
        <item x="1724"/>
        <item x="1668"/>
        <item x="722"/>
        <item x="721"/>
        <item m="1" x="4641"/>
        <item m="1" x="4642"/>
        <item m="1" x="4643"/>
        <item m="1" x="4644"/>
        <item m="1" x="4645"/>
        <item m="1" x="4646"/>
        <item m="1" x="4647"/>
        <item m="1" x="4648"/>
        <item m="1" x="4811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x="2093"/>
        <item x="2094"/>
        <item x="2095"/>
        <item x="2096"/>
        <item x="2089"/>
        <item x="2090"/>
        <item x="2091"/>
        <item x="2092"/>
        <item m="1" x="4663"/>
        <item x="1756"/>
        <item x="1757"/>
        <item x="1755"/>
        <item x="1742"/>
        <item x="1741"/>
        <item x="1754"/>
        <item x="1736"/>
        <item x="1735"/>
        <item x="1740"/>
        <item x="1739"/>
        <item x="1377"/>
        <item x="1376"/>
        <item x="1728"/>
        <item x="1726"/>
        <item x="1725"/>
        <item x="1734"/>
        <item m="1" x="4664"/>
        <item x="1747"/>
        <item x="1745"/>
        <item x="1749"/>
        <item x="1750"/>
        <item x="1748"/>
        <item x="1746"/>
        <item m="1" x="4665"/>
        <item m="1" x="4666"/>
        <item m="1" x="4667"/>
        <item m="1" x="4668"/>
        <item m="1" x="4669"/>
        <item x="1381"/>
        <item m="1" x="4670"/>
        <item m="1" x="4671"/>
        <item m="1" x="4672"/>
        <item m="1" x="4673"/>
        <item m="1" x="4674"/>
        <item m="1" x="4675"/>
        <item m="1" x="4676"/>
        <item x="1671"/>
        <item x="1733"/>
        <item x="1730"/>
        <item x="1729"/>
        <item x="1378"/>
        <item x="1371"/>
        <item x="1372"/>
        <item x="1374"/>
        <item x="1379"/>
        <item x="1375"/>
        <item x="1380"/>
        <item x="1373"/>
        <item x="1370"/>
        <item x="1368"/>
        <item x="1367"/>
        <item x="1369"/>
        <item x="1366"/>
        <item x="1363"/>
        <item x="1364"/>
        <item x="1365"/>
        <item x="730"/>
        <item x="732"/>
        <item x="731"/>
        <item x="729"/>
        <item x="728"/>
        <item x="726"/>
        <item x="725"/>
        <item x="724"/>
        <item x="1751"/>
        <item x="1631"/>
        <item x="1624"/>
        <item x="1625"/>
        <item x="1623"/>
        <item x="1627"/>
        <item x="1632"/>
        <item x="1663"/>
        <item x="1664"/>
        <item x="1665"/>
        <item m="1" x="4677"/>
        <item x="720"/>
        <item x="719"/>
        <item x="1752"/>
        <item x="1753"/>
        <item x="733"/>
        <item x="734"/>
        <item x="735"/>
        <item x="736"/>
        <item m="1" x="4678"/>
        <item x="229"/>
        <item x="230"/>
        <item x="168"/>
        <item x="228"/>
        <item x="180"/>
        <item x="200"/>
        <item x="170"/>
        <item x="175"/>
        <item x="201"/>
        <item x="190"/>
        <item x="195"/>
        <item x="185"/>
        <item x="181"/>
        <item m="1" x="4679"/>
        <item x="227"/>
        <item x="171"/>
        <item x="176"/>
        <item m="1" x="4680"/>
        <item x="202"/>
        <item x="191"/>
        <item x="196"/>
        <item x="186"/>
        <item x="182"/>
        <item x="226"/>
        <item x="172"/>
        <item x="177"/>
        <item x="203"/>
        <item x="192"/>
        <item x="197"/>
        <item x="187"/>
        <item x="183"/>
        <item x="225"/>
        <item x="173"/>
        <item x="178"/>
        <item m="1" x="4681"/>
        <item x="204"/>
        <item x="193"/>
        <item x="198"/>
        <item x="188"/>
        <item x="184"/>
        <item x="224"/>
        <item x="174"/>
        <item x="179"/>
        <item x="205"/>
        <item x="194"/>
        <item x="199"/>
        <item x="189"/>
        <item x="206"/>
        <item m="1" x="4682"/>
        <item x="223"/>
        <item x="208"/>
        <item x="211"/>
        <item x="210"/>
        <item m="1" x="4683"/>
        <item x="212"/>
        <item x="209"/>
        <item x="213"/>
        <item x="215"/>
        <item x="214"/>
        <item x="217"/>
        <item x="216"/>
        <item x="220"/>
        <item x="218"/>
        <item x="219"/>
        <item x="222"/>
        <item x="221"/>
        <item x="148"/>
        <item x="162"/>
        <item x="132"/>
        <item x="128"/>
        <item x="152"/>
        <item x="136"/>
        <item x="140"/>
        <item x="144"/>
        <item x="146"/>
        <item x="161"/>
        <item x="131"/>
        <item x="126"/>
        <item x="151"/>
        <item x="134"/>
        <item x="139"/>
        <item x="142"/>
        <item x="147"/>
        <item x="160"/>
        <item x="130"/>
        <item x="127"/>
        <item x="150"/>
        <item x="135"/>
        <item x="138"/>
        <item x="143"/>
        <item x="145"/>
        <item x="159"/>
        <item x="129"/>
        <item x="125"/>
        <item x="149"/>
        <item x="133"/>
        <item x="137"/>
        <item x="141"/>
        <item x="112"/>
        <item x="108"/>
        <item x="116"/>
        <item x="120"/>
        <item x="124"/>
        <item x="111"/>
        <item x="107"/>
        <item x="115"/>
        <item x="119"/>
        <item x="123"/>
        <item x="155"/>
        <item x="154"/>
        <item x="153"/>
        <item x="156"/>
        <item m="1" x="4684"/>
        <item x="157"/>
        <item x="158"/>
        <item m="1" x="4685"/>
        <item x="236"/>
        <item x="232"/>
        <item x="235"/>
        <item x="231"/>
        <item m="1" x="4686"/>
        <item x="234"/>
        <item x="73"/>
        <item x="70"/>
        <item x="74"/>
        <item x="71"/>
        <item x="75"/>
        <item m="1" x="4687"/>
        <item m="1" x="4688"/>
        <item m="1" x="4689"/>
        <item x="72"/>
        <item x="69"/>
        <item x="1924"/>
        <item x="1912"/>
        <item m="1" x="4745"/>
        <item x="1919"/>
        <item m="1" x="4750"/>
        <item x="1914"/>
        <item m="1" x="4747"/>
        <item x="1913"/>
        <item m="1" x="4746"/>
        <item x="1916"/>
        <item m="1" x="4748"/>
        <item x="1915"/>
        <item x="1920"/>
        <item x="1921"/>
        <item m="1" x="4712"/>
        <item m="1" x="4751"/>
        <item x="1922"/>
        <item x="1923"/>
        <item m="1" x="4711"/>
        <item x="1918"/>
        <item m="1" x="4749"/>
        <item x="1917"/>
        <item x="1910"/>
        <item m="1" x="4716"/>
        <item x="1903"/>
        <item m="1" x="4708"/>
        <item x="1902"/>
        <item m="1" x="4704"/>
        <item x="1904"/>
        <item m="1" x="4703"/>
        <item x="1905"/>
        <item m="1" x="4709"/>
        <item x="1911"/>
        <item x="3789"/>
        <item x="3790"/>
        <item x="3791"/>
        <item x="3792"/>
        <item x="3785"/>
        <item x="3786"/>
        <item x="3783"/>
        <item x="3784"/>
        <item x="3781"/>
        <item x="3782"/>
        <item x="3779"/>
        <item x="3780"/>
        <item x="3777"/>
        <item x="3778"/>
        <item x="3787"/>
        <item x="3788"/>
        <item x="3771"/>
        <item x="3772"/>
        <item x="3773"/>
        <item x="3774"/>
        <item x="3775"/>
        <item x="3776"/>
        <item x="3793"/>
        <item x="3794"/>
        <item x="3795"/>
        <item x="3796"/>
        <item x="3735"/>
        <item x="3736"/>
        <item x="3739"/>
        <item x="3740"/>
        <item x="3737"/>
        <item x="3738"/>
        <item x="3741"/>
        <item x="3742"/>
        <item x="3725"/>
        <item x="3726"/>
        <item x="3727"/>
        <item x="3728"/>
        <item x="3721"/>
        <item x="3722"/>
        <item x="3719"/>
        <item x="3720"/>
        <item x="3723"/>
        <item x="3724"/>
        <item m="1" x="5183"/>
        <item m="1" x="5182"/>
        <item m="1" x="5181"/>
        <item m="1" x="5180"/>
        <item m="1" x="5185"/>
        <item m="1" x="5184"/>
        <item x="3731"/>
        <item x="3732"/>
        <item x="3729"/>
        <item x="3730"/>
        <item m="1" x="5187"/>
        <item m="1" x="5186"/>
        <item m="1" x="5191"/>
        <item m="1" x="5190"/>
        <item m="1" x="5195"/>
        <item m="1" x="5194"/>
        <item m="1" x="5192"/>
        <item m="1" x="5193"/>
        <item x="3743"/>
        <item x="3744"/>
        <item x="3755"/>
        <item x="3756"/>
        <item x="3753"/>
        <item x="3754"/>
        <item x="3747"/>
        <item x="3748"/>
        <item x="3751"/>
        <item x="3752"/>
        <item x="3749"/>
        <item x="3750"/>
        <item x="3745"/>
        <item x="3746"/>
        <item m="1" x="5197"/>
        <item m="1" x="5196"/>
        <item m="1" x="5189"/>
        <item m="1" x="5188"/>
        <item m="1" x="5199"/>
        <item m="1" x="5198"/>
        <item m="1" x="5203"/>
        <item m="1" x="5202"/>
        <item m="1" x="5207"/>
        <item m="1" x="5206"/>
        <item m="1" x="5209"/>
        <item m="1" x="5208"/>
        <item x="3758"/>
        <item x="3757"/>
        <item m="1" x="5201"/>
        <item m="1" x="5200"/>
        <item m="1" x="5205"/>
        <item m="1" x="5204"/>
        <item x="3699"/>
        <item x="3700"/>
        <item x="3697"/>
        <item x="3698"/>
        <item x="3695"/>
        <item x="3696"/>
        <item x="3705"/>
        <item x="3706"/>
        <item x="3703"/>
        <item x="3704"/>
        <item x="3707"/>
        <item x="3708"/>
        <item x="3711"/>
        <item x="3712"/>
        <item x="3713"/>
        <item x="3714"/>
        <item x="3709"/>
        <item x="3710"/>
        <item x="3717"/>
        <item x="3718"/>
        <item x="3715"/>
        <item x="3716"/>
        <item x="3701"/>
        <item x="3702"/>
        <item x="3691"/>
        <item x="3692"/>
        <item x="3797"/>
        <item x="3798"/>
        <item m="1" x="4991"/>
        <item m="1" x="4992"/>
        <item x="3799"/>
        <item x="3800"/>
        <item x="3824"/>
        <item m="1" x="4989"/>
        <item m="1" x="5175"/>
        <item m="1" x="5174"/>
        <item m="1" x="5177"/>
        <item m="1" x="5176"/>
        <item m="1" x="5179"/>
        <item m="1" x="5178"/>
        <item m="1" x="5169"/>
        <item m="1" x="5168"/>
        <item m="1" x="5171"/>
        <item m="1" x="5170"/>
        <item m="1" x="5165"/>
        <item m="1" x="5164"/>
        <item m="1" x="5167"/>
        <item m="1" x="5166"/>
        <item m="1" x="5173"/>
        <item m="1" x="5172"/>
        <item m="1" x="5163"/>
        <item m="1" x="5162"/>
        <item x="3683"/>
        <item x="3684"/>
        <item x="3687"/>
        <item x="3688"/>
        <item x="3685"/>
        <item x="3686"/>
        <item x="3679"/>
        <item x="3680"/>
        <item x="3681"/>
        <item x="3682"/>
        <item x="3677"/>
        <item x="3678"/>
        <item x="3829"/>
        <item x="3830"/>
        <item x="3827"/>
        <item x="3828"/>
        <item x="3825"/>
        <item x="3826"/>
        <item m="1" x="5002"/>
        <item m="1" x="5001"/>
        <item x="3839"/>
        <item x="3840"/>
        <item x="3837"/>
        <item x="3838"/>
        <item x="3841"/>
        <item x="3842"/>
        <item x="3835"/>
        <item x="3836"/>
        <item x="3833"/>
        <item x="3834"/>
        <item x="3831"/>
        <item x="3832"/>
        <item x="3847"/>
        <item x="3848"/>
        <item x="3845"/>
        <item x="3846"/>
        <item x="3843"/>
        <item x="3844"/>
        <item x="3821"/>
        <item x="3822"/>
        <item x="3819"/>
        <item x="3820"/>
        <item x="3813"/>
        <item x="3814"/>
        <item x="3817"/>
        <item x="3818"/>
        <item x="3815"/>
        <item x="3816"/>
        <item x="3811"/>
        <item x="3812"/>
        <item x="3809"/>
        <item x="3810"/>
        <item m="1" x="4987"/>
        <item m="1" x="4988"/>
        <item x="3851"/>
        <item x="3852"/>
        <item x="3849"/>
        <item x="3850"/>
        <item x="3673"/>
        <item x="3674"/>
        <item x="3669"/>
        <item x="3670"/>
        <item x="3671"/>
        <item x="3672"/>
        <item x="3597"/>
        <item x="3598"/>
        <item x="3599"/>
        <item x="3600"/>
        <item x="3605"/>
        <item x="3606"/>
        <item x="3601"/>
        <item x="3602"/>
        <item x="3607"/>
        <item x="3608"/>
        <item x="3603"/>
        <item x="3604"/>
        <item x="3609"/>
        <item x="3610"/>
        <item x="3545"/>
        <item x="3546"/>
        <item x="3547"/>
        <item x="3548"/>
        <item x="3531"/>
        <item x="3532"/>
        <item x="3533"/>
        <item x="3534"/>
        <item x="3549"/>
        <item x="3550"/>
        <item x="3567"/>
        <item x="3568"/>
        <item x="3559"/>
        <item x="3560"/>
        <item x="3517"/>
        <item x="3518"/>
        <item x="3511"/>
        <item x="3512"/>
        <item x="3505"/>
        <item x="3506"/>
        <item x="3561"/>
        <item x="3562"/>
        <item x="3563"/>
        <item x="3564"/>
        <item x="3519"/>
        <item x="3520"/>
        <item x="3515"/>
        <item x="3516"/>
        <item x="3509"/>
        <item x="3510"/>
        <item x="3565"/>
        <item x="3566"/>
        <item x="3521"/>
        <item x="3522"/>
        <item x="3513"/>
        <item x="3514"/>
        <item x="3507"/>
        <item x="3508"/>
        <item x="3551"/>
        <item x="3552"/>
        <item x="3537"/>
        <item x="3538"/>
        <item x="3535"/>
        <item x="3536"/>
        <item x="3539"/>
        <item x="3540"/>
        <item x="3541"/>
        <item x="3542"/>
        <item x="3543"/>
        <item x="3544"/>
        <item x="3569"/>
        <item x="3570"/>
        <item x="3553"/>
        <item x="3554"/>
        <item x="3557"/>
        <item x="3558"/>
        <item m="1" x="5149"/>
        <item m="1" x="5150"/>
        <item x="3555"/>
        <item x="3556"/>
        <item x="3571"/>
        <item x="3572"/>
        <item x="3573"/>
        <item x="3574"/>
        <item x="3577"/>
        <item x="3578"/>
        <item x="3585"/>
        <item x="3586"/>
        <item x="3581"/>
        <item x="3582"/>
        <item x="3583"/>
        <item x="3584"/>
        <item x="3589"/>
        <item x="3590"/>
        <item x="3579"/>
        <item x="3580"/>
        <item x="3587"/>
        <item x="3588"/>
        <item x="3575"/>
        <item x="3576"/>
        <item x="3591"/>
        <item x="3592"/>
        <item x="3593"/>
        <item x="3594"/>
        <item x="3595"/>
        <item x="3596"/>
        <item x="3611"/>
        <item x="3612"/>
        <item x="3613"/>
        <item x="3614"/>
        <item x="3619"/>
        <item x="3620"/>
        <item x="3621"/>
        <item x="3622"/>
        <item x="3615"/>
        <item x="3616"/>
        <item x="3617"/>
        <item x="3618"/>
        <item x="3647"/>
        <item x="3648"/>
        <item x="3649"/>
        <item x="3650"/>
        <item x="3637"/>
        <item x="3638"/>
        <item x="3639"/>
        <item x="3640"/>
        <item x="3641"/>
        <item x="3642"/>
        <item x="3643"/>
        <item x="3644"/>
        <item x="3645"/>
        <item x="3646"/>
        <item x="3625"/>
        <item x="3626"/>
        <item x="3627"/>
        <item x="3628"/>
        <item x="3525"/>
        <item x="3526"/>
        <item x="3527"/>
        <item x="3528"/>
        <item x="3529"/>
        <item x="3530"/>
        <item x="3623"/>
        <item x="3624"/>
        <item x="3523"/>
        <item x="3524"/>
        <item x="3629"/>
        <item x="3630"/>
        <item x="3631"/>
        <item x="3632"/>
        <item x="3633"/>
        <item x="3634"/>
        <item x="3635"/>
        <item x="3636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7"/>
        <item x="3668"/>
        <item x="3663"/>
        <item x="3664"/>
        <item x="3665"/>
        <item x="3666"/>
        <item x="3487"/>
        <item x="3488"/>
        <item x="3491"/>
        <item x="3492"/>
        <item x="3489"/>
        <item x="3490"/>
        <item x="3453"/>
        <item x="3454"/>
        <item x="3461"/>
        <item x="3462"/>
        <item x="3457"/>
        <item x="3458"/>
        <item x="3465"/>
        <item x="3466"/>
        <item x="3451"/>
        <item x="3452"/>
        <item x="3459"/>
        <item x="3460"/>
        <item x="3455"/>
        <item x="3456"/>
        <item x="3463"/>
        <item x="3464"/>
        <item x="3469"/>
        <item x="3470"/>
        <item x="3467"/>
        <item x="3468"/>
        <item x="3477"/>
        <item x="3478"/>
        <item x="3475"/>
        <item x="3476"/>
        <item x="3473"/>
        <item x="3474"/>
        <item x="3471"/>
        <item x="3472"/>
        <item x="3479"/>
        <item x="3480"/>
        <item x="3449"/>
        <item x="3450"/>
        <item x="3445"/>
        <item x="3446"/>
        <item x="3433"/>
        <item x="3434"/>
        <item x="3447"/>
        <item x="3448"/>
        <item x="3443"/>
        <item x="3444"/>
        <item x="3435"/>
        <item x="3436"/>
        <item x="3441"/>
        <item x="3442"/>
        <item x="3437"/>
        <item x="3438"/>
        <item x="3439"/>
        <item x="3440"/>
        <item x="3853"/>
        <item x="3854"/>
        <item x="3855"/>
        <item x="3856"/>
        <item x="3423"/>
        <item x="3424"/>
        <item x="3425"/>
        <item x="3426"/>
        <item x="3417"/>
        <item x="3418"/>
        <item x="3427"/>
        <item x="3428"/>
        <item x="3413"/>
        <item x="3414"/>
        <item x="3431"/>
        <item x="3432"/>
        <item x="3429"/>
        <item x="3430"/>
        <item m="1" x="4927"/>
        <item m="1" x="4926"/>
        <item x="3481"/>
        <item x="3482"/>
        <item x="471"/>
        <item x="472"/>
        <item x="473"/>
        <item x="474"/>
        <item x="475"/>
        <item x="476"/>
        <item x="477"/>
        <item x="478"/>
        <item x="426"/>
        <item x="427"/>
        <item x="416"/>
        <item x="417"/>
        <item x="499"/>
        <item x="500"/>
        <item x="497"/>
        <item x="498"/>
        <item x="503"/>
        <item x="504"/>
        <item x="501"/>
        <item x="502"/>
        <item x="505"/>
        <item x="506"/>
        <item x="507"/>
        <item x="508"/>
        <item x="479"/>
        <item x="480"/>
        <item x="513"/>
        <item x="514"/>
        <item x="515"/>
        <item x="516"/>
        <item x="485"/>
        <item m="1" x="4690"/>
        <item m="1" x="4691"/>
        <item x="486"/>
        <item x="487"/>
        <item m="1" x="4692"/>
        <item m="1" x="4693"/>
        <item x="488"/>
        <item x="481"/>
        <item x="482"/>
        <item x="483"/>
        <item x="484"/>
        <item x="527"/>
        <item x="424"/>
        <item x="425"/>
        <item x="518"/>
        <item x="517"/>
        <item x="520"/>
        <item x="519"/>
        <item x="411"/>
        <item x="412"/>
        <item x="413"/>
        <item x="414"/>
        <item x="415"/>
        <item x="521"/>
        <item x="522"/>
        <item x="439"/>
        <item x="407"/>
        <item x="408"/>
        <item x="403"/>
        <item x="404"/>
        <item x="440"/>
        <item x="409"/>
        <item x="410"/>
        <item x="401"/>
        <item x="402"/>
        <item x="405"/>
        <item x="406"/>
        <item x="489"/>
        <item x="490"/>
        <item x="491"/>
        <item x="492"/>
        <item x="493"/>
        <item x="494"/>
        <item x="495"/>
        <item x="496"/>
        <item x="445"/>
        <item x="446"/>
        <item x="447"/>
        <item x="448"/>
        <item x="441"/>
        <item x="443"/>
        <item x="442"/>
        <item x="444"/>
        <item x="449"/>
        <item x="451"/>
        <item x="450"/>
        <item x="452"/>
        <item x="453"/>
        <item x="454"/>
        <item x="455"/>
        <item x="456"/>
        <item x="457"/>
        <item x="458"/>
        <item x="459"/>
        <item x="460"/>
        <item x="422"/>
        <item x="461"/>
        <item m="1" x="4694"/>
        <item x="437"/>
        <item x="438"/>
        <item x="435"/>
        <item x="436"/>
        <item x="423"/>
        <item x="462"/>
        <item x="463"/>
        <item x="464"/>
        <item x="465"/>
        <item x="466"/>
        <item x="467"/>
        <item x="468"/>
        <item x="469"/>
        <item x="470"/>
        <item m="1" x="4695"/>
        <item x="77"/>
        <item x="76"/>
        <item x="399"/>
        <item x="400"/>
        <item x="397"/>
        <item x="2097"/>
        <item x="2084"/>
        <item m="1" x="4756"/>
        <item x="2079"/>
        <item m="1" x="4753"/>
        <item x="2078"/>
        <item m="1" x="4752"/>
        <item x="2077"/>
        <item x="2081"/>
        <item m="1" x="4754"/>
        <item x="2080"/>
        <item x="2085"/>
        <item x="2086"/>
        <item m="1" x="4713"/>
        <item m="1" x="4757"/>
        <item x="2087"/>
        <item x="2088"/>
        <item m="1" x="4710"/>
        <item x="2083"/>
        <item m="1" x="4755"/>
        <item x="2082"/>
        <item x="2074"/>
        <item m="1" x="4717"/>
        <item x="2073"/>
        <item x="2031"/>
        <item m="1" x="4705"/>
        <item x="2030"/>
        <item m="1" x="4706"/>
        <item x="2032"/>
        <item m="1" x="4702"/>
        <item x="2033"/>
        <item m="1" x="4707"/>
        <item x="2135"/>
        <item m="1" x="4714"/>
        <item x="1937"/>
        <item m="1" x="4720"/>
        <item x="1942"/>
        <item m="1" x="4726"/>
        <item x="1931"/>
        <item x="1927"/>
        <item m="1" x="4721"/>
        <item x="1939"/>
        <item m="1" x="4727"/>
        <item x="1938"/>
        <item m="1" x="4793"/>
        <item x="1932"/>
        <item m="1" x="4722"/>
        <item x="1933"/>
        <item m="1" x="4723"/>
        <item x="1935"/>
        <item x="1940"/>
        <item m="1" x="4724"/>
        <item x="1946"/>
        <item x="1945"/>
        <item m="1" x="4715"/>
        <item m="1" x="4725"/>
        <item x="1943"/>
        <item x="1944"/>
        <item m="1" x="4719"/>
        <item x="1936"/>
        <item m="1" x="4792"/>
        <item x="1947"/>
        <item m="1" x="4718"/>
        <item x="1930"/>
        <item x="1925"/>
        <item x="1926"/>
        <item x="1950"/>
        <item x="1951"/>
        <item m="1" x="4800"/>
        <item x="1953"/>
        <item m="1" x="4798"/>
        <item x="1952"/>
        <item m="1" x="4801"/>
        <item x="1954"/>
        <item m="1" x="4794"/>
        <item x="1957"/>
        <item m="1" x="4802"/>
        <item x="1958"/>
        <item x="1959"/>
        <item m="1" x="4799"/>
        <item x="1955"/>
        <item x="1956"/>
        <item m="1" x="4803"/>
        <item x="1948"/>
        <item x="1986"/>
        <item x="1987"/>
        <item m="1" x="4804"/>
        <item x="1974"/>
        <item m="1" x="4806"/>
        <item x="1976"/>
        <item x="1975"/>
        <item x="1978"/>
        <item x="1977"/>
        <item x="1979"/>
        <item m="1" x="4807"/>
        <item x="1980"/>
        <item m="1" x="4808"/>
        <item x="1968"/>
        <item x="1969"/>
        <item x="1970"/>
        <item x="1981"/>
        <item m="1" x="4809"/>
        <item x="1982"/>
        <item m="1" x="4810"/>
        <item x="1972"/>
        <item x="1971"/>
        <item x="1973"/>
        <item m="1" x="4805"/>
        <item x="1983"/>
        <item x="1985"/>
        <item x="1984"/>
        <item x="1960"/>
        <item x="1964"/>
        <item x="1965"/>
        <item m="1" x="4744"/>
        <item x="1961"/>
        <item m="1" x="4795"/>
        <item x="1963"/>
        <item x="1962"/>
        <item m="1" x="4796"/>
        <item x="1966"/>
        <item x="1967"/>
        <item m="1" x="4797"/>
        <item x="2403"/>
        <item x="2402"/>
        <item x="2401"/>
        <item x="2404"/>
        <item x="2380"/>
        <item x="2379"/>
        <item x="2382"/>
        <item x="2375"/>
        <item x="2376"/>
        <item x="2381"/>
        <item x="2377"/>
        <item x="2378"/>
        <item x="2388"/>
        <item x="2387"/>
        <item x="2386"/>
        <item x="2385"/>
        <item x="2383"/>
        <item x="2384"/>
        <item x="2406"/>
        <item x="2363"/>
        <item x="2365"/>
        <item x="2366"/>
        <item x="2367"/>
        <item x="2364"/>
        <item m="1" x="4871"/>
        <item m="1" x="4873"/>
        <item m="1" x="4874"/>
        <item x="2293"/>
        <item m="1" x="4886"/>
        <item m="1" x="4887"/>
        <item m="1" x="4888"/>
        <item m="1" x="4889"/>
        <item x="2338"/>
        <item x="2339"/>
        <item x="2340"/>
        <item x="2344"/>
        <item x="2345"/>
        <item x="2346"/>
        <item x="2350"/>
        <item x="2351"/>
        <item x="2352"/>
        <item m="1" x="4875"/>
        <item m="1" x="4849"/>
        <item m="1" x="4850"/>
        <item m="1" x="4876"/>
        <item m="1" x="4877"/>
        <item m="1" x="4890"/>
        <item m="1" x="4851"/>
        <item m="1" x="4852"/>
        <item m="1" x="4894"/>
        <item m="1" x="4895"/>
        <item x="2341"/>
        <item m="1" x="4859"/>
        <item x="2342"/>
        <item x="2343"/>
        <item x="2347"/>
        <item m="1" x="4860"/>
        <item x="2348"/>
        <item x="2349"/>
        <item x="2353"/>
        <item m="1" x="4861"/>
        <item x="2354"/>
        <item x="2355"/>
        <item x="2359"/>
        <item m="1" x="4853"/>
        <item m="1" x="4854"/>
        <item x="2360"/>
        <item x="2361"/>
        <item m="1" x="4891"/>
        <item m="1" x="4862"/>
        <item m="1" x="4892"/>
        <item m="1" x="4893"/>
        <item x="2356"/>
        <item x="2357"/>
        <item x="2358"/>
        <item m="1" x="4896"/>
        <item m="1" x="4897"/>
        <item x="2362"/>
        <item m="1" x="4898"/>
        <item m="1" x="4899"/>
        <item x="2372"/>
        <item x="2371"/>
        <item x="2370"/>
        <item m="1" x="4868"/>
        <item x="2368"/>
        <item x="2450"/>
        <item x="2452"/>
        <item x="2451"/>
        <item x="2455"/>
        <item x="2454"/>
        <item x="2453"/>
        <item x="2149"/>
        <item x="2147"/>
        <item x="2145"/>
        <item x="2148"/>
        <item x="2146"/>
        <item m="1" x="4880"/>
        <item m="1" x="4881"/>
        <item m="1" x="4882"/>
        <item m="1" x="4908"/>
        <item m="1" x="4907"/>
        <item m="1" x="4906"/>
        <item m="1" x="4903"/>
        <item m="1" x="4904"/>
        <item m="1" x="4905"/>
        <item x="2230"/>
        <item x="2231"/>
        <item x="2232"/>
        <item x="2236"/>
        <item x="2237"/>
        <item x="2238"/>
        <item x="2242"/>
        <item x="2243"/>
        <item x="2244"/>
        <item m="1" x="4883"/>
        <item m="1" x="4884"/>
        <item m="1" x="4885"/>
        <item m="1" x="4909"/>
        <item m="1" x="4855"/>
        <item m="1" x="4856"/>
        <item m="1" x="4910"/>
        <item m="1" x="4911"/>
        <item x="2233"/>
        <item m="1" x="4863"/>
        <item x="2234"/>
        <item x="2235"/>
        <item x="2239"/>
        <item m="1" x="4864"/>
        <item x="2240"/>
        <item x="2241"/>
        <item x="2245"/>
        <item m="1" x="4865"/>
        <item x="2246"/>
        <item x="2247"/>
        <item x="2281"/>
        <item x="2282"/>
        <item x="2283"/>
        <item m="1" x="4912"/>
        <item m="1" x="4866"/>
        <item m="1" x="4857"/>
        <item m="1" x="4858"/>
        <item m="1" x="4913"/>
        <item m="1" x="4914"/>
        <item x="2278"/>
        <item x="2279"/>
        <item x="2280"/>
        <item m="1" x="4900"/>
        <item x="2284"/>
        <item m="1" x="4901"/>
        <item m="1" x="4902"/>
        <item x="2223"/>
        <item x="2222"/>
        <item m="1" x="4848"/>
        <item m="1" x="4870"/>
        <item x="2292"/>
        <item x="2291"/>
        <item x="2290"/>
        <item m="1" x="4867"/>
        <item x="2288"/>
        <item m="1" x="4879"/>
        <item m="1" x="4878"/>
        <item x="2285"/>
        <item x="2286"/>
        <item x="2287"/>
        <item x="2398"/>
        <item x="2397"/>
        <item x="2396"/>
        <item x="2395"/>
        <item x="2394"/>
        <item x="2392"/>
        <item x="2391"/>
        <item x="2390"/>
        <item x="2389"/>
        <item x="2393"/>
        <item x="2400"/>
        <item m="1" x="4915"/>
        <item x="2399"/>
        <item x="2374"/>
        <item x="2373"/>
        <item x="2417"/>
        <item x="2418"/>
        <item m="1" x="4917"/>
        <item x="2412"/>
        <item x="2410"/>
        <item x="2416"/>
        <item x="2409"/>
        <item x="2415"/>
        <item x="2413"/>
        <item x="2408"/>
        <item x="2414"/>
        <item x="2411"/>
        <item x="2407"/>
        <item m="1" x="4916"/>
        <item x="2424"/>
        <item x="2421"/>
        <item x="2422"/>
        <item x="2423"/>
        <item x="2425"/>
        <item x="2426"/>
        <item x="2435"/>
        <item x="2437"/>
        <item x="2436"/>
        <item m="1" x="4869"/>
        <item x="2419"/>
        <item x="4332"/>
        <item x="4331"/>
        <item x="4330"/>
        <item x="4329"/>
        <item x="2429"/>
        <item x="2427"/>
        <item x="2438"/>
        <item x="2428"/>
        <item x="2432"/>
        <item x="2420"/>
        <item x="4333"/>
        <item m="1" x="4872"/>
        <item x="2431"/>
        <item x="2430"/>
        <item x="2405"/>
        <item x="2446"/>
        <item x="2441"/>
        <item x="2440"/>
        <item x="2442"/>
        <item x="2439"/>
        <item x="2443"/>
        <item x="2444"/>
        <item x="2445"/>
        <item x="4335"/>
        <item x="4336"/>
        <item x="4334"/>
        <item x="4337"/>
        <item x="3249"/>
        <item x="3250"/>
        <item x="3251"/>
        <item x="4253"/>
        <item x="4254"/>
        <item x="3252"/>
        <item x="3253"/>
        <item x="3254"/>
        <item x="4255"/>
        <item x="4256"/>
        <item x="3243"/>
        <item x="3244"/>
        <item x="3245"/>
        <item x="4250"/>
        <item x="4249"/>
        <item x="3240"/>
        <item x="3241"/>
        <item x="3242"/>
        <item x="4247"/>
        <item x="4248"/>
        <item x="3237"/>
        <item x="3238"/>
        <item x="3239"/>
        <item x="4246"/>
        <item x="4245"/>
        <item x="3234"/>
        <item x="3235"/>
        <item x="3236"/>
        <item x="4244"/>
        <item x="4243"/>
        <item x="3231"/>
        <item x="3232"/>
        <item x="3233"/>
        <item x="4242"/>
        <item x="4241"/>
        <item x="3246"/>
        <item x="3247"/>
        <item x="3248"/>
        <item x="4252"/>
        <item x="4251"/>
        <item x="3228"/>
        <item x="3229"/>
        <item x="3230"/>
        <item x="4235"/>
        <item x="4236"/>
        <item x="3222"/>
        <item x="3223"/>
        <item x="3224"/>
        <item x="4237"/>
        <item x="4238"/>
        <item x="3225"/>
        <item x="3226"/>
        <item x="3227"/>
        <item x="4239"/>
        <item x="4240"/>
        <item x="3258"/>
        <item x="3259"/>
        <item x="3260"/>
        <item x="4257"/>
        <item x="4258"/>
        <item x="3255"/>
        <item x="3256"/>
        <item x="3257"/>
        <item x="4259"/>
        <item x="4260"/>
        <item m="1" x="5013"/>
        <item m="1" x="5012"/>
        <item x="3198"/>
        <item x="3199"/>
        <item x="3200"/>
        <item x="4199"/>
        <item x="4200"/>
        <item x="3195"/>
        <item x="3196"/>
        <item x="3197"/>
        <item x="4201"/>
        <item x="4202"/>
        <item x="3192"/>
        <item x="3193"/>
        <item x="3194"/>
        <item x="4203"/>
        <item x="4204"/>
        <item m="1" x="5016"/>
        <item m="1" x="5017"/>
        <item m="1" x="5018"/>
        <item x="3189"/>
        <item x="3190"/>
        <item x="3191"/>
        <item x="4205"/>
        <item x="4206"/>
        <item x="3159"/>
        <item x="3160"/>
        <item x="3161"/>
        <item x="4185"/>
        <item x="4186"/>
        <item x="3162"/>
        <item x="3163"/>
        <item x="3164"/>
        <item x="4183"/>
        <item x="4184"/>
        <item x="3153"/>
        <item x="3154"/>
        <item m="1" x="5022"/>
        <item x="3155"/>
        <item x="4193"/>
        <item x="4194"/>
        <item x="3150"/>
        <item x="3151"/>
        <item x="3152"/>
        <item x="4191"/>
        <item x="4192"/>
        <item x="3156"/>
        <item x="3157"/>
        <item x="3158"/>
        <item x="4195"/>
        <item x="4196"/>
        <item m="1" x="5031"/>
        <item m="1" x="5030"/>
        <item m="1" x="5029"/>
        <item m="1" x="5036"/>
        <item m="1" x="5035"/>
        <item m="1" x="5026"/>
        <item m="1" x="5025"/>
        <item m="1" x="5024"/>
        <item m="1" x="5028"/>
        <item m="1" x="5027"/>
        <item m="1" x="5034"/>
        <item m="1" x="5033"/>
        <item m="1" x="5032"/>
        <item m="1" x="5038"/>
        <item m="1" x="5037"/>
        <item x="3147"/>
        <item x="3148"/>
        <item x="3149"/>
        <item x="4189"/>
        <item x="4190"/>
        <item x="3146"/>
        <item x="3145"/>
        <item x="3144"/>
        <item x="4187"/>
        <item x="4188"/>
        <item m="1" x="5041"/>
        <item m="1" x="5040"/>
        <item m="1" x="5039"/>
        <item m="1" x="5045"/>
        <item m="1" x="5044"/>
        <item m="1" x="5076"/>
        <item m="1" x="5075"/>
        <item m="1" x="5074"/>
        <item m="1" x="5078"/>
        <item m="1" x="5077"/>
        <item m="1" x="5081"/>
        <item m="1" x="5080"/>
        <item m="1" x="5079"/>
        <item m="1" x="5083"/>
        <item m="1" x="5082"/>
        <item m="1" x="5071"/>
        <item m="1" x="5070"/>
        <item m="1" x="5069"/>
        <item m="1" x="5073"/>
        <item m="1" x="5072"/>
        <item x="3168"/>
        <item x="3169"/>
        <item x="3170"/>
        <item x="4208"/>
        <item x="4207"/>
        <item x="3177"/>
        <item x="3178"/>
        <item x="3179"/>
        <item x="4213"/>
        <item x="4214"/>
        <item x="3174"/>
        <item x="3175"/>
        <item x="3176"/>
        <item x="4211"/>
        <item x="4212"/>
        <item x="3186"/>
        <item x="3187"/>
        <item x="3188"/>
        <item x="4215"/>
        <item x="4216"/>
        <item x="3183"/>
        <item x="3184"/>
        <item x="3185"/>
        <item x="4217"/>
        <item x="4218"/>
        <item x="3180"/>
        <item x="3181"/>
        <item x="3182"/>
        <item x="4209"/>
        <item x="4210"/>
        <item x="3171"/>
        <item x="3172"/>
        <item x="3173"/>
        <item x="4219"/>
        <item x="4220"/>
        <item m="1" x="5043"/>
        <item m="1" x="5042"/>
        <item m="1" x="5048"/>
        <item m="1" x="5047"/>
        <item m="1" x="5046"/>
        <item m="1" x="5050"/>
        <item m="1" x="5049"/>
        <item m="1" x="5055"/>
        <item m="1" x="5054"/>
        <item m="1" x="5053"/>
        <item m="1" x="5058"/>
        <item m="1" x="5057"/>
        <item m="1" x="5061"/>
        <item m="1" x="5060"/>
        <item m="1" x="5059"/>
        <item m="1" x="5063"/>
        <item m="1" x="5062"/>
        <item m="1" x="5066"/>
        <item m="1" x="5065"/>
        <item m="1" x="5064"/>
        <item m="1" x="5068"/>
        <item m="1" x="5067"/>
        <item x="3201"/>
        <item x="3202"/>
        <item x="3203"/>
        <item x="4221"/>
        <item x="4222"/>
        <item m="1" x="5052"/>
        <item m="1" x="5051"/>
        <item m="1" x="5056"/>
        <item x="3114"/>
        <item x="3115"/>
        <item x="3116"/>
        <item x="4161"/>
        <item x="4162"/>
        <item x="4163"/>
        <item x="4164"/>
        <item x="3111"/>
        <item x="3112"/>
        <item x="3113"/>
        <item x="4159"/>
        <item x="4160"/>
        <item x="3108"/>
        <item x="3109"/>
        <item x="3110"/>
        <item x="4157"/>
        <item x="4158"/>
        <item x="3129"/>
        <item x="3130"/>
        <item x="3131"/>
        <item x="4175"/>
        <item x="4176"/>
        <item x="3126"/>
        <item x="3127"/>
        <item x="3128"/>
        <item x="4173"/>
        <item x="4174"/>
        <item m="1" x="4918"/>
        <item x="3141"/>
        <item x="3142"/>
        <item x="3143"/>
        <item x="4165"/>
        <item x="4166"/>
        <item x="3135"/>
        <item x="3136"/>
        <item x="3137"/>
        <item x="4170"/>
        <item x="4169"/>
        <item x="3138"/>
        <item x="3139"/>
        <item x="3140"/>
        <item x="4172"/>
        <item x="4171"/>
        <item x="3132"/>
        <item x="3133"/>
        <item x="3134"/>
        <item x="4167"/>
        <item x="4168"/>
        <item x="3123"/>
        <item x="3124"/>
        <item x="3125"/>
        <item x="4179"/>
        <item x="4180"/>
        <item x="3120"/>
        <item x="3121"/>
        <item x="3122"/>
        <item x="4177"/>
        <item x="4178"/>
        <item x="3117"/>
        <item x="3118"/>
        <item x="3119"/>
        <item x="4181"/>
        <item x="4182"/>
        <item x="3102"/>
        <item x="3103"/>
        <item x="3104"/>
        <item m="1" x="4990"/>
        <item x="4155"/>
        <item x="4156"/>
        <item x="3105"/>
        <item x="3106"/>
        <item x="3107"/>
        <item m="1" x="4919"/>
        <item m="1" x="5084"/>
        <item m="1" x="5085"/>
        <item x="3269"/>
        <item x="3270"/>
        <item x="3271"/>
        <item x="3272"/>
        <item x="4269"/>
        <item x="4270"/>
        <item m="1" x="4993"/>
        <item m="1" x="4994"/>
        <item m="1" x="4995"/>
        <item m="1" x="4996"/>
        <item x="4271"/>
        <item x="4272"/>
        <item x="3277"/>
        <item x="3278"/>
        <item x="3279"/>
        <item x="3280"/>
        <item x="4273"/>
        <item x="4274"/>
        <item x="3273"/>
        <item x="3274"/>
        <item x="3275"/>
        <item x="3276"/>
        <item x="4266"/>
        <item x="4265"/>
        <item x="3042"/>
        <item x="3043"/>
        <item x="3044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x="3051"/>
        <item x="3052"/>
        <item x="3053"/>
        <item m="1" x="5086"/>
        <item m="1" x="5087"/>
        <item m="1" x="5088"/>
        <item x="3048"/>
        <item x="3049"/>
        <item x="3050"/>
        <item m="1" x="5110"/>
        <item m="1" x="5111"/>
        <item m="1" x="5112"/>
        <item m="1" x="5113"/>
        <item m="1" x="5114"/>
        <item m="1" x="5115"/>
        <item x="3054"/>
        <item x="3055"/>
        <item x="3056"/>
        <item x="3063"/>
        <item x="3064"/>
        <item x="3065"/>
        <item m="1" x="5116"/>
        <item m="1" x="5117"/>
        <item m="1" x="5118"/>
        <item x="3057"/>
        <item x="3058"/>
        <item x="3059"/>
        <item x="3069"/>
        <item x="3070"/>
        <item x="3071"/>
        <item x="3066"/>
        <item x="3067"/>
        <item x="3068"/>
        <item x="3060"/>
        <item x="3061"/>
        <item x="3062"/>
        <item x="3072"/>
        <item x="3073"/>
        <item x="3074"/>
        <item m="1" x="5119"/>
        <item m="1" x="5120"/>
        <item m="1" x="5121"/>
        <item m="1" x="5122"/>
        <item m="1" x="5123"/>
        <item m="1" x="5124"/>
        <item x="3075"/>
        <item x="3076"/>
        <item x="3077"/>
        <item x="3078"/>
        <item x="3079"/>
        <item x="3080"/>
        <item x="3098"/>
        <item x="3097"/>
        <item x="3096"/>
        <item x="3081"/>
        <item x="3082"/>
        <item x="3083"/>
        <item x="3084"/>
        <item x="3085"/>
        <item x="3086"/>
        <item x="3095"/>
        <item x="3094"/>
        <item x="3093"/>
        <item x="3092"/>
        <item x="3091"/>
        <item x="3090"/>
        <item x="3087"/>
        <item x="3088"/>
        <item x="3089"/>
        <item x="3045"/>
        <item x="3046"/>
        <item x="3047"/>
        <item x="3039"/>
        <item x="3040"/>
        <item x="3041"/>
        <item m="1" x="5005"/>
        <item m="1" x="5006"/>
        <item m="1" x="5007"/>
        <item x="3036"/>
        <item x="3037"/>
        <item x="3038"/>
        <item m="1" x="5008"/>
        <item m="1" x="5009"/>
        <item m="1" x="5010"/>
        <item m="1" x="5128"/>
        <item m="1" x="5127"/>
        <item m="1" x="5130"/>
        <item m="1" x="5129"/>
        <item m="1" x="5132"/>
        <item m="1" x="5131"/>
        <item m="1" x="5134"/>
        <item m="1" x="5133"/>
        <item m="1" x="5138"/>
        <item m="1" x="5137"/>
        <item m="1" x="5139"/>
        <item m="1" x="5126"/>
        <item m="1" x="5125"/>
        <item m="1" x="5136"/>
        <item m="1" x="5135"/>
        <item m="1" x="5141"/>
        <item m="1" x="5140"/>
        <item m="1" x="5145"/>
        <item m="1" x="5144"/>
        <item m="1" x="5143"/>
        <item m="1" x="5142"/>
        <item x="3024"/>
        <item x="3025"/>
        <item x="3026"/>
        <item x="4147"/>
        <item x="4148"/>
        <item x="3030"/>
        <item x="3031"/>
        <item x="3032"/>
        <item x="4151"/>
        <item x="4152"/>
        <item x="3027"/>
        <item x="3028"/>
        <item x="3029"/>
        <item x="4149"/>
        <item x="4150"/>
        <item x="3018"/>
        <item x="3019"/>
        <item x="3020"/>
        <item x="4143"/>
        <item x="4144"/>
        <item x="3021"/>
        <item x="3022"/>
        <item x="3023"/>
        <item x="4145"/>
        <item x="4146"/>
        <item x="3015"/>
        <item x="3016"/>
        <item x="3017"/>
        <item x="4141"/>
        <item x="4142"/>
        <item x="3349"/>
        <item x="3350"/>
        <item x="3351"/>
        <item x="3352"/>
        <item x="4291"/>
        <item x="4292"/>
        <item x="3345"/>
        <item x="3346"/>
        <item x="3347"/>
        <item x="3348"/>
        <item x="4289"/>
        <item x="4290"/>
        <item x="3341"/>
        <item x="3342"/>
        <item x="3343"/>
        <item x="3344"/>
        <item x="4293"/>
        <item x="4294"/>
        <item m="1" x="5000"/>
        <item m="1" x="4999"/>
        <item m="1" x="4998"/>
        <item m="1" x="4997"/>
        <item m="1" x="5004"/>
        <item m="1" x="5003"/>
        <item x="3365"/>
        <item x="3366"/>
        <item x="3367"/>
        <item x="3368"/>
        <item x="4303"/>
        <item x="4304"/>
        <item x="3361"/>
        <item x="3362"/>
        <item x="3363"/>
        <item x="3364"/>
        <item x="4305"/>
        <item x="4306"/>
        <item x="3369"/>
        <item x="3370"/>
        <item x="3371"/>
        <item x="3372"/>
        <item x="4295"/>
        <item x="4296"/>
        <item x="3357"/>
        <item x="3358"/>
        <item x="3359"/>
        <item x="3360"/>
        <item x="4301"/>
        <item x="4302"/>
        <item x="3353"/>
        <item x="3354"/>
        <item x="3355"/>
        <item x="3356"/>
        <item x="4298"/>
        <item x="4297"/>
        <item x="3337"/>
        <item x="3338"/>
        <item x="3339"/>
        <item x="3340"/>
        <item x="4299"/>
        <item x="4300"/>
        <item x="3381"/>
        <item x="3382"/>
        <item x="3383"/>
        <item x="3384"/>
        <item x="4312"/>
        <item x="4311"/>
        <item x="3377"/>
        <item x="3378"/>
        <item x="3379"/>
        <item x="3380"/>
        <item x="4307"/>
        <item x="4308"/>
        <item x="3373"/>
        <item x="3374"/>
        <item x="3375"/>
        <item x="3376"/>
        <item x="4310"/>
        <item x="4309"/>
        <item x="3333"/>
        <item x="3334"/>
        <item x="3335"/>
        <item x="3336"/>
        <item x="4275"/>
        <item x="4276"/>
        <item x="3329"/>
        <item x="3330"/>
        <item x="3331"/>
        <item x="3332"/>
        <item x="4277"/>
        <item x="4278"/>
        <item x="3317"/>
        <item x="3318"/>
        <item x="3319"/>
        <item x="3320"/>
        <item x="4286"/>
        <item x="4285"/>
        <item x="3325"/>
        <item x="3326"/>
        <item x="3327"/>
        <item x="3328"/>
        <item x="4279"/>
        <item x="4280"/>
        <item x="3321"/>
        <item x="3322"/>
        <item x="3323"/>
        <item x="3324"/>
        <item x="4281"/>
        <item x="4282"/>
        <item x="3293"/>
        <item x="3294"/>
        <item x="3295"/>
        <item x="3296"/>
        <item x="4283"/>
        <item x="4284"/>
        <item x="3289"/>
        <item x="3290"/>
        <item x="3291"/>
        <item x="3292"/>
        <item x="3301"/>
        <item x="3302"/>
        <item x="3303"/>
        <item x="3304"/>
        <item x="4315"/>
        <item x="4316"/>
        <item x="3305"/>
        <item x="3306"/>
        <item x="3307"/>
        <item x="3308"/>
        <item x="4317"/>
        <item x="4318"/>
        <item x="3008"/>
        <item x="3007"/>
        <item x="3006"/>
        <item x="4137"/>
        <item x="4138"/>
        <item x="3011"/>
        <item x="3010"/>
        <item x="3009"/>
        <item x="4133"/>
        <item x="4134"/>
        <item x="3014"/>
        <item x="3013"/>
        <item x="3012"/>
        <item x="4135"/>
        <item x="4136"/>
        <item m="1" x="5148"/>
        <item m="1" x="5147"/>
        <item m="1" x="5146"/>
        <item x="2937"/>
        <item x="2938"/>
        <item x="2939"/>
        <item x="4089"/>
        <item x="4090"/>
        <item x="2919"/>
        <item x="2920"/>
        <item x="2921"/>
        <item x="4077"/>
        <item x="4078"/>
        <item x="2928"/>
        <item x="2929"/>
        <item x="2930"/>
        <item x="4079"/>
        <item x="4080"/>
        <item x="2922"/>
        <item x="2923"/>
        <item x="2924"/>
        <item x="4081"/>
        <item x="4082"/>
        <item x="2931"/>
        <item x="2932"/>
        <item x="2933"/>
        <item x="4083"/>
        <item x="4084"/>
        <item x="2925"/>
        <item x="2926"/>
        <item x="2927"/>
        <item x="4085"/>
        <item x="4086"/>
        <item x="2934"/>
        <item x="2935"/>
        <item x="2936"/>
        <item x="4087"/>
        <item x="4088"/>
        <item x="2859"/>
        <item x="2860"/>
        <item x="2861"/>
        <item x="4013"/>
        <item x="4014"/>
        <item x="2862"/>
        <item x="2863"/>
        <item x="2864"/>
        <item x="4015"/>
        <item x="4016"/>
        <item x="2838"/>
        <item x="2839"/>
        <item x="2840"/>
        <item x="4017"/>
        <item x="4018"/>
        <item x="2841"/>
        <item x="2842"/>
        <item x="2843"/>
        <item x="4019"/>
        <item x="4020"/>
        <item x="2874"/>
        <item x="2875"/>
        <item x="2876"/>
        <item x="4021"/>
        <item x="4022"/>
        <item x="2913"/>
        <item x="2914"/>
        <item x="2915"/>
        <item x="4023"/>
        <item x="4024"/>
        <item x="2877"/>
        <item x="2878"/>
        <item x="2879"/>
        <item x="4045"/>
        <item x="4046"/>
        <item x="2817"/>
        <item x="2818"/>
        <item x="2819"/>
        <item x="4008"/>
        <item x="4007"/>
        <item x="2808"/>
        <item x="2809"/>
        <item x="2810"/>
        <item x="3999"/>
        <item x="4000"/>
        <item x="2799"/>
        <item x="2800"/>
        <item x="2801"/>
        <item x="3993"/>
        <item x="3994"/>
        <item x="2880"/>
        <item x="2881"/>
        <item x="2882"/>
        <item x="4049"/>
        <item x="4050"/>
        <item x="2883"/>
        <item x="2884"/>
        <item x="2885"/>
        <item x="4005"/>
        <item x="4006"/>
        <item x="2820"/>
        <item x="2821"/>
        <item x="2822"/>
        <item x="4012"/>
        <item x="4011"/>
        <item x="2814"/>
        <item x="2815"/>
        <item x="2816"/>
        <item x="4003"/>
        <item x="4004"/>
        <item x="2805"/>
        <item x="2806"/>
        <item x="2807"/>
        <item x="3997"/>
        <item x="3998"/>
        <item x="2886"/>
        <item x="2887"/>
        <item x="2888"/>
        <item x="4047"/>
        <item x="4048"/>
        <item x="2823"/>
        <item x="2824"/>
        <item x="2825"/>
        <item x="4010"/>
        <item x="4009"/>
        <item x="2811"/>
        <item x="2812"/>
        <item x="2813"/>
        <item x="4001"/>
        <item x="4002"/>
        <item x="2802"/>
        <item x="2803"/>
        <item x="2804"/>
        <item x="3995"/>
        <item x="3996"/>
        <item x="2865"/>
        <item x="2866"/>
        <item x="2867"/>
        <item x="4029"/>
        <item x="4030"/>
        <item x="2847"/>
        <item x="2848"/>
        <item x="2849"/>
        <item x="4025"/>
        <item x="4026"/>
        <item x="2844"/>
        <item x="2845"/>
        <item x="2846"/>
        <item x="4031"/>
        <item x="4032"/>
        <item x="2850"/>
        <item x="2851"/>
        <item x="2852"/>
        <item x="4027"/>
        <item x="4028"/>
        <item x="2853"/>
        <item x="2854"/>
        <item x="2855"/>
        <item x="4033"/>
        <item x="4034"/>
        <item x="2856"/>
        <item x="2857"/>
        <item x="2858"/>
        <item x="4035"/>
        <item x="4036"/>
        <item x="2916"/>
        <item x="2917"/>
        <item x="2918"/>
        <item x="4037"/>
        <item x="4038"/>
        <item x="2868"/>
        <item x="2869"/>
        <item x="2870"/>
        <item x="4039"/>
        <item x="4040"/>
        <item x="2910"/>
        <item x="2911"/>
        <item x="2912"/>
        <item x="4041"/>
        <item x="4042"/>
        <item m="1" x="5151"/>
        <item m="1" x="5152"/>
        <item m="1" x="5153"/>
        <item m="1" x="5154"/>
        <item m="1" x="5155"/>
        <item x="2871"/>
        <item x="2872"/>
        <item x="2873"/>
        <item x="4043"/>
        <item x="4044"/>
        <item x="2790"/>
        <item x="2791"/>
        <item x="2792"/>
        <item x="4051"/>
        <item x="4052"/>
        <item x="2793"/>
        <item x="2794"/>
        <item x="2795"/>
        <item x="4053"/>
        <item x="4054"/>
        <item x="2778"/>
        <item x="2779"/>
        <item m="1" x="5023"/>
        <item x="2780"/>
        <item x="4057"/>
        <item x="4058"/>
        <item x="2769"/>
        <item x="2770"/>
        <item x="2771"/>
        <item x="4066"/>
        <item x="4065"/>
        <item x="2784"/>
        <item x="2785"/>
        <item x="2786"/>
        <item x="4061"/>
        <item x="4062"/>
        <item x="2787"/>
        <item x="2788"/>
        <item x="2789"/>
        <item x="4063"/>
        <item x="4064"/>
        <item x="2775"/>
        <item x="2776"/>
        <item x="2777"/>
        <item x="4070"/>
        <item x="4069"/>
        <item x="2781"/>
        <item x="2782"/>
        <item x="2783"/>
        <item x="4059"/>
        <item x="4060"/>
        <item x="2772"/>
        <item x="2773"/>
        <item x="2774"/>
        <item x="4068"/>
        <item x="4067"/>
        <item x="2796"/>
        <item x="2797"/>
        <item x="2798"/>
        <item x="4055"/>
        <item x="4056"/>
        <item x="2760"/>
        <item x="2761"/>
        <item x="2762"/>
        <item x="4071"/>
        <item x="4072"/>
        <item x="2763"/>
        <item x="2764"/>
        <item x="2765"/>
        <item x="4073"/>
        <item x="4074"/>
        <item x="2766"/>
        <item x="2767"/>
        <item x="2768"/>
        <item x="4075"/>
        <item x="4076"/>
        <item x="2940"/>
        <item x="2941"/>
        <item x="2942"/>
        <item x="4091"/>
        <item x="4092"/>
        <item x="2943"/>
        <item x="2944"/>
        <item x="2945"/>
        <item x="4093"/>
        <item x="4094"/>
        <item x="2952"/>
        <item x="2953"/>
        <item x="2954"/>
        <item x="4099"/>
        <item x="4100"/>
        <item x="2955"/>
        <item x="2956"/>
        <item x="2957"/>
        <item x="4101"/>
        <item x="4102"/>
        <item x="2946"/>
        <item x="2947"/>
        <item x="2948"/>
        <item x="4095"/>
        <item x="4096"/>
        <item x="2949"/>
        <item x="2950"/>
        <item x="2951"/>
        <item x="4097"/>
        <item x="4098"/>
        <item x="2985"/>
        <item x="2986"/>
        <item x="2987"/>
        <item x="4113"/>
        <item x="4114"/>
        <item x="2988"/>
        <item x="2989"/>
        <item x="2990"/>
        <item x="4115"/>
        <item x="4116"/>
        <item x="2964"/>
        <item x="2965"/>
        <item x="2966"/>
        <item x="4103"/>
        <item x="4104"/>
        <item x="2967"/>
        <item x="2968"/>
        <item x="2969"/>
        <item x="4105"/>
        <item x="4106"/>
        <item x="2958"/>
        <item x="2959"/>
        <item x="2960"/>
        <item x="4107"/>
        <item x="4108"/>
        <item x="2961"/>
        <item x="2962"/>
        <item x="2963"/>
        <item x="4109"/>
        <item x="4110"/>
        <item x="2970"/>
        <item x="2971"/>
        <item x="2972"/>
        <item x="4111"/>
        <item x="4112"/>
        <item x="2892"/>
        <item x="2893"/>
        <item x="2894"/>
        <item x="3975"/>
        <item x="3976"/>
        <item x="2895"/>
        <item x="2896"/>
        <item x="2897"/>
        <item x="3983"/>
        <item x="3984"/>
        <item x="2829"/>
        <item x="2830"/>
        <item x="2831"/>
        <item x="3978"/>
        <item x="3977"/>
        <item x="2832"/>
        <item x="2833"/>
        <item x="2834"/>
        <item x="3982"/>
        <item x="3981"/>
        <item x="2835"/>
        <item x="2836"/>
        <item x="2837"/>
        <item x="3980"/>
        <item x="3979"/>
        <item x="2889"/>
        <item x="2890"/>
        <item x="2891"/>
        <item x="3973"/>
        <item x="3974"/>
        <item x="2826"/>
        <item x="2827"/>
        <item x="2828"/>
        <item x="3972"/>
        <item x="3971"/>
        <item x="2901"/>
        <item x="2902"/>
        <item x="2903"/>
        <item x="3987"/>
        <item x="3988"/>
        <item x="2898"/>
        <item x="2899"/>
        <item x="2900"/>
        <item x="3985"/>
        <item x="3986"/>
        <item x="2904"/>
        <item x="2905"/>
        <item x="2906"/>
        <item x="3989"/>
        <item x="3990"/>
        <item x="2907"/>
        <item x="2908"/>
        <item x="2909"/>
        <item x="3992"/>
        <item x="3991"/>
        <item x="2979"/>
        <item x="2980"/>
        <item x="2981"/>
        <item x="4117"/>
        <item x="4118"/>
        <item x="2982"/>
        <item x="2983"/>
        <item x="2984"/>
        <item x="4119"/>
        <item x="4120"/>
        <item x="2976"/>
        <item x="2977"/>
        <item x="2978"/>
        <item x="4121"/>
        <item x="4122"/>
        <item x="2973"/>
        <item x="2974"/>
        <item x="2975"/>
        <item x="4123"/>
        <item x="4124"/>
        <item x="2997"/>
        <item x="2998"/>
        <item x="2999"/>
        <item x="4125"/>
        <item x="4126"/>
        <item x="3000"/>
        <item x="3001"/>
        <item x="3002"/>
        <item x="4127"/>
        <item x="4128"/>
        <item x="3003"/>
        <item x="3004"/>
        <item x="3005"/>
        <item x="3969"/>
        <item x="3970"/>
        <item x="2991"/>
        <item x="2992"/>
        <item x="2993"/>
        <item x="4129"/>
        <item x="4130"/>
        <item x="2994"/>
        <item x="2995"/>
        <item x="2996"/>
        <item x="4131"/>
        <item x="4132"/>
        <item x="2751"/>
        <item x="2752"/>
        <item x="2753"/>
        <item x="3963"/>
        <item x="3964"/>
        <item x="2757"/>
        <item x="2758"/>
        <item x="2759"/>
        <item x="3965"/>
        <item x="3966"/>
        <item x="2754"/>
        <item x="2755"/>
        <item x="2756"/>
        <item x="3967"/>
        <item x="3968"/>
        <item x="2701"/>
        <item x="2702"/>
        <item x="2703"/>
        <item x="3915"/>
        <item x="3916"/>
        <item x="2695"/>
        <item x="2696"/>
        <item x="2697"/>
        <item x="3917"/>
        <item x="3918"/>
        <item x="2692"/>
        <item x="2693"/>
        <item x="2694"/>
        <item x="3919"/>
        <item x="3920"/>
        <item x="2698"/>
        <item x="2699"/>
        <item x="2700"/>
        <item x="3921"/>
        <item x="3922"/>
        <item x="2713"/>
        <item x="2714"/>
        <item x="2715"/>
        <item x="3923"/>
        <item x="3924"/>
        <item x="2707"/>
        <item x="2708"/>
        <item x="2709"/>
        <item x="3925"/>
        <item x="3926"/>
        <item x="2704"/>
        <item x="2705"/>
        <item x="2706"/>
        <item x="3927"/>
        <item x="3928"/>
        <item x="2710"/>
        <item x="2711"/>
        <item x="2712"/>
        <item x="3929"/>
        <item x="3930"/>
        <item x="2716"/>
        <item x="2717"/>
        <item x="2718"/>
        <item x="3931"/>
        <item x="3932"/>
        <item x="2719"/>
        <item x="2720"/>
        <item x="2721"/>
        <item x="3933"/>
        <item x="3934"/>
        <item x="2680"/>
        <item x="2681"/>
        <item x="2682"/>
        <item x="3940"/>
        <item x="3939"/>
        <item x="2683"/>
        <item x="2684"/>
        <item x="2685"/>
        <item x="3942"/>
        <item x="3941"/>
        <item x="2686"/>
        <item m="1" x="5156"/>
        <item x="2687"/>
        <item m="1" x="5157"/>
        <item x="2688"/>
        <item m="1" x="5158"/>
        <item x="3935"/>
        <item x="3936"/>
        <item x="2689"/>
        <item m="1" x="5159"/>
        <item x="2690"/>
        <item m="1" x="5160"/>
        <item x="2691"/>
        <item m="1" x="5161"/>
        <item x="3937"/>
        <item x="3938"/>
        <item x="2678"/>
        <item x="2677"/>
        <item x="2679"/>
        <item x="3944"/>
        <item x="3943"/>
        <item m="1" x="5019"/>
        <item m="1" x="5020"/>
        <item m="1" x="5021"/>
        <item x="2665"/>
        <item x="2666"/>
        <item x="2667"/>
        <item x="3907"/>
        <item x="3908"/>
        <item x="2656"/>
        <item x="2657"/>
        <item x="2658"/>
        <item x="3901"/>
        <item x="3902"/>
        <item x="2668"/>
        <item x="2669"/>
        <item x="2670"/>
        <item x="3909"/>
        <item x="3910"/>
        <item x="2659"/>
        <item x="2660"/>
        <item x="2661"/>
        <item x="3903"/>
        <item x="3904"/>
        <item x="2671"/>
        <item x="2672"/>
        <item x="2673"/>
        <item x="3911"/>
        <item x="3912"/>
        <item x="2662"/>
        <item x="2663"/>
        <item x="2664"/>
        <item x="3905"/>
        <item x="3906"/>
        <item x="2674"/>
        <item x="2675"/>
        <item x="2676"/>
        <item x="3913"/>
        <item x="3914"/>
        <item x="3261"/>
        <item x="3262"/>
        <item x="3263"/>
        <item x="3264"/>
        <item x="4319"/>
        <item x="4320"/>
        <item x="3265"/>
        <item x="3266"/>
        <item x="3267"/>
        <item x="3268"/>
        <item x="4321"/>
        <item x="4322"/>
        <item x="2638"/>
        <item x="2639"/>
        <item x="2640"/>
        <item x="3889"/>
        <item x="3890"/>
        <item x="2644"/>
        <item x="2645"/>
        <item x="2646"/>
        <item x="3891"/>
        <item x="3892"/>
        <item x="2641"/>
        <item x="2642"/>
        <item x="2643"/>
        <item x="3893"/>
        <item x="3894"/>
        <item x="2629"/>
        <item x="2630"/>
        <item x="2631"/>
        <item x="3885"/>
        <item x="3886"/>
        <item x="2647"/>
        <item x="2648"/>
        <item x="2649"/>
        <item x="3895"/>
        <item x="3896"/>
        <item x="2623"/>
        <item x="2624"/>
        <item x="2625"/>
        <item x="3883"/>
        <item x="3884"/>
        <item x="2653"/>
        <item x="2654"/>
        <item x="2655"/>
        <item x="3899"/>
        <item x="3900"/>
        <item x="2650"/>
        <item x="2651"/>
        <item x="2652"/>
        <item x="3897"/>
        <item x="3898"/>
        <item x="2546"/>
        <item x="2616"/>
        <item x="2615"/>
        <item x="2607"/>
        <item x="2608"/>
        <item x="2609"/>
        <item x="2610"/>
        <item x="2611"/>
        <item x="2612"/>
        <item x="2598"/>
        <item x="2599"/>
        <item x="2600"/>
        <item x="2601"/>
        <item x="2602"/>
        <item x="2603"/>
        <item x="2604"/>
        <item x="2605"/>
        <item x="2606"/>
        <item m="1" x="4920"/>
        <item x="2573"/>
        <item x="2580"/>
        <item x="2552"/>
        <item x="2551"/>
        <item x="2550"/>
        <item x="4338"/>
        <item x="2572"/>
        <item x="2569"/>
        <item x="2570"/>
        <item x="2571"/>
        <item x="2579"/>
        <item x="2564"/>
        <item x="2565"/>
        <item x="2566"/>
        <item x="2567"/>
        <item x="2568"/>
        <item m="1" x="4969"/>
        <item x="2557"/>
        <item x="2562"/>
        <item x="2563"/>
        <item m="1" x="4970"/>
        <item m="1" x="4971"/>
        <item x="2558"/>
        <item x="2559"/>
        <item x="2560"/>
        <item x="2561"/>
        <item m="1" x="4985"/>
        <item m="1" x="4986"/>
        <item x="2574"/>
        <item x="4339"/>
        <item x="4340"/>
        <item x="2577"/>
        <item x="2575"/>
        <item x="2578"/>
        <item x="2576"/>
        <item x="2614"/>
        <item m="1" x="4925"/>
        <item m="1" x="4924"/>
        <item m="1" x="4922"/>
        <item m="1" x="4929"/>
        <item m="1" x="4928"/>
        <item x="2728"/>
        <item m="1" x="4921"/>
        <item m="1" x="4923"/>
        <item x="2722"/>
        <item x="2723"/>
        <item x="2724"/>
        <item x="3949"/>
        <item x="3950"/>
        <item x="2725"/>
        <item m="1" x="5014"/>
        <item m="1" x="5015"/>
        <item x="2548"/>
        <item x="2549"/>
        <item x="2547"/>
        <item m="1" x="5011"/>
        <item x="2583"/>
        <item x="2584"/>
        <item x="3870"/>
        <item x="2581"/>
        <item x="2582"/>
        <item x="3869"/>
        <item x="2589"/>
        <item x="2590"/>
        <item x="2591"/>
        <item m="1" x="4965"/>
        <item m="1" x="4966"/>
        <item x="3873"/>
        <item m="1" x="4967"/>
        <item m="1" x="4968"/>
        <item x="3874"/>
        <item x="2585"/>
        <item x="2586"/>
        <item x="3871"/>
        <item x="2587"/>
        <item x="2588"/>
        <item x="3872"/>
        <item x="2613"/>
        <item x="2592"/>
        <item x="2593"/>
        <item x="2594"/>
        <item m="1" x="4942"/>
        <item m="1" x="4972"/>
        <item m="1" x="4973"/>
        <item m="1" x="4974"/>
        <item m="1" x="4952"/>
        <item m="1" x="4976"/>
        <item m="1" x="4977"/>
        <item m="1" x="4978"/>
        <item m="1" x="4979"/>
        <item m="1" x="4980"/>
        <item m="1" x="4981"/>
        <item m="1" x="4982"/>
        <item m="1" x="4975"/>
        <item m="1" x="4983"/>
        <item m="1" x="4984"/>
        <item m="1" x="4951"/>
        <item x="1871"/>
        <item x="1872"/>
        <item m="1" x="4953"/>
        <item m="1" x="4948"/>
        <item m="1" x="4949"/>
        <item m="1" x="4950"/>
        <item x="1870"/>
        <item m="1" x="4964"/>
        <item m="1" x="4961"/>
        <item m="1" x="4962"/>
        <item m="1" x="4960"/>
        <item m="1" x="4963"/>
        <item x="1836"/>
        <item x="1835"/>
        <item x="1834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59"/>
        <item m="1" x="4958"/>
        <item x="1758"/>
        <item x="1771"/>
        <item x="1770"/>
        <item x="1769"/>
        <item x="1759"/>
        <item x="1772"/>
        <item x="1777"/>
        <item x="1778"/>
        <item x="1779"/>
        <item x="1789"/>
        <item x="1788"/>
        <item x="1781"/>
        <item x="1782"/>
        <item x="1783"/>
        <item x="1784"/>
        <item x="1785"/>
        <item x="1780"/>
        <item x="1787"/>
        <item x="1786"/>
        <item x="1765"/>
        <item x="1766"/>
        <item x="1761"/>
        <item x="1763"/>
        <item x="1760"/>
        <item x="1762"/>
        <item x="1764"/>
        <item x="1768"/>
        <item x="1767"/>
        <item x="1773"/>
        <item x="1775"/>
        <item x="1774"/>
        <item x="1776"/>
        <item x="1878"/>
        <item m="1" x="4957"/>
        <item x="1873"/>
        <item m="1" x="4947"/>
        <item m="1" x="4943"/>
        <item m="1" x="4944"/>
        <item m="1" x="4945"/>
        <item m="1" x="4946"/>
        <item m="1" x="4954"/>
        <item m="1" x="4955"/>
        <item m="1" x="4956"/>
        <item x="1790"/>
        <item m="1" x="4343"/>
        <item x="26"/>
        <item x="27"/>
        <item x="28"/>
        <item x="29"/>
        <item x="30"/>
        <item x="31"/>
        <item x="32"/>
        <item x="33"/>
        <item x="34"/>
        <item x="35"/>
        <item x="68"/>
        <item x="78"/>
        <item x="7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10"/>
        <item x="113"/>
        <item x="114"/>
        <item x="117"/>
        <item x="118"/>
        <item x="121"/>
        <item x="122"/>
        <item x="163"/>
        <item x="164"/>
        <item x="165"/>
        <item x="166"/>
        <item x="167"/>
        <item x="169"/>
        <item x="207"/>
        <item x="233"/>
        <item x="240"/>
        <item x="241"/>
        <item x="242"/>
        <item x="24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6"/>
        <item x="297"/>
        <item x="298"/>
        <item x="299"/>
        <item x="300"/>
        <item x="301"/>
        <item x="302"/>
        <item x="303"/>
        <item x="304"/>
        <item x="305"/>
        <item x="374"/>
        <item x="376"/>
        <item x="398"/>
        <item x="418"/>
        <item x="419"/>
        <item x="420"/>
        <item x="421"/>
        <item x="428"/>
        <item x="429"/>
        <item x="430"/>
        <item x="431"/>
        <item x="432"/>
        <item x="433"/>
        <item x="434"/>
        <item x="509"/>
        <item x="510"/>
        <item x="511"/>
        <item x="512"/>
        <item x="523"/>
        <item x="524"/>
        <item x="525"/>
        <item x="526"/>
        <item x="532"/>
        <item x="561"/>
        <item x="570"/>
        <item x="723"/>
        <item x="727"/>
        <item x="784"/>
        <item x="786"/>
        <item x="787"/>
        <item x="822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1158"/>
        <item x="1204"/>
        <item x="1205"/>
        <item x="1206"/>
        <item x="1207"/>
        <item x="1216"/>
        <item x="1224"/>
        <item x="1244"/>
        <item x="1267"/>
        <item x="1268"/>
        <item x="1269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90"/>
        <item x="1403"/>
        <item x="1404"/>
        <item x="1444"/>
        <item x="1445"/>
        <item x="1446"/>
        <item x="1447"/>
        <item x="1448"/>
        <item x="1449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48"/>
        <item x="1562"/>
        <item x="1575"/>
        <item x="1600"/>
        <item x="1606"/>
        <item x="1621"/>
        <item x="1622"/>
        <item x="1626"/>
        <item x="1628"/>
        <item x="1629"/>
        <item x="1630"/>
        <item x="1633"/>
        <item x="1634"/>
        <item x="1639"/>
        <item x="1640"/>
        <item x="1645"/>
        <item x="1646"/>
        <item x="1651"/>
        <item x="1652"/>
        <item x="1653"/>
        <item x="1659"/>
        <item x="1660"/>
        <item x="1669"/>
        <item x="1670"/>
        <item x="1672"/>
        <item x="1717"/>
        <item x="1718"/>
        <item x="1719"/>
        <item x="1720"/>
        <item x="1721"/>
        <item x="1722"/>
        <item x="1727"/>
        <item x="1731"/>
        <item x="1732"/>
        <item x="1737"/>
        <item x="1738"/>
        <item x="1743"/>
        <item x="1744"/>
        <item x="1791"/>
        <item x="1792"/>
        <item x="1793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4"/>
        <item x="1875"/>
        <item x="1876"/>
        <item x="1877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6"/>
        <item x="1907"/>
        <item x="1908"/>
        <item x="1909"/>
        <item x="1928"/>
        <item x="1929"/>
        <item x="1934"/>
        <item x="1941"/>
        <item x="1949"/>
        <item x="2011"/>
        <item x="2034"/>
        <item x="2035"/>
        <item x="2036"/>
        <item x="2075"/>
        <item x="2076"/>
        <item x="2136"/>
        <item x="2137"/>
        <item x="2138"/>
        <item x="2139"/>
        <item x="2140"/>
        <item x="2141"/>
        <item x="2142"/>
        <item x="2143"/>
        <item x="2144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4"/>
        <item x="2225"/>
        <item x="2226"/>
        <item x="2227"/>
        <item x="2228"/>
        <item x="2229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89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69"/>
        <item x="2433"/>
        <item x="2434"/>
        <item x="2447"/>
        <item x="2448"/>
        <item x="2449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53"/>
        <item x="2554"/>
        <item x="2555"/>
        <item x="2556"/>
        <item x="2595"/>
        <item x="2596"/>
        <item x="2597"/>
        <item x="2617"/>
        <item x="2618"/>
        <item x="2619"/>
        <item x="2620"/>
        <item x="2621"/>
        <item x="2622"/>
        <item x="2626"/>
        <item x="2627"/>
        <item x="2628"/>
        <item x="2632"/>
        <item x="2633"/>
        <item x="2634"/>
        <item x="2635"/>
        <item x="2636"/>
        <item x="2637"/>
        <item x="2726"/>
        <item x="2727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3033"/>
        <item x="3034"/>
        <item x="3035"/>
        <item x="3099"/>
        <item x="3100"/>
        <item x="3101"/>
        <item x="3165"/>
        <item x="3166"/>
        <item x="3167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81"/>
        <item x="3282"/>
        <item x="3283"/>
        <item x="3284"/>
        <item x="3285"/>
        <item x="3286"/>
        <item x="3287"/>
        <item x="3288"/>
        <item x="3297"/>
        <item x="3298"/>
        <item x="3299"/>
        <item x="3300"/>
        <item x="3309"/>
        <item x="3310"/>
        <item x="3311"/>
        <item x="3312"/>
        <item x="3313"/>
        <item x="3314"/>
        <item x="3315"/>
        <item x="3316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5"/>
        <item x="3416"/>
        <item x="3419"/>
        <item x="3420"/>
        <item x="3421"/>
        <item x="3422"/>
        <item x="3483"/>
        <item x="3484"/>
        <item x="3485"/>
        <item x="3486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675"/>
        <item x="3676"/>
        <item x="3689"/>
        <item x="3690"/>
        <item x="3693"/>
        <item x="3694"/>
        <item x="3733"/>
        <item x="3734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801"/>
        <item x="3802"/>
        <item x="3803"/>
        <item x="3804"/>
        <item x="3805"/>
        <item x="3806"/>
        <item x="3807"/>
        <item x="3808"/>
        <item x="3823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5"/>
        <item x="3876"/>
        <item x="3877"/>
        <item x="3878"/>
        <item x="3879"/>
        <item x="3880"/>
        <item x="3881"/>
        <item x="3882"/>
        <item x="3887"/>
        <item x="3888"/>
        <item x="3945"/>
        <item x="3946"/>
        <item x="3947"/>
        <item x="3948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4139"/>
        <item x="4140"/>
        <item x="4153"/>
        <item x="4154"/>
        <item x="4197"/>
        <item x="4198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61"/>
        <item x="4262"/>
        <item x="4263"/>
        <item x="4264"/>
        <item x="4267"/>
        <item x="4268"/>
        <item x="4287"/>
        <item x="4288"/>
        <item x="4313"/>
        <item x="4314"/>
        <item x="4323"/>
        <item x="4324"/>
        <item x="4325"/>
        <item x="4341"/>
        <item x="4342"/>
        <item t="default"/>
      </items>
    </pivotField>
  </pivotFields>
  <rowFields count="2">
    <field x="0"/>
    <field x="1"/>
  </rowFields>
  <rowItems count="1605">
    <i>
      <x/>
      <x v="200"/>
    </i>
    <i r="1">
      <x v="201"/>
    </i>
    <i r="1">
      <x v="204"/>
    </i>
    <i r="1">
      <x v="207"/>
    </i>
    <i r="1">
      <x v="208"/>
    </i>
    <i r="1">
      <x v="209"/>
    </i>
    <i r="1">
      <x v="210"/>
    </i>
    <i r="1">
      <x v="214"/>
    </i>
    <i r="1">
      <x v="218"/>
    </i>
    <i r="1">
      <x v="219"/>
    </i>
    <i r="1">
      <x v="220"/>
    </i>
    <i r="1">
      <x v="221"/>
    </i>
    <i r="1">
      <x v="224"/>
    </i>
    <i r="1">
      <x v="227"/>
    </i>
    <i r="1">
      <x v="228"/>
    </i>
    <i r="1">
      <x v="231"/>
    </i>
    <i r="1">
      <x v="232"/>
    </i>
    <i r="1">
      <x v="235"/>
    </i>
    <i r="1">
      <x v="239"/>
    </i>
    <i r="1">
      <x v="240"/>
    </i>
    <i r="1">
      <x v="241"/>
    </i>
    <i r="1">
      <x v="242"/>
    </i>
    <i r="1">
      <x v="245"/>
    </i>
    <i r="1">
      <x v="248"/>
    </i>
    <i r="1">
      <x v="250"/>
    </i>
    <i r="1">
      <x v="252"/>
    </i>
    <i r="1">
      <x v="253"/>
    </i>
    <i r="1">
      <x v="256"/>
    </i>
    <i r="1">
      <x v="259"/>
    </i>
    <i r="1">
      <x v="261"/>
    </i>
    <i r="1">
      <x v="263"/>
    </i>
    <i r="1">
      <x v="264"/>
    </i>
    <i r="1">
      <x v="266"/>
    </i>
    <i r="1">
      <x v="268"/>
    </i>
    <i r="1">
      <x v="270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81"/>
    </i>
    <i r="1">
      <x v="284"/>
    </i>
    <i r="1">
      <x v="285"/>
    </i>
    <i r="1">
      <x v="286"/>
    </i>
    <i r="1">
      <x v="287"/>
    </i>
    <i r="1">
      <x v="290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10"/>
    </i>
    <i r="1">
      <x v="313"/>
    </i>
    <i r="1">
      <x v="315"/>
    </i>
    <i r="1">
      <x v="317"/>
    </i>
    <i r="1">
      <x v="320"/>
    </i>
    <i r="1">
      <x v="323"/>
    </i>
    <i r="1">
      <x v="325"/>
    </i>
    <i r="1">
      <x v="332"/>
    </i>
    <i r="1">
      <x v="334"/>
    </i>
    <i r="1">
      <x v="335"/>
    </i>
    <i r="1">
      <x v="336"/>
    </i>
    <i r="1">
      <x v="529"/>
    </i>
    <i r="1">
      <x v="530"/>
    </i>
    <i r="1">
      <x v="531"/>
    </i>
    <i r="1">
      <x v="534"/>
    </i>
    <i r="1">
      <x v="535"/>
    </i>
    <i r="1">
      <x v="536"/>
    </i>
    <i r="1">
      <x v="537"/>
    </i>
    <i r="1">
      <x v="539"/>
    </i>
    <i r="1">
      <x v="541"/>
    </i>
    <i r="1">
      <x v="548"/>
    </i>
    <i r="1">
      <x v="550"/>
    </i>
    <i r="1">
      <x v="551"/>
    </i>
    <i r="1">
      <x v="552"/>
    </i>
    <i r="1">
      <x v="554"/>
    </i>
    <i r="1">
      <x v="556"/>
    </i>
    <i r="1">
      <x v="563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5"/>
    </i>
    <i r="1">
      <x v="576"/>
    </i>
    <i r="1">
      <x v="578"/>
    </i>
    <i r="1">
      <x v="579"/>
    </i>
    <i r="1">
      <x v="580"/>
    </i>
    <i r="1">
      <x v="581"/>
    </i>
    <i r="1">
      <x v="582"/>
    </i>
    <i r="1">
      <x v="585"/>
    </i>
    <i r="1">
      <x v="586"/>
    </i>
    <i r="1">
      <x v="587"/>
    </i>
    <i r="1">
      <x v="588"/>
    </i>
    <i r="1">
      <x v="589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6"/>
    </i>
    <i r="1">
      <x v="677"/>
    </i>
    <i r="1">
      <x v="678"/>
    </i>
    <i r="1">
      <x v="679"/>
    </i>
    <i r="1">
      <x v="680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8"/>
    </i>
    <i r="1">
      <x v="859"/>
    </i>
    <i r="1">
      <x v="860"/>
    </i>
    <i r="1">
      <x v="861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1"/>
    </i>
    <i r="1">
      <x v="902"/>
    </i>
    <i r="1">
      <x v="906"/>
    </i>
    <i r="1">
      <x v="909"/>
    </i>
    <i r="1">
      <x v="910"/>
    </i>
    <i r="1">
      <x v="911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42"/>
    </i>
    <i r="1">
      <x v="943"/>
    </i>
    <i r="1">
      <x v="947"/>
    </i>
    <i r="1">
      <x v="948"/>
    </i>
    <i r="1">
      <x v="949"/>
    </i>
    <i r="1">
      <x v="953"/>
    </i>
    <i r="1">
      <x v="954"/>
    </i>
    <i r="1">
      <x v="955"/>
    </i>
    <i r="1">
      <x v="958"/>
    </i>
    <i r="1">
      <x v="963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7"/>
    </i>
    <i r="1">
      <x v="1000"/>
    </i>
    <i r="1">
      <x v="1001"/>
    </i>
    <i r="1">
      <x v="1002"/>
    </i>
    <i r="1">
      <x v="1003"/>
    </i>
    <i r="1">
      <x v="1005"/>
    </i>
    <i r="1">
      <x v="1007"/>
    </i>
    <i r="1">
      <x v="1008"/>
    </i>
    <i r="1">
      <x v="1009"/>
    </i>
    <i r="1">
      <x v="1010"/>
    </i>
    <i r="1">
      <x v="1012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4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8"/>
    </i>
    <i r="1">
      <x v="1079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r="1">
      <x v="1234"/>
    </i>
    <i r="1">
      <x v="1235"/>
    </i>
    <i r="1">
      <x v="1236"/>
    </i>
    <i r="1">
      <x v="1237"/>
    </i>
    <i r="1">
      <x v="1238"/>
    </i>
    <i r="1">
      <x v="1239"/>
    </i>
    <i r="1">
      <x v="1240"/>
    </i>
    <i r="1">
      <x v="1241"/>
    </i>
    <i r="1">
      <x v="1242"/>
    </i>
    <i r="1">
      <x v="1243"/>
    </i>
    <i r="1">
      <x v="1244"/>
    </i>
    <i r="1">
      <x v="1245"/>
    </i>
    <i r="1">
      <x v="1246"/>
    </i>
    <i r="1">
      <x v="1247"/>
    </i>
    <i r="1">
      <x v="1248"/>
    </i>
    <i r="1">
      <x v="1249"/>
    </i>
    <i r="1">
      <x v="1250"/>
    </i>
    <i r="1">
      <x v="1251"/>
    </i>
    <i r="1">
      <x v="1252"/>
    </i>
    <i r="1">
      <x v="1253"/>
    </i>
    <i r="1">
      <x v="1254"/>
    </i>
    <i r="1">
      <x v="1255"/>
    </i>
    <i r="1">
      <x v="1256"/>
    </i>
    <i r="1">
      <x v="1257"/>
    </i>
    <i r="1">
      <x v="1258"/>
    </i>
    <i r="1">
      <x v="1259"/>
    </i>
    <i r="1">
      <x v="1260"/>
    </i>
    <i r="1">
      <x v="1261"/>
    </i>
    <i r="1">
      <x v="1262"/>
    </i>
    <i r="1">
      <x v="1263"/>
    </i>
    <i r="1">
      <x v="1264"/>
    </i>
    <i r="1">
      <x v="1265"/>
    </i>
    <i r="1">
      <x v="1266"/>
    </i>
    <i r="1">
      <x v="1268"/>
    </i>
    <i r="1">
      <x v="1270"/>
    </i>
    <i r="1">
      <x v="1271"/>
    </i>
    <i r="1">
      <x v="1272"/>
    </i>
    <i r="1">
      <x v="1273"/>
    </i>
    <i r="1">
      <x v="1274"/>
    </i>
    <i r="1">
      <x v="1275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3"/>
    </i>
    <i r="1">
      <x v="1284"/>
    </i>
    <i r="1">
      <x v="1286"/>
    </i>
    <i r="1">
      <x v="1287"/>
    </i>
    <i r="1">
      <x v="1288"/>
    </i>
    <i r="1">
      <x v="1289"/>
    </i>
    <i r="1">
      <x v="1290"/>
    </i>
    <i r="1">
      <x v="1291"/>
    </i>
    <i r="1">
      <x v="1292"/>
    </i>
    <i r="1">
      <x v="1293"/>
    </i>
    <i r="1">
      <x v="1294"/>
    </i>
    <i r="1">
      <x v="1295"/>
    </i>
    <i r="1">
      <x v="1296"/>
    </i>
    <i r="1">
      <x v="1297"/>
    </i>
    <i r="1">
      <x v="1298"/>
    </i>
    <i r="1">
      <x v="1299"/>
    </i>
    <i r="1">
      <x v="1300"/>
    </i>
    <i r="1">
      <x v="1302"/>
    </i>
    <i r="1">
      <x v="1303"/>
    </i>
    <i r="1">
      <x v="1304"/>
    </i>
    <i r="1">
      <x v="1305"/>
    </i>
    <i r="1">
      <x v="1307"/>
    </i>
    <i r="1">
      <x v="1309"/>
    </i>
    <i r="1">
      <x v="1310"/>
    </i>
    <i r="1">
      <x v="1311"/>
    </i>
    <i r="1">
      <x v="1312"/>
    </i>
    <i r="1">
      <x v="1314"/>
    </i>
    <i r="1">
      <x v="1315"/>
    </i>
    <i r="1">
      <x v="1316"/>
    </i>
    <i r="1">
      <x v="1317"/>
    </i>
    <i r="1">
      <x v="1318"/>
    </i>
    <i r="1">
      <x v="1319"/>
    </i>
    <i r="1">
      <x v="1320"/>
    </i>
    <i r="1">
      <x v="1321"/>
    </i>
    <i r="1">
      <x v="1322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 r="1">
      <x v="1350"/>
    </i>
    <i r="1">
      <x v="1351"/>
    </i>
    <i r="1">
      <x v="1352"/>
    </i>
    <i r="1">
      <x v="1353"/>
    </i>
    <i r="1">
      <x v="1354"/>
    </i>
    <i r="1">
      <x v="1355"/>
    </i>
    <i r="1">
      <x v="1356"/>
    </i>
    <i r="1">
      <x v="1357"/>
    </i>
    <i r="1">
      <x v="1358"/>
    </i>
    <i r="1">
      <x v="1359"/>
    </i>
    <i r="1">
      <x v="1362"/>
    </i>
    <i r="1">
      <x v="1363"/>
    </i>
    <i r="1">
      <x v="1364"/>
    </i>
    <i r="1">
      <x v="1365"/>
    </i>
    <i r="1">
      <x v="1368"/>
    </i>
    <i r="1">
      <x v="1369"/>
    </i>
    <i r="1">
      <x v="1370"/>
    </i>
    <i r="1">
      <x v="1371"/>
    </i>
    <i r="1">
      <x v="1372"/>
    </i>
    <i r="1">
      <x v="1373"/>
    </i>
    <i r="1">
      <x v="1374"/>
    </i>
    <i r="1">
      <x v="1375"/>
    </i>
    <i r="1">
      <x v="1377"/>
    </i>
    <i r="1">
      <x v="1378"/>
    </i>
    <i r="1">
      <x v="1379"/>
    </i>
    <i r="1">
      <x v="1380"/>
    </i>
    <i r="1">
      <x v="1381"/>
    </i>
    <i r="1">
      <x v="1382"/>
    </i>
    <i r="1">
      <x v="1383"/>
    </i>
    <i r="1">
      <x v="1384"/>
    </i>
    <i r="1">
      <x v="1385"/>
    </i>
    <i r="1">
      <x v="1386"/>
    </i>
    <i r="1">
      <x v="1387"/>
    </i>
    <i r="1">
      <x v="1388"/>
    </i>
    <i r="1">
      <x v="1389"/>
    </i>
    <i r="1">
      <x v="1390"/>
    </i>
    <i r="1">
      <x v="1391"/>
    </i>
    <i r="1">
      <x v="1392"/>
    </i>
    <i r="1">
      <x v="1393"/>
    </i>
    <i r="1">
      <x v="1394"/>
    </i>
    <i r="1">
      <x v="1395"/>
    </i>
    <i r="1">
      <x v="1396"/>
    </i>
    <i r="1">
      <x v="1397"/>
    </i>
    <i r="1">
      <x v="1398"/>
    </i>
    <i r="1">
      <x v="1399"/>
    </i>
    <i r="1">
      <x v="1400"/>
    </i>
    <i r="1">
      <x v="1401"/>
    </i>
    <i r="1">
      <x v="1402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455"/>
    </i>
    <i r="1">
      <x v="1456"/>
    </i>
    <i r="1">
      <x v="1457"/>
    </i>
    <i r="1">
      <x v="1458"/>
    </i>
    <i r="1">
      <x v="1459"/>
    </i>
    <i r="1">
      <x v="1460"/>
    </i>
    <i r="1">
      <x v="1461"/>
    </i>
    <i r="1">
      <x v="1462"/>
    </i>
    <i r="1">
      <x v="1463"/>
    </i>
    <i r="1">
      <x v="1464"/>
    </i>
    <i r="1">
      <x v="1466"/>
    </i>
    <i r="1">
      <x v="1467"/>
    </i>
    <i r="1">
      <x v="1468"/>
    </i>
    <i r="1">
      <x v="1469"/>
    </i>
    <i r="1">
      <x v="1470"/>
    </i>
    <i r="1">
      <x v="1471"/>
    </i>
    <i r="1">
      <x v="1472"/>
    </i>
    <i r="1">
      <x v="1473"/>
    </i>
    <i r="1">
      <x v="1474"/>
    </i>
    <i r="1">
      <x v="1476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484"/>
    </i>
    <i r="1">
      <x v="1485"/>
    </i>
    <i r="1">
      <x v="1486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5"/>
    </i>
    <i r="1">
      <x v="1496"/>
    </i>
    <i r="1">
      <x v="1497"/>
    </i>
    <i r="1">
      <x v="1498"/>
    </i>
    <i r="1">
      <x v="1499"/>
    </i>
    <i r="1">
      <x v="1500"/>
    </i>
    <i r="1">
      <x v="1501"/>
    </i>
    <i r="1">
      <x v="1502"/>
    </i>
    <i r="1">
      <x v="1503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22"/>
    </i>
    <i r="1">
      <x v="1523"/>
    </i>
    <i r="1">
      <x v="1524"/>
    </i>
    <i r="1">
      <x v="1525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32"/>
    </i>
    <i r="1">
      <x v="1533"/>
    </i>
    <i r="1">
      <x v="1534"/>
    </i>
    <i r="1">
      <x v="1535"/>
    </i>
    <i r="1">
      <x v="1536"/>
    </i>
    <i r="1">
      <x v="1537"/>
    </i>
    <i r="1">
      <x v="1538"/>
    </i>
    <i r="1">
      <x v="1539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6"/>
    </i>
    <i r="1">
      <x v="1549"/>
    </i>
    <i r="1">
      <x v="1550"/>
    </i>
    <i r="1">
      <x v="1553"/>
    </i>
    <i r="1">
      <x v="1554"/>
    </i>
    <i r="1">
      <x v="1555"/>
    </i>
    <i r="1">
      <x v="1556"/>
    </i>
    <i r="1">
      <x v="1557"/>
    </i>
    <i r="1">
      <x v="1558"/>
    </i>
    <i r="1">
      <x v="1561"/>
    </i>
    <i r="1">
      <x v="1562"/>
    </i>
    <i r="1">
      <x v="1567"/>
    </i>
    <i r="1">
      <x v="1568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8"/>
    </i>
    <i r="1">
      <x v="1579"/>
    </i>
    <i r="1">
      <x v="1580"/>
    </i>
    <i r="1">
      <x v="1581"/>
    </i>
    <i r="1">
      <x v="1583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0"/>
    </i>
    <i r="1">
      <x v="1591"/>
    </i>
    <i r="1">
      <x v="1592"/>
    </i>
    <i r="1">
      <x v="1593"/>
    </i>
    <i r="1">
      <x v="1594"/>
    </i>
    <i r="1">
      <x v="1595"/>
    </i>
    <i r="1">
      <x v="1596"/>
    </i>
    <i r="1">
      <x v="1598"/>
    </i>
    <i r="1">
      <x v="1599"/>
    </i>
    <i r="1">
      <x v="1600"/>
    </i>
    <i r="1">
      <x v="1601"/>
    </i>
    <i r="1">
      <x v="1602"/>
    </i>
    <i r="1">
      <x v="1603"/>
    </i>
    <i r="1">
      <x v="1604"/>
    </i>
    <i r="1">
      <x v="1605"/>
    </i>
    <i r="1">
      <x v="1606"/>
    </i>
    <i r="1">
      <x v="1607"/>
    </i>
    <i r="1">
      <x v="1608"/>
    </i>
    <i r="1">
      <x v="1609"/>
    </i>
    <i r="1">
      <x v="1610"/>
    </i>
    <i r="1">
      <x v="1611"/>
    </i>
    <i r="1">
      <x v="1612"/>
    </i>
    <i r="1">
      <x v="1613"/>
    </i>
    <i r="1">
      <x v="1614"/>
    </i>
    <i r="1">
      <x v="1615"/>
    </i>
    <i r="1">
      <x v="1616"/>
    </i>
    <i r="1">
      <x v="1617"/>
    </i>
    <i r="1">
      <x v="1618"/>
    </i>
    <i r="1">
      <x v="1619"/>
    </i>
    <i r="1">
      <x v="1620"/>
    </i>
    <i r="1">
      <x v="1621"/>
    </i>
    <i r="1">
      <x v="1622"/>
    </i>
    <i r="1">
      <x v="1623"/>
    </i>
    <i r="1">
      <x v="1624"/>
    </i>
    <i r="1">
      <x v="1625"/>
    </i>
    <i r="1">
      <x v="1626"/>
    </i>
    <i r="1">
      <x v="1627"/>
    </i>
    <i r="1">
      <x v="1628"/>
    </i>
    <i r="1">
      <x v="1629"/>
    </i>
    <i r="1">
      <x v="1630"/>
    </i>
    <i r="1">
      <x v="1631"/>
    </i>
    <i r="1">
      <x v="1632"/>
    </i>
    <i r="1">
      <x v="1633"/>
    </i>
    <i r="1">
      <x v="1634"/>
    </i>
    <i r="1">
      <x v="1635"/>
    </i>
    <i r="1">
      <x v="1636"/>
    </i>
    <i r="1">
      <x v="1637"/>
    </i>
    <i r="1">
      <x v="1638"/>
    </i>
    <i r="1">
      <x v="1639"/>
    </i>
    <i r="1">
      <x v="1640"/>
    </i>
    <i r="1">
      <x v="1641"/>
    </i>
    <i r="1">
      <x v="1642"/>
    </i>
    <i r="1">
      <x v="1643"/>
    </i>
    <i r="1">
      <x v="1644"/>
    </i>
    <i r="1">
      <x v="1645"/>
    </i>
    <i r="1">
      <x v="1646"/>
    </i>
    <i r="1">
      <x v="1647"/>
    </i>
    <i r="1">
      <x v="1648"/>
    </i>
    <i r="1">
      <x v="1649"/>
    </i>
    <i r="1">
      <x v="1650"/>
    </i>
    <i r="1">
      <x v="1651"/>
    </i>
    <i r="1">
      <x v="1652"/>
    </i>
    <i r="1">
      <x v="1653"/>
    </i>
    <i r="1">
      <x v="1654"/>
    </i>
    <i r="1">
      <x v="1655"/>
    </i>
    <i r="1">
      <x v="1656"/>
    </i>
    <i r="1">
      <x v="1657"/>
    </i>
    <i r="1">
      <x v="1658"/>
    </i>
    <i r="1">
      <x v="1659"/>
    </i>
    <i r="1">
      <x v="1660"/>
    </i>
    <i r="1">
      <x v="1661"/>
    </i>
    <i r="1">
      <x v="1664"/>
    </i>
    <i r="1">
      <x v="1665"/>
    </i>
    <i r="1">
      <x v="1666"/>
    </i>
    <i r="1">
      <x v="1667"/>
    </i>
    <i r="1">
      <x v="1668"/>
    </i>
    <i r="1">
      <x v="1669"/>
    </i>
    <i r="1">
      <x v="1670"/>
    </i>
    <i r="1">
      <x v="1671"/>
    </i>
    <i r="1">
      <x v="1672"/>
    </i>
    <i r="1">
      <x v="1673"/>
    </i>
    <i r="1">
      <x v="1674"/>
    </i>
    <i r="1">
      <x v="1675"/>
    </i>
    <i r="1">
      <x v="1676"/>
    </i>
    <i r="1">
      <x v="1677"/>
    </i>
    <i r="1">
      <x v="1678"/>
    </i>
    <i r="1">
      <x v="1679"/>
    </i>
    <i r="1">
      <x v="1680"/>
    </i>
    <i r="1">
      <x v="1681"/>
    </i>
    <i r="1">
      <x v="1682"/>
    </i>
    <i r="1">
      <x v="1683"/>
    </i>
    <i r="1">
      <x v="1684"/>
    </i>
    <i r="1">
      <x v="1685"/>
    </i>
    <i r="1">
      <x v="1686"/>
    </i>
    <i r="1">
      <x v="1687"/>
    </i>
    <i r="1">
      <x v="1688"/>
    </i>
    <i r="1">
      <x v="1689"/>
    </i>
    <i r="1">
      <x v="1690"/>
    </i>
    <i r="1">
      <x v="1691"/>
    </i>
    <i r="1">
      <x v="1692"/>
    </i>
    <i r="1">
      <x v="1693"/>
    </i>
    <i r="1">
      <x v="1694"/>
    </i>
    <i r="1">
      <x v="1695"/>
    </i>
    <i r="1">
      <x v="1728"/>
    </i>
    <i r="1">
      <x v="1729"/>
    </i>
    <i r="1">
      <x v="1730"/>
    </i>
    <i r="1">
      <x v="1731"/>
    </i>
    <i r="1">
      <x v="1732"/>
    </i>
    <i r="1">
      <x v="1733"/>
    </i>
    <i r="1">
      <x v="1734"/>
    </i>
    <i r="1">
      <x v="1735"/>
    </i>
    <i r="1">
      <x v="1736"/>
    </i>
    <i r="1">
      <x v="1737"/>
    </i>
    <i r="1">
      <x v="1738"/>
    </i>
    <i r="1">
      <x v="1739"/>
    </i>
    <i r="1">
      <x v="1740"/>
    </i>
    <i r="1">
      <x v="1741"/>
    </i>
    <i r="1">
      <x v="1742"/>
    </i>
    <i r="1">
      <x v="1743"/>
    </i>
    <i r="1">
      <x v="1745"/>
    </i>
    <i r="1">
      <x v="1746"/>
    </i>
    <i r="1">
      <x v="1747"/>
    </i>
    <i r="1">
      <x v="1748"/>
    </i>
    <i r="1">
      <x v="1749"/>
    </i>
    <i r="1">
      <x v="1750"/>
    </i>
    <i r="1">
      <x v="1756"/>
    </i>
    <i r="1">
      <x v="1764"/>
    </i>
    <i r="1">
      <x v="1765"/>
    </i>
    <i r="1">
      <x v="1766"/>
    </i>
    <i r="1">
      <x v="1767"/>
    </i>
    <i r="1">
      <x v="1768"/>
    </i>
    <i r="1">
      <x v="1769"/>
    </i>
    <i r="1">
      <x v="1770"/>
    </i>
    <i r="1">
      <x v="1771"/>
    </i>
    <i r="1">
      <x v="1772"/>
    </i>
    <i r="1">
      <x v="1773"/>
    </i>
    <i r="1">
      <x v="1774"/>
    </i>
    <i r="1">
      <x v="1775"/>
    </i>
    <i r="1">
      <x v="1776"/>
    </i>
    <i r="1">
      <x v="1777"/>
    </i>
    <i r="1">
      <x v="1778"/>
    </i>
    <i r="1">
      <x v="1779"/>
    </i>
    <i r="1">
      <x v="1780"/>
    </i>
    <i r="1">
      <x v="1781"/>
    </i>
    <i r="1">
      <x v="1782"/>
    </i>
    <i r="1">
      <x v="1783"/>
    </i>
    <i r="1">
      <x v="1784"/>
    </i>
    <i r="1">
      <x v="1785"/>
    </i>
    <i r="1">
      <x v="1786"/>
    </i>
    <i r="1">
      <x v="1787"/>
    </i>
    <i r="1">
      <x v="1788"/>
    </i>
    <i r="1">
      <x v="1789"/>
    </i>
    <i r="1">
      <x v="1790"/>
    </i>
    <i r="1">
      <x v="1791"/>
    </i>
    <i r="1">
      <x v="1792"/>
    </i>
    <i r="1">
      <x v="1793"/>
    </i>
    <i r="1">
      <x v="1794"/>
    </i>
    <i r="1">
      <x v="1795"/>
    </i>
    <i r="1">
      <x v="1796"/>
    </i>
    <i r="1">
      <x v="1797"/>
    </i>
    <i r="1">
      <x v="1798"/>
    </i>
    <i r="1">
      <x v="1799"/>
    </i>
    <i r="1">
      <x v="1800"/>
    </i>
    <i r="1">
      <x v="1801"/>
    </i>
    <i r="1">
      <x v="1803"/>
    </i>
    <i r="1">
      <x v="1804"/>
    </i>
    <i r="1">
      <x v="1805"/>
    </i>
    <i r="1">
      <x v="1806"/>
    </i>
    <i r="1">
      <x v="1807"/>
    </i>
    <i r="1">
      <x v="1808"/>
    </i>
    <i r="1">
      <x v="1809"/>
    </i>
    <i r="1">
      <x v="1810"/>
    </i>
    <i r="1">
      <x v="1812"/>
    </i>
    <i r="1">
      <x v="1813"/>
    </i>
    <i r="1">
      <x v="1814"/>
    </i>
    <i r="1">
      <x v="1815"/>
    </i>
    <i r="1">
      <x v="1816"/>
    </i>
    <i r="1">
      <x v="1817"/>
    </i>
    <i r="1">
      <x v="1818"/>
    </i>
    <i r="1">
      <x v="1819"/>
    </i>
    <i r="1">
      <x v="1820"/>
    </i>
    <i r="1">
      <x v="1821"/>
    </i>
    <i r="1">
      <x v="1822"/>
    </i>
    <i r="1">
      <x v="1823"/>
    </i>
    <i r="1">
      <x v="1824"/>
    </i>
    <i r="1">
      <x v="1826"/>
    </i>
    <i r="1">
      <x v="1827"/>
    </i>
    <i r="1">
      <x v="1828"/>
    </i>
    <i r="1">
      <x v="1830"/>
    </i>
    <i r="1">
      <x v="1831"/>
    </i>
    <i r="1">
      <x v="1832"/>
    </i>
    <i r="1">
      <x v="1833"/>
    </i>
    <i r="1">
      <x v="1834"/>
    </i>
    <i r="1">
      <x v="1835"/>
    </i>
    <i r="1">
      <x v="1836"/>
    </i>
    <i r="1">
      <x v="1837"/>
    </i>
    <i r="1">
      <x v="1838"/>
    </i>
    <i r="1">
      <x v="1839"/>
    </i>
    <i r="1">
      <x v="1840"/>
    </i>
    <i r="1">
      <x v="1841"/>
    </i>
    <i r="1">
      <x v="1842"/>
    </i>
    <i r="1">
      <x v="1843"/>
    </i>
    <i r="1">
      <x v="1844"/>
    </i>
    <i r="1">
      <x v="1845"/>
    </i>
    <i r="1">
      <x v="1847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59"/>
    </i>
    <i r="1">
      <x v="1861"/>
    </i>
    <i r="1">
      <x v="1862"/>
    </i>
    <i r="1">
      <x v="1863"/>
    </i>
    <i r="1">
      <x v="1864"/>
    </i>
    <i r="1">
      <x v="1866"/>
    </i>
    <i r="1">
      <x v="1867"/>
    </i>
    <i r="1">
      <x v="1868"/>
    </i>
    <i r="1">
      <x v="1869"/>
    </i>
    <i r="1">
      <x v="1870"/>
    </i>
    <i r="1">
      <x v="1871"/>
    </i>
    <i r="1">
      <x v="1872"/>
    </i>
    <i r="1">
      <x v="1873"/>
    </i>
    <i r="1">
      <x v="1874"/>
    </i>
    <i r="1">
      <x v="1875"/>
    </i>
    <i r="1">
      <x v="1876"/>
    </i>
    <i r="1">
      <x v="1877"/>
    </i>
    <i r="1">
      <x v="1878"/>
    </i>
    <i r="1">
      <x v="1879"/>
    </i>
    <i r="1">
      <x v="1880"/>
    </i>
    <i r="1">
      <x v="1881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0"/>
    </i>
    <i r="1">
      <x v="1901"/>
    </i>
    <i r="1">
      <x v="1902"/>
    </i>
    <i r="1">
      <x v="1903"/>
    </i>
    <i r="1">
      <x v="1904"/>
    </i>
    <i r="1">
      <x v="1905"/>
    </i>
    <i r="1">
      <x v="1906"/>
    </i>
    <i r="1">
      <x v="1907"/>
    </i>
    <i r="1">
      <x v="1908"/>
    </i>
    <i r="1">
      <x v="1909"/>
    </i>
    <i r="1">
      <x v="1910"/>
    </i>
    <i r="1">
      <x v="1911"/>
    </i>
    <i r="1">
      <x v="1912"/>
    </i>
    <i r="1">
      <x v="1913"/>
    </i>
    <i r="1">
      <x v="1914"/>
    </i>
    <i r="1">
      <x v="1915"/>
    </i>
    <i r="1">
      <x v="1916"/>
    </i>
    <i r="1">
      <x v="1917"/>
    </i>
    <i r="1">
      <x v="1918"/>
    </i>
    <i r="1">
      <x v="1919"/>
    </i>
    <i r="1">
      <x v="1920"/>
    </i>
    <i r="1">
      <x v="1921"/>
    </i>
    <i r="1">
      <x v="1922"/>
    </i>
    <i r="1">
      <x v="1923"/>
    </i>
    <i r="1">
      <x v="1925"/>
    </i>
    <i r="1">
      <x v="1926"/>
    </i>
    <i r="1">
      <x v="1928"/>
    </i>
    <i r="1">
      <x v="1929"/>
    </i>
    <i r="1">
      <x v="1930"/>
    </i>
    <i r="1">
      <x v="1931"/>
    </i>
    <i r="1">
      <x v="1933"/>
    </i>
    <i r="1">
      <x v="1934"/>
    </i>
    <i r="1">
      <x v="1935"/>
    </i>
    <i r="1">
      <x v="1936"/>
    </i>
    <i r="1">
      <x v="1937"/>
    </i>
    <i r="1">
      <x v="1938"/>
    </i>
    <i r="1">
      <x v="1942"/>
    </i>
    <i r="1">
      <x v="1943"/>
    </i>
    <i r="1">
      <x v="2429"/>
    </i>
    <i r="1">
      <x v="2430"/>
    </i>
    <i r="1">
      <x v="2431"/>
    </i>
    <i r="1">
      <x v="2432"/>
    </i>
    <i r="1">
      <x v="2433"/>
    </i>
    <i r="1">
      <x v="2434"/>
    </i>
    <i r="1">
      <x v="2435"/>
    </i>
    <i r="1">
      <x v="2436"/>
    </i>
    <i r="1">
      <x v="2437"/>
    </i>
    <i r="1">
      <x v="2438"/>
    </i>
    <i r="1">
      <x v="2439"/>
    </i>
    <i r="1">
      <x v="2440"/>
    </i>
    <i r="1">
      <x v="2441"/>
    </i>
    <i r="1">
      <x v="2442"/>
    </i>
    <i r="1">
      <x v="2443"/>
    </i>
    <i r="1">
      <x v="2444"/>
    </i>
    <i r="1">
      <x v="2445"/>
    </i>
    <i r="1">
      <x v="2446"/>
    </i>
    <i r="1">
      <x v="2447"/>
    </i>
    <i r="1">
      <x v="2448"/>
    </i>
    <i r="1">
      <x v="2449"/>
    </i>
    <i r="1">
      <x v="2450"/>
    </i>
    <i r="1">
      <x v="2451"/>
    </i>
    <i r="1">
      <x v="2452"/>
    </i>
    <i r="1">
      <x v="2453"/>
    </i>
    <i r="1">
      <x v="2454"/>
    </i>
    <i r="1">
      <x v="2455"/>
    </i>
    <i r="1">
      <x v="2456"/>
    </i>
    <i r="1">
      <x v="2457"/>
    </i>
    <i r="1">
      <x v="2458"/>
    </i>
    <i r="1">
      <x v="2459"/>
    </i>
    <i r="1">
      <x v="2462"/>
    </i>
    <i r="1">
      <x v="2463"/>
    </i>
    <i r="1">
      <x v="2466"/>
    </i>
    <i r="1">
      <x v="2467"/>
    </i>
    <i r="1">
      <x v="2468"/>
    </i>
    <i r="1">
      <x v="2469"/>
    </i>
    <i r="1">
      <x v="2470"/>
    </i>
    <i r="1">
      <x v="2471"/>
    </i>
    <i r="1">
      <x v="2472"/>
    </i>
    <i r="1">
      <x v="2473"/>
    </i>
    <i r="1">
      <x v="2474"/>
    </i>
    <i r="1">
      <x v="2475"/>
    </i>
    <i r="1">
      <x v="2476"/>
    </i>
    <i r="1">
      <x v="2477"/>
    </i>
    <i r="1">
      <x v="2478"/>
    </i>
    <i r="1">
      <x v="2479"/>
    </i>
    <i r="1">
      <x v="2480"/>
    </i>
    <i r="1">
      <x v="2481"/>
    </i>
    <i r="1">
      <x v="2482"/>
    </i>
    <i r="1">
      <x v="2483"/>
    </i>
    <i r="1">
      <x v="2484"/>
    </i>
    <i r="1">
      <x v="2485"/>
    </i>
    <i r="1">
      <x v="2486"/>
    </i>
    <i r="1">
      <x v="2487"/>
    </i>
    <i r="1">
      <x v="2488"/>
    </i>
    <i r="1">
      <x v="2489"/>
    </i>
    <i r="1">
      <x v="2490"/>
    </i>
    <i r="1">
      <x v="2491"/>
    </i>
    <i r="1">
      <x v="2492"/>
    </i>
    <i r="1">
      <x v="2493"/>
    </i>
    <i r="1">
      <x v="2494"/>
    </i>
    <i r="1">
      <x v="2495"/>
    </i>
    <i r="1">
      <x v="2496"/>
    </i>
    <i r="1">
      <x v="2497"/>
    </i>
    <i r="1">
      <x v="2498"/>
    </i>
    <i r="1">
      <x v="2499"/>
    </i>
    <i r="1">
      <x v="2500"/>
    </i>
    <i r="1">
      <x v="2501"/>
    </i>
    <i r="1">
      <x v="2502"/>
    </i>
    <i r="1">
      <x v="2503"/>
    </i>
    <i r="1">
      <x v="2504"/>
    </i>
    <i r="1">
      <x v="2505"/>
    </i>
    <i r="1">
      <x v="2506"/>
    </i>
    <i r="1">
      <x v="2507"/>
    </i>
    <i r="1">
      <x v="2508"/>
    </i>
    <i r="1">
      <x v="2509"/>
    </i>
    <i r="1">
      <x v="2510"/>
    </i>
    <i r="1">
      <x v="2511"/>
    </i>
    <i r="1">
      <x v="2512"/>
    </i>
    <i r="1">
      <x v="2513"/>
    </i>
    <i r="1">
      <x v="2514"/>
    </i>
    <i r="1">
      <x v="2515"/>
    </i>
    <i r="1">
      <x v="2516"/>
    </i>
    <i r="1">
      <x v="2517"/>
    </i>
    <i r="1">
      <x v="2518"/>
    </i>
    <i r="1">
      <x v="2519"/>
    </i>
    <i r="1">
      <x v="2520"/>
    </i>
    <i r="1">
      <x v="2521"/>
    </i>
    <i r="1">
      <x v="2522"/>
    </i>
    <i r="1">
      <x v="2523"/>
    </i>
    <i r="1">
      <x v="2524"/>
    </i>
    <i r="1">
      <x v="2525"/>
    </i>
    <i r="1">
      <x v="2526"/>
    </i>
    <i r="1">
      <x v="2528"/>
    </i>
    <i r="1">
      <x v="2529"/>
    </i>
    <i r="1">
      <x v="2530"/>
    </i>
    <i r="1">
      <x v="2531"/>
    </i>
    <i r="1">
      <x v="2532"/>
    </i>
    <i r="1">
      <x v="2533"/>
    </i>
    <i r="1">
      <x v="2534"/>
    </i>
    <i r="1">
      <x v="2535"/>
    </i>
    <i r="1">
      <x v="2536"/>
    </i>
    <i r="1">
      <x v="2537"/>
    </i>
    <i r="1">
      <x v="2538"/>
    </i>
    <i r="1">
      <x v="2539"/>
    </i>
    <i r="1">
      <x v="2540"/>
    </i>
    <i r="1">
      <x v="2541"/>
    </i>
    <i r="1">
      <x v="2543"/>
    </i>
    <i r="1">
      <x v="2544"/>
    </i>
    <i r="1">
      <x v="2545"/>
    </i>
    <i r="1">
      <x v="2546"/>
    </i>
    <i r="1">
      <x v="2547"/>
    </i>
    <i r="1">
      <x v="4324"/>
    </i>
    <i r="1">
      <x v="4326"/>
    </i>
    <i r="1">
      <x v="4327"/>
    </i>
    <i r="1">
      <x v="4328"/>
    </i>
    <i r="1">
      <x v="4329"/>
    </i>
    <i r="1">
      <x v="4330"/>
    </i>
    <i r="1">
      <x v="4331"/>
    </i>
    <i r="1">
      <x v="4332"/>
    </i>
    <i r="1">
      <x v="4333"/>
    </i>
    <i r="1">
      <x v="4334"/>
    </i>
    <i r="1">
      <x v="4335"/>
    </i>
    <i r="1">
      <x v="4336"/>
    </i>
    <i r="1">
      <x v="4337"/>
    </i>
    <i r="1">
      <x v="4338"/>
    </i>
    <i r="1">
      <x v="4339"/>
    </i>
    <i r="1">
      <x v="4340"/>
    </i>
    <i r="1">
      <x v="4341"/>
    </i>
    <i r="1">
      <x v="4342"/>
    </i>
    <i r="1">
      <x v="4343"/>
    </i>
    <i r="1">
      <x v="4344"/>
    </i>
    <i r="1">
      <x v="4345"/>
    </i>
    <i r="1">
      <x v="4346"/>
    </i>
    <i r="1">
      <x v="4347"/>
    </i>
    <i r="1">
      <x v="4348"/>
    </i>
    <i r="1">
      <x v="4349"/>
    </i>
    <i r="1">
      <x v="4350"/>
    </i>
    <i r="1">
      <x v="4351"/>
    </i>
    <i r="1">
      <x v="4352"/>
    </i>
    <i r="1">
      <x v="4353"/>
    </i>
    <i r="1">
      <x v="4354"/>
    </i>
    <i r="1">
      <x v="4355"/>
    </i>
    <i r="1">
      <x v="4356"/>
    </i>
    <i r="1">
      <x v="4357"/>
    </i>
    <i r="1">
      <x v="4358"/>
    </i>
    <i r="1">
      <x v="4359"/>
    </i>
    <i r="1">
      <x v="4360"/>
    </i>
    <i r="1">
      <x v="4361"/>
    </i>
    <i r="1">
      <x v="4362"/>
    </i>
    <i r="1">
      <x v="4363"/>
    </i>
    <i r="1">
      <x v="4364"/>
    </i>
    <i r="1">
      <x v="4365"/>
    </i>
    <i r="1">
      <x v="4366"/>
    </i>
    <i r="1">
      <x v="4367"/>
    </i>
    <i r="1">
      <x v="4368"/>
    </i>
    <i r="1">
      <x v="4369"/>
    </i>
    <i r="1">
      <x v="4370"/>
    </i>
    <i r="1">
      <x v="4371"/>
    </i>
    <i r="1">
      <x v="4372"/>
    </i>
    <i r="1">
      <x v="4373"/>
    </i>
    <i r="1">
      <x v="4374"/>
    </i>
    <i r="1">
      <x v="4375"/>
    </i>
    <i r="1">
      <x v="4376"/>
    </i>
    <i r="1">
      <x v="4377"/>
    </i>
    <i r="1">
      <x v="4378"/>
    </i>
    <i r="1">
      <x v="4379"/>
    </i>
    <i r="1">
      <x v="4380"/>
    </i>
    <i r="1">
      <x v="4381"/>
    </i>
    <i r="1">
      <x v="4382"/>
    </i>
    <i r="1">
      <x v="4383"/>
    </i>
    <i r="1">
      <x v="4384"/>
    </i>
    <i r="1">
      <x v="4385"/>
    </i>
    <i r="1">
      <x v="4386"/>
    </i>
    <i r="1">
      <x v="4387"/>
    </i>
    <i r="1">
      <x v="4388"/>
    </i>
    <i r="1">
      <x v="4389"/>
    </i>
    <i r="1">
      <x v="4390"/>
    </i>
    <i r="1">
      <x v="4391"/>
    </i>
    <i r="1">
      <x v="4392"/>
    </i>
    <i r="1">
      <x v="4393"/>
    </i>
    <i r="1">
      <x v="4394"/>
    </i>
    <i r="1">
      <x v="4395"/>
    </i>
    <i r="1">
      <x v="4396"/>
    </i>
    <i r="1">
      <x v="4397"/>
    </i>
    <i r="1">
      <x v="4398"/>
    </i>
    <i r="1">
      <x v="4399"/>
    </i>
    <i r="1">
      <x v="4400"/>
    </i>
    <i r="1">
      <x v="4401"/>
    </i>
    <i r="1">
      <x v="4402"/>
    </i>
    <i r="1">
      <x v="4403"/>
    </i>
    <i r="1">
      <x v="4404"/>
    </i>
    <i r="1">
      <x v="4405"/>
    </i>
    <i r="1">
      <x v="4406"/>
    </i>
    <i r="1">
      <x v="4407"/>
    </i>
    <i r="1">
      <x v="4408"/>
    </i>
    <i r="1">
      <x v="4409"/>
    </i>
    <i r="1">
      <x v="4410"/>
    </i>
    <i r="1">
      <x v="4411"/>
    </i>
    <i r="1">
      <x v="4412"/>
    </i>
    <i r="1">
      <x v="4413"/>
    </i>
    <i r="1">
      <x v="4414"/>
    </i>
    <i r="1">
      <x v="4415"/>
    </i>
    <i r="1">
      <x v="4416"/>
    </i>
    <i r="1">
      <x v="4417"/>
    </i>
    <i r="1">
      <x v="4418"/>
    </i>
    <i r="1">
      <x v="4419"/>
    </i>
    <i r="1">
      <x v="4420"/>
    </i>
    <i r="1">
      <x v="4421"/>
    </i>
    <i r="1">
      <x v="4422"/>
    </i>
    <i r="1">
      <x v="4423"/>
    </i>
    <i r="1">
      <x v="4424"/>
    </i>
    <i r="1">
      <x v="4425"/>
    </i>
    <i r="1">
      <x v="4426"/>
    </i>
    <i r="1">
      <x v="4427"/>
    </i>
    <i r="1">
      <x v="4428"/>
    </i>
    <i r="1">
      <x v="4429"/>
    </i>
    <i r="1">
      <x v="4430"/>
    </i>
    <i r="1">
      <x v="4431"/>
    </i>
    <i r="1">
      <x v="4432"/>
    </i>
    <i r="1">
      <x v="4433"/>
    </i>
    <i r="1">
      <x v="4434"/>
    </i>
    <i r="1">
      <x v="4435"/>
    </i>
    <i r="1">
      <x v="4436"/>
    </i>
    <i r="1">
      <x v="4437"/>
    </i>
    <i r="1">
      <x v="4438"/>
    </i>
    <i r="1">
      <x v="4439"/>
    </i>
    <i r="1">
      <x v="4440"/>
    </i>
    <i r="1">
      <x v="4444"/>
    </i>
    <i r="1">
      <x v="4445"/>
    </i>
    <i r="1">
      <x v="4446"/>
    </i>
    <i r="1">
      <x v="4447"/>
    </i>
    <i r="1">
      <x v="4448"/>
    </i>
    <i r="1">
      <x v="4449"/>
    </i>
    <i r="1">
      <x v="4450"/>
    </i>
    <i r="1">
      <x v="4451"/>
    </i>
    <i r="1">
      <x v="4452"/>
    </i>
    <i r="1">
      <x v="4453"/>
    </i>
    <i r="1">
      <x v="4454"/>
    </i>
    <i r="1">
      <x v="4455"/>
    </i>
    <i r="1">
      <x v="4456"/>
    </i>
    <i r="1">
      <x v="4457"/>
    </i>
    <i r="1">
      <x v="4458"/>
    </i>
    <i r="1">
      <x v="4459"/>
    </i>
    <i r="1">
      <x v="4460"/>
    </i>
    <i r="1">
      <x v="4461"/>
    </i>
    <i r="1">
      <x v="4462"/>
    </i>
    <i r="1">
      <x v="4463"/>
    </i>
    <i r="1">
      <x v="4464"/>
    </i>
    <i r="1">
      <x v="4465"/>
    </i>
    <i r="1">
      <x v="4466"/>
    </i>
    <i r="1">
      <x v="4467"/>
    </i>
    <i r="1">
      <x v="4468"/>
    </i>
    <i r="1">
      <x v="4469"/>
    </i>
    <i r="1">
      <x v="4470"/>
    </i>
    <i r="1">
      <x v="4471"/>
    </i>
    <i r="1">
      <x v="4472"/>
    </i>
    <i r="1">
      <x v="4473"/>
    </i>
    <i r="1">
      <x v="4474"/>
    </i>
    <i r="1">
      <x v="4475"/>
    </i>
    <i r="1">
      <x v="4476"/>
    </i>
    <i r="1">
      <x v="4477"/>
    </i>
    <i r="1">
      <x v="4478"/>
    </i>
    <i r="1">
      <x v="4479"/>
    </i>
    <i r="1">
      <x v="4480"/>
    </i>
    <i r="1">
      <x v="4481"/>
    </i>
    <i r="1">
      <x v="4482"/>
    </i>
    <i r="1">
      <x v="4483"/>
    </i>
    <i r="1">
      <x v="4484"/>
    </i>
    <i r="1">
      <x v="4485"/>
    </i>
    <i r="1">
      <x v="4486"/>
    </i>
    <i r="1">
      <x v="4487"/>
    </i>
    <i r="1">
      <x v="4488"/>
    </i>
    <i r="1">
      <x v="4489"/>
    </i>
    <i r="1">
      <x v="4490"/>
    </i>
    <i r="1">
      <x v="4491"/>
    </i>
    <i r="1">
      <x v="4492"/>
    </i>
    <i r="1">
      <x v="4493"/>
    </i>
    <i r="1">
      <x v="4494"/>
    </i>
    <i r="1">
      <x v="4495"/>
    </i>
    <i r="1">
      <x v="4496"/>
    </i>
    <i r="1">
      <x v="4497"/>
    </i>
    <i r="1">
      <x v="4498"/>
    </i>
    <i r="1">
      <x v="4499"/>
    </i>
    <i r="1">
      <x v="4500"/>
    </i>
    <i r="1">
      <x v="4501"/>
    </i>
    <i r="1">
      <x v="4502"/>
    </i>
    <i r="1">
      <x v="4503"/>
    </i>
    <i r="1">
      <x v="4504"/>
    </i>
    <i r="1">
      <x v="4505"/>
    </i>
    <i r="1">
      <x v="4506"/>
    </i>
    <i r="1">
      <x v="4507"/>
    </i>
    <i r="1">
      <x v="4508"/>
    </i>
    <i r="1">
      <x v="4509"/>
    </i>
    <i r="1">
      <x v="4510"/>
    </i>
    <i r="1">
      <x v="4511"/>
    </i>
    <i r="1">
      <x v="4512"/>
    </i>
    <i r="1">
      <x v="4513"/>
    </i>
    <i r="1">
      <x v="4514"/>
    </i>
    <i r="1">
      <x v="4515"/>
    </i>
    <i r="1">
      <x v="4516"/>
    </i>
    <i r="1">
      <x v="4517"/>
    </i>
    <i r="1">
      <x v="4518"/>
    </i>
    <i r="1">
      <x v="4519"/>
    </i>
    <i r="1">
      <x v="4520"/>
    </i>
    <i r="1">
      <x v="4521"/>
    </i>
    <i r="1">
      <x v="4522"/>
    </i>
    <i r="1">
      <x v="4523"/>
    </i>
    <i r="1">
      <x v="4524"/>
    </i>
    <i r="1">
      <x v="4525"/>
    </i>
    <i r="1">
      <x v="4526"/>
    </i>
    <i r="1">
      <x v="4527"/>
    </i>
    <i r="1">
      <x v="4528"/>
    </i>
    <i r="1">
      <x v="4529"/>
    </i>
    <i r="1">
      <x v="4530"/>
    </i>
    <i r="1">
      <x v="4531"/>
    </i>
    <i r="1">
      <x v="4532"/>
    </i>
    <i r="1">
      <x v="4533"/>
    </i>
    <i r="1">
      <x v="4534"/>
    </i>
    <i r="1">
      <x v="4535"/>
    </i>
    <i r="1">
      <x v="4536"/>
    </i>
    <i r="1">
      <x v="4537"/>
    </i>
    <i r="1">
      <x v="4538"/>
    </i>
    <i r="1">
      <x v="4539"/>
    </i>
    <i r="1">
      <x v="4540"/>
    </i>
    <i r="1">
      <x v="4541"/>
    </i>
    <i r="1">
      <x v="4542"/>
    </i>
    <i r="1">
      <x v="4543"/>
    </i>
    <i r="1">
      <x v="4544"/>
    </i>
    <i r="1">
      <x v="4545"/>
    </i>
    <i r="1">
      <x v="4546"/>
    </i>
    <i r="1">
      <x v="4547"/>
    </i>
    <i r="1">
      <x v="4548"/>
    </i>
    <i r="1">
      <x v="4549"/>
    </i>
    <i r="1">
      <x v="4550"/>
    </i>
    <i r="1">
      <x v="4551"/>
    </i>
    <i r="1">
      <x v="4552"/>
    </i>
    <i r="1">
      <x v="4553"/>
    </i>
    <i r="1">
      <x v="4554"/>
    </i>
    <i r="1">
      <x v="4555"/>
    </i>
    <i r="1">
      <x v="4556"/>
    </i>
    <i r="1">
      <x v="4557"/>
    </i>
    <i r="1">
      <x v="4558"/>
    </i>
    <i r="1">
      <x v="4559"/>
    </i>
    <i r="1">
      <x v="4560"/>
    </i>
    <i r="1">
      <x v="4561"/>
    </i>
    <i r="1">
      <x v="4562"/>
    </i>
    <i r="1">
      <x v="4563"/>
    </i>
    <i r="1">
      <x v="4564"/>
    </i>
    <i r="1">
      <x v="4565"/>
    </i>
    <i r="1">
      <x v="4566"/>
    </i>
    <i r="1">
      <x v="4567"/>
    </i>
    <i r="1">
      <x v="4568"/>
    </i>
    <i r="1">
      <x v="4569"/>
    </i>
    <i r="1">
      <x v="4570"/>
    </i>
    <i r="1">
      <x v="4571"/>
    </i>
    <i r="1">
      <x v="4572"/>
    </i>
    <i r="1">
      <x v="4573"/>
    </i>
    <i r="1">
      <x v="4574"/>
    </i>
    <i r="1">
      <x v="4575"/>
    </i>
    <i r="1">
      <x v="4576"/>
    </i>
    <i r="1">
      <x v="4577"/>
    </i>
    <i r="1">
      <x v="4578"/>
    </i>
    <i r="1">
      <x v="4579"/>
    </i>
    <i r="1">
      <x v="4580"/>
    </i>
    <i r="1">
      <x v="4581"/>
    </i>
    <i r="1">
      <x v="4582"/>
    </i>
    <i r="1">
      <x v="4583"/>
    </i>
    <i r="1">
      <x v="4584"/>
    </i>
    <i r="1">
      <x v="4585"/>
    </i>
    <i r="1">
      <x v="4586"/>
    </i>
    <i r="1">
      <x v="4587"/>
    </i>
    <i r="1">
      <x v="4588"/>
    </i>
    <i r="1">
      <x v="4589"/>
    </i>
    <i r="1">
      <x v="4590"/>
    </i>
    <i r="1">
      <x v="4591"/>
    </i>
    <i r="1">
      <x v="4592"/>
    </i>
    <i r="1">
      <x v="4593"/>
    </i>
    <i r="1">
      <x v="4594"/>
    </i>
    <i r="1">
      <x v="4595"/>
    </i>
    <i r="1">
      <x v="4596"/>
    </i>
    <i r="1">
      <x v="4597"/>
    </i>
    <i r="1">
      <x v="4675"/>
    </i>
    <i r="1">
      <x v="4676"/>
    </i>
    <i r="1">
      <x v="4677"/>
    </i>
    <i r="1">
      <x v="4678"/>
    </i>
    <i r="1">
      <x v="4679"/>
    </i>
    <i r="1">
      <x v="4680"/>
    </i>
    <i r="1">
      <x v="4681"/>
    </i>
    <i r="1">
      <x v="4682"/>
    </i>
    <i r="1">
      <x v="4683"/>
    </i>
    <i r="1">
      <x v="4684"/>
    </i>
    <i r="1">
      <x v="4685"/>
    </i>
    <i r="1">
      <x v="4686"/>
    </i>
    <i r="1">
      <x v="4687"/>
    </i>
    <i r="1">
      <x v="4688"/>
    </i>
    <i r="1">
      <x v="4689"/>
    </i>
    <i r="1">
      <x v="4690"/>
    </i>
    <i r="1">
      <x v="4691"/>
    </i>
    <i r="1">
      <x v="4692"/>
    </i>
    <i r="1">
      <x v="5208"/>
    </i>
    <i r="1">
      <x v="5209"/>
    </i>
    <i t="default">
      <x/>
    </i>
    <i t="grand">
      <x/>
    </i>
  </rowItems>
  <colItems count="1">
    <i/>
  </colItem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B1215-5ADA-7C4B-B127-80DF2700CFD3}" name="피벗 테이블9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J3:K1902" firstHeaderRow="1" firstDataRow="1" firstDataCol="2"/>
  <pivotFields count="2">
    <pivotField axis="axisRow" compact="0" outline="0" showAll="0">
      <items count="7">
        <item h="1" x="0"/>
        <item h="1" m="1" x="5"/>
        <item h="1" x="1"/>
        <item h="1" x="3"/>
        <item x="2"/>
        <item h="1" x="4"/>
        <item t="default"/>
      </items>
    </pivotField>
    <pivotField axis="axisRow" compact="0" outline="0" showAll="0">
      <items count="5211">
        <item x="2041"/>
        <item x="2042"/>
        <item x="2037"/>
        <item x="2043"/>
        <item x="2044"/>
        <item x="2045"/>
        <item x="2038"/>
        <item x="2039"/>
        <item x="2040"/>
        <item x="2050"/>
        <item x="2051"/>
        <item x="2046"/>
        <item x="2052"/>
        <item x="2053"/>
        <item x="2054"/>
        <item x="2047"/>
        <item x="2048"/>
        <item x="2049"/>
        <item x="1992"/>
        <item m="1" x="4812"/>
        <item x="1993"/>
        <item m="1" x="4813"/>
        <item x="1988"/>
        <item m="1" x="4814"/>
        <item x="1994"/>
        <item m="1" x="4815"/>
        <item x="1995"/>
        <item m="1" x="4816"/>
        <item x="1996"/>
        <item m="1" x="4817"/>
        <item x="1989"/>
        <item m="1" x="4818"/>
        <item x="1990"/>
        <item m="1" x="4819"/>
        <item x="1991"/>
        <item m="1" x="4820"/>
        <item x="2001"/>
        <item m="1" x="4821"/>
        <item x="2002"/>
        <item m="1" x="4822"/>
        <item x="1997"/>
        <item m="1" x="4823"/>
        <item x="2003"/>
        <item m="1" x="4824"/>
        <item x="2004"/>
        <item m="1" x="4825"/>
        <item x="2005"/>
        <item m="1" x="4826"/>
        <item x="1998"/>
        <item m="1" x="4827"/>
        <item x="1999"/>
        <item m="1" x="4828"/>
        <item x="2000"/>
        <item m="1" x="4829"/>
        <item x="2059"/>
        <item x="2060"/>
        <item x="2055"/>
        <item x="2061"/>
        <item x="2062"/>
        <item x="2063"/>
        <item x="2056"/>
        <item x="2057"/>
        <item x="2058"/>
        <item x="2068"/>
        <item x="2069"/>
        <item x="2064"/>
        <item x="2070"/>
        <item x="2071"/>
        <item x="2072"/>
        <item x="2065"/>
        <item x="2066"/>
        <item x="2067"/>
        <item x="2025"/>
        <item m="1" x="4830"/>
        <item x="2026"/>
        <item m="1" x="4831"/>
        <item x="2021"/>
        <item m="1" x="4832"/>
        <item x="2027"/>
        <item m="1" x="4833"/>
        <item x="2028"/>
        <item m="1" x="4834"/>
        <item x="2029"/>
        <item m="1" x="4835"/>
        <item x="2022"/>
        <item m="1" x="4836"/>
        <item x="2023"/>
        <item m="1" x="4837"/>
        <item x="2024"/>
        <item m="1" x="4838"/>
        <item x="2016"/>
        <item m="1" x="4839"/>
        <item x="2017"/>
        <item m="1" x="4840"/>
        <item x="2012"/>
        <item m="1" x="4841"/>
        <item x="2018"/>
        <item m="1" x="4842"/>
        <item x="2019"/>
        <item m="1" x="4843"/>
        <item x="2020"/>
        <item m="1" x="4844"/>
        <item x="2013"/>
        <item m="1" x="4845"/>
        <item x="2014"/>
        <item m="1" x="4846"/>
        <item x="2015"/>
        <item m="1" x="4847"/>
        <item x="2112"/>
        <item x="2104"/>
        <item x="2108"/>
        <item x="2105"/>
        <item x="2106"/>
        <item x="2107"/>
        <item x="2109"/>
        <item x="2110"/>
        <item x="2111"/>
        <item x="2116"/>
        <item x="661"/>
        <item m="1" x="4778"/>
        <item x="662"/>
        <item m="1" x="4779"/>
        <item x="657"/>
        <item m="1" x="4774"/>
        <item x="663"/>
        <item m="1" x="4780"/>
        <item x="664"/>
        <item m="1" x="4781"/>
        <item x="665"/>
        <item m="1" x="4782"/>
        <item x="658"/>
        <item m="1" x="4775"/>
        <item x="659"/>
        <item m="1" x="4776"/>
        <item x="660"/>
        <item m="1" x="4777"/>
        <item x="670"/>
        <item m="1" x="4787"/>
        <item x="671"/>
        <item m="1" x="4788"/>
        <item x="666"/>
        <item m="1" x="4783"/>
        <item x="672"/>
        <item m="1" x="4789"/>
        <item x="673"/>
        <item m="1" x="4790"/>
        <item x="674"/>
        <item m="1" x="4791"/>
        <item x="667"/>
        <item m="1" x="4784"/>
        <item x="668"/>
        <item m="1" x="4785"/>
        <item x="669"/>
        <item m="1" x="4786"/>
        <item x="679"/>
        <item m="1" x="4739"/>
        <item x="680"/>
        <item m="1" x="4740"/>
        <item x="675"/>
        <item m="1" x="4735"/>
        <item x="681"/>
        <item m="1" x="4741"/>
        <item x="682"/>
        <item m="1" x="4742"/>
        <item x="683"/>
        <item m="1" x="4743"/>
        <item x="676"/>
        <item m="1" x="4736"/>
        <item x="677"/>
        <item m="1" x="4737"/>
        <item x="678"/>
        <item m="1" x="4738"/>
        <item x="694"/>
        <item x="687"/>
        <item x="688"/>
        <item x="689"/>
        <item x="690"/>
        <item x="691"/>
        <item x="684"/>
        <item x="692"/>
        <item x="685"/>
        <item x="693"/>
        <item x="686"/>
        <item x="706"/>
        <item x="707"/>
        <item x="708"/>
        <item x="709"/>
        <item x="710"/>
        <item x="703"/>
        <item x="704"/>
        <item x="705"/>
        <item x="698"/>
        <item x="699"/>
        <item x="700"/>
        <item x="701"/>
        <item x="702"/>
        <item x="695"/>
        <item x="696"/>
        <item x="697"/>
        <item m="1" x="4344"/>
        <item x="65"/>
        <item x="66"/>
        <item m="1" x="4345"/>
        <item m="1" x="4346"/>
        <item x="67"/>
        <item m="1" x="4347"/>
        <item m="1" x="4348"/>
        <item x="80"/>
        <item x="81"/>
        <item x="61"/>
        <item x="60"/>
        <item m="1" x="4349"/>
        <item m="1" x="4350"/>
        <item m="1" x="4351"/>
        <item x="59"/>
        <item m="1" x="4352"/>
        <item m="1" x="4353"/>
        <item m="1" x="4354"/>
        <item x="84"/>
        <item x="85"/>
        <item x="64"/>
        <item x="63"/>
        <item m="1" x="4355"/>
        <item m="1" x="4356"/>
        <item x="62"/>
        <item m="1" x="4357"/>
        <item m="1" x="4358"/>
        <item x="82"/>
        <item x="83"/>
        <item m="1" x="4359"/>
        <item m="1" x="4360"/>
        <item x="58"/>
        <item x="57"/>
        <item m="1" x="4361"/>
        <item m="1" x="4362"/>
        <item x="56"/>
        <item m="1" x="4363"/>
        <item m="1" x="4364"/>
        <item m="1" x="4365"/>
        <item x="86"/>
        <item x="87"/>
        <item x="55"/>
        <item x="53"/>
        <item m="1" x="4366"/>
        <item m="1" x="4367"/>
        <item x="51"/>
        <item m="1" x="4368"/>
        <item m="1" x="4369"/>
        <item x="54"/>
        <item m="1" x="4370"/>
        <item x="52"/>
        <item m="1" x="4371"/>
        <item x="50"/>
        <item x="48"/>
        <item m="1" x="4372"/>
        <item m="1" x="4373"/>
        <item x="46"/>
        <item m="1" x="4374"/>
        <item m="1" x="4375"/>
        <item x="49"/>
        <item m="1" x="4376"/>
        <item x="47"/>
        <item m="1" x="4377"/>
        <item x="45"/>
        <item x="43"/>
        <item m="1" x="4378"/>
        <item x="41"/>
        <item m="1" x="4379"/>
        <item x="44"/>
        <item m="1" x="4380"/>
        <item x="42"/>
        <item m="1" x="4381"/>
        <item x="40"/>
        <item x="38"/>
        <item x="36"/>
        <item x="39"/>
        <item x="37"/>
        <item x="22"/>
        <item x="21"/>
        <item m="1" x="4382"/>
        <item m="1" x="4383"/>
        <item x="20"/>
        <item m="1" x="4384"/>
        <item m="1" x="4385"/>
        <item x="90"/>
        <item x="91"/>
        <item x="25"/>
        <item x="24"/>
        <item m="1" x="4386"/>
        <item m="1" x="4387"/>
        <item x="23"/>
        <item m="1" x="4388"/>
        <item m="1" x="4389"/>
        <item x="88"/>
        <item x="89"/>
        <item x="10"/>
        <item x="11"/>
        <item x="12"/>
        <item x="13"/>
        <item x="14"/>
        <item x="15"/>
        <item x="16"/>
        <item x="17"/>
        <item x="18"/>
        <item x="19"/>
        <item x="4"/>
        <item x="9"/>
        <item x="7"/>
        <item m="1" x="4390"/>
        <item m="1" x="4391"/>
        <item x="5"/>
        <item m="1" x="4392"/>
        <item m="1" x="4393"/>
        <item x="8"/>
        <item m="1" x="4394"/>
        <item x="6"/>
        <item m="1" x="4395"/>
        <item x="2"/>
        <item m="1" x="4396"/>
        <item m="1" x="4397"/>
        <item x="0"/>
        <item m="1" x="4398"/>
        <item m="1" x="4399"/>
        <item x="3"/>
        <item m="1" x="4400"/>
        <item x="1"/>
        <item m="1" x="4401"/>
        <item m="1" x="4402"/>
        <item m="1" x="4403"/>
        <item m="1" x="4404"/>
        <item m="1" x="4405"/>
        <item m="1" x="4406"/>
        <item x="1797"/>
        <item m="1" x="4407"/>
        <item x="1796"/>
        <item x="1794"/>
        <item x="1795"/>
        <item x="2007"/>
        <item x="2008"/>
        <item x="2009"/>
        <item x="2010"/>
        <item x="2006"/>
        <item x="2115"/>
        <item x="2114"/>
        <item x="2113"/>
        <item x="2103"/>
        <item x="2102"/>
        <item x="2101"/>
        <item x="2100"/>
        <item x="2099"/>
        <item x="2098"/>
        <item x="711"/>
        <item x="712"/>
        <item x="713"/>
        <item x="2129"/>
        <item x="2130"/>
        <item x="2131"/>
        <item x="2132"/>
        <item x="2133"/>
        <item x="2134"/>
        <item x="2126"/>
        <item x="2127"/>
        <item x="2128"/>
        <item x="2120"/>
        <item x="2121"/>
        <item x="2122"/>
        <item x="2123"/>
        <item x="2124"/>
        <item x="2125"/>
        <item x="2117"/>
        <item x="2118"/>
        <item x="2119"/>
        <item m="1" x="4408"/>
        <item x="528"/>
        <item x="529"/>
        <item x="530"/>
        <item x="531"/>
        <item x="568"/>
        <item x="566"/>
        <item m="1" x="4696"/>
        <item x="562"/>
        <item x="564"/>
        <item x="560"/>
        <item x="567"/>
        <item x="565"/>
        <item x="563"/>
        <item x="536"/>
        <item x="538"/>
        <item m="1" x="4697"/>
        <item x="539"/>
        <item x="540"/>
        <item m="1" x="4698"/>
        <item x="541"/>
        <item m="1" x="4699"/>
        <item x="542"/>
        <item x="543"/>
        <item x="544"/>
        <item m="1" x="4700"/>
        <item x="537"/>
        <item x="545"/>
        <item x="546"/>
        <item x="547"/>
        <item m="1" x="4701"/>
        <item x="548"/>
        <item x="552"/>
        <item x="551"/>
        <item x="550"/>
        <item x="555"/>
        <item x="533"/>
        <item x="535"/>
        <item x="558"/>
        <item x="553"/>
        <item x="559"/>
        <item m="1" x="4409"/>
        <item x="557"/>
        <item x="556"/>
        <item x="534"/>
        <item x="549"/>
        <item x="554"/>
        <item x="608"/>
        <item x="610"/>
        <item x="609"/>
        <item x="589"/>
        <item m="1" x="4768"/>
        <item x="591"/>
        <item m="1" x="4770"/>
        <item x="590"/>
        <item m="1" x="4769"/>
        <item x="588"/>
        <item x="613"/>
        <item x="611"/>
        <item x="612"/>
        <item x="593"/>
        <item m="1" x="4771"/>
        <item x="595"/>
        <item m="1" x="4773"/>
        <item x="594"/>
        <item m="1" x="4772"/>
        <item x="592"/>
        <item x="614"/>
        <item x="616"/>
        <item x="615"/>
        <item x="596"/>
        <item x="598"/>
        <item x="597"/>
        <item x="585"/>
        <item m="1" x="4765"/>
        <item x="587"/>
        <item m="1" x="4767"/>
        <item x="586"/>
        <item m="1" x="4766"/>
        <item x="584"/>
        <item x="617"/>
        <item x="571"/>
        <item x="607"/>
        <item x="606"/>
        <item x="605"/>
        <item x="577"/>
        <item m="1" x="4761"/>
        <item x="576"/>
        <item m="1" x="4760"/>
        <item x="575"/>
        <item m="1" x="4759"/>
        <item x="604"/>
        <item x="603"/>
        <item x="602"/>
        <item x="580"/>
        <item m="1" x="4764"/>
        <item x="579"/>
        <item m="1" x="4763"/>
        <item x="578"/>
        <item m="1" x="4762"/>
        <item x="601"/>
        <item x="600"/>
        <item x="599"/>
        <item x="583"/>
        <item x="582"/>
        <item x="581"/>
        <item x="574"/>
        <item x="573"/>
        <item x="572"/>
        <item m="1" x="4758"/>
        <item x="629"/>
        <item x="630"/>
        <item x="631"/>
        <item x="632"/>
        <item x="625"/>
        <item x="626"/>
        <item x="627"/>
        <item x="628"/>
        <item x="633"/>
        <item x="618"/>
        <item m="1" x="4728"/>
        <item x="620"/>
        <item m="1" x="4729"/>
        <item x="619"/>
        <item m="1" x="4730"/>
        <item x="622"/>
        <item m="1" x="4731"/>
        <item x="621"/>
        <item m="1" x="4732"/>
        <item x="623"/>
        <item m="1" x="4733"/>
        <item x="624"/>
        <item m="1" x="4734"/>
        <item x="634"/>
        <item x="635"/>
        <item x="636"/>
        <item x="637"/>
        <item x="652"/>
        <item x="653"/>
        <item x="654"/>
        <item x="655"/>
        <item x="656"/>
        <item x="638"/>
        <item x="639"/>
        <item x="640"/>
        <item x="641"/>
        <item x="642"/>
        <item x="643"/>
        <item x="644"/>
        <item x="645"/>
        <item x="647"/>
        <item x="646"/>
        <item x="649"/>
        <item x="648"/>
        <item x="650"/>
        <item x="651"/>
        <item x="569"/>
        <item x="715"/>
        <item x="714"/>
        <item x="718"/>
        <item m="1" x="4410"/>
        <item m="1" x="4411"/>
        <item x="717"/>
        <item x="716"/>
        <item x="1401"/>
        <item x="1397"/>
        <item m="1" x="4412"/>
        <item x="1398"/>
        <item m="1" x="4413"/>
        <item x="1399"/>
        <item m="1" x="4414"/>
        <item m="1" x="4415"/>
        <item m="1" x="4416"/>
        <item m="1" x="4417"/>
        <item m="1" x="4418"/>
        <item m="1" x="4419"/>
        <item x="1400"/>
        <item m="1" x="4420"/>
        <item x="1402"/>
        <item x="1391"/>
        <item x="1392"/>
        <item m="1" x="4421"/>
        <item x="1393"/>
        <item m="1" x="4422"/>
        <item x="1394"/>
        <item m="1" x="4423"/>
        <item m="1" x="4424"/>
        <item m="1" x="4425"/>
        <item m="1" x="4426"/>
        <item m="1" x="4427"/>
        <item m="1" x="4428"/>
        <item x="1395"/>
        <item m="1" x="4429"/>
        <item x="1396"/>
        <item x="1405"/>
        <item x="1620"/>
        <item x="1555"/>
        <item x="1550"/>
        <item x="1551"/>
        <item x="1552"/>
        <item x="1553"/>
        <item m="1" x="4430"/>
        <item m="1" x="4431"/>
        <item x="1554"/>
        <item x="1556"/>
        <item m="1" x="4432"/>
        <item x="1549"/>
        <item x="1544"/>
        <item x="1545"/>
        <item x="1546"/>
        <item x="1547"/>
        <item m="1" x="4433"/>
        <item m="1" x="4434"/>
        <item x="1582"/>
        <item x="1577"/>
        <item x="1578"/>
        <item x="1579"/>
        <item x="1580"/>
        <item m="1" x="4435"/>
        <item m="1" x="4436"/>
        <item m="1" x="4437"/>
        <item m="1" x="4438"/>
        <item m="1" x="4439"/>
        <item m="1" x="4440"/>
        <item m="1" x="4441"/>
        <item x="1581"/>
        <item x="1576"/>
        <item x="1570"/>
        <item x="1571"/>
        <item x="1572"/>
        <item x="1573"/>
        <item m="1" x="4442"/>
        <item m="1" x="4443"/>
        <item m="1" x="4444"/>
        <item x="1574"/>
        <item x="1588"/>
        <item x="1583"/>
        <item x="1584"/>
        <item x="1585"/>
        <item x="1586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x="1587"/>
        <item x="1569"/>
        <item x="1564"/>
        <item x="1565"/>
        <item x="1566"/>
        <item x="1567"/>
        <item m="1" x="4455"/>
        <item m="1" x="4456"/>
        <item x="1568"/>
        <item x="1563"/>
        <item x="1557"/>
        <item x="1558"/>
        <item x="1559"/>
        <item x="1560"/>
        <item m="1" x="4457"/>
        <item m="1" x="4458"/>
        <item m="1" x="4459"/>
        <item x="1561"/>
        <item x="1543"/>
        <item x="1538"/>
        <item x="1539"/>
        <item x="1540"/>
        <item x="1541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x="1542"/>
        <item x="1613"/>
        <item x="1608"/>
        <item x="1609"/>
        <item x="1610"/>
        <item x="1611"/>
        <item m="1" x="4470"/>
        <item m="1" x="4471"/>
        <item m="1" x="4472"/>
        <item m="1" x="4473"/>
        <item m="1" x="4474"/>
        <item m="1" x="4475"/>
        <item m="1" x="4476"/>
        <item x="1612"/>
        <item x="1619"/>
        <item x="1614"/>
        <item x="1615"/>
        <item x="1616"/>
        <item x="1617"/>
        <item m="1" x="4477"/>
        <item m="1" x="4478"/>
        <item x="1618"/>
        <item x="1607"/>
        <item x="1602"/>
        <item x="1603"/>
        <item x="1604"/>
        <item m="1" x="4479"/>
        <item m="1" x="4480"/>
        <item x="1605"/>
        <item x="1594"/>
        <item x="1589"/>
        <item x="1590"/>
        <item x="1591"/>
        <item x="1592"/>
        <item m="1" x="4481"/>
        <item m="1" x="4482"/>
        <item m="1" x="4483"/>
        <item m="1" x="4484"/>
        <item x="1593"/>
        <item x="1601"/>
        <item x="1595"/>
        <item x="1596"/>
        <item x="1597"/>
        <item x="1598"/>
        <item m="1" x="4485"/>
        <item m="1" x="4486"/>
        <item x="1599"/>
        <item x="1468"/>
        <item x="1463"/>
        <item x="1464"/>
        <item x="1465"/>
        <item x="1466"/>
        <item m="1" x="4487"/>
        <item m="1" x="4488"/>
        <item m="1" x="4489"/>
        <item m="1" x="4490"/>
        <item x="1467"/>
        <item x="1474"/>
        <item x="1469"/>
        <item x="1470"/>
        <item x="1471"/>
        <item x="1472"/>
        <item m="1" x="4491"/>
        <item x="1473"/>
        <item x="1475"/>
        <item x="1455"/>
        <item x="1450"/>
        <item x="1451"/>
        <item x="1452"/>
        <item x="1453"/>
        <item m="1" x="4492"/>
        <item m="1" x="4493"/>
        <item m="1" x="4494"/>
        <item m="1" x="4495"/>
        <item x="1454"/>
        <item x="1461"/>
        <item x="1456"/>
        <item x="1457"/>
        <item x="1458"/>
        <item x="1459"/>
        <item m="1" x="4496"/>
        <item m="1" x="4497"/>
        <item x="1460"/>
        <item x="1462"/>
        <item x="1484"/>
        <item x="1481"/>
        <item x="1479"/>
        <item x="1478"/>
        <item x="1480"/>
        <item x="1476"/>
        <item m="1" x="4498"/>
        <item m="1" x="4499"/>
        <item m="1" x="4500"/>
        <item m="1" x="4501"/>
        <item x="1477"/>
        <item x="1483"/>
        <item x="1482"/>
        <item x="1485"/>
        <item x="1504"/>
        <item x="1499"/>
        <item x="1500"/>
        <item x="1501"/>
        <item x="1502"/>
        <item m="1" x="4502"/>
        <item m="1" x="4503"/>
        <item m="1" x="4504"/>
        <item m="1" x="4505"/>
        <item x="1503"/>
        <item x="1510"/>
        <item x="1505"/>
        <item x="1506"/>
        <item x="1507"/>
        <item x="1508"/>
        <item m="1" x="4506"/>
        <item m="1" x="4507"/>
        <item x="1509"/>
        <item x="1511"/>
        <item x="1491"/>
        <item x="1486"/>
        <item x="1487"/>
        <item x="1488"/>
        <item x="1489"/>
        <item m="1" x="4508"/>
        <item m="1" x="4509"/>
        <item m="1" x="4510"/>
        <item m="1" x="4511"/>
        <item x="1490"/>
        <item x="1497"/>
        <item x="1492"/>
        <item x="1493"/>
        <item x="1494"/>
        <item x="1495"/>
        <item m="1" x="4512"/>
        <item m="1" x="4513"/>
        <item x="1496"/>
        <item x="1498"/>
        <item x="1536"/>
        <item x="1531"/>
        <item x="1532"/>
        <item x="1533"/>
        <item x="1534"/>
        <item m="1" x="4514"/>
        <item m="1" x="4515"/>
        <item x="1535"/>
        <item x="1530"/>
        <item x="1525"/>
        <item x="1526"/>
        <item x="1527"/>
        <item x="1528"/>
        <item x="1529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x="1537"/>
        <item x="1411"/>
        <item x="1406"/>
        <item x="1407"/>
        <item x="1408"/>
        <item x="1409"/>
        <item m="1" x="4533"/>
        <item m="1" x="4534"/>
        <item m="1" x="4535"/>
        <item m="1" x="4536"/>
        <item x="1410"/>
        <item x="1424"/>
        <item x="1419"/>
        <item x="1420"/>
        <item x="1421"/>
        <item x="1422"/>
        <item x="1423"/>
        <item m="1" x="4537"/>
        <item m="1" x="4538"/>
        <item m="1" x="4539"/>
        <item x="1417"/>
        <item x="1412"/>
        <item x="1413"/>
        <item x="1414"/>
        <item x="1415"/>
        <item x="1416"/>
        <item x="1430"/>
        <item x="1425"/>
        <item x="1426"/>
        <item x="1427"/>
        <item x="1428"/>
        <item x="1429"/>
        <item x="1418"/>
        <item x="1436"/>
        <item m="1" x="4540"/>
        <item m="1" x="4541"/>
        <item x="1431"/>
        <item x="1432"/>
        <item x="1433"/>
        <item x="1434"/>
        <item m="1" x="4542"/>
        <item m="1" x="4543"/>
        <item m="1" x="4544"/>
        <item m="1" x="4545"/>
        <item x="1435"/>
        <item x="1442"/>
        <item x="1437"/>
        <item x="1438"/>
        <item x="1439"/>
        <item x="1440"/>
        <item x="1441"/>
        <item x="1443"/>
        <item x="1667"/>
        <item x="1666"/>
        <item x="1647"/>
        <item x="1648"/>
        <item x="1655"/>
        <item x="1657"/>
        <item x="1658"/>
        <item x="1656"/>
        <item x="1654"/>
        <item x="1637"/>
        <item x="1635"/>
        <item x="1638"/>
        <item x="1636"/>
        <item x="1662"/>
        <item x="1650"/>
        <item x="1643"/>
        <item x="1641"/>
        <item x="1644"/>
        <item x="1642"/>
        <item x="1661"/>
        <item x="1649"/>
        <item x="239"/>
        <item x="238"/>
        <item x="237"/>
        <item x="4326"/>
        <item x="247"/>
        <item m="1" x="4546"/>
        <item x="245"/>
        <item x="246"/>
        <item m="1" x="4547"/>
        <item m="1" x="4548"/>
        <item m="1" x="4549"/>
        <item x="244"/>
        <item m="1" x="4550"/>
        <item m="1" x="4551"/>
        <item x="248"/>
        <item x="4327"/>
        <item x="253"/>
        <item m="1" x="4552"/>
        <item x="251"/>
        <item x="249"/>
        <item x="252"/>
        <item x="250"/>
        <item x="1245"/>
        <item x="1246"/>
        <item x="1359"/>
        <item x="1360"/>
        <item x="1361"/>
        <item x="1362"/>
        <item x="1355"/>
        <item x="1356"/>
        <item x="1354"/>
        <item x="1353"/>
        <item x="1357"/>
        <item x="1358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x="1270"/>
        <item x="1271"/>
        <item m="1" x="4566"/>
        <item m="1" x="4567"/>
        <item m="1" x="4568"/>
        <item x="1272"/>
        <item x="1273"/>
        <item x="1274"/>
        <item m="1" x="4569"/>
        <item m="1" x="4570"/>
        <item m="1" x="4571"/>
        <item x="1278"/>
        <item x="1279"/>
        <item x="1280"/>
        <item m="1" x="4572"/>
        <item m="1" x="4573"/>
        <item x="1281"/>
        <item m="1" x="4574"/>
        <item m="1" x="4575"/>
        <item m="1" x="4576"/>
        <item m="1" x="4577"/>
        <item x="1282"/>
        <item m="1" x="4578"/>
        <item m="1" x="4579"/>
        <item m="1" x="4580"/>
        <item m="1" x="4581"/>
        <item x="1283"/>
        <item x="1275"/>
        <item x="1276"/>
        <item x="1277"/>
        <item x="1255"/>
        <item x="1256"/>
        <item x="1257"/>
        <item x="1258"/>
        <item x="1259"/>
        <item x="1260"/>
        <item x="1249"/>
        <item m="1" x="4582"/>
        <item m="1" x="4583"/>
        <item x="1250"/>
        <item x="1251"/>
        <item x="1247"/>
        <item x="1248"/>
        <item x="1252"/>
        <item x="1253"/>
        <item x="1254"/>
        <item x="1264"/>
        <item x="1265"/>
        <item x="1266"/>
        <item x="1261"/>
        <item x="1262"/>
        <item x="1263"/>
        <item x="1284"/>
        <item m="1" x="4584"/>
        <item m="1" x="4585"/>
        <item x="1285"/>
        <item m="1" x="4586"/>
        <item m="1" x="4587"/>
        <item x="1286"/>
        <item x="1309"/>
        <item x="1310"/>
        <item x="1307"/>
        <item m="1" x="4588"/>
        <item x="1308"/>
        <item m="1" x="4589"/>
        <item x="1311"/>
        <item x="1302"/>
        <item x="1303"/>
        <item x="1304"/>
        <item m="1" x="4590"/>
        <item x="1305"/>
        <item m="1" x="4591"/>
        <item x="1306"/>
        <item x="1290"/>
        <item x="1291"/>
        <item x="1297"/>
        <item x="1298"/>
        <item x="1299"/>
        <item m="1" x="4592"/>
        <item m="1" x="4593"/>
        <item m="1" x="4594"/>
        <item m="1" x="4595"/>
        <item x="1300"/>
        <item m="1" x="4596"/>
        <item m="1" x="4597"/>
        <item m="1" x="4598"/>
        <item m="1" x="4599"/>
        <item x="1301"/>
        <item x="1292"/>
        <item x="1293"/>
        <item x="1294"/>
        <item x="1295"/>
        <item x="1296"/>
        <item m="1" x="4600"/>
        <item x="1287"/>
        <item x="1288"/>
        <item x="1289"/>
        <item x="1312"/>
        <item x="1313"/>
        <item x="1314"/>
        <item m="1" x="4601"/>
        <item m="1" x="4602"/>
        <item m="1" x="4603"/>
        <item x="1238"/>
        <item x="1239"/>
        <item x="1240"/>
        <item x="1235"/>
        <item x="1236"/>
        <item x="1237"/>
        <item x="1232"/>
        <item x="1233"/>
        <item x="1234"/>
        <item x="1226"/>
        <item x="1227"/>
        <item x="1225"/>
        <item x="1223"/>
        <item m="1" x="4604"/>
        <item x="1220"/>
        <item x="1221"/>
        <item x="1222"/>
        <item x="1212"/>
        <item x="1213"/>
        <item x="1214"/>
        <item x="1215"/>
        <item x="1217"/>
        <item x="1218"/>
        <item x="1219"/>
        <item x="1230"/>
        <item x="1231"/>
        <item x="1228"/>
        <item x="1229"/>
        <item x="1241"/>
        <item x="1242"/>
        <item x="1243"/>
        <item x="1208"/>
        <item m="1" x="4605"/>
        <item x="1209"/>
        <item x="1210"/>
        <item m="1" x="4606"/>
        <item x="1211"/>
        <item x="1189"/>
        <item x="1190"/>
        <item x="1191"/>
        <item x="1186"/>
        <item x="1187"/>
        <item x="1188"/>
        <item x="1195"/>
        <item x="1196"/>
        <item x="1197"/>
        <item x="1192"/>
        <item x="1193"/>
        <item x="1194"/>
        <item x="1202"/>
        <item x="1203"/>
        <item x="1201"/>
        <item x="1199"/>
        <item x="1200"/>
        <item x="1198"/>
        <item x="1183"/>
        <item x="1184"/>
        <item x="1185"/>
        <item x="1180"/>
        <item x="1181"/>
        <item x="1182"/>
        <item x="1177"/>
        <item x="1178"/>
        <item x="1179"/>
        <item x="1174"/>
        <item x="1175"/>
        <item x="1176"/>
        <item m="1" x="4607"/>
        <item m="1" x="4608"/>
        <item m="1" x="4609"/>
        <item x="1166"/>
        <item x="1167"/>
        <item x="1168"/>
        <item x="1169"/>
        <item x="1170"/>
        <item x="1171"/>
        <item x="1172"/>
        <item x="1173"/>
        <item m="1" x="4610"/>
        <item m="1" x="4611"/>
        <item x="1097"/>
        <item x="1094"/>
        <item x="1095"/>
        <item x="1096"/>
        <item x="1098"/>
        <item x="1099"/>
        <item x="1085"/>
        <item x="1081"/>
        <item x="1082"/>
        <item x="1083"/>
        <item x="1084"/>
        <item x="1086"/>
        <item x="1087"/>
        <item x="955"/>
        <item x="952"/>
        <item x="953"/>
        <item x="954"/>
        <item x="956"/>
        <item x="957"/>
        <item x="920"/>
        <item x="918"/>
        <item x="919"/>
        <item x="921"/>
        <item x="1017"/>
        <item x="1016"/>
        <item x="1018"/>
        <item x="1019"/>
        <item x="971"/>
        <item x="969"/>
        <item x="970"/>
        <item x="968"/>
        <item x="972"/>
        <item x="973"/>
        <item x="939"/>
        <item x="937"/>
        <item x="938"/>
        <item x="940"/>
        <item x="941"/>
        <item x="924"/>
        <item x="922"/>
        <item x="923"/>
        <item x="925"/>
        <item x="926"/>
        <item x="1028"/>
        <item x="1027"/>
        <item x="1029"/>
        <item x="1024"/>
        <item x="1025"/>
        <item x="1026"/>
        <item x="1030"/>
        <item x="978"/>
        <item x="975"/>
        <item x="976"/>
        <item x="974"/>
        <item x="977"/>
        <item x="979"/>
        <item x="949"/>
        <item x="947"/>
        <item x="948"/>
        <item x="950"/>
        <item x="951"/>
        <item x="934"/>
        <item x="932"/>
        <item x="933"/>
        <item x="935"/>
        <item x="936"/>
        <item x="1021"/>
        <item x="1020"/>
        <item x="1022"/>
        <item x="1023"/>
        <item x="983"/>
        <item x="981"/>
        <item x="982"/>
        <item x="980"/>
        <item x="984"/>
        <item x="985"/>
        <item x="944"/>
        <item x="942"/>
        <item x="943"/>
        <item x="945"/>
        <item x="946"/>
        <item x="929"/>
        <item x="927"/>
        <item x="928"/>
        <item x="930"/>
        <item x="931"/>
        <item x="1091"/>
        <item x="1088"/>
        <item x="1089"/>
        <item x="1090"/>
        <item x="1092"/>
        <item x="1093"/>
        <item x="989"/>
        <item x="986"/>
        <item x="987"/>
        <item x="988"/>
        <item x="990"/>
        <item x="991"/>
        <item x="1078"/>
        <item x="1075"/>
        <item x="1076"/>
        <item x="1077"/>
        <item x="1079"/>
        <item x="1080"/>
        <item x="1007"/>
        <item x="1004"/>
        <item x="1005"/>
        <item x="1006"/>
        <item x="1008"/>
        <item x="1009"/>
        <item x="966"/>
        <item x="962"/>
        <item x="963"/>
        <item x="964"/>
        <item x="965"/>
        <item x="967"/>
        <item x="960"/>
        <item x="958"/>
        <item x="959"/>
        <item x="961"/>
        <item x="916"/>
        <item x="914"/>
        <item x="915"/>
        <item x="917"/>
        <item x="995"/>
        <item x="992"/>
        <item x="993"/>
        <item x="994"/>
        <item x="996"/>
        <item x="997"/>
        <item x="1001"/>
        <item x="998"/>
        <item x="999"/>
        <item x="1000"/>
        <item x="1002"/>
        <item x="1003"/>
        <item x="1013"/>
        <item x="1010"/>
        <item x="1011"/>
        <item x="1012"/>
        <item x="1014"/>
        <item x="1015"/>
        <item m="1" x="4612"/>
        <item x="1064"/>
        <item m="1" x="4613"/>
        <item x="1061"/>
        <item x="1062"/>
        <item x="1063"/>
        <item x="1065"/>
        <item x="1044"/>
        <item x="1045"/>
        <item x="1043"/>
        <item x="1046"/>
        <item x="1032"/>
        <item x="1033"/>
        <item x="1031"/>
        <item x="1034"/>
        <item x="1054"/>
        <item x="1055"/>
        <item x="1053"/>
        <item m="1" x="4614"/>
        <item x="1056"/>
        <item x="1051"/>
        <item x="1052"/>
        <item x="1040"/>
        <item x="1041"/>
        <item x="1039"/>
        <item x="1042"/>
        <item x="1048"/>
        <item x="1049"/>
        <item x="1047"/>
        <item x="1050"/>
        <item x="1036"/>
        <item x="1037"/>
        <item x="1035"/>
        <item x="1038"/>
        <item m="1" x="4615"/>
        <item x="1059"/>
        <item x="1057"/>
        <item x="1058"/>
        <item x="1060"/>
        <item m="1" x="4616"/>
        <item x="1073"/>
        <item m="1" x="4617"/>
        <item x="1070"/>
        <item x="1071"/>
        <item x="1072"/>
        <item x="1074"/>
        <item m="1" x="4618"/>
        <item x="1068"/>
        <item x="1066"/>
        <item x="1067"/>
        <item x="1069"/>
        <item x="1124"/>
        <item x="1121"/>
        <item x="1122"/>
        <item x="1123"/>
        <item x="1125"/>
        <item x="1126"/>
        <item x="1130"/>
        <item x="1127"/>
        <item x="1128"/>
        <item x="1129"/>
        <item x="1131"/>
        <item x="1132"/>
        <item x="1104"/>
        <item x="1100"/>
        <item x="1101"/>
        <item x="1102"/>
        <item x="1103"/>
        <item x="1105"/>
        <item x="1109"/>
        <item x="1106"/>
        <item x="1107"/>
        <item x="1108"/>
        <item x="1110"/>
        <item x="1111"/>
        <item x="1115"/>
        <item x="1112"/>
        <item x="1113"/>
        <item x="1114"/>
        <item x="1116"/>
        <item x="1117"/>
        <item x="1118"/>
        <item x="1119"/>
        <item x="1120"/>
        <item x="1136"/>
        <item x="1137"/>
        <item x="1133"/>
        <item x="1134"/>
        <item x="1135"/>
        <item x="1138"/>
        <item x="1139"/>
        <item x="1143"/>
        <item x="1144"/>
        <item m="1" x="4619"/>
        <item m="1" x="4620"/>
        <item x="1142"/>
        <item x="1140"/>
        <item x="1141"/>
        <item x="1145"/>
        <item m="1" x="4621"/>
        <item m="1" x="4622"/>
        <item x="1146"/>
        <item x="1150"/>
        <item x="1147"/>
        <item x="1148"/>
        <item x="1149"/>
        <item x="1151"/>
        <item x="1152"/>
        <item x="1156"/>
        <item m="1" x="4623"/>
        <item x="1153"/>
        <item x="1154"/>
        <item x="1155"/>
        <item x="1157"/>
        <item x="1159"/>
        <item x="1163"/>
        <item x="1160"/>
        <item x="1161"/>
        <item x="1162"/>
        <item x="1164"/>
        <item x="1165"/>
        <item x="913"/>
        <item x="911"/>
        <item x="912"/>
        <item x="909"/>
        <item x="910"/>
        <item x="894"/>
        <item x="895"/>
        <item x="896"/>
        <item x="897"/>
        <item x="908"/>
        <item x="902"/>
        <item x="905"/>
        <item x="904"/>
        <item x="903"/>
        <item x="906"/>
        <item x="898"/>
        <item x="899"/>
        <item x="900"/>
        <item x="901"/>
        <item x="907"/>
        <item x="852"/>
        <item x="854"/>
        <item x="853"/>
        <item x="845"/>
        <item x="837"/>
        <item x="838"/>
        <item x="839"/>
        <item x="840"/>
        <item x="841"/>
        <item x="842"/>
        <item x="847"/>
        <item x="814"/>
        <item x="813"/>
        <item x="850"/>
        <item x="851"/>
        <item x="846"/>
        <item x="816"/>
        <item x="815"/>
        <item x="848"/>
        <item x="849"/>
        <item x="827"/>
        <item x="828"/>
        <item x="801"/>
        <item x="807"/>
        <item x="802"/>
        <item x="808"/>
        <item x="803"/>
        <item x="809"/>
        <item x="804"/>
        <item x="810"/>
        <item x="805"/>
        <item x="806"/>
        <item x="811"/>
        <item x="812"/>
        <item x="829"/>
        <item x="830"/>
        <item x="831"/>
        <item x="832"/>
        <item x="833"/>
        <item x="834"/>
        <item x="835"/>
        <item x="836"/>
        <item x="795"/>
        <item x="856"/>
        <item x="855"/>
        <item x="843"/>
        <item x="844"/>
        <item x="790"/>
        <item x="796"/>
        <item x="791"/>
        <item x="797"/>
        <item x="792"/>
        <item x="798"/>
        <item x="793"/>
        <item x="799"/>
        <item x="794"/>
        <item x="800"/>
        <item m="1" x="4624"/>
        <item x="825"/>
        <item x="826"/>
        <item x="821"/>
        <item x="823"/>
        <item x="824"/>
        <item x="789"/>
        <item x="857"/>
        <item x="817"/>
        <item x="785"/>
        <item m="1" x="4625"/>
        <item x="783"/>
        <item m="1" x="4626"/>
        <item x="788"/>
        <item x="818"/>
        <item x="820"/>
        <item x="819"/>
        <item x="781"/>
        <item x="782"/>
        <item x="774"/>
        <item x="776"/>
        <item x="777"/>
        <item x="775"/>
        <item x="766"/>
        <item x="767"/>
        <item x="764"/>
        <item x="765"/>
        <item x="770"/>
        <item x="771"/>
        <item x="768"/>
        <item x="769"/>
        <item x="772"/>
        <item x="773"/>
        <item x="778"/>
        <item x="744"/>
        <item x="743"/>
        <item x="742"/>
        <item x="741"/>
        <item x="737"/>
        <item x="739"/>
        <item x="738"/>
        <item x="740"/>
        <item x="761"/>
        <item x="779"/>
        <item x="752"/>
        <item x="751"/>
        <item x="750"/>
        <item x="749"/>
        <item x="745"/>
        <item x="747"/>
        <item x="746"/>
        <item x="748"/>
        <item x="762"/>
        <item x="780"/>
        <item x="760"/>
        <item x="759"/>
        <item x="757"/>
        <item x="756"/>
        <item x="753"/>
        <item x="755"/>
        <item x="754"/>
        <item x="758"/>
        <item x="763"/>
        <item x="393"/>
        <item x="394"/>
        <item x="396"/>
        <item x="395"/>
        <item x="390"/>
        <item x="391"/>
        <item x="392"/>
        <item x="347"/>
        <item x="348"/>
        <item x="349"/>
        <item x="350"/>
        <item x="355"/>
        <item x="356"/>
        <item x="351"/>
        <item x="352"/>
        <item x="353"/>
        <item x="354"/>
        <item x="365"/>
        <item x="366"/>
        <item m="1" x="4627"/>
        <item m="1" x="4628"/>
        <item x="363"/>
        <item x="364"/>
        <item m="1" x="4629"/>
        <item m="1" x="4630"/>
        <item x="367"/>
        <item x="368"/>
        <item x="361"/>
        <item x="362"/>
        <item x="357"/>
        <item x="358"/>
        <item m="1" x="4631"/>
        <item m="1" x="4632"/>
        <item x="359"/>
        <item x="360"/>
        <item m="1" x="4633"/>
        <item m="1" x="4634"/>
        <item m="1" x="4635"/>
        <item m="1" x="4636"/>
        <item x="343"/>
        <item x="344"/>
        <item x="345"/>
        <item x="346"/>
        <item x="294"/>
        <item x="295"/>
        <item x="373"/>
        <item x="310"/>
        <item x="309"/>
        <item x="307"/>
        <item x="306"/>
        <item x="308"/>
        <item x="312"/>
        <item x="311"/>
        <item x="375"/>
        <item m="1" x="4637"/>
        <item x="282"/>
        <item x="372"/>
        <item x="377"/>
        <item x="317"/>
        <item x="316"/>
        <item x="314"/>
        <item x="313"/>
        <item x="315"/>
        <item x="321"/>
        <item x="320"/>
        <item x="319"/>
        <item x="378"/>
        <item x="379"/>
        <item x="318"/>
        <item m="1" x="4638"/>
        <item x="278"/>
        <item x="279"/>
        <item x="380"/>
        <item x="371"/>
        <item x="381"/>
        <item x="326"/>
        <item x="324"/>
        <item x="322"/>
        <item x="4328"/>
        <item x="323"/>
        <item x="327"/>
        <item x="325"/>
        <item x="382"/>
        <item x="269"/>
        <item x="270"/>
        <item x="383"/>
        <item x="370"/>
        <item x="386"/>
        <item x="387"/>
        <item x="389"/>
        <item x="388"/>
        <item x="369"/>
        <item x="333"/>
        <item x="331"/>
        <item x="329"/>
        <item x="328"/>
        <item x="330"/>
        <item x="335"/>
        <item x="332"/>
        <item x="334"/>
        <item x="384"/>
        <item x="340"/>
        <item x="339"/>
        <item x="337"/>
        <item x="336"/>
        <item x="338"/>
        <item x="342"/>
        <item x="341"/>
        <item x="385"/>
        <item x="1674"/>
        <item x="1676"/>
        <item x="1675"/>
        <item x="1677"/>
        <item x="1678"/>
        <item x="1679"/>
        <item x="1680"/>
        <item x="1681"/>
        <item x="1690"/>
        <item x="1692"/>
        <item x="1691"/>
        <item x="1693"/>
        <item x="1696"/>
        <item x="1697"/>
        <item x="1694"/>
        <item x="1695"/>
        <item x="1682"/>
        <item x="1684"/>
        <item x="1683"/>
        <item x="1685"/>
        <item x="1686"/>
        <item x="1687"/>
        <item x="1688"/>
        <item x="1689"/>
        <item x="1673"/>
        <item m="1" x="4639"/>
        <item m="1" x="4640"/>
        <item x="1698"/>
        <item x="1699"/>
        <item x="1700"/>
        <item x="1701"/>
        <item x="1702"/>
        <item x="1703"/>
        <item x="1704"/>
        <item x="1705"/>
        <item x="1708"/>
        <item x="1709"/>
        <item x="1706"/>
        <item x="1707"/>
        <item x="1710"/>
        <item x="1711"/>
        <item x="1712"/>
        <item x="1713"/>
        <item x="1714"/>
        <item x="1715"/>
        <item x="1716"/>
        <item x="1382"/>
        <item x="1383"/>
        <item x="1384"/>
        <item x="1385"/>
        <item x="1386"/>
        <item x="1387"/>
        <item x="1388"/>
        <item x="1389"/>
        <item x="1723"/>
        <item x="1724"/>
        <item x="1668"/>
        <item x="722"/>
        <item x="721"/>
        <item m="1" x="4641"/>
        <item m="1" x="4642"/>
        <item m="1" x="4643"/>
        <item m="1" x="4644"/>
        <item m="1" x="4645"/>
        <item m="1" x="4646"/>
        <item m="1" x="4647"/>
        <item m="1" x="4648"/>
        <item m="1" x="4811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x="2093"/>
        <item x="2094"/>
        <item x="2095"/>
        <item x="2096"/>
        <item x="2089"/>
        <item x="2090"/>
        <item x="2091"/>
        <item x="2092"/>
        <item m="1" x="4663"/>
        <item x="1756"/>
        <item x="1757"/>
        <item x="1755"/>
        <item x="1742"/>
        <item x="1741"/>
        <item x="1754"/>
        <item x="1736"/>
        <item x="1735"/>
        <item x="1740"/>
        <item x="1739"/>
        <item x="1377"/>
        <item x="1376"/>
        <item x="1728"/>
        <item x="1726"/>
        <item x="1725"/>
        <item x="1734"/>
        <item m="1" x="4664"/>
        <item x="1747"/>
        <item x="1745"/>
        <item x="1749"/>
        <item x="1750"/>
        <item x="1748"/>
        <item x="1746"/>
        <item m="1" x="4665"/>
        <item m="1" x="4666"/>
        <item m="1" x="4667"/>
        <item m="1" x="4668"/>
        <item m="1" x="4669"/>
        <item x="1381"/>
        <item m="1" x="4670"/>
        <item m="1" x="4671"/>
        <item m="1" x="4672"/>
        <item m="1" x="4673"/>
        <item m="1" x="4674"/>
        <item m="1" x="4675"/>
        <item m="1" x="4676"/>
        <item x="1671"/>
        <item x="1733"/>
        <item x="1730"/>
        <item x="1729"/>
        <item x="1378"/>
        <item x="1371"/>
        <item x="1372"/>
        <item x="1374"/>
        <item x="1379"/>
        <item x="1375"/>
        <item x="1380"/>
        <item x="1373"/>
        <item x="1370"/>
        <item x="1368"/>
        <item x="1367"/>
        <item x="1369"/>
        <item x="1366"/>
        <item x="1363"/>
        <item x="1364"/>
        <item x="1365"/>
        <item x="730"/>
        <item x="732"/>
        <item x="731"/>
        <item x="729"/>
        <item x="728"/>
        <item x="726"/>
        <item x="725"/>
        <item x="724"/>
        <item x="1751"/>
        <item x="1631"/>
        <item x="1624"/>
        <item x="1625"/>
        <item x="1623"/>
        <item x="1627"/>
        <item x="1632"/>
        <item x="1663"/>
        <item x="1664"/>
        <item x="1665"/>
        <item m="1" x="4677"/>
        <item x="720"/>
        <item x="719"/>
        <item x="1752"/>
        <item x="1753"/>
        <item x="733"/>
        <item x="734"/>
        <item x="735"/>
        <item x="736"/>
        <item m="1" x="4678"/>
        <item x="229"/>
        <item x="230"/>
        <item x="168"/>
        <item x="228"/>
        <item x="180"/>
        <item x="200"/>
        <item x="170"/>
        <item x="175"/>
        <item x="201"/>
        <item x="190"/>
        <item x="195"/>
        <item x="185"/>
        <item x="181"/>
        <item m="1" x="4679"/>
        <item x="227"/>
        <item x="171"/>
        <item x="176"/>
        <item m="1" x="4680"/>
        <item x="202"/>
        <item x="191"/>
        <item x="196"/>
        <item x="186"/>
        <item x="182"/>
        <item x="226"/>
        <item x="172"/>
        <item x="177"/>
        <item x="203"/>
        <item x="192"/>
        <item x="197"/>
        <item x="187"/>
        <item x="183"/>
        <item x="225"/>
        <item x="173"/>
        <item x="178"/>
        <item m="1" x="4681"/>
        <item x="204"/>
        <item x="193"/>
        <item x="198"/>
        <item x="188"/>
        <item x="184"/>
        <item x="224"/>
        <item x="174"/>
        <item x="179"/>
        <item x="205"/>
        <item x="194"/>
        <item x="199"/>
        <item x="189"/>
        <item x="206"/>
        <item m="1" x="4682"/>
        <item x="223"/>
        <item x="208"/>
        <item x="211"/>
        <item x="210"/>
        <item m="1" x="4683"/>
        <item x="212"/>
        <item x="209"/>
        <item x="213"/>
        <item x="215"/>
        <item x="214"/>
        <item x="217"/>
        <item x="216"/>
        <item x="220"/>
        <item x="218"/>
        <item x="219"/>
        <item x="222"/>
        <item x="221"/>
        <item x="148"/>
        <item x="162"/>
        <item x="132"/>
        <item x="128"/>
        <item x="152"/>
        <item x="136"/>
        <item x="140"/>
        <item x="144"/>
        <item x="146"/>
        <item x="161"/>
        <item x="131"/>
        <item x="126"/>
        <item x="151"/>
        <item x="134"/>
        <item x="139"/>
        <item x="142"/>
        <item x="147"/>
        <item x="160"/>
        <item x="130"/>
        <item x="127"/>
        <item x="150"/>
        <item x="135"/>
        <item x="138"/>
        <item x="143"/>
        <item x="145"/>
        <item x="159"/>
        <item x="129"/>
        <item x="125"/>
        <item x="149"/>
        <item x="133"/>
        <item x="137"/>
        <item x="141"/>
        <item x="112"/>
        <item x="108"/>
        <item x="116"/>
        <item x="120"/>
        <item x="124"/>
        <item x="111"/>
        <item x="107"/>
        <item x="115"/>
        <item x="119"/>
        <item x="123"/>
        <item x="155"/>
        <item x="154"/>
        <item x="153"/>
        <item x="156"/>
        <item m="1" x="4684"/>
        <item x="157"/>
        <item x="158"/>
        <item m="1" x="4685"/>
        <item x="236"/>
        <item x="232"/>
        <item x="235"/>
        <item x="231"/>
        <item m="1" x="4686"/>
        <item x="234"/>
        <item x="73"/>
        <item x="70"/>
        <item x="74"/>
        <item x="71"/>
        <item x="75"/>
        <item m="1" x="4687"/>
        <item m="1" x="4688"/>
        <item m="1" x="4689"/>
        <item x="72"/>
        <item x="69"/>
        <item x="1924"/>
        <item x="1912"/>
        <item m="1" x="4745"/>
        <item x="1919"/>
        <item m="1" x="4750"/>
        <item x="1914"/>
        <item m="1" x="4747"/>
        <item x="1913"/>
        <item m="1" x="4746"/>
        <item x="1916"/>
        <item m="1" x="4748"/>
        <item x="1915"/>
        <item x="1920"/>
        <item x="1921"/>
        <item m="1" x="4712"/>
        <item m="1" x="4751"/>
        <item x="1922"/>
        <item x="1923"/>
        <item m="1" x="4711"/>
        <item x="1918"/>
        <item m="1" x="4749"/>
        <item x="1917"/>
        <item x="1910"/>
        <item m="1" x="4716"/>
        <item x="1903"/>
        <item m="1" x="4708"/>
        <item x="1902"/>
        <item m="1" x="4704"/>
        <item x="1904"/>
        <item m="1" x="4703"/>
        <item x="1905"/>
        <item m="1" x="4709"/>
        <item x="1911"/>
        <item x="3789"/>
        <item x="3790"/>
        <item x="3791"/>
        <item x="3792"/>
        <item x="3785"/>
        <item x="3786"/>
        <item x="3783"/>
        <item x="3784"/>
        <item x="3781"/>
        <item x="3782"/>
        <item x="3779"/>
        <item x="3780"/>
        <item x="3777"/>
        <item x="3778"/>
        <item x="3787"/>
        <item x="3788"/>
        <item x="3771"/>
        <item x="3772"/>
        <item x="3773"/>
        <item x="3774"/>
        <item x="3775"/>
        <item x="3776"/>
        <item x="3793"/>
        <item x="3794"/>
        <item x="3795"/>
        <item x="3796"/>
        <item x="3735"/>
        <item x="3736"/>
        <item x="3739"/>
        <item x="3740"/>
        <item x="3737"/>
        <item x="3738"/>
        <item x="3741"/>
        <item x="3742"/>
        <item x="3725"/>
        <item x="3726"/>
        <item x="3727"/>
        <item x="3728"/>
        <item x="3721"/>
        <item x="3722"/>
        <item x="3719"/>
        <item x="3720"/>
        <item x="3723"/>
        <item x="3724"/>
        <item m="1" x="5183"/>
        <item m="1" x="5182"/>
        <item m="1" x="5181"/>
        <item m="1" x="5180"/>
        <item m="1" x="5185"/>
        <item m="1" x="5184"/>
        <item x="3731"/>
        <item x="3732"/>
        <item x="3729"/>
        <item x="3730"/>
        <item m="1" x="5187"/>
        <item m="1" x="5186"/>
        <item m="1" x="5191"/>
        <item m="1" x="5190"/>
        <item m="1" x="5195"/>
        <item m="1" x="5194"/>
        <item m="1" x="5192"/>
        <item m="1" x="5193"/>
        <item x="3743"/>
        <item x="3744"/>
        <item x="3755"/>
        <item x="3756"/>
        <item x="3753"/>
        <item x="3754"/>
        <item x="3747"/>
        <item x="3748"/>
        <item x="3751"/>
        <item x="3752"/>
        <item x="3749"/>
        <item x="3750"/>
        <item x="3745"/>
        <item x="3746"/>
        <item m="1" x="5197"/>
        <item m="1" x="5196"/>
        <item m="1" x="5189"/>
        <item m="1" x="5188"/>
        <item m="1" x="5199"/>
        <item m="1" x="5198"/>
        <item m="1" x="5203"/>
        <item m="1" x="5202"/>
        <item m="1" x="5207"/>
        <item m="1" x="5206"/>
        <item m="1" x="5209"/>
        <item m="1" x="5208"/>
        <item x="3758"/>
        <item x="3757"/>
        <item m="1" x="5201"/>
        <item m="1" x="5200"/>
        <item m="1" x="5205"/>
        <item m="1" x="5204"/>
        <item x="3699"/>
        <item x="3700"/>
        <item x="3697"/>
        <item x="3698"/>
        <item x="3695"/>
        <item x="3696"/>
        <item x="3705"/>
        <item x="3706"/>
        <item x="3703"/>
        <item x="3704"/>
        <item x="3707"/>
        <item x="3708"/>
        <item x="3711"/>
        <item x="3712"/>
        <item x="3713"/>
        <item x="3714"/>
        <item x="3709"/>
        <item x="3710"/>
        <item x="3717"/>
        <item x="3718"/>
        <item x="3715"/>
        <item x="3716"/>
        <item x="3701"/>
        <item x="3702"/>
        <item x="3691"/>
        <item x="3692"/>
        <item x="3797"/>
        <item x="3798"/>
        <item m="1" x="4991"/>
        <item m="1" x="4992"/>
        <item x="3799"/>
        <item x="3800"/>
        <item x="3824"/>
        <item m="1" x="4989"/>
        <item m="1" x="5175"/>
        <item m="1" x="5174"/>
        <item m="1" x="5177"/>
        <item m="1" x="5176"/>
        <item m="1" x="5179"/>
        <item m="1" x="5178"/>
        <item m="1" x="5169"/>
        <item m="1" x="5168"/>
        <item m="1" x="5171"/>
        <item m="1" x="5170"/>
        <item m="1" x="5165"/>
        <item m="1" x="5164"/>
        <item m="1" x="5167"/>
        <item m="1" x="5166"/>
        <item m="1" x="5173"/>
        <item m="1" x="5172"/>
        <item m="1" x="5163"/>
        <item m="1" x="5162"/>
        <item x="3683"/>
        <item x="3684"/>
        <item x="3687"/>
        <item x="3688"/>
        <item x="3685"/>
        <item x="3686"/>
        <item x="3679"/>
        <item x="3680"/>
        <item x="3681"/>
        <item x="3682"/>
        <item x="3677"/>
        <item x="3678"/>
        <item x="3829"/>
        <item x="3830"/>
        <item x="3827"/>
        <item x="3828"/>
        <item x="3825"/>
        <item x="3826"/>
        <item m="1" x="5002"/>
        <item m="1" x="5001"/>
        <item x="3839"/>
        <item x="3840"/>
        <item x="3837"/>
        <item x="3838"/>
        <item x="3841"/>
        <item x="3842"/>
        <item x="3835"/>
        <item x="3836"/>
        <item x="3833"/>
        <item x="3834"/>
        <item x="3831"/>
        <item x="3832"/>
        <item x="3847"/>
        <item x="3848"/>
        <item x="3845"/>
        <item x="3846"/>
        <item x="3843"/>
        <item x="3844"/>
        <item x="3821"/>
        <item x="3822"/>
        <item x="3819"/>
        <item x="3820"/>
        <item x="3813"/>
        <item x="3814"/>
        <item x="3817"/>
        <item x="3818"/>
        <item x="3815"/>
        <item x="3816"/>
        <item x="3811"/>
        <item x="3812"/>
        <item x="3809"/>
        <item x="3810"/>
        <item m="1" x="4987"/>
        <item m="1" x="4988"/>
        <item x="3851"/>
        <item x="3852"/>
        <item x="3849"/>
        <item x="3850"/>
        <item x="3673"/>
        <item x="3674"/>
        <item x="3669"/>
        <item x="3670"/>
        <item x="3671"/>
        <item x="3672"/>
        <item x="3597"/>
        <item x="3598"/>
        <item x="3599"/>
        <item x="3600"/>
        <item x="3605"/>
        <item x="3606"/>
        <item x="3601"/>
        <item x="3602"/>
        <item x="3607"/>
        <item x="3608"/>
        <item x="3603"/>
        <item x="3604"/>
        <item x="3609"/>
        <item x="3610"/>
        <item x="3545"/>
        <item x="3546"/>
        <item x="3547"/>
        <item x="3548"/>
        <item x="3531"/>
        <item x="3532"/>
        <item x="3533"/>
        <item x="3534"/>
        <item x="3549"/>
        <item x="3550"/>
        <item x="3567"/>
        <item x="3568"/>
        <item x="3559"/>
        <item x="3560"/>
        <item x="3517"/>
        <item x="3518"/>
        <item x="3511"/>
        <item x="3512"/>
        <item x="3505"/>
        <item x="3506"/>
        <item x="3561"/>
        <item x="3562"/>
        <item x="3563"/>
        <item x="3564"/>
        <item x="3519"/>
        <item x="3520"/>
        <item x="3515"/>
        <item x="3516"/>
        <item x="3509"/>
        <item x="3510"/>
        <item x="3565"/>
        <item x="3566"/>
        <item x="3521"/>
        <item x="3522"/>
        <item x="3513"/>
        <item x="3514"/>
        <item x="3507"/>
        <item x="3508"/>
        <item x="3551"/>
        <item x="3552"/>
        <item x="3537"/>
        <item x="3538"/>
        <item x="3535"/>
        <item x="3536"/>
        <item x="3539"/>
        <item x="3540"/>
        <item x="3541"/>
        <item x="3542"/>
        <item x="3543"/>
        <item x="3544"/>
        <item x="3569"/>
        <item x="3570"/>
        <item x="3553"/>
        <item x="3554"/>
        <item x="3557"/>
        <item x="3558"/>
        <item m="1" x="5149"/>
        <item m="1" x="5150"/>
        <item x="3555"/>
        <item x="3556"/>
        <item x="3571"/>
        <item x="3572"/>
        <item x="3573"/>
        <item x="3574"/>
        <item x="3577"/>
        <item x="3578"/>
        <item x="3585"/>
        <item x="3586"/>
        <item x="3581"/>
        <item x="3582"/>
        <item x="3583"/>
        <item x="3584"/>
        <item x="3589"/>
        <item x="3590"/>
        <item x="3579"/>
        <item x="3580"/>
        <item x="3587"/>
        <item x="3588"/>
        <item x="3575"/>
        <item x="3576"/>
        <item x="3591"/>
        <item x="3592"/>
        <item x="3593"/>
        <item x="3594"/>
        <item x="3595"/>
        <item x="3596"/>
        <item x="3611"/>
        <item x="3612"/>
        <item x="3613"/>
        <item x="3614"/>
        <item x="3619"/>
        <item x="3620"/>
        <item x="3621"/>
        <item x="3622"/>
        <item x="3615"/>
        <item x="3616"/>
        <item x="3617"/>
        <item x="3618"/>
        <item x="3647"/>
        <item x="3648"/>
        <item x="3649"/>
        <item x="3650"/>
        <item x="3637"/>
        <item x="3638"/>
        <item x="3639"/>
        <item x="3640"/>
        <item x="3641"/>
        <item x="3642"/>
        <item x="3643"/>
        <item x="3644"/>
        <item x="3645"/>
        <item x="3646"/>
        <item x="3625"/>
        <item x="3626"/>
        <item x="3627"/>
        <item x="3628"/>
        <item x="3525"/>
        <item x="3526"/>
        <item x="3527"/>
        <item x="3528"/>
        <item x="3529"/>
        <item x="3530"/>
        <item x="3623"/>
        <item x="3624"/>
        <item x="3523"/>
        <item x="3524"/>
        <item x="3629"/>
        <item x="3630"/>
        <item x="3631"/>
        <item x="3632"/>
        <item x="3633"/>
        <item x="3634"/>
        <item x="3635"/>
        <item x="3636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7"/>
        <item x="3668"/>
        <item x="3663"/>
        <item x="3664"/>
        <item x="3665"/>
        <item x="3666"/>
        <item x="3487"/>
        <item x="3488"/>
        <item x="3491"/>
        <item x="3492"/>
        <item x="3489"/>
        <item x="3490"/>
        <item x="3453"/>
        <item x="3454"/>
        <item x="3461"/>
        <item x="3462"/>
        <item x="3457"/>
        <item x="3458"/>
        <item x="3465"/>
        <item x="3466"/>
        <item x="3451"/>
        <item x="3452"/>
        <item x="3459"/>
        <item x="3460"/>
        <item x="3455"/>
        <item x="3456"/>
        <item x="3463"/>
        <item x="3464"/>
        <item x="3469"/>
        <item x="3470"/>
        <item x="3467"/>
        <item x="3468"/>
        <item x="3477"/>
        <item x="3478"/>
        <item x="3475"/>
        <item x="3476"/>
        <item x="3473"/>
        <item x="3474"/>
        <item x="3471"/>
        <item x="3472"/>
        <item x="3479"/>
        <item x="3480"/>
        <item x="3449"/>
        <item x="3450"/>
        <item x="3445"/>
        <item x="3446"/>
        <item x="3433"/>
        <item x="3434"/>
        <item x="3447"/>
        <item x="3448"/>
        <item x="3443"/>
        <item x="3444"/>
        <item x="3435"/>
        <item x="3436"/>
        <item x="3441"/>
        <item x="3442"/>
        <item x="3437"/>
        <item x="3438"/>
        <item x="3439"/>
        <item x="3440"/>
        <item x="3853"/>
        <item x="3854"/>
        <item x="3855"/>
        <item x="3856"/>
        <item x="3423"/>
        <item x="3424"/>
        <item x="3425"/>
        <item x="3426"/>
        <item x="3417"/>
        <item x="3418"/>
        <item x="3427"/>
        <item x="3428"/>
        <item x="3413"/>
        <item x="3414"/>
        <item x="3431"/>
        <item x="3432"/>
        <item x="3429"/>
        <item x="3430"/>
        <item m="1" x="4927"/>
        <item m="1" x="4926"/>
        <item x="3481"/>
        <item x="3482"/>
        <item x="471"/>
        <item x="472"/>
        <item x="473"/>
        <item x="474"/>
        <item x="475"/>
        <item x="476"/>
        <item x="477"/>
        <item x="478"/>
        <item x="426"/>
        <item x="427"/>
        <item x="416"/>
        <item x="417"/>
        <item x="499"/>
        <item x="500"/>
        <item x="497"/>
        <item x="498"/>
        <item x="503"/>
        <item x="504"/>
        <item x="501"/>
        <item x="502"/>
        <item x="505"/>
        <item x="506"/>
        <item x="507"/>
        <item x="508"/>
        <item x="479"/>
        <item x="480"/>
        <item x="513"/>
        <item x="514"/>
        <item x="515"/>
        <item x="516"/>
        <item x="485"/>
        <item m="1" x="4690"/>
        <item m="1" x="4691"/>
        <item x="486"/>
        <item x="487"/>
        <item m="1" x="4692"/>
        <item m="1" x="4693"/>
        <item x="488"/>
        <item x="481"/>
        <item x="482"/>
        <item x="483"/>
        <item x="484"/>
        <item x="527"/>
        <item x="424"/>
        <item x="425"/>
        <item x="518"/>
        <item x="517"/>
        <item x="520"/>
        <item x="519"/>
        <item x="411"/>
        <item x="412"/>
        <item x="413"/>
        <item x="414"/>
        <item x="415"/>
        <item x="521"/>
        <item x="522"/>
        <item x="439"/>
        <item x="407"/>
        <item x="408"/>
        <item x="403"/>
        <item x="404"/>
        <item x="440"/>
        <item x="409"/>
        <item x="410"/>
        <item x="401"/>
        <item x="402"/>
        <item x="405"/>
        <item x="406"/>
        <item x="489"/>
        <item x="490"/>
        <item x="491"/>
        <item x="492"/>
        <item x="493"/>
        <item x="494"/>
        <item x="495"/>
        <item x="496"/>
        <item x="445"/>
        <item x="446"/>
        <item x="447"/>
        <item x="448"/>
        <item x="441"/>
        <item x="443"/>
        <item x="442"/>
        <item x="444"/>
        <item x="449"/>
        <item x="451"/>
        <item x="450"/>
        <item x="452"/>
        <item x="453"/>
        <item x="454"/>
        <item x="455"/>
        <item x="456"/>
        <item x="457"/>
        <item x="458"/>
        <item x="459"/>
        <item x="460"/>
        <item x="422"/>
        <item x="461"/>
        <item m="1" x="4694"/>
        <item x="437"/>
        <item x="438"/>
        <item x="435"/>
        <item x="436"/>
        <item x="423"/>
        <item x="462"/>
        <item x="463"/>
        <item x="464"/>
        <item x="465"/>
        <item x="466"/>
        <item x="467"/>
        <item x="468"/>
        <item x="469"/>
        <item x="470"/>
        <item m="1" x="4695"/>
        <item x="77"/>
        <item x="76"/>
        <item x="399"/>
        <item x="400"/>
        <item x="397"/>
        <item x="2097"/>
        <item x="2084"/>
        <item m="1" x="4756"/>
        <item x="2079"/>
        <item m="1" x="4753"/>
        <item x="2078"/>
        <item m="1" x="4752"/>
        <item x="2077"/>
        <item x="2081"/>
        <item m="1" x="4754"/>
        <item x="2080"/>
        <item x="2085"/>
        <item x="2086"/>
        <item m="1" x="4713"/>
        <item m="1" x="4757"/>
        <item x="2087"/>
        <item x="2088"/>
        <item m="1" x="4710"/>
        <item x="2083"/>
        <item m="1" x="4755"/>
        <item x="2082"/>
        <item x="2074"/>
        <item m="1" x="4717"/>
        <item x="2073"/>
        <item x="2031"/>
        <item m="1" x="4705"/>
        <item x="2030"/>
        <item m="1" x="4706"/>
        <item x="2032"/>
        <item m="1" x="4702"/>
        <item x="2033"/>
        <item m="1" x="4707"/>
        <item x="2135"/>
        <item m="1" x="4714"/>
        <item x="1937"/>
        <item m="1" x="4720"/>
        <item x="1942"/>
        <item m="1" x="4726"/>
        <item x="1931"/>
        <item x="1927"/>
        <item m="1" x="4721"/>
        <item x="1939"/>
        <item m="1" x="4727"/>
        <item x="1938"/>
        <item m="1" x="4793"/>
        <item x="1932"/>
        <item m="1" x="4722"/>
        <item x="1933"/>
        <item m="1" x="4723"/>
        <item x="1935"/>
        <item x="1940"/>
        <item m="1" x="4724"/>
        <item x="1946"/>
        <item x="1945"/>
        <item m="1" x="4715"/>
        <item m="1" x="4725"/>
        <item x="1943"/>
        <item x="1944"/>
        <item m="1" x="4719"/>
        <item x="1936"/>
        <item m="1" x="4792"/>
        <item x="1947"/>
        <item m="1" x="4718"/>
        <item x="1930"/>
        <item x="1925"/>
        <item x="1926"/>
        <item x="1950"/>
        <item x="1951"/>
        <item m="1" x="4800"/>
        <item x="1953"/>
        <item m="1" x="4798"/>
        <item x="1952"/>
        <item m="1" x="4801"/>
        <item x="1954"/>
        <item m="1" x="4794"/>
        <item x="1957"/>
        <item m="1" x="4802"/>
        <item x="1958"/>
        <item x="1959"/>
        <item m="1" x="4799"/>
        <item x="1955"/>
        <item x="1956"/>
        <item m="1" x="4803"/>
        <item x="1948"/>
        <item x="1986"/>
        <item x="1987"/>
        <item m="1" x="4804"/>
        <item x="1974"/>
        <item m="1" x="4806"/>
        <item x="1976"/>
        <item x="1975"/>
        <item x="1978"/>
        <item x="1977"/>
        <item x="1979"/>
        <item m="1" x="4807"/>
        <item x="1980"/>
        <item m="1" x="4808"/>
        <item x="1968"/>
        <item x="1969"/>
        <item x="1970"/>
        <item x="1981"/>
        <item m="1" x="4809"/>
        <item x="1982"/>
        <item m="1" x="4810"/>
        <item x="1972"/>
        <item x="1971"/>
        <item x="1973"/>
        <item m="1" x="4805"/>
        <item x="1983"/>
        <item x="1985"/>
        <item x="1984"/>
        <item x="1960"/>
        <item x="1964"/>
        <item x="1965"/>
        <item m="1" x="4744"/>
        <item x="1961"/>
        <item m="1" x="4795"/>
        <item x="1963"/>
        <item x="1962"/>
        <item m="1" x="4796"/>
        <item x="1966"/>
        <item x="1967"/>
        <item m="1" x="4797"/>
        <item x="2403"/>
        <item x="2402"/>
        <item x="2401"/>
        <item x="2404"/>
        <item x="2380"/>
        <item x="2379"/>
        <item x="2382"/>
        <item x="2375"/>
        <item x="2376"/>
        <item x="2381"/>
        <item x="2377"/>
        <item x="2378"/>
        <item x="2388"/>
        <item x="2387"/>
        <item x="2386"/>
        <item x="2385"/>
        <item x="2383"/>
        <item x="2384"/>
        <item x="2406"/>
        <item x="2363"/>
        <item x="2365"/>
        <item x="2366"/>
        <item x="2367"/>
        <item x="2364"/>
        <item m="1" x="4871"/>
        <item m="1" x="4873"/>
        <item m="1" x="4874"/>
        <item x="2293"/>
        <item m="1" x="4886"/>
        <item m="1" x="4887"/>
        <item m="1" x="4888"/>
        <item m="1" x="4889"/>
        <item x="2338"/>
        <item x="2339"/>
        <item x="2340"/>
        <item x="2344"/>
        <item x="2345"/>
        <item x="2346"/>
        <item x="2350"/>
        <item x="2351"/>
        <item x="2352"/>
        <item m="1" x="4875"/>
        <item m="1" x="4849"/>
        <item m="1" x="4850"/>
        <item m="1" x="4876"/>
        <item m="1" x="4877"/>
        <item m="1" x="4890"/>
        <item m="1" x="4851"/>
        <item m="1" x="4852"/>
        <item m="1" x="4894"/>
        <item m="1" x="4895"/>
        <item x="2341"/>
        <item m="1" x="4859"/>
        <item x="2342"/>
        <item x="2343"/>
        <item x="2347"/>
        <item m="1" x="4860"/>
        <item x="2348"/>
        <item x="2349"/>
        <item x="2353"/>
        <item m="1" x="4861"/>
        <item x="2354"/>
        <item x="2355"/>
        <item x="2359"/>
        <item m="1" x="4853"/>
        <item m="1" x="4854"/>
        <item x="2360"/>
        <item x="2361"/>
        <item m="1" x="4891"/>
        <item m="1" x="4862"/>
        <item m="1" x="4892"/>
        <item m="1" x="4893"/>
        <item x="2356"/>
        <item x="2357"/>
        <item x="2358"/>
        <item m="1" x="4896"/>
        <item m="1" x="4897"/>
        <item x="2362"/>
        <item m="1" x="4898"/>
        <item m="1" x="4899"/>
        <item x="2372"/>
        <item x="2371"/>
        <item x="2370"/>
        <item m="1" x="4868"/>
        <item x="2368"/>
        <item x="2450"/>
        <item x="2452"/>
        <item x="2451"/>
        <item x="2455"/>
        <item x="2454"/>
        <item x="2453"/>
        <item x="2149"/>
        <item x="2147"/>
        <item x="2145"/>
        <item x="2148"/>
        <item x="2146"/>
        <item m="1" x="4880"/>
        <item m="1" x="4881"/>
        <item m="1" x="4882"/>
        <item m="1" x="4908"/>
        <item m="1" x="4907"/>
        <item m="1" x="4906"/>
        <item m="1" x="4903"/>
        <item m="1" x="4904"/>
        <item m="1" x="4905"/>
        <item x="2230"/>
        <item x="2231"/>
        <item x="2232"/>
        <item x="2236"/>
        <item x="2237"/>
        <item x="2238"/>
        <item x="2242"/>
        <item x="2243"/>
        <item x="2244"/>
        <item m="1" x="4883"/>
        <item m="1" x="4884"/>
        <item m="1" x="4885"/>
        <item m="1" x="4909"/>
        <item m="1" x="4855"/>
        <item m="1" x="4856"/>
        <item m="1" x="4910"/>
        <item m="1" x="4911"/>
        <item x="2233"/>
        <item m="1" x="4863"/>
        <item x="2234"/>
        <item x="2235"/>
        <item x="2239"/>
        <item m="1" x="4864"/>
        <item x="2240"/>
        <item x="2241"/>
        <item x="2245"/>
        <item m="1" x="4865"/>
        <item x="2246"/>
        <item x="2247"/>
        <item x="2281"/>
        <item x="2282"/>
        <item x="2283"/>
        <item m="1" x="4912"/>
        <item m="1" x="4866"/>
        <item m="1" x="4857"/>
        <item m="1" x="4858"/>
        <item m="1" x="4913"/>
        <item m="1" x="4914"/>
        <item x="2278"/>
        <item x="2279"/>
        <item x="2280"/>
        <item m="1" x="4900"/>
        <item x="2284"/>
        <item m="1" x="4901"/>
        <item m="1" x="4902"/>
        <item x="2223"/>
        <item x="2222"/>
        <item m="1" x="4848"/>
        <item m="1" x="4870"/>
        <item x="2292"/>
        <item x="2291"/>
        <item x="2290"/>
        <item m="1" x="4867"/>
        <item x="2288"/>
        <item m="1" x="4879"/>
        <item m="1" x="4878"/>
        <item x="2285"/>
        <item x="2286"/>
        <item x="2287"/>
        <item x="2398"/>
        <item x="2397"/>
        <item x="2396"/>
        <item x="2395"/>
        <item x="2394"/>
        <item x="2392"/>
        <item x="2391"/>
        <item x="2390"/>
        <item x="2389"/>
        <item x="2393"/>
        <item x="2400"/>
        <item m="1" x="4915"/>
        <item x="2399"/>
        <item x="2374"/>
        <item x="2373"/>
        <item x="2417"/>
        <item x="2418"/>
        <item m="1" x="4917"/>
        <item x="2412"/>
        <item x="2410"/>
        <item x="2416"/>
        <item x="2409"/>
        <item x="2415"/>
        <item x="2413"/>
        <item x="2408"/>
        <item x="2414"/>
        <item x="2411"/>
        <item x="2407"/>
        <item m="1" x="4916"/>
        <item x="2424"/>
        <item x="2421"/>
        <item x="2422"/>
        <item x="2423"/>
        <item x="2425"/>
        <item x="2426"/>
        <item x="2435"/>
        <item x="2437"/>
        <item x="2436"/>
        <item m="1" x="4869"/>
        <item x="2419"/>
        <item x="4332"/>
        <item x="4331"/>
        <item x="4330"/>
        <item x="4329"/>
        <item x="2429"/>
        <item x="2427"/>
        <item x="2438"/>
        <item x="2428"/>
        <item x="2432"/>
        <item x="2420"/>
        <item x="4333"/>
        <item m="1" x="4872"/>
        <item x="2431"/>
        <item x="2430"/>
        <item x="2405"/>
        <item x="2446"/>
        <item x="2441"/>
        <item x="2440"/>
        <item x="2442"/>
        <item x="2439"/>
        <item x="2443"/>
        <item x="2444"/>
        <item x="2445"/>
        <item x="4335"/>
        <item x="4336"/>
        <item x="4334"/>
        <item x="4337"/>
        <item x="3249"/>
        <item x="3250"/>
        <item x="3251"/>
        <item x="4253"/>
        <item x="4254"/>
        <item x="3252"/>
        <item x="3253"/>
        <item x="3254"/>
        <item x="4255"/>
        <item x="4256"/>
        <item x="3243"/>
        <item x="3244"/>
        <item x="3245"/>
        <item x="4250"/>
        <item x="4249"/>
        <item x="3240"/>
        <item x="3241"/>
        <item x="3242"/>
        <item x="4247"/>
        <item x="4248"/>
        <item x="3237"/>
        <item x="3238"/>
        <item x="3239"/>
        <item x="4246"/>
        <item x="4245"/>
        <item x="3234"/>
        <item x="3235"/>
        <item x="3236"/>
        <item x="4244"/>
        <item x="4243"/>
        <item x="3231"/>
        <item x="3232"/>
        <item x="3233"/>
        <item x="4242"/>
        <item x="4241"/>
        <item x="3246"/>
        <item x="3247"/>
        <item x="3248"/>
        <item x="4252"/>
        <item x="4251"/>
        <item x="3228"/>
        <item x="3229"/>
        <item x="3230"/>
        <item x="4235"/>
        <item x="4236"/>
        <item x="3222"/>
        <item x="3223"/>
        <item x="3224"/>
        <item x="4237"/>
        <item x="4238"/>
        <item x="3225"/>
        <item x="3226"/>
        <item x="3227"/>
        <item x="4239"/>
        <item x="4240"/>
        <item x="3258"/>
        <item x="3259"/>
        <item x="3260"/>
        <item x="4257"/>
        <item x="4258"/>
        <item x="3255"/>
        <item x="3256"/>
        <item x="3257"/>
        <item x="4259"/>
        <item x="4260"/>
        <item m="1" x="5013"/>
        <item m="1" x="5012"/>
        <item x="3198"/>
        <item x="3199"/>
        <item x="3200"/>
        <item x="4199"/>
        <item x="4200"/>
        <item x="3195"/>
        <item x="3196"/>
        <item x="3197"/>
        <item x="4201"/>
        <item x="4202"/>
        <item x="3192"/>
        <item x="3193"/>
        <item x="3194"/>
        <item x="4203"/>
        <item x="4204"/>
        <item m="1" x="5016"/>
        <item m="1" x="5017"/>
        <item m="1" x="5018"/>
        <item x="3189"/>
        <item x="3190"/>
        <item x="3191"/>
        <item x="4205"/>
        <item x="4206"/>
        <item x="3159"/>
        <item x="3160"/>
        <item x="3161"/>
        <item x="4185"/>
        <item x="4186"/>
        <item x="3162"/>
        <item x="3163"/>
        <item x="3164"/>
        <item x="4183"/>
        <item x="4184"/>
        <item x="3153"/>
        <item x="3154"/>
        <item m="1" x="5022"/>
        <item x="3155"/>
        <item x="4193"/>
        <item x="4194"/>
        <item x="3150"/>
        <item x="3151"/>
        <item x="3152"/>
        <item x="4191"/>
        <item x="4192"/>
        <item x="3156"/>
        <item x="3157"/>
        <item x="3158"/>
        <item x="4195"/>
        <item x="4196"/>
        <item m="1" x="5031"/>
        <item m="1" x="5030"/>
        <item m="1" x="5029"/>
        <item m="1" x="5036"/>
        <item m="1" x="5035"/>
        <item m="1" x="5026"/>
        <item m="1" x="5025"/>
        <item m="1" x="5024"/>
        <item m="1" x="5028"/>
        <item m="1" x="5027"/>
        <item m="1" x="5034"/>
        <item m="1" x="5033"/>
        <item m="1" x="5032"/>
        <item m="1" x="5038"/>
        <item m="1" x="5037"/>
        <item x="3147"/>
        <item x="3148"/>
        <item x="3149"/>
        <item x="4189"/>
        <item x="4190"/>
        <item x="3146"/>
        <item x="3145"/>
        <item x="3144"/>
        <item x="4187"/>
        <item x="4188"/>
        <item m="1" x="5041"/>
        <item m="1" x="5040"/>
        <item m="1" x="5039"/>
        <item m="1" x="5045"/>
        <item m="1" x="5044"/>
        <item m="1" x="5076"/>
        <item m="1" x="5075"/>
        <item m="1" x="5074"/>
        <item m="1" x="5078"/>
        <item m="1" x="5077"/>
        <item m="1" x="5081"/>
        <item m="1" x="5080"/>
        <item m="1" x="5079"/>
        <item m="1" x="5083"/>
        <item m="1" x="5082"/>
        <item m="1" x="5071"/>
        <item m="1" x="5070"/>
        <item m="1" x="5069"/>
        <item m="1" x="5073"/>
        <item m="1" x="5072"/>
        <item x="3168"/>
        <item x="3169"/>
        <item x="3170"/>
        <item x="4208"/>
        <item x="4207"/>
        <item x="3177"/>
        <item x="3178"/>
        <item x="3179"/>
        <item x="4213"/>
        <item x="4214"/>
        <item x="3174"/>
        <item x="3175"/>
        <item x="3176"/>
        <item x="4211"/>
        <item x="4212"/>
        <item x="3186"/>
        <item x="3187"/>
        <item x="3188"/>
        <item x="4215"/>
        <item x="4216"/>
        <item x="3183"/>
        <item x="3184"/>
        <item x="3185"/>
        <item x="4217"/>
        <item x="4218"/>
        <item x="3180"/>
        <item x="3181"/>
        <item x="3182"/>
        <item x="4209"/>
        <item x="4210"/>
        <item x="3171"/>
        <item x="3172"/>
        <item x="3173"/>
        <item x="4219"/>
        <item x="4220"/>
        <item m="1" x="5043"/>
        <item m="1" x="5042"/>
        <item m="1" x="5048"/>
        <item m="1" x="5047"/>
        <item m="1" x="5046"/>
        <item m="1" x="5050"/>
        <item m="1" x="5049"/>
        <item m="1" x="5055"/>
        <item m="1" x="5054"/>
        <item m="1" x="5053"/>
        <item m="1" x="5058"/>
        <item m="1" x="5057"/>
        <item m="1" x="5061"/>
        <item m="1" x="5060"/>
        <item m="1" x="5059"/>
        <item m="1" x="5063"/>
        <item m="1" x="5062"/>
        <item m="1" x="5066"/>
        <item m="1" x="5065"/>
        <item m="1" x="5064"/>
        <item m="1" x="5068"/>
        <item m="1" x="5067"/>
        <item x="3201"/>
        <item x="3202"/>
        <item x="3203"/>
        <item x="4221"/>
        <item x="4222"/>
        <item m="1" x="5052"/>
        <item m="1" x="5051"/>
        <item m="1" x="5056"/>
        <item x="3114"/>
        <item x="3115"/>
        <item x="3116"/>
        <item x="4161"/>
        <item x="4162"/>
        <item x="4163"/>
        <item x="4164"/>
        <item x="3111"/>
        <item x="3112"/>
        <item x="3113"/>
        <item x="4159"/>
        <item x="4160"/>
        <item x="3108"/>
        <item x="3109"/>
        <item x="3110"/>
        <item x="4157"/>
        <item x="4158"/>
        <item x="3129"/>
        <item x="3130"/>
        <item x="3131"/>
        <item x="4175"/>
        <item x="4176"/>
        <item x="3126"/>
        <item x="3127"/>
        <item x="3128"/>
        <item x="4173"/>
        <item x="4174"/>
        <item m="1" x="4918"/>
        <item x="3141"/>
        <item x="3142"/>
        <item x="3143"/>
        <item x="4165"/>
        <item x="4166"/>
        <item x="3135"/>
        <item x="3136"/>
        <item x="3137"/>
        <item x="4170"/>
        <item x="4169"/>
        <item x="3138"/>
        <item x="3139"/>
        <item x="3140"/>
        <item x="4172"/>
        <item x="4171"/>
        <item x="3132"/>
        <item x="3133"/>
        <item x="3134"/>
        <item x="4167"/>
        <item x="4168"/>
        <item x="3123"/>
        <item x="3124"/>
        <item x="3125"/>
        <item x="4179"/>
        <item x="4180"/>
        <item x="3120"/>
        <item x="3121"/>
        <item x="3122"/>
        <item x="4177"/>
        <item x="4178"/>
        <item x="3117"/>
        <item x="3118"/>
        <item x="3119"/>
        <item x="4181"/>
        <item x="4182"/>
        <item x="3102"/>
        <item x="3103"/>
        <item x="3104"/>
        <item m="1" x="4990"/>
        <item x="4155"/>
        <item x="4156"/>
        <item x="3105"/>
        <item x="3106"/>
        <item x="3107"/>
        <item m="1" x="4919"/>
        <item m="1" x="5084"/>
        <item m="1" x="5085"/>
        <item x="3269"/>
        <item x="3270"/>
        <item x="3271"/>
        <item x="3272"/>
        <item x="4269"/>
        <item x="4270"/>
        <item m="1" x="4993"/>
        <item m="1" x="4994"/>
        <item m="1" x="4995"/>
        <item m="1" x="4996"/>
        <item x="4271"/>
        <item x="4272"/>
        <item x="3277"/>
        <item x="3278"/>
        <item x="3279"/>
        <item x="3280"/>
        <item x="4273"/>
        <item x="4274"/>
        <item x="3273"/>
        <item x="3274"/>
        <item x="3275"/>
        <item x="3276"/>
        <item x="4266"/>
        <item x="4265"/>
        <item x="3042"/>
        <item x="3043"/>
        <item x="3044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x="3051"/>
        <item x="3052"/>
        <item x="3053"/>
        <item m="1" x="5086"/>
        <item m="1" x="5087"/>
        <item m="1" x="5088"/>
        <item x="3048"/>
        <item x="3049"/>
        <item x="3050"/>
        <item m="1" x="5110"/>
        <item m="1" x="5111"/>
        <item m="1" x="5112"/>
        <item m="1" x="5113"/>
        <item m="1" x="5114"/>
        <item m="1" x="5115"/>
        <item x="3054"/>
        <item x="3055"/>
        <item x="3056"/>
        <item x="3063"/>
        <item x="3064"/>
        <item x="3065"/>
        <item m="1" x="5116"/>
        <item m="1" x="5117"/>
        <item m="1" x="5118"/>
        <item x="3057"/>
        <item x="3058"/>
        <item x="3059"/>
        <item x="3069"/>
        <item x="3070"/>
        <item x="3071"/>
        <item x="3066"/>
        <item x="3067"/>
        <item x="3068"/>
        <item x="3060"/>
        <item x="3061"/>
        <item x="3062"/>
        <item x="3072"/>
        <item x="3073"/>
        <item x="3074"/>
        <item m="1" x="5119"/>
        <item m="1" x="5120"/>
        <item m="1" x="5121"/>
        <item m="1" x="5122"/>
        <item m="1" x="5123"/>
        <item m="1" x="5124"/>
        <item x="3075"/>
        <item x="3076"/>
        <item x="3077"/>
        <item x="3078"/>
        <item x="3079"/>
        <item x="3080"/>
        <item x="3098"/>
        <item x="3097"/>
        <item x="3096"/>
        <item x="3081"/>
        <item x="3082"/>
        <item x="3083"/>
        <item x="3084"/>
        <item x="3085"/>
        <item x="3086"/>
        <item x="3095"/>
        <item x="3094"/>
        <item x="3093"/>
        <item x="3092"/>
        <item x="3091"/>
        <item x="3090"/>
        <item x="3087"/>
        <item x="3088"/>
        <item x="3089"/>
        <item x="3045"/>
        <item x="3046"/>
        <item x="3047"/>
        <item x="3039"/>
        <item x="3040"/>
        <item x="3041"/>
        <item m="1" x="5005"/>
        <item m="1" x="5006"/>
        <item m="1" x="5007"/>
        <item x="3036"/>
        <item x="3037"/>
        <item x="3038"/>
        <item m="1" x="5008"/>
        <item m="1" x="5009"/>
        <item m="1" x="5010"/>
        <item m="1" x="5128"/>
        <item m="1" x="5127"/>
        <item m="1" x="5130"/>
        <item m="1" x="5129"/>
        <item m="1" x="5132"/>
        <item m="1" x="5131"/>
        <item m="1" x="5134"/>
        <item m="1" x="5133"/>
        <item m="1" x="5138"/>
        <item m="1" x="5137"/>
        <item m="1" x="5139"/>
        <item m="1" x="5126"/>
        <item m="1" x="5125"/>
        <item m="1" x="5136"/>
        <item m="1" x="5135"/>
        <item m="1" x="5141"/>
        <item m="1" x="5140"/>
        <item m="1" x="5145"/>
        <item m="1" x="5144"/>
        <item m="1" x="5143"/>
        <item m="1" x="5142"/>
        <item x="3024"/>
        <item x="3025"/>
        <item x="3026"/>
        <item x="4147"/>
        <item x="4148"/>
        <item x="3030"/>
        <item x="3031"/>
        <item x="3032"/>
        <item x="4151"/>
        <item x="4152"/>
        <item x="3027"/>
        <item x="3028"/>
        <item x="3029"/>
        <item x="4149"/>
        <item x="4150"/>
        <item x="3018"/>
        <item x="3019"/>
        <item x="3020"/>
        <item x="4143"/>
        <item x="4144"/>
        <item x="3021"/>
        <item x="3022"/>
        <item x="3023"/>
        <item x="4145"/>
        <item x="4146"/>
        <item x="3015"/>
        <item x="3016"/>
        <item x="3017"/>
        <item x="4141"/>
        <item x="4142"/>
        <item x="3349"/>
        <item x="3350"/>
        <item x="3351"/>
        <item x="3352"/>
        <item x="4291"/>
        <item x="4292"/>
        <item x="3345"/>
        <item x="3346"/>
        <item x="3347"/>
        <item x="3348"/>
        <item x="4289"/>
        <item x="4290"/>
        <item x="3341"/>
        <item x="3342"/>
        <item x="3343"/>
        <item x="3344"/>
        <item x="4293"/>
        <item x="4294"/>
        <item m="1" x="5000"/>
        <item m="1" x="4999"/>
        <item m="1" x="4998"/>
        <item m="1" x="4997"/>
        <item m="1" x="5004"/>
        <item m="1" x="5003"/>
        <item x="3365"/>
        <item x="3366"/>
        <item x="3367"/>
        <item x="3368"/>
        <item x="4303"/>
        <item x="4304"/>
        <item x="3361"/>
        <item x="3362"/>
        <item x="3363"/>
        <item x="3364"/>
        <item x="4305"/>
        <item x="4306"/>
        <item x="3369"/>
        <item x="3370"/>
        <item x="3371"/>
        <item x="3372"/>
        <item x="4295"/>
        <item x="4296"/>
        <item x="3357"/>
        <item x="3358"/>
        <item x="3359"/>
        <item x="3360"/>
        <item x="4301"/>
        <item x="4302"/>
        <item x="3353"/>
        <item x="3354"/>
        <item x="3355"/>
        <item x="3356"/>
        <item x="4298"/>
        <item x="4297"/>
        <item x="3337"/>
        <item x="3338"/>
        <item x="3339"/>
        <item x="3340"/>
        <item x="4299"/>
        <item x="4300"/>
        <item x="3381"/>
        <item x="3382"/>
        <item x="3383"/>
        <item x="3384"/>
        <item x="4312"/>
        <item x="4311"/>
        <item x="3377"/>
        <item x="3378"/>
        <item x="3379"/>
        <item x="3380"/>
        <item x="4307"/>
        <item x="4308"/>
        <item x="3373"/>
        <item x="3374"/>
        <item x="3375"/>
        <item x="3376"/>
        <item x="4310"/>
        <item x="4309"/>
        <item x="3333"/>
        <item x="3334"/>
        <item x="3335"/>
        <item x="3336"/>
        <item x="4275"/>
        <item x="4276"/>
        <item x="3329"/>
        <item x="3330"/>
        <item x="3331"/>
        <item x="3332"/>
        <item x="4277"/>
        <item x="4278"/>
        <item x="3317"/>
        <item x="3318"/>
        <item x="3319"/>
        <item x="3320"/>
        <item x="4286"/>
        <item x="4285"/>
        <item x="3325"/>
        <item x="3326"/>
        <item x="3327"/>
        <item x="3328"/>
        <item x="4279"/>
        <item x="4280"/>
        <item x="3321"/>
        <item x="3322"/>
        <item x="3323"/>
        <item x="3324"/>
        <item x="4281"/>
        <item x="4282"/>
        <item x="3293"/>
        <item x="3294"/>
        <item x="3295"/>
        <item x="3296"/>
        <item x="4283"/>
        <item x="4284"/>
        <item x="3289"/>
        <item x="3290"/>
        <item x="3291"/>
        <item x="3292"/>
        <item x="3301"/>
        <item x="3302"/>
        <item x="3303"/>
        <item x="3304"/>
        <item x="4315"/>
        <item x="4316"/>
        <item x="3305"/>
        <item x="3306"/>
        <item x="3307"/>
        <item x="3308"/>
        <item x="4317"/>
        <item x="4318"/>
        <item x="3008"/>
        <item x="3007"/>
        <item x="3006"/>
        <item x="4137"/>
        <item x="4138"/>
        <item x="3011"/>
        <item x="3010"/>
        <item x="3009"/>
        <item x="4133"/>
        <item x="4134"/>
        <item x="3014"/>
        <item x="3013"/>
        <item x="3012"/>
        <item x="4135"/>
        <item x="4136"/>
        <item m="1" x="5148"/>
        <item m="1" x="5147"/>
        <item m="1" x="5146"/>
        <item x="2937"/>
        <item x="2938"/>
        <item x="2939"/>
        <item x="4089"/>
        <item x="4090"/>
        <item x="2919"/>
        <item x="2920"/>
        <item x="2921"/>
        <item x="4077"/>
        <item x="4078"/>
        <item x="2928"/>
        <item x="2929"/>
        <item x="2930"/>
        <item x="4079"/>
        <item x="4080"/>
        <item x="2922"/>
        <item x="2923"/>
        <item x="2924"/>
        <item x="4081"/>
        <item x="4082"/>
        <item x="2931"/>
        <item x="2932"/>
        <item x="2933"/>
        <item x="4083"/>
        <item x="4084"/>
        <item x="2925"/>
        <item x="2926"/>
        <item x="2927"/>
        <item x="4085"/>
        <item x="4086"/>
        <item x="2934"/>
        <item x="2935"/>
        <item x="2936"/>
        <item x="4087"/>
        <item x="4088"/>
        <item x="2859"/>
        <item x="2860"/>
        <item x="2861"/>
        <item x="4013"/>
        <item x="4014"/>
        <item x="2862"/>
        <item x="2863"/>
        <item x="2864"/>
        <item x="4015"/>
        <item x="4016"/>
        <item x="2838"/>
        <item x="2839"/>
        <item x="2840"/>
        <item x="4017"/>
        <item x="4018"/>
        <item x="2841"/>
        <item x="2842"/>
        <item x="2843"/>
        <item x="4019"/>
        <item x="4020"/>
        <item x="2874"/>
        <item x="2875"/>
        <item x="2876"/>
        <item x="4021"/>
        <item x="4022"/>
        <item x="2913"/>
        <item x="2914"/>
        <item x="2915"/>
        <item x="4023"/>
        <item x="4024"/>
        <item x="2877"/>
        <item x="2878"/>
        <item x="2879"/>
        <item x="4045"/>
        <item x="4046"/>
        <item x="2817"/>
        <item x="2818"/>
        <item x="2819"/>
        <item x="4008"/>
        <item x="4007"/>
        <item x="2808"/>
        <item x="2809"/>
        <item x="2810"/>
        <item x="3999"/>
        <item x="4000"/>
        <item x="2799"/>
        <item x="2800"/>
        <item x="2801"/>
        <item x="3993"/>
        <item x="3994"/>
        <item x="2880"/>
        <item x="2881"/>
        <item x="2882"/>
        <item x="4049"/>
        <item x="4050"/>
        <item x="2883"/>
        <item x="2884"/>
        <item x="2885"/>
        <item x="4005"/>
        <item x="4006"/>
        <item x="2820"/>
        <item x="2821"/>
        <item x="2822"/>
        <item x="4012"/>
        <item x="4011"/>
        <item x="2814"/>
        <item x="2815"/>
        <item x="2816"/>
        <item x="4003"/>
        <item x="4004"/>
        <item x="2805"/>
        <item x="2806"/>
        <item x="2807"/>
        <item x="3997"/>
        <item x="3998"/>
        <item x="2886"/>
        <item x="2887"/>
        <item x="2888"/>
        <item x="4047"/>
        <item x="4048"/>
        <item x="2823"/>
        <item x="2824"/>
        <item x="2825"/>
        <item x="4010"/>
        <item x="4009"/>
        <item x="2811"/>
        <item x="2812"/>
        <item x="2813"/>
        <item x="4001"/>
        <item x="4002"/>
        <item x="2802"/>
        <item x="2803"/>
        <item x="2804"/>
        <item x="3995"/>
        <item x="3996"/>
        <item x="2865"/>
        <item x="2866"/>
        <item x="2867"/>
        <item x="4029"/>
        <item x="4030"/>
        <item x="2847"/>
        <item x="2848"/>
        <item x="2849"/>
        <item x="4025"/>
        <item x="4026"/>
        <item x="2844"/>
        <item x="2845"/>
        <item x="2846"/>
        <item x="4031"/>
        <item x="4032"/>
        <item x="2850"/>
        <item x="2851"/>
        <item x="2852"/>
        <item x="4027"/>
        <item x="4028"/>
        <item x="2853"/>
        <item x="2854"/>
        <item x="2855"/>
        <item x="4033"/>
        <item x="4034"/>
        <item x="2856"/>
        <item x="2857"/>
        <item x="2858"/>
        <item x="4035"/>
        <item x="4036"/>
        <item x="2916"/>
        <item x="2917"/>
        <item x="2918"/>
        <item x="4037"/>
        <item x="4038"/>
        <item x="2868"/>
        <item x="2869"/>
        <item x="2870"/>
        <item x="4039"/>
        <item x="4040"/>
        <item x="2910"/>
        <item x="2911"/>
        <item x="2912"/>
        <item x="4041"/>
        <item x="4042"/>
        <item m="1" x="5151"/>
        <item m="1" x="5152"/>
        <item m="1" x="5153"/>
        <item m="1" x="5154"/>
        <item m="1" x="5155"/>
        <item x="2871"/>
        <item x="2872"/>
        <item x="2873"/>
        <item x="4043"/>
        <item x="4044"/>
        <item x="2790"/>
        <item x="2791"/>
        <item x="2792"/>
        <item x="4051"/>
        <item x="4052"/>
        <item x="2793"/>
        <item x="2794"/>
        <item x="2795"/>
        <item x="4053"/>
        <item x="4054"/>
        <item x="2778"/>
        <item x="2779"/>
        <item m="1" x="5023"/>
        <item x="2780"/>
        <item x="4057"/>
        <item x="4058"/>
        <item x="2769"/>
        <item x="2770"/>
        <item x="2771"/>
        <item x="4066"/>
        <item x="4065"/>
        <item x="2784"/>
        <item x="2785"/>
        <item x="2786"/>
        <item x="4061"/>
        <item x="4062"/>
        <item x="2787"/>
        <item x="2788"/>
        <item x="2789"/>
        <item x="4063"/>
        <item x="4064"/>
        <item x="2775"/>
        <item x="2776"/>
        <item x="2777"/>
        <item x="4070"/>
        <item x="4069"/>
        <item x="2781"/>
        <item x="2782"/>
        <item x="2783"/>
        <item x="4059"/>
        <item x="4060"/>
        <item x="2772"/>
        <item x="2773"/>
        <item x="2774"/>
        <item x="4068"/>
        <item x="4067"/>
        <item x="2796"/>
        <item x="2797"/>
        <item x="2798"/>
        <item x="4055"/>
        <item x="4056"/>
        <item x="2760"/>
        <item x="2761"/>
        <item x="2762"/>
        <item x="4071"/>
        <item x="4072"/>
        <item x="2763"/>
        <item x="2764"/>
        <item x="2765"/>
        <item x="4073"/>
        <item x="4074"/>
        <item x="2766"/>
        <item x="2767"/>
        <item x="2768"/>
        <item x="4075"/>
        <item x="4076"/>
        <item x="2940"/>
        <item x="2941"/>
        <item x="2942"/>
        <item x="4091"/>
        <item x="4092"/>
        <item x="2943"/>
        <item x="2944"/>
        <item x="2945"/>
        <item x="4093"/>
        <item x="4094"/>
        <item x="2952"/>
        <item x="2953"/>
        <item x="2954"/>
        <item x="4099"/>
        <item x="4100"/>
        <item x="2955"/>
        <item x="2956"/>
        <item x="2957"/>
        <item x="4101"/>
        <item x="4102"/>
        <item x="2946"/>
        <item x="2947"/>
        <item x="2948"/>
        <item x="4095"/>
        <item x="4096"/>
        <item x="2949"/>
        <item x="2950"/>
        <item x="2951"/>
        <item x="4097"/>
        <item x="4098"/>
        <item x="2985"/>
        <item x="2986"/>
        <item x="2987"/>
        <item x="4113"/>
        <item x="4114"/>
        <item x="2988"/>
        <item x="2989"/>
        <item x="2990"/>
        <item x="4115"/>
        <item x="4116"/>
        <item x="2964"/>
        <item x="2965"/>
        <item x="2966"/>
        <item x="4103"/>
        <item x="4104"/>
        <item x="2967"/>
        <item x="2968"/>
        <item x="2969"/>
        <item x="4105"/>
        <item x="4106"/>
        <item x="2958"/>
        <item x="2959"/>
        <item x="2960"/>
        <item x="4107"/>
        <item x="4108"/>
        <item x="2961"/>
        <item x="2962"/>
        <item x="2963"/>
        <item x="4109"/>
        <item x="4110"/>
        <item x="2970"/>
        <item x="2971"/>
        <item x="2972"/>
        <item x="4111"/>
        <item x="4112"/>
        <item x="2892"/>
        <item x="2893"/>
        <item x="2894"/>
        <item x="3975"/>
        <item x="3976"/>
        <item x="2895"/>
        <item x="2896"/>
        <item x="2897"/>
        <item x="3983"/>
        <item x="3984"/>
        <item x="2829"/>
        <item x="2830"/>
        <item x="2831"/>
        <item x="3978"/>
        <item x="3977"/>
        <item x="2832"/>
        <item x="2833"/>
        <item x="2834"/>
        <item x="3982"/>
        <item x="3981"/>
        <item x="2835"/>
        <item x="2836"/>
        <item x="2837"/>
        <item x="3980"/>
        <item x="3979"/>
        <item x="2889"/>
        <item x="2890"/>
        <item x="2891"/>
        <item x="3973"/>
        <item x="3974"/>
        <item x="2826"/>
        <item x="2827"/>
        <item x="2828"/>
        <item x="3972"/>
        <item x="3971"/>
        <item x="2901"/>
        <item x="2902"/>
        <item x="2903"/>
        <item x="3987"/>
        <item x="3988"/>
        <item x="2898"/>
        <item x="2899"/>
        <item x="2900"/>
        <item x="3985"/>
        <item x="3986"/>
        <item x="2904"/>
        <item x="2905"/>
        <item x="2906"/>
        <item x="3989"/>
        <item x="3990"/>
        <item x="2907"/>
        <item x="2908"/>
        <item x="2909"/>
        <item x="3992"/>
        <item x="3991"/>
        <item x="2979"/>
        <item x="2980"/>
        <item x="2981"/>
        <item x="4117"/>
        <item x="4118"/>
        <item x="2982"/>
        <item x="2983"/>
        <item x="2984"/>
        <item x="4119"/>
        <item x="4120"/>
        <item x="2976"/>
        <item x="2977"/>
        <item x="2978"/>
        <item x="4121"/>
        <item x="4122"/>
        <item x="2973"/>
        <item x="2974"/>
        <item x="2975"/>
        <item x="4123"/>
        <item x="4124"/>
        <item x="2997"/>
        <item x="2998"/>
        <item x="2999"/>
        <item x="4125"/>
        <item x="4126"/>
        <item x="3000"/>
        <item x="3001"/>
        <item x="3002"/>
        <item x="4127"/>
        <item x="4128"/>
        <item x="3003"/>
        <item x="3004"/>
        <item x="3005"/>
        <item x="3969"/>
        <item x="3970"/>
        <item x="2991"/>
        <item x="2992"/>
        <item x="2993"/>
        <item x="4129"/>
        <item x="4130"/>
        <item x="2994"/>
        <item x="2995"/>
        <item x="2996"/>
        <item x="4131"/>
        <item x="4132"/>
        <item x="2751"/>
        <item x="2752"/>
        <item x="2753"/>
        <item x="3963"/>
        <item x="3964"/>
        <item x="2757"/>
        <item x="2758"/>
        <item x="2759"/>
        <item x="3965"/>
        <item x="3966"/>
        <item x="2754"/>
        <item x="2755"/>
        <item x="2756"/>
        <item x="3967"/>
        <item x="3968"/>
        <item x="2701"/>
        <item x="2702"/>
        <item x="2703"/>
        <item x="3915"/>
        <item x="3916"/>
        <item x="2695"/>
        <item x="2696"/>
        <item x="2697"/>
        <item x="3917"/>
        <item x="3918"/>
        <item x="2692"/>
        <item x="2693"/>
        <item x="2694"/>
        <item x="3919"/>
        <item x="3920"/>
        <item x="2698"/>
        <item x="2699"/>
        <item x="2700"/>
        <item x="3921"/>
        <item x="3922"/>
        <item x="2713"/>
        <item x="2714"/>
        <item x="2715"/>
        <item x="3923"/>
        <item x="3924"/>
        <item x="2707"/>
        <item x="2708"/>
        <item x="2709"/>
        <item x="3925"/>
        <item x="3926"/>
        <item x="2704"/>
        <item x="2705"/>
        <item x="2706"/>
        <item x="3927"/>
        <item x="3928"/>
        <item x="2710"/>
        <item x="2711"/>
        <item x="2712"/>
        <item x="3929"/>
        <item x="3930"/>
        <item x="2716"/>
        <item x="2717"/>
        <item x="2718"/>
        <item x="3931"/>
        <item x="3932"/>
        <item x="2719"/>
        <item x="2720"/>
        <item x="2721"/>
        <item x="3933"/>
        <item x="3934"/>
        <item x="2680"/>
        <item x="2681"/>
        <item x="2682"/>
        <item x="3940"/>
        <item x="3939"/>
        <item x="2683"/>
        <item x="2684"/>
        <item x="2685"/>
        <item x="3942"/>
        <item x="3941"/>
        <item x="2686"/>
        <item m="1" x="5156"/>
        <item x="2687"/>
        <item m="1" x="5157"/>
        <item x="2688"/>
        <item m="1" x="5158"/>
        <item x="3935"/>
        <item x="3936"/>
        <item x="2689"/>
        <item m="1" x="5159"/>
        <item x="2690"/>
        <item m="1" x="5160"/>
        <item x="2691"/>
        <item m="1" x="5161"/>
        <item x="3937"/>
        <item x="3938"/>
        <item x="2678"/>
        <item x="2677"/>
        <item x="2679"/>
        <item x="3944"/>
        <item x="3943"/>
        <item m="1" x="5019"/>
        <item m="1" x="5020"/>
        <item m="1" x="5021"/>
        <item x="2665"/>
        <item x="2666"/>
        <item x="2667"/>
        <item x="3907"/>
        <item x="3908"/>
        <item x="2656"/>
        <item x="2657"/>
        <item x="2658"/>
        <item x="3901"/>
        <item x="3902"/>
        <item x="2668"/>
        <item x="2669"/>
        <item x="2670"/>
        <item x="3909"/>
        <item x="3910"/>
        <item x="2659"/>
        <item x="2660"/>
        <item x="2661"/>
        <item x="3903"/>
        <item x="3904"/>
        <item x="2671"/>
        <item x="2672"/>
        <item x="2673"/>
        <item x="3911"/>
        <item x="3912"/>
        <item x="2662"/>
        <item x="2663"/>
        <item x="2664"/>
        <item x="3905"/>
        <item x="3906"/>
        <item x="2674"/>
        <item x="2675"/>
        <item x="2676"/>
        <item x="3913"/>
        <item x="3914"/>
        <item x="3261"/>
        <item x="3262"/>
        <item x="3263"/>
        <item x="3264"/>
        <item x="4319"/>
        <item x="4320"/>
        <item x="3265"/>
        <item x="3266"/>
        <item x="3267"/>
        <item x="3268"/>
        <item x="4321"/>
        <item x="4322"/>
        <item x="2638"/>
        <item x="2639"/>
        <item x="2640"/>
        <item x="3889"/>
        <item x="3890"/>
        <item x="2644"/>
        <item x="2645"/>
        <item x="2646"/>
        <item x="3891"/>
        <item x="3892"/>
        <item x="2641"/>
        <item x="2642"/>
        <item x="2643"/>
        <item x="3893"/>
        <item x="3894"/>
        <item x="2629"/>
        <item x="2630"/>
        <item x="2631"/>
        <item x="3885"/>
        <item x="3886"/>
        <item x="2647"/>
        <item x="2648"/>
        <item x="2649"/>
        <item x="3895"/>
        <item x="3896"/>
        <item x="2623"/>
        <item x="2624"/>
        <item x="2625"/>
        <item x="3883"/>
        <item x="3884"/>
        <item x="2653"/>
        <item x="2654"/>
        <item x="2655"/>
        <item x="3899"/>
        <item x="3900"/>
        <item x="2650"/>
        <item x="2651"/>
        <item x="2652"/>
        <item x="3897"/>
        <item x="3898"/>
        <item x="2546"/>
        <item x="2616"/>
        <item x="2615"/>
        <item x="2607"/>
        <item x="2608"/>
        <item x="2609"/>
        <item x="2610"/>
        <item x="2611"/>
        <item x="2612"/>
        <item x="2598"/>
        <item x="2599"/>
        <item x="2600"/>
        <item x="2601"/>
        <item x="2602"/>
        <item x="2603"/>
        <item x="2604"/>
        <item x="2605"/>
        <item x="2606"/>
        <item m="1" x="4920"/>
        <item x="2573"/>
        <item x="2580"/>
        <item x="2552"/>
        <item x="2551"/>
        <item x="2550"/>
        <item x="4338"/>
        <item x="2572"/>
        <item x="2569"/>
        <item x="2570"/>
        <item x="2571"/>
        <item x="2579"/>
        <item x="2564"/>
        <item x="2565"/>
        <item x="2566"/>
        <item x="2567"/>
        <item x="2568"/>
        <item m="1" x="4969"/>
        <item x="2557"/>
        <item x="2562"/>
        <item x="2563"/>
        <item m="1" x="4970"/>
        <item m="1" x="4971"/>
        <item x="2558"/>
        <item x="2559"/>
        <item x="2560"/>
        <item x="2561"/>
        <item m="1" x="4985"/>
        <item m="1" x="4986"/>
        <item x="2574"/>
        <item x="4339"/>
        <item x="4340"/>
        <item x="2577"/>
        <item x="2575"/>
        <item x="2578"/>
        <item x="2576"/>
        <item x="2614"/>
        <item m="1" x="4925"/>
        <item m="1" x="4924"/>
        <item m="1" x="4922"/>
        <item m="1" x="4929"/>
        <item m="1" x="4928"/>
        <item x="2728"/>
        <item m="1" x="4921"/>
        <item m="1" x="4923"/>
        <item x="2722"/>
        <item x="2723"/>
        <item x="2724"/>
        <item x="3949"/>
        <item x="3950"/>
        <item x="2725"/>
        <item m="1" x="5014"/>
        <item m="1" x="5015"/>
        <item x="2548"/>
        <item x="2549"/>
        <item x="2547"/>
        <item m="1" x="5011"/>
        <item x="2583"/>
        <item x="2584"/>
        <item x="3870"/>
        <item x="2581"/>
        <item x="2582"/>
        <item x="3869"/>
        <item x="2589"/>
        <item x="2590"/>
        <item x="2591"/>
        <item m="1" x="4965"/>
        <item m="1" x="4966"/>
        <item x="3873"/>
        <item m="1" x="4967"/>
        <item m="1" x="4968"/>
        <item x="3874"/>
        <item x="2585"/>
        <item x="2586"/>
        <item x="3871"/>
        <item x="2587"/>
        <item x="2588"/>
        <item x="3872"/>
        <item x="2613"/>
        <item x="2592"/>
        <item x="2593"/>
        <item x="2594"/>
        <item m="1" x="4942"/>
        <item m="1" x="4972"/>
        <item m="1" x="4973"/>
        <item m="1" x="4974"/>
        <item m="1" x="4952"/>
        <item m="1" x="4976"/>
        <item m="1" x="4977"/>
        <item m="1" x="4978"/>
        <item m="1" x="4979"/>
        <item m="1" x="4980"/>
        <item m="1" x="4981"/>
        <item m="1" x="4982"/>
        <item m="1" x="4975"/>
        <item m="1" x="4983"/>
        <item m="1" x="4984"/>
        <item m="1" x="4951"/>
        <item x="1871"/>
        <item x="1872"/>
        <item m="1" x="4953"/>
        <item m="1" x="4948"/>
        <item m="1" x="4949"/>
        <item m="1" x="4950"/>
        <item x="1870"/>
        <item m="1" x="4964"/>
        <item m="1" x="4961"/>
        <item m="1" x="4962"/>
        <item m="1" x="4960"/>
        <item m="1" x="4963"/>
        <item x="1836"/>
        <item x="1835"/>
        <item x="1834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59"/>
        <item m="1" x="4958"/>
        <item x="1758"/>
        <item x="1771"/>
        <item x="1770"/>
        <item x="1769"/>
        <item x="1759"/>
        <item x="1772"/>
        <item x="1777"/>
        <item x="1778"/>
        <item x="1779"/>
        <item x="1789"/>
        <item x="1788"/>
        <item x="1781"/>
        <item x="1782"/>
        <item x="1783"/>
        <item x="1784"/>
        <item x="1785"/>
        <item x="1780"/>
        <item x="1787"/>
        <item x="1786"/>
        <item x="1765"/>
        <item x="1766"/>
        <item x="1761"/>
        <item x="1763"/>
        <item x="1760"/>
        <item x="1762"/>
        <item x="1764"/>
        <item x="1768"/>
        <item x="1767"/>
        <item x="1773"/>
        <item x="1775"/>
        <item x="1774"/>
        <item x="1776"/>
        <item x="1878"/>
        <item m="1" x="4957"/>
        <item x="1873"/>
        <item m="1" x="4947"/>
        <item m="1" x="4943"/>
        <item m="1" x="4944"/>
        <item m="1" x="4945"/>
        <item m="1" x="4946"/>
        <item m="1" x="4954"/>
        <item m="1" x="4955"/>
        <item m="1" x="4956"/>
        <item x="1790"/>
        <item m="1" x="4343"/>
        <item x="26"/>
        <item x="27"/>
        <item x="28"/>
        <item x="29"/>
        <item x="30"/>
        <item x="31"/>
        <item x="32"/>
        <item x="33"/>
        <item x="34"/>
        <item x="35"/>
        <item x="68"/>
        <item x="78"/>
        <item x="7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10"/>
        <item x="113"/>
        <item x="114"/>
        <item x="117"/>
        <item x="118"/>
        <item x="121"/>
        <item x="122"/>
        <item x="163"/>
        <item x="164"/>
        <item x="165"/>
        <item x="166"/>
        <item x="167"/>
        <item x="169"/>
        <item x="207"/>
        <item x="233"/>
        <item x="240"/>
        <item x="241"/>
        <item x="242"/>
        <item x="24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6"/>
        <item x="297"/>
        <item x="298"/>
        <item x="299"/>
        <item x="300"/>
        <item x="301"/>
        <item x="302"/>
        <item x="303"/>
        <item x="304"/>
        <item x="305"/>
        <item x="374"/>
        <item x="376"/>
        <item x="398"/>
        <item x="418"/>
        <item x="419"/>
        <item x="420"/>
        <item x="421"/>
        <item x="428"/>
        <item x="429"/>
        <item x="430"/>
        <item x="431"/>
        <item x="432"/>
        <item x="433"/>
        <item x="434"/>
        <item x="509"/>
        <item x="510"/>
        <item x="511"/>
        <item x="512"/>
        <item x="523"/>
        <item x="524"/>
        <item x="525"/>
        <item x="526"/>
        <item x="532"/>
        <item x="561"/>
        <item x="570"/>
        <item x="723"/>
        <item x="727"/>
        <item x="784"/>
        <item x="786"/>
        <item x="787"/>
        <item x="822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1158"/>
        <item x="1204"/>
        <item x="1205"/>
        <item x="1206"/>
        <item x="1207"/>
        <item x="1216"/>
        <item x="1224"/>
        <item x="1244"/>
        <item x="1267"/>
        <item x="1268"/>
        <item x="1269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90"/>
        <item x="1403"/>
        <item x="1404"/>
        <item x="1444"/>
        <item x="1445"/>
        <item x="1446"/>
        <item x="1447"/>
        <item x="1448"/>
        <item x="1449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48"/>
        <item x="1562"/>
        <item x="1575"/>
        <item x="1600"/>
        <item x="1606"/>
        <item x="1621"/>
        <item x="1622"/>
        <item x="1626"/>
        <item x="1628"/>
        <item x="1629"/>
        <item x="1630"/>
        <item x="1633"/>
        <item x="1634"/>
        <item x="1639"/>
        <item x="1640"/>
        <item x="1645"/>
        <item x="1646"/>
        <item x="1651"/>
        <item x="1652"/>
        <item x="1653"/>
        <item x="1659"/>
        <item x="1660"/>
        <item x="1669"/>
        <item x="1670"/>
        <item x="1672"/>
        <item x="1717"/>
        <item x="1718"/>
        <item x="1719"/>
        <item x="1720"/>
        <item x="1721"/>
        <item x="1722"/>
        <item x="1727"/>
        <item x="1731"/>
        <item x="1732"/>
        <item x="1737"/>
        <item x="1738"/>
        <item x="1743"/>
        <item x="1744"/>
        <item x="1791"/>
        <item x="1792"/>
        <item x="1793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4"/>
        <item x="1875"/>
        <item x="1876"/>
        <item x="1877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6"/>
        <item x="1907"/>
        <item x="1908"/>
        <item x="1909"/>
        <item x="1928"/>
        <item x="1929"/>
        <item x="1934"/>
        <item x="1941"/>
        <item x="1949"/>
        <item x="2011"/>
        <item x="2034"/>
        <item x="2035"/>
        <item x="2036"/>
        <item x="2075"/>
        <item x="2076"/>
        <item x="2136"/>
        <item x="2137"/>
        <item x="2138"/>
        <item x="2139"/>
        <item x="2140"/>
        <item x="2141"/>
        <item x="2142"/>
        <item x="2143"/>
        <item x="2144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4"/>
        <item x="2225"/>
        <item x="2226"/>
        <item x="2227"/>
        <item x="2228"/>
        <item x="2229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89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69"/>
        <item x="2433"/>
        <item x="2434"/>
        <item x="2447"/>
        <item x="2448"/>
        <item x="2449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53"/>
        <item x="2554"/>
        <item x="2555"/>
        <item x="2556"/>
        <item x="2595"/>
        <item x="2596"/>
        <item x="2597"/>
        <item x="2617"/>
        <item x="2618"/>
        <item x="2619"/>
        <item x="2620"/>
        <item x="2621"/>
        <item x="2622"/>
        <item x="2626"/>
        <item x="2627"/>
        <item x="2628"/>
        <item x="2632"/>
        <item x="2633"/>
        <item x="2634"/>
        <item x="2635"/>
        <item x="2636"/>
        <item x="2637"/>
        <item x="2726"/>
        <item x="2727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3033"/>
        <item x="3034"/>
        <item x="3035"/>
        <item x="3099"/>
        <item x="3100"/>
        <item x="3101"/>
        <item x="3165"/>
        <item x="3166"/>
        <item x="3167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81"/>
        <item x="3282"/>
        <item x="3283"/>
        <item x="3284"/>
        <item x="3285"/>
        <item x="3286"/>
        <item x="3287"/>
        <item x="3288"/>
        <item x="3297"/>
        <item x="3298"/>
        <item x="3299"/>
        <item x="3300"/>
        <item x="3309"/>
        <item x="3310"/>
        <item x="3311"/>
        <item x="3312"/>
        <item x="3313"/>
        <item x="3314"/>
        <item x="3315"/>
        <item x="3316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5"/>
        <item x="3416"/>
        <item x="3419"/>
        <item x="3420"/>
        <item x="3421"/>
        <item x="3422"/>
        <item x="3483"/>
        <item x="3484"/>
        <item x="3485"/>
        <item x="3486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675"/>
        <item x="3676"/>
        <item x="3689"/>
        <item x="3690"/>
        <item x="3693"/>
        <item x="3694"/>
        <item x="3733"/>
        <item x="3734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801"/>
        <item x="3802"/>
        <item x="3803"/>
        <item x="3804"/>
        <item x="3805"/>
        <item x="3806"/>
        <item x="3807"/>
        <item x="3808"/>
        <item x="3823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5"/>
        <item x="3876"/>
        <item x="3877"/>
        <item x="3878"/>
        <item x="3879"/>
        <item x="3880"/>
        <item x="3881"/>
        <item x="3882"/>
        <item x="3887"/>
        <item x="3888"/>
        <item x="3945"/>
        <item x="3946"/>
        <item x="3947"/>
        <item x="3948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4139"/>
        <item x="4140"/>
        <item x="4153"/>
        <item x="4154"/>
        <item x="4197"/>
        <item x="4198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61"/>
        <item x="4262"/>
        <item x="4263"/>
        <item x="4264"/>
        <item x="4267"/>
        <item x="4268"/>
        <item x="4287"/>
        <item x="4288"/>
        <item x="4313"/>
        <item x="4314"/>
        <item x="4323"/>
        <item x="4324"/>
        <item x="4325"/>
        <item x="4341"/>
        <item x="4342"/>
        <item t="default"/>
      </items>
    </pivotField>
  </pivotFields>
  <rowFields count="2">
    <field x="0"/>
    <field x="1"/>
  </rowFields>
  <rowItems count="1899">
    <i>
      <x v="4"/>
      <x v="1977"/>
    </i>
    <i r="1">
      <x v="1978"/>
    </i>
    <i r="1">
      <x v="1979"/>
    </i>
    <i r="1">
      <x v="1980"/>
    </i>
    <i r="1">
      <x v="1981"/>
    </i>
    <i r="1">
      <x v="1982"/>
    </i>
    <i r="1">
      <x v="1983"/>
    </i>
    <i r="1">
      <x v="1984"/>
    </i>
    <i r="1">
      <x v="1985"/>
    </i>
    <i r="1">
      <x v="1986"/>
    </i>
    <i r="1">
      <x v="1987"/>
    </i>
    <i r="1">
      <x v="1988"/>
    </i>
    <i r="1">
      <x v="1989"/>
    </i>
    <i r="1">
      <x v="1990"/>
    </i>
    <i r="1">
      <x v="1991"/>
    </i>
    <i r="1">
      <x v="1992"/>
    </i>
    <i r="1">
      <x v="1993"/>
    </i>
    <i r="1">
      <x v="1994"/>
    </i>
    <i r="1">
      <x v="1995"/>
    </i>
    <i r="1">
      <x v="1996"/>
    </i>
    <i r="1">
      <x v="1997"/>
    </i>
    <i r="1">
      <x v="1998"/>
    </i>
    <i r="1">
      <x v="1999"/>
    </i>
    <i r="1">
      <x v="2000"/>
    </i>
    <i r="1">
      <x v="2001"/>
    </i>
    <i r="1">
      <x v="2002"/>
    </i>
    <i r="1">
      <x v="2003"/>
    </i>
    <i r="1">
      <x v="2004"/>
    </i>
    <i r="1">
      <x v="2005"/>
    </i>
    <i r="1">
      <x v="2006"/>
    </i>
    <i r="1">
      <x v="2007"/>
    </i>
    <i r="1">
      <x v="2008"/>
    </i>
    <i r="1">
      <x v="2009"/>
    </i>
    <i r="1">
      <x v="2010"/>
    </i>
    <i r="1">
      <x v="2011"/>
    </i>
    <i r="1">
      <x v="2012"/>
    </i>
    <i r="1">
      <x v="2013"/>
    </i>
    <i r="1">
      <x v="2014"/>
    </i>
    <i r="1">
      <x v="2015"/>
    </i>
    <i r="1">
      <x v="2016"/>
    </i>
    <i r="1">
      <x v="2017"/>
    </i>
    <i r="1">
      <x v="2018"/>
    </i>
    <i r="1">
      <x v="2019"/>
    </i>
    <i r="1">
      <x v="2020"/>
    </i>
    <i r="1">
      <x v="2027"/>
    </i>
    <i r="1">
      <x v="2028"/>
    </i>
    <i r="1">
      <x v="2029"/>
    </i>
    <i r="1">
      <x v="2030"/>
    </i>
    <i r="1">
      <x v="2039"/>
    </i>
    <i r="1">
      <x v="2040"/>
    </i>
    <i r="1">
      <x v="2041"/>
    </i>
    <i r="1">
      <x v="2042"/>
    </i>
    <i r="1">
      <x v="2043"/>
    </i>
    <i r="1">
      <x v="2044"/>
    </i>
    <i r="1">
      <x v="2045"/>
    </i>
    <i r="1">
      <x v="2046"/>
    </i>
    <i r="1">
      <x v="2047"/>
    </i>
    <i r="1">
      <x v="2048"/>
    </i>
    <i r="1">
      <x v="2049"/>
    </i>
    <i r="1">
      <x v="2050"/>
    </i>
    <i r="1">
      <x v="2051"/>
    </i>
    <i r="1">
      <x v="2052"/>
    </i>
    <i r="1">
      <x v="2065"/>
    </i>
    <i r="1">
      <x v="2066"/>
    </i>
    <i r="1">
      <x v="2071"/>
    </i>
    <i r="1">
      <x v="2072"/>
    </i>
    <i r="1">
      <x v="2073"/>
    </i>
    <i r="1">
      <x v="2074"/>
    </i>
    <i r="1">
      <x v="2075"/>
    </i>
    <i r="1">
      <x v="2076"/>
    </i>
    <i r="1">
      <x v="2077"/>
    </i>
    <i r="1">
      <x v="2078"/>
    </i>
    <i r="1">
      <x v="2079"/>
    </i>
    <i r="1">
      <x v="2080"/>
    </i>
    <i r="1">
      <x v="2081"/>
    </i>
    <i r="1">
      <x v="2082"/>
    </i>
    <i r="1">
      <x v="2083"/>
    </i>
    <i r="1">
      <x v="2084"/>
    </i>
    <i r="1">
      <x v="2085"/>
    </i>
    <i r="1">
      <x v="2086"/>
    </i>
    <i r="1">
      <x v="2087"/>
    </i>
    <i r="1">
      <x v="2088"/>
    </i>
    <i r="1">
      <x v="2089"/>
    </i>
    <i r="1">
      <x v="2090"/>
    </i>
    <i r="1">
      <x v="2091"/>
    </i>
    <i r="1">
      <x v="2092"/>
    </i>
    <i r="1">
      <x v="2093"/>
    </i>
    <i r="1">
      <x v="2094"/>
    </i>
    <i r="1">
      <x v="2095"/>
    </i>
    <i r="1">
      <x v="2096"/>
    </i>
    <i r="1">
      <x v="2097"/>
    </i>
    <i r="1">
      <x v="2098"/>
    </i>
    <i r="1">
      <x v="2101"/>
    </i>
    <i r="1">
      <x v="2102"/>
    </i>
    <i r="1">
      <x v="2103"/>
    </i>
    <i r="1">
      <x v="2123"/>
    </i>
    <i r="1">
      <x v="2124"/>
    </i>
    <i r="1">
      <x v="2125"/>
    </i>
    <i r="1">
      <x v="2126"/>
    </i>
    <i r="1">
      <x v="2127"/>
    </i>
    <i r="1">
      <x v="2128"/>
    </i>
    <i r="1">
      <x v="2129"/>
    </i>
    <i r="1">
      <x v="2130"/>
    </i>
    <i r="1">
      <x v="2131"/>
    </i>
    <i r="1">
      <x v="2132"/>
    </i>
    <i r="1">
      <x v="2133"/>
    </i>
    <i r="1">
      <x v="2134"/>
    </i>
    <i r="1">
      <x v="2135"/>
    </i>
    <i r="1">
      <x v="2136"/>
    </i>
    <i r="1">
      <x v="2137"/>
    </i>
    <i r="1">
      <x v="2138"/>
    </i>
    <i r="1">
      <x v="2139"/>
    </i>
    <i r="1">
      <x v="2140"/>
    </i>
    <i r="1">
      <x v="2143"/>
    </i>
    <i r="1">
      <x v="2144"/>
    </i>
    <i r="1">
      <x v="2145"/>
    </i>
    <i r="1">
      <x v="2146"/>
    </i>
    <i r="1">
      <x v="2147"/>
    </i>
    <i r="1">
      <x v="2148"/>
    </i>
    <i r="1">
      <x v="2149"/>
    </i>
    <i r="1">
      <x v="2150"/>
    </i>
    <i r="1">
      <x v="2151"/>
    </i>
    <i r="1">
      <x v="2152"/>
    </i>
    <i r="1">
      <x v="2153"/>
    </i>
    <i r="1">
      <x v="2154"/>
    </i>
    <i r="1">
      <x v="2155"/>
    </i>
    <i r="1">
      <x v="2156"/>
    </i>
    <i r="1">
      <x v="2157"/>
    </i>
    <i r="1">
      <x v="2158"/>
    </i>
    <i r="1">
      <x v="2159"/>
    </i>
    <i r="1">
      <x v="2160"/>
    </i>
    <i r="1">
      <x v="2161"/>
    </i>
    <i r="1">
      <x v="2162"/>
    </i>
    <i r="1">
      <x v="2163"/>
    </i>
    <i r="1">
      <x v="2164"/>
    </i>
    <i r="1">
      <x v="2165"/>
    </i>
    <i r="1">
      <x v="2166"/>
    </i>
    <i r="1">
      <x v="2167"/>
    </i>
    <i r="1">
      <x v="2168"/>
    </i>
    <i r="1">
      <x v="2169"/>
    </i>
    <i r="1">
      <x v="2170"/>
    </i>
    <i r="1">
      <x v="2171"/>
    </i>
    <i r="1">
      <x v="2172"/>
    </i>
    <i r="1">
      <x v="2173"/>
    </i>
    <i r="1">
      <x v="2174"/>
    </i>
    <i r="1">
      <x v="2177"/>
    </i>
    <i r="1">
      <x v="2178"/>
    </i>
    <i r="1">
      <x v="2179"/>
    </i>
    <i r="1">
      <x v="2180"/>
    </i>
    <i r="1">
      <x v="2181"/>
    </i>
    <i r="1">
      <x v="2182"/>
    </i>
    <i r="1">
      <x v="2183"/>
    </i>
    <i r="1">
      <x v="2184"/>
    </i>
    <i r="1">
      <x v="2185"/>
    </i>
    <i r="1">
      <x v="2186"/>
    </i>
    <i r="1">
      <x v="2187"/>
    </i>
    <i r="1">
      <x v="2188"/>
    </i>
    <i r="1">
      <x v="2189"/>
    </i>
    <i r="1">
      <x v="2190"/>
    </i>
    <i r="1">
      <x v="2191"/>
    </i>
    <i r="1">
      <x v="2192"/>
    </i>
    <i r="1">
      <x v="2193"/>
    </i>
    <i r="1">
      <x v="2194"/>
    </i>
    <i r="1">
      <x v="2195"/>
    </i>
    <i r="1">
      <x v="2196"/>
    </i>
    <i r="1">
      <x v="2197"/>
    </i>
    <i r="1">
      <x v="2198"/>
    </i>
    <i r="1">
      <x v="2199"/>
    </i>
    <i r="1">
      <x v="2200"/>
    </i>
    <i r="1">
      <x v="2201"/>
    </i>
    <i r="1">
      <x v="2202"/>
    </i>
    <i r="1">
      <x v="2203"/>
    </i>
    <i r="1">
      <x v="2204"/>
    </i>
    <i r="1">
      <x v="2205"/>
    </i>
    <i r="1">
      <x v="2206"/>
    </i>
    <i r="1">
      <x v="2207"/>
    </i>
    <i r="1">
      <x v="2208"/>
    </i>
    <i r="1">
      <x v="2209"/>
    </i>
    <i r="1">
      <x v="2210"/>
    </i>
    <i r="1">
      <x v="2211"/>
    </i>
    <i r="1">
      <x v="2212"/>
    </i>
    <i r="1">
      <x v="2213"/>
    </i>
    <i r="1">
      <x v="2214"/>
    </i>
    <i r="1">
      <x v="2215"/>
    </i>
    <i r="1">
      <x v="2216"/>
    </i>
    <i r="1">
      <x v="2217"/>
    </i>
    <i r="1">
      <x v="2218"/>
    </i>
    <i r="1">
      <x v="2219"/>
    </i>
    <i r="1">
      <x v="2220"/>
    </i>
    <i r="1">
      <x v="2221"/>
    </i>
    <i r="1">
      <x v="2222"/>
    </i>
    <i r="1">
      <x v="2223"/>
    </i>
    <i r="1">
      <x v="2224"/>
    </i>
    <i r="1">
      <x v="2225"/>
    </i>
    <i r="1">
      <x v="2226"/>
    </i>
    <i r="1">
      <x v="2227"/>
    </i>
    <i r="1">
      <x v="2228"/>
    </i>
    <i r="1">
      <x v="2229"/>
    </i>
    <i r="1">
      <x v="2230"/>
    </i>
    <i r="1">
      <x v="2231"/>
    </i>
    <i r="1">
      <x v="2232"/>
    </i>
    <i r="1">
      <x v="2233"/>
    </i>
    <i r="1">
      <x v="2234"/>
    </i>
    <i r="1">
      <x v="2235"/>
    </i>
    <i r="1">
      <x v="2236"/>
    </i>
    <i r="1">
      <x v="2237"/>
    </i>
    <i r="1">
      <x v="2238"/>
    </i>
    <i r="1">
      <x v="2239"/>
    </i>
    <i r="1">
      <x v="2240"/>
    </i>
    <i r="1">
      <x v="2241"/>
    </i>
    <i r="1">
      <x v="2242"/>
    </i>
    <i r="1">
      <x v="2243"/>
    </i>
    <i r="1">
      <x v="2244"/>
    </i>
    <i r="1">
      <x v="2245"/>
    </i>
    <i r="1">
      <x v="2246"/>
    </i>
    <i r="1">
      <x v="2247"/>
    </i>
    <i r="1">
      <x v="2248"/>
    </i>
    <i r="1">
      <x v="2249"/>
    </i>
    <i r="1">
      <x v="2250"/>
    </i>
    <i r="1">
      <x v="2251"/>
    </i>
    <i r="1">
      <x v="2252"/>
    </i>
    <i r="1">
      <x v="2253"/>
    </i>
    <i r="1">
      <x v="2254"/>
    </i>
    <i r="1">
      <x v="2255"/>
    </i>
    <i r="1">
      <x v="2256"/>
    </i>
    <i r="1">
      <x v="2259"/>
    </i>
    <i r="1">
      <x v="2260"/>
    </i>
    <i r="1">
      <x v="2261"/>
    </i>
    <i r="1">
      <x v="2262"/>
    </i>
    <i r="1">
      <x v="2263"/>
    </i>
    <i r="1">
      <x v="2264"/>
    </i>
    <i r="1">
      <x v="2265"/>
    </i>
    <i r="1">
      <x v="2266"/>
    </i>
    <i r="1">
      <x v="2267"/>
    </i>
    <i r="1">
      <x v="2268"/>
    </i>
    <i r="1">
      <x v="2269"/>
    </i>
    <i r="1">
      <x v="2270"/>
    </i>
    <i r="1">
      <x v="2271"/>
    </i>
    <i r="1">
      <x v="2272"/>
    </i>
    <i r="1">
      <x v="2273"/>
    </i>
    <i r="1">
      <x v="2274"/>
    </i>
    <i r="1">
      <x v="2275"/>
    </i>
    <i r="1">
      <x v="2276"/>
    </i>
    <i r="1">
      <x v="2277"/>
    </i>
    <i r="1">
      <x v="2278"/>
    </i>
    <i r="1">
      <x v="2279"/>
    </i>
    <i r="1">
      <x v="2280"/>
    </i>
    <i r="1">
      <x v="2281"/>
    </i>
    <i r="1">
      <x v="2282"/>
    </i>
    <i r="1">
      <x v="2283"/>
    </i>
    <i r="1">
      <x v="2284"/>
    </i>
    <i r="1">
      <x v="2285"/>
    </i>
    <i r="1">
      <x v="2286"/>
    </i>
    <i r="1">
      <x v="2287"/>
    </i>
    <i r="1">
      <x v="2288"/>
    </i>
    <i r="1">
      <x v="2289"/>
    </i>
    <i r="1">
      <x v="2290"/>
    </i>
    <i r="1">
      <x v="2291"/>
    </i>
    <i r="1">
      <x v="2292"/>
    </i>
    <i r="1">
      <x v="2293"/>
    </i>
    <i r="1">
      <x v="2294"/>
    </i>
    <i r="1">
      <x v="2295"/>
    </i>
    <i r="1">
      <x v="2296"/>
    </i>
    <i r="1">
      <x v="2297"/>
    </i>
    <i r="1">
      <x v="2298"/>
    </i>
    <i r="1">
      <x v="2299"/>
    </i>
    <i r="1">
      <x v="2300"/>
    </i>
    <i r="1">
      <x v="2301"/>
    </i>
    <i r="1">
      <x v="2302"/>
    </i>
    <i r="1">
      <x v="2303"/>
    </i>
    <i r="1">
      <x v="2304"/>
    </i>
    <i r="1">
      <x v="2305"/>
    </i>
    <i r="1">
      <x v="2306"/>
    </i>
    <i r="1">
      <x v="2307"/>
    </i>
    <i r="1">
      <x v="2308"/>
    </i>
    <i r="1">
      <x v="2309"/>
    </i>
    <i r="1">
      <x v="2310"/>
    </i>
    <i r="1">
      <x v="2311"/>
    </i>
    <i r="1">
      <x v="2312"/>
    </i>
    <i r="1">
      <x v="2313"/>
    </i>
    <i r="1">
      <x v="2314"/>
    </i>
    <i r="1">
      <x v="2315"/>
    </i>
    <i r="1">
      <x v="2316"/>
    </i>
    <i r="1">
      <x v="2317"/>
    </i>
    <i r="1">
      <x v="2318"/>
    </i>
    <i r="1">
      <x v="2319"/>
    </i>
    <i r="1">
      <x v="2320"/>
    </i>
    <i r="1">
      <x v="2321"/>
    </i>
    <i r="1">
      <x v="2322"/>
    </i>
    <i r="1">
      <x v="2323"/>
    </i>
    <i r="1">
      <x v="2324"/>
    </i>
    <i r="1">
      <x v="2325"/>
    </i>
    <i r="1">
      <x v="2326"/>
    </i>
    <i r="1">
      <x v="2327"/>
    </i>
    <i r="1">
      <x v="2328"/>
    </i>
    <i r="1">
      <x v="2329"/>
    </i>
    <i r="1">
      <x v="2330"/>
    </i>
    <i r="1">
      <x v="2331"/>
    </i>
    <i r="1">
      <x v="2332"/>
    </i>
    <i r="1">
      <x v="2333"/>
    </i>
    <i r="1">
      <x v="2334"/>
    </i>
    <i r="1">
      <x v="2335"/>
    </i>
    <i r="1">
      <x v="2336"/>
    </i>
    <i r="1">
      <x v="2337"/>
    </i>
    <i r="1">
      <x v="2338"/>
    </i>
    <i r="1">
      <x v="2339"/>
    </i>
    <i r="1">
      <x v="2340"/>
    </i>
    <i r="1">
      <x v="2341"/>
    </i>
    <i r="1">
      <x v="2342"/>
    </i>
    <i r="1">
      <x v="2343"/>
    </i>
    <i r="1">
      <x v="2344"/>
    </i>
    <i r="1">
      <x v="2345"/>
    </i>
    <i r="1">
      <x v="2346"/>
    </i>
    <i r="1">
      <x v="2347"/>
    </i>
    <i r="1">
      <x v="2348"/>
    </i>
    <i r="1">
      <x v="2349"/>
    </i>
    <i r="1">
      <x v="2350"/>
    </i>
    <i r="1">
      <x v="2351"/>
    </i>
    <i r="1">
      <x v="2352"/>
    </i>
    <i r="1">
      <x v="2353"/>
    </i>
    <i r="1">
      <x v="2354"/>
    </i>
    <i r="1">
      <x v="2355"/>
    </i>
    <i r="1">
      <x v="2356"/>
    </i>
    <i r="1">
      <x v="2357"/>
    </i>
    <i r="1">
      <x v="2358"/>
    </i>
    <i r="1">
      <x v="2359"/>
    </i>
    <i r="1">
      <x v="2360"/>
    </i>
    <i r="1">
      <x v="2361"/>
    </i>
    <i r="1">
      <x v="2362"/>
    </i>
    <i r="1">
      <x v="2363"/>
    </i>
    <i r="1">
      <x v="2364"/>
    </i>
    <i r="1">
      <x v="2365"/>
    </i>
    <i r="1">
      <x v="2366"/>
    </i>
    <i r="1">
      <x v="2367"/>
    </i>
    <i r="1">
      <x v="2368"/>
    </i>
    <i r="1">
      <x v="2369"/>
    </i>
    <i r="1">
      <x v="2370"/>
    </i>
    <i r="1">
      <x v="2371"/>
    </i>
    <i r="1">
      <x v="2372"/>
    </i>
    <i r="1">
      <x v="2373"/>
    </i>
    <i r="1">
      <x v="2374"/>
    </i>
    <i r="1">
      <x v="2375"/>
    </i>
    <i r="1">
      <x v="2376"/>
    </i>
    <i r="1">
      <x v="2377"/>
    </i>
    <i r="1">
      <x v="2378"/>
    </i>
    <i r="1">
      <x v="2379"/>
    </i>
    <i r="1">
      <x v="2380"/>
    </i>
    <i r="1">
      <x v="2381"/>
    </i>
    <i r="1">
      <x v="2382"/>
    </i>
    <i r="1">
      <x v="2383"/>
    </i>
    <i r="1">
      <x v="2384"/>
    </i>
    <i r="1">
      <x v="2385"/>
    </i>
    <i r="1">
      <x v="2386"/>
    </i>
    <i r="1">
      <x v="2387"/>
    </i>
    <i r="1">
      <x v="2388"/>
    </i>
    <i r="1">
      <x v="2389"/>
    </i>
    <i r="1">
      <x v="2390"/>
    </i>
    <i r="1">
      <x v="2391"/>
    </i>
    <i r="1">
      <x v="2392"/>
    </i>
    <i r="1">
      <x v="2393"/>
    </i>
    <i r="1">
      <x v="2394"/>
    </i>
    <i r="1">
      <x v="2395"/>
    </i>
    <i r="1">
      <x v="2396"/>
    </i>
    <i r="1">
      <x v="2397"/>
    </i>
    <i r="1">
      <x v="2398"/>
    </i>
    <i r="1">
      <x v="2399"/>
    </i>
    <i r="1">
      <x v="2400"/>
    </i>
    <i r="1">
      <x v="2401"/>
    </i>
    <i r="1">
      <x v="2402"/>
    </i>
    <i r="1">
      <x v="2403"/>
    </i>
    <i r="1">
      <x v="2404"/>
    </i>
    <i r="1">
      <x v="2405"/>
    </i>
    <i r="1">
      <x v="2406"/>
    </i>
    <i r="1">
      <x v="2407"/>
    </i>
    <i r="1">
      <x v="2408"/>
    </i>
    <i r="1">
      <x v="2409"/>
    </i>
    <i r="1">
      <x v="2410"/>
    </i>
    <i r="1">
      <x v="2411"/>
    </i>
    <i r="1">
      <x v="2412"/>
    </i>
    <i r="1">
      <x v="2413"/>
    </i>
    <i r="1">
      <x v="2414"/>
    </i>
    <i r="1">
      <x v="2415"/>
    </i>
    <i r="1">
      <x v="2416"/>
    </i>
    <i r="1">
      <x v="2417"/>
    </i>
    <i r="1">
      <x v="2418"/>
    </i>
    <i r="1">
      <x v="2419"/>
    </i>
    <i r="1">
      <x v="2420"/>
    </i>
    <i r="1">
      <x v="2421"/>
    </i>
    <i r="1">
      <x v="2422"/>
    </i>
    <i r="1">
      <x v="2423"/>
    </i>
    <i r="1">
      <x v="2424"/>
    </i>
    <i r="1">
      <x v="2427"/>
    </i>
    <i r="1">
      <x v="2428"/>
    </i>
    <i r="1">
      <x v="2902"/>
    </i>
    <i r="1">
      <x v="2903"/>
    </i>
    <i r="1">
      <x v="2904"/>
    </i>
    <i r="1">
      <x v="2905"/>
    </i>
    <i r="1">
      <x v="2906"/>
    </i>
    <i r="1">
      <x v="2907"/>
    </i>
    <i r="1">
      <x v="2908"/>
    </i>
    <i r="1">
      <x v="2909"/>
    </i>
    <i r="1">
      <x v="2910"/>
    </i>
    <i r="1">
      <x v="2911"/>
    </i>
    <i r="1">
      <x v="2912"/>
    </i>
    <i r="1">
      <x v="2913"/>
    </i>
    <i r="1">
      <x v="2914"/>
    </i>
    <i r="1">
      <x v="2915"/>
    </i>
    <i r="1">
      <x v="2916"/>
    </i>
    <i r="1">
      <x v="2917"/>
    </i>
    <i r="1">
      <x v="2918"/>
    </i>
    <i r="1">
      <x v="2919"/>
    </i>
    <i r="1">
      <x v="2920"/>
    </i>
    <i r="1">
      <x v="2921"/>
    </i>
    <i r="1">
      <x v="2922"/>
    </i>
    <i r="1">
      <x v="2923"/>
    </i>
    <i r="1">
      <x v="2924"/>
    </i>
    <i r="1">
      <x v="2925"/>
    </i>
    <i r="1">
      <x v="2926"/>
    </i>
    <i r="1">
      <x v="2927"/>
    </i>
    <i r="1">
      <x v="2928"/>
    </i>
    <i r="1">
      <x v="2929"/>
    </i>
    <i r="1">
      <x v="2930"/>
    </i>
    <i r="1">
      <x v="2931"/>
    </i>
    <i r="1">
      <x v="2932"/>
    </i>
    <i r="1">
      <x v="2933"/>
    </i>
    <i r="1">
      <x v="2934"/>
    </i>
    <i r="1">
      <x v="2935"/>
    </i>
    <i r="1">
      <x v="2936"/>
    </i>
    <i r="1">
      <x v="2937"/>
    </i>
    <i r="1">
      <x v="2938"/>
    </i>
    <i r="1">
      <x v="2939"/>
    </i>
    <i r="1">
      <x v="2940"/>
    </i>
    <i r="1">
      <x v="2941"/>
    </i>
    <i r="1">
      <x v="2942"/>
    </i>
    <i r="1">
      <x v="2943"/>
    </i>
    <i r="1">
      <x v="2944"/>
    </i>
    <i r="1">
      <x v="2945"/>
    </i>
    <i r="1">
      <x v="2946"/>
    </i>
    <i r="1">
      <x v="2947"/>
    </i>
    <i r="1">
      <x v="2948"/>
    </i>
    <i r="1">
      <x v="2949"/>
    </i>
    <i r="1">
      <x v="2950"/>
    </i>
    <i r="1">
      <x v="2951"/>
    </i>
    <i r="1">
      <x v="2952"/>
    </i>
    <i r="1">
      <x v="2953"/>
    </i>
    <i r="1">
      <x v="2954"/>
    </i>
    <i r="1">
      <x v="2955"/>
    </i>
    <i r="1">
      <x v="2956"/>
    </i>
    <i r="1">
      <x v="2957"/>
    </i>
    <i r="1">
      <x v="2958"/>
    </i>
    <i r="1">
      <x v="2959"/>
    </i>
    <i r="1">
      <x v="2960"/>
    </i>
    <i r="1">
      <x v="2961"/>
    </i>
    <i r="1">
      <x v="2962"/>
    </i>
    <i r="1">
      <x v="2963"/>
    </i>
    <i r="1">
      <x v="2964"/>
    </i>
    <i r="1">
      <x v="2965"/>
    </i>
    <i r="1">
      <x v="2966"/>
    </i>
    <i r="1">
      <x v="2969"/>
    </i>
    <i r="1">
      <x v="2970"/>
    </i>
    <i r="1">
      <x v="2971"/>
    </i>
    <i r="1">
      <x v="2972"/>
    </i>
    <i r="1">
      <x v="2973"/>
    </i>
    <i r="1">
      <x v="2974"/>
    </i>
    <i r="1">
      <x v="2975"/>
    </i>
    <i r="1">
      <x v="2976"/>
    </i>
    <i r="1">
      <x v="2977"/>
    </i>
    <i r="1">
      <x v="2978"/>
    </i>
    <i r="1">
      <x v="2979"/>
    </i>
    <i r="1">
      <x v="2980"/>
    </i>
    <i r="1">
      <x v="2981"/>
    </i>
    <i r="1">
      <x v="2982"/>
    </i>
    <i r="1">
      <x v="2983"/>
    </i>
    <i r="1">
      <x v="2987"/>
    </i>
    <i r="1">
      <x v="2988"/>
    </i>
    <i r="1">
      <x v="2989"/>
    </i>
    <i r="1">
      <x v="2990"/>
    </i>
    <i r="1">
      <x v="2991"/>
    </i>
    <i r="1">
      <x v="2992"/>
    </i>
    <i r="1">
      <x v="2993"/>
    </i>
    <i r="1">
      <x v="2994"/>
    </i>
    <i r="1">
      <x v="2995"/>
    </i>
    <i r="1">
      <x v="2996"/>
    </i>
    <i r="1">
      <x v="2997"/>
    </i>
    <i r="1">
      <x v="2998"/>
    </i>
    <i r="1">
      <x v="2999"/>
    </i>
    <i r="1">
      <x v="3000"/>
    </i>
    <i r="1">
      <x v="3001"/>
    </i>
    <i r="1">
      <x v="3002"/>
    </i>
    <i r="1">
      <x v="3003"/>
    </i>
    <i r="1">
      <x v="3005"/>
    </i>
    <i r="1">
      <x v="3006"/>
    </i>
    <i r="1">
      <x v="3007"/>
    </i>
    <i r="1">
      <x v="3008"/>
    </i>
    <i r="1">
      <x v="3009"/>
    </i>
    <i r="1">
      <x v="3010"/>
    </i>
    <i r="1">
      <x v="3011"/>
    </i>
    <i r="1">
      <x v="3012"/>
    </i>
    <i r="1">
      <x v="3013"/>
    </i>
    <i r="1">
      <x v="3014"/>
    </i>
    <i r="1">
      <x v="3015"/>
    </i>
    <i r="1">
      <x v="3016"/>
    </i>
    <i r="1">
      <x v="3017"/>
    </i>
    <i r="1">
      <x v="3033"/>
    </i>
    <i r="1">
      <x v="3034"/>
    </i>
    <i r="1">
      <x v="3035"/>
    </i>
    <i r="1">
      <x v="3036"/>
    </i>
    <i r="1">
      <x v="3037"/>
    </i>
    <i r="1">
      <x v="3038"/>
    </i>
    <i r="1">
      <x v="3039"/>
    </i>
    <i r="1">
      <x v="3040"/>
    </i>
    <i r="1">
      <x v="3041"/>
    </i>
    <i r="1">
      <x v="3042"/>
    </i>
    <i r="1">
      <x v="3063"/>
    </i>
    <i r="1">
      <x v="3064"/>
    </i>
    <i r="1">
      <x v="3065"/>
    </i>
    <i r="1">
      <x v="3066"/>
    </i>
    <i r="1">
      <x v="3067"/>
    </i>
    <i r="1">
      <x v="3068"/>
    </i>
    <i r="1">
      <x v="3069"/>
    </i>
    <i r="1">
      <x v="3070"/>
    </i>
    <i r="1">
      <x v="3071"/>
    </i>
    <i r="1">
      <x v="3072"/>
    </i>
    <i r="1">
      <x v="3073"/>
    </i>
    <i r="1">
      <x v="3074"/>
    </i>
    <i r="1">
      <x v="3075"/>
    </i>
    <i r="1">
      <x v="3076"/>
    </i>
    <i r="1">
      <x v="3077"/>
    </i>
    <i r="1">
      <x v="3078"/>
    </i>
    <i r="1">
      <x v="3079"/>
    </i>
    <i r="1">
      <x v="3080"/>
    </i>
    <i r="1">
      <x v="3081"/>
    </i>
    <i r="1">
      <x v="3082"/>
    </i>
    <i r="1">
      <x v="3083"/>
    </i>
    <i r="1">
      <x v="3084"/>
    </i>
    <i r="1">
      <x v="3085"/>
    </i>
    <i r="1">
      <x v="3086"/>
    </i>
    <i r="1">
      <x v="3087"/>
    </i>
    <i r="1">
      <x v="3088"/>
    </i>
    <i r="1">
      <x v="3089"/>
    </i>
    <i r="1">
      <x v="3090"/>
    </i>
    <i r="1">
      <x v="3091"/>
    </i>
    <i r="1">
      <x v="3092"/>
    </i>
    <i r="1">
      <x v="3093"/>
    </i>
    <i r="1">
      <x v="3094"/>
    </i>
    <i r="1">
      <x v="3095"/>
    </i>
    <i r="1">
      <x v="3096"/>
    </i>
    <i r="1">
      <x v="3097"/>
    </i>
    <i r="1">
      <x v="3120"/>
    </i>
    <i r="1">
      <x v="3121"/>
    </i>
    <i r="1">
      <x v="3122"/>
    </i>
    <i r="1">
      <x v="3123"/>
    </i>
    <i r="1">
      <x v="3124"/>
    </i>
    <i r="1">
      <x v="3128"/>
    </i>
    <i r="1">
      <x v="3129"/>
    </i>
    <i r="1">
      <x v="3130"/>
    </i>
    <i r="1">
      <x v="3131"/>
    </i>
    <i r="1">
      <x v="3132"/>
    </i>
    <i r="1">
      <x v="3133"/>
    </i>
    <i r="1">
      <x v="3134"/>
    </i>
    <i r="1">
      <x v="3135"/>
    </i>
    <i r="1">
      <x v="3136"/>
    </i>
    <i r="1">
      <x v="3137"/>
    </i>
    <i r="1">
      <x v="3138"/>
    </i>
    <i r="1">
      <x v="3139"/>
    </i>
    <i r="1">
      <x v="3140"/>
    </i>
    <i r="1">
      <x v="3141"/>
    </i>
    <i r="1">
      <x v="3142"/>
    </i>
    <i r="1">
      <x v="3143"/>
    </i>
    <i r="1">
      <x v="3144"/>
    </i>
    <i r="1">
      <x v="3145"/>
    </i>
    <i r="1">
      <x v="3146"/>
    </i>
    <i r="1">
      <x v="3147"/>
    </i>
    <i r="1">
      <x v="3148"/>
    </i>
    <i r="1">
      <x v="3149"/>
    </i>
    <i r="1">
      <x v="3150"/>
    </i>
    <i r="1">
      <x v="3151"/>
    </i>
    <i r="1">
      <x v="3152"/>
    </i>
    <i r="1">
      <x v="3153"/>
    </i>
    <i r="1">
      <x v="3154"/>
    </i>
    <i r="1">
      <x v="3156"/>
    </i>
    <i r="1">
      <x v="3157"/>
    </i>
    <i r="1">
      <x v="3158"/>
    </i>
    <i r="1">
      <x v="3159"/>
    </i>
    <i r="1">
      <x v="3160"/>
    </i>
    <i r="1">
      <x v="3161"/>
    </i>
    <i r="1">
      <x v="3162"/>
    </i>
    <i r="1">
      <x v="3163"/>
    </i>
    <i r="1">
      <x v="3164"/>
    </i>
    <i r="1">
      <x v="3165"/>
    </i>
    <i r="1">
      <x v="3166"/>
    </i>
    <i r="1">
      <x v="3167"/>
    </i>
    <i r="1">
      <x v="3168"/>
    </i>
    <i r="1">
      <x v="3169"/>
    </i>
    <i r="1">
      <x v="3170"/>
    </i>
    <i r="1">
      <x v="3171"/>
    </i>
    <i r="1">
      <x v="3172"/>
    </i>
    <i r="1">
      <x v="3173"/>
    </i>
    <i r="1">
      <x v="3174"/>
    </i>
    <i r="1">
      <x v="3175"/>
    </i>
    <i r="1">
      <x v="3176"/>
    </i>
    <i r="1">
      <x v="3177"/>
    </i>
    <i r="1">
      <x v="3178"/>
    </i>
    <i r="1">
      <x v="3179"/>
    </i>
    <i r="1">
      <x v="3180"/>
    </i>
    <i r="1">
      <x v="3181"/>
    </i>
    <i r="1">
      <x v="3182"/>
    </i>
    <i r="1">
      <x v="3183"/>
    </i>
    <i r="1">
      <x v="3184"/>
    </i>
    <i r="1">
      <x v="3185"/>
    </i>
    <i r="1">
      <x v="3186"/>
    </i>
    <i r="1">
      <x v="3187"/>
    </i>
    <i r="1">
      <x v="3188"/>
    </i>
    <i r="1">
      <x v="3189"/>
    </i>
    <i r="1">
      <x v="3190"/>
    </i>
    <i r="1">
      <x v="3191"/>
    </i>
    <i r="1">
      <x v="3192"/>
    </i>
    <i r="1">
      <x v="3193"/>
    </i>
    <i r="1">
      <x v="3195"/>
    </i>
    <i r="1">
      <x v="3196"/>
    </i>
    <i r="1">
      <x v="3197"/>
    </i>
    <i r="1">
      <x v="3198"/>
    </i>
    <i r="1">
      <x v="3199"/>
    </i>
    <i r="1">
      <x v="3203"/>
    </i>
    <i r="1">
      <x v="3204"/>
    </i>
    <i r="1">
      <x v="3205"/>
    </i>
    <i r="1">
      <x v="3206"/>
    </i>
    <i r="1">
      <x v="3207"/>
    </i>
    <i r="1">
      <x v="3208"/>
    </i>
    <i r="1">
      <x v="3213"/>
    </i>
    <i r="1">
      <x v="3214"/>
    </i>
    <i r="1">
      <x v="3215"/>
    </i>
    <i r="1">
      <x v="3216"/>
    </i>
    <i r="1">
      <x v="3217"/>
    </i>
    <i r="1">
      <x v="3218"/>
    </i>
    <i r="1">
      <x v="3219"/>
    </i>
    <i r="1">
      <x v="3220"/>
    </i>
    <i r="1">
      <x v="3221"/>
    </i>
    <i r="1">
      <x v="3222"/>
    </i>
    <i r="1">
      <x v="3223"/>
    </i>
    <i r="1">
      <x v="3224"/>
    </i>
    <i r="1">
      <x v="3225"/>
    </i>
    <i r="1">
      <x v="3226"/>
    </i>
    <i r="1">
      <x v="3227"/>
    </i>
    <i r="1">
      <x v="3228"/>
    </i>
    <i r="1">
      <x v="3229"/>
    </i>
    <i r="1">
      <x v="3251"/>
    </i>
    <i r="1">
      <x v="3252"/>
    </i>
    <i r="1">
      <x v="3253"/>
    </i>
    <i r="1">
      <x v="3257"/>
    </i>
    <i r="1">
      <x v="3258"/>
    </i>
    <i r="1">
      <x v="3259"/>
    </i>
    <i r="1">
      <x v="3266"/>
    </i>
    <i r="1">
      <x v="3267"/>
    </i>
    <i r="1">
      <x v="3268"/>
    </i>
    <i r="1">
      <x v="3269"/>
    </i>
    <i r="1">
      <x v="3270"/>
    </i>
    <i r="1">
      <x v="3271"/>
    </i>
    <i r="1">
      <x v="3275"/>
    </i>
    <i r="1">
      <x v="3276"/>
    </i>
    <i r="1">
      <x v="3277"/>
    </i>
    <i r="1">
      <x v="3278"/>
    </i>
    <i r="1">
      <x v="3279"/>
    </i>
    <i r="1">
      <x v="3280"/>
    </i>
    <i r="1">
      <x v="3281"/>
    </i>
    <i r="1">
      <x v="3282"/>
    </i>
    <i r="1">
      <x v="3283"/>
    </i>
    <i r="1">
      <x v="3284"/>
    </i>
    <i r="1">
      <x v="3285"/>
    </i>
    <i r="1">
      <x v="3286"/>
    </i>
    <i r="1">
      <x v="3287"/>
    </i>
    <i r="1">
      <x v="3288"/>
    </i>
    <i r="1">
      <x v="3289"/>
    </i>
    <i r="1">
      <x v="3296"/>
    </i>
    <i r="1">
      <x v="3297"/>
    </i>
    <i r="1">
      <x v="3298"/>
    </i>
    <i r="1">
      <x v="3299"/>
    </i>
    <i r="1">
      <x v="3300"/>
    </i>
    <i r="1">
      <x v="3301"/>
    </i>
    <i r="1">
      <x v="3302"/>
    </i>
    <i r="1">
      <x v="3303"/>
    </i>
    <i r="1">
      <x v="3304"/>
    </i>
    <i r="1">
      <x v="3305"/>
    </i>
    <i r="1">
      <x v="3306"/>
    </i>
    <i r="1">
      <x v="3307"/>
    </i>
    <i r="1">
      <x v="3308"/>
    </i>
    <i r="1">
      <x v="3309"/>
    </i>
    <i r="1">
      <x v="3310"/>
    </i>
    <i r="1">
      <x v="3311"/>
    </i>
    <i r="1">
      <x v="3312"/>
    </i>
    <i r="1">
      <x v="3313"/>
    </i>
    <i r="1">
      <x v="3314"/>
    </i>
    <i r="1">
      <x v="3315"/>
    </i>
    <i r="1">
      <x v="3316"/>
    </i>
    <i r="1">
      <x v="3317"/>
    </i>
    <i r="1">
      <x v="3318"/>
    </i>
    <i r="1">
      <x v="3319"/>
    </i>
    <i r="1">
      <x v="3320"/>
    </i>
    <i r="1">
      <x v="3321"/>
    </i>
    <i r="1">
      <x v="3322"/>
    </i>
    <i r="1">
      <x v="3323"/>
    </i>
    <i r="1">
      <x v="3324"/>
    </i>
    <i r="1">
      <x v="3325"/>
    </i>
    <i r="1">
      <x v="3329"/>
    </i>
    <i r="1">
      <x v="3330"/>
    </i>
    <i r="1">
      <x v="3331"/>
    </i>
    <i r="1">
      <x v="3356"/>
    </i>
    <i r="1">
      <x v="3357"/>
    </i>
    <i r="1">
      <x v="3358"/>
    </i>
    <i r="1">
      <x v="3359"/>
    </i>
    <i r="1">
      <x v="3360"/>
    </i>
    <i r="1">
      <x v="3361"/>
    </i>
    <i r="1">
      <x v="3362"/>
    </i>
    <i r="1">
      <x v="3363"/>
    </i>
    <i r="1">
      <x v="3364"/>
    </i>
    <i r="1">
      <x v="3365"/>
    </i>
    <i r="1">
      <x v="3366"/>
    </i>
    <i r="1">
      <x v="3367"/>
    </i>
    <i r="1">
      <x v="3368"/>
    </i>
    <i r="1">
      <x v="3369"/>
    </i>
    <i r="1">
      <x v="3370"/>
    </i>
    <i r="1">
      <x v="3371"/>
    </i>
    <i r="1">
      <x v="3372"/>
    </i>
    <i r="1">
      <x v="3373"/>
    </i>
    <i r="1">
      <x v="3374"/>
    </i>
    <i r="1">
      <x v="3375"/>
    </i>
    <i r="1">
      <x v="3376"/>
    </i>
    <i r="1">
      <x v="3377"/>
    </i>
    <i r="1">
      <x v="3378"/>
    </i>
    <i r="1">
      <x v="3379"/>
    </i>
    <i r="1">
      <x v="3380"/>
    </i>
    <i r="1">
      <x v="3381"/>
    </i>
    <i r="1">
      <x v="3382"/>
    </i>
    <i r="1">
      <x v="3383"/>
    </i>
    <i r="1">
      <x v="3384"/>
    </i>
    <i r="1">
      <x v="3385"/>
    </i>
    <i r="1">
      <x v="3386"/>
    </i>
    <i r="1">
      <x v="3387"/>
    </i>
    <i r="1">
      <x v="3388"/>
    </i>
    <i r="1">
      <x v="3389"/>
    </i>
    <i r="1">
      <x v="3390"/>
    </i>
    <i r="1">
      <x v="3391"/>
    </i>
    <i r="1">
      <x v="3392"/>
    </i>
    <i r="1">
      <x v="3393"/>
    </i>
    <i r="1">
      <x v="3394"/>
    </i>
    <i r="1">
      <x v="3395"/>
    </i>
    <i r="1">
      <x v="3396"/>
    </i>
    <i r="1">
      <x v="3397"/>
    </i>
    <i r="1">
      <x v="3398"/>
    </i>
    <i r="1">
      <x v="3399"/>
    </i>
    <i r="1">
      <x v="3400"/>
    </i>
    <i r="1">
      <x v="3401"/>
    </i>
    <i r="1">
      <x v="3402"/>
    </i>
    <i r="1">
      <x v="3403"/>
    </i>
    <i r="1">
      <x v="3410"/>
    </i>
    <i r="1">
      <x v="3411"/>
    </i>
    <i r="1">
      <x v="3412"/>
    </i>
    <i r="1">
      <x v="3413"/>
    </i>
    <i r="1">
      <x v="3414"/>
    </i>
    <i r="1">
      <x v="3415"/>
    </i>
    <i r="1">
      <x v="3416"/>
    </i>
    <i r="1">
      <x v="3417"/>
    </i>
    <i r="1">
      <x v="3418"/>
    </i>
    <i r="1">
      <x v="3419"/>
    </i>
    <i r="1">
      <x v="3420"/>
    </i>
    <i r="1">
      <x v="3421"/>
    </i>
    <i r="1">
      <x v="3422"/>
    </i>
    <i r="1">
      <x v="3423"/>
    </i>
    <i r="1">
      <x v="3424"/>
    </i>
    <i r="1">
      <x v="3425"/>
    </i>
    <i r="1">
      <x v="3426"/>
    </i>
    <i r="1">
      <x v="3427"/>
    </i>
    <i r="1">
      <x v="3428"/>
    </i>
    <i r="1">
      <x v="3429"/>
    </i>
    <i r="1">
      <x v="3430"/>
    </i>
    <i r="1">
      <x v="3431"/>
    </i>
    <i r="1">
      <x v="3432"/>
    </i>
    <i r="1">
      <x v="3433"/>
    </i>
    <i r="1">
      <x v="3434"/>
    </i>
    <i r="1">
      <x v="3435"/>
    </i>
    <i r="1">
      <x v="3436"/>
    </i>
    <i r="1">
      <x v="3437"/>
    </i>
    <i r="1">
      <x v="3438"/>
    </i>
    <i r="1">
      <x v="3439"/>
    </i>
    <i r="1">
      <x v="3440"/>
    </i>
    <i r="1">
      <x v="3441"/>
    </i>
    <i r="1">
      <x v="3442"/>
    </i>
    <i r="1">
      <x v="3443"/>
    </i>
    <i r="1">
      <x v="3444"/>
    </i>
    <i r="1">
      <x v="3445"/>
    </i>
    <i r="1">
      <x v="3446"/>
    </i>
    <i r="1">
      <x v="3447"/>
    </i>
    <i r="1">
      <x v="3448"/>
    </i>
    <i r="1">
      <x v="3449"/>
    </i>
    <i r="1">
      <x v="3450"/>
    </i>
    <i r="1">
      <x v="3451"/>
    </i>
    <i r="1">
      <x v="3452"/>
    </i>
    <i r="1">
      <x v="3453"/>
    </i>
    <i r="1">
      <x v="3454"/>
    </i>
    <i r="1">
      <x v="3455"/>
    </i>
    <i r="1">
      <x v="3456"/>
    </i>
    <i r="1">
      <x v="3457"/>
    </i>
    <i r="1">
      <x v="3458"/>
    </i>
    <i r="1">
      <x v="3459"/>
    </i>
    <i r="1">
      <x v="3460"/>
    </i>
    <i r="1">
      <x v="3461"/>
    </i>
    <i r="1">
      <x v="3462"/>
    </i>
    <i r="1">
      <x v="3463"/>
    </i>
    <i r="1">
      <x v="3464"/>
    </i>
    <i r="1">
      <x v="3465"/>
    </i>
    <i r="1">
      <x v="3466"/>
    </i>
    <i r="1">
      <x v="3467"/>
    </i>
    <i r="1">
      <x v="3468"/>
    </i>
    <i r="1">
      <x v="3469"/>
    </i>
    <i r="1">
      <x v="3470"/>
    </i>
    <i r="1">
      <x v="3471"/>
    </i>
    <i r="1">
      <x v="3472"/>
    </i>
    <i r="1">
      <x v="3473"/>
    </i>
    <i r="1">
      <x v="3474"/>
    </i>
    <i r="1">
      <x v="3475"/>
    </i>
    <i r="1">
      <x v="3476"/>
    </i>
    <i r="1">
      <x v="3477"/>
    </i>
    <i r="1">
      <x v="3478"/>
    </i>
    <i r="1">
      <x v="3479"/>
    </i>
    <i r="1">
      <x v="3480"/>
    </i>
    <i r="1">
      <x v="3481"/>
    </i>
    <i r="1">
      <x v="3482"/>
    </i>
    <i r="1">
      <x v="3483"/>
    </i>
    <i r="1">
      <x v="3484"/>
    </i>
    <i r="1">
      <x v="3485"/>
    </i>
    <i r="1">
      <x v="3486"/>
    </i>
    <i r="1">
      <x v="3487"/>
    </i>
    <i r="1">
      <x v="3488"/>
    </i>
    <i r="1">
      <x v="3489"/>
    </i>
    <i r="1">
      <x v="3490"/>
    </i>
    <i r="1">
      <x v="3491"/>
    </i>
    <i r="1">
      <x v="3492"/>
    </i>
    <i r="1">
      <x v="3493"/>
    </i>
    <i r="1">
      <x v="3494"/>
    </i>
    <i r="1">
      <x v="3495"/>
    </i>
    <i r="1">
      <x v="3496"/>
    </i>
    <i r="1">
      <x v="3497"/>
    </i>
    <i r="1">
      <x v="3498"/>
    </i>
    <i r="1">
      <x v="3499"/>
    </i>
    <i r="1">
      <x v="3500"/>
    </i>
    <i r="1">
      <x v="3501"/>
    </i>
    <i r="1">
      <x v="3502"/>
    </i>
    <i r="1">
      <x v="3503"/>
    </i>
    <i r="1">
      <x v="3504"/>
    </i>
    <i r="1">
      <x v="3505"/>
    </i>
    <i r="1">
      <x v="3506"/>
    </i>
    <i r="1">
      <x v="3507"/>
    </i>
    <i r="1">
      <x v="3508"/>
    </i>
    <i r="1">
      <x v="3509"/>
    </i>
    <i r="1">
      <x v="3510"/>
    </i>
    <i r="1">
      <x v="3511"/>
    </i>
    <i r="1">
      <x v="3512"/>
    </i>
    <i r="1">
      <x v="3513"/>
    </i>
    <i r="1">
      <x v="3514"/>
    </i>
    <i r="1">
      <x v="3515"/>
    </i>
    <i r="1">
      <x v="3516"/>
    </i>
    <i r="1">
      <x v="3517"/>
    </i>
    <i r="1">
      <x v="3518"/>
    </i>
    <i r="1">
      <x v="3519"/>
    </i>
    <i r="1">
      <x v="3520"/>
    </i>
    <i r="1">
      <x v="3521"/>
    </i>
    <i r="1">
      <x v="3522"/>
    </i>
    <i r="1">
      <x v="3523"/>
    </i>
    <i r="1">
      <x v="3524"/>
    </i>
    <i r="1">
      <x v="3525"/>
    </i>
    <i r="1">
      <x v="3526"/>
    </i>
    <i r="1">
      <x v="3527"/>
    </i>
    <i r="1">
      <x v="3528"/>
    </i>
    <i r="1">
      <x v="3529"/>
    </i>
    <i r="1">
      <x v="3530"/>
    </i>
    <i r="1">
      <x v="3534"/>
    </i>
    <i r="1">
      <x v="3535"/>
    </i>
    <i r="1">
      <x v="3536"/>
    </i>
    <i r="1">
      <x v="3537"/>
    </i>
    <i r="1">
      <x v="3538"/>
    </i>
    <i r="1">
      <x v="3539"/>
    </i>
    <i r="1">
      <x v="3540"/>
    </i>
    <i r="1">
      <x v="3541"/>
    </i>
    <i r="1">
      <x v="3542"/>
    </i>
    <i r="1">
      <x v="3543"/>
    </i>
    <i r="1">
      <x v="3544"/>
    </i>
    <i r="1">
      <x v="3545"/>
    </i>
    <i r="1">
      <x v="3546"/>
    </i>
    <i r="1">
      <x v="3547"/>
    </i>
    <i r="1">
      <x v="3548"/>
    </i>
    <i r="1">
      <x v="3549"/>
    </i>
    <i r="1">
      <x v="3550"/>
    </i>
    <i r="1">
      <x v="3551"/>
    </i>
    <i r="1">
      <x v="3552"/>
    </i>
    <i r="1">
      <x v="3553"/>
    </i>
    <i r="1">
      <x v="3554"/>
    </i>
    <i r="1">
      <x v="3555"/>
    </i>
    <i r="1">
      <x v="3556"/>
    </i>
    <i r="1">
      <x v="3557"/>
    </i>
    <i r="1">
      <x v="3558"/>
    </i>
    <i r="1">
      <x v="3559"/>
    </i>
    <i r="1">
      <x v="3560"/>
    </i>
    <i r="1">
      <x v="3561"/>
    </i>
    <i r="1">
      <x v="3562"/>
    </i>
    <i r="1">
      <x v="3563"/>
    </i>
    <i r="1">
      <x v="3564"/>
    </i>
    <i r="1">
      <x v="3565"/>
    </i>
    <i r="1">
      <x v="3566"/>
    </i>
    <i r="1">
      <x v="3567"/>
    </i>
    <i r="1">
      <x v="3568"/>
    </i>
    <i r="1">
      <x v="3569"/>
    </i>
    <i r="1">
      <x v="3570"/>
    </i>
    <i r="1">
      <x v="3571"/>
    </i>
    <i r="1">
      <x v="3572"/>
    </i>
    <i r="1">
      <x v="3573"/>
    </i>
    <i r="1">
      <x v="3574"/>
    </i>
    <i r="1">
      <x v="3575"/>
    </i>
    <i r="1">
      <x v="3576"/>
    </i>
    <i r="1">
      <x v="3577"/>
    </i>
    <i r="1">
      <x v="3578"/>
    </i>
    <i r="1">
      <x v="3579"/>
    </i>
    <i r="1">
      <x v="3580"/>
    </i>
    <i r="1">
      <x v="3581"/>
    </i>
    <i r="1">
      <x v="3582"/>
    </i>
    <i r="1">
      <x v="3583"/>
    </i>
    <i r="1">
      <x v="3584"/>
    </i>
    <i r="1">
      <x v="3585"/>
    </i>
    <i r="1">
      <x v="3586"/>
    </i>
    <i r="1">
      <x v="3587"/>
    </i>
    <i r="1">
      <x v="3588"/>
    </i>
    <i r="1">
      <x v="3589"/>
    </i>
    <i r="1">
      <x v="3590"/>
    </i>
    <i r="1">
      <x v="3591"/>
    </i>
    <i r="1">
      <x v="3592"/>
    </i>
    <i r="1">
      <x v="3593"/>
    </i>
    <i r="1">
      <x v="3594"/>
    </i>
    <i r="1">
      <x v="3595"/>
    </i>
    <i r="1">
      <x v="3596"/>
    </i>
    <i r="1">
      <x v="3597"/>
    </i>
    <i r="1">
      <x v="3598"/>
    </i>
    <i r="1">
      <x v="3599"/>
    </i>
    <i r="1">
      <x v="3600"/>
    </i>
    <i r="1">
      <x v="3601"/>
    </i>
    <i r="1">
      <x v="3602"/>
    </i>
    <i r="1">
      <x v="3603"/>
    </i>
    <i r="1">
      <x v="3604"/>
    </i>
    <i r="1">
      <x v="3605"/>
    </i>
    <i r="1">
      <x v="3606"/>
    </i>
    <i r="1">
      <x v="3607"/>
    </i>
    <i r="1">
      <x v="3608"/>
    </i>
    <i r="1">
      <x v="3609"/>
    </i>
    <i r="1">
      <x v="3610"/>
    </i>
    <i r="1">
      <x v="3611"/>
    </i>
    <i r="1">
      <x v="3612"/>
    </i>
    <i r="1">
      <x v="3613"/>
    </i>
    <i r="1">
      <x v="3614"/>
    </i>
    <i r="1">
      <x v="3615"/>
    </i>
    <i r="1">
      <x v="3616"/>
    </i>
    <i r="1">
      <x v="3617"/>
    </i>
    <i r="1">
      <x v="3618"/>
    </i>
    <i r="1">
      <x v="3619"/>
    </i>
    <i r="1">
      <x v="3620"/>
    </i>
    <i r="1">
      <x v="3621"/>
    </i>
    <i r="1">
      <x v="3622"/>
    </i>
    <i r="1">
      <x v="3623"/>
    </i>
    <i r="1">
      <x v="3624"/>
    </i>
    <i r="1">
      <x v="3625"/>
    </i>
    <i r="1">
      <x v="3626"/>
    </i>
    <i r="1">
      <x v="3627"/>
    </i>
    <i r="1">
      <x v="3628"/>
    </i>
    <i r="1">
      <x v="3629"/>
    </i>
    <i r="1">
      <x v="3630"/>
    </i>
    <i r="1">
      <x v="3631"/>
    </i>
    <i r="1">
      <x v="3632"/>
    </i>
    <i r="1">
      <x v="3633"/>
    </i>
    <i r="1">
      <x v="3634"/>
    </i>
    <i r="1">
      <x v="3635"/>
    </i>
    <i r="1">
      <x v="3636"/>
    </i>
    <i r="1">
      <x v="3637"/>
    </i>
    <i r="1">
      <x v="3638"/>
    </i>
    <i r="1">
      <x v="3639"/>
    </i>
    <i r="1">
      <x v="3640"/>
    </i>
    <i r="1">
      <x v="3641"/>
    </i>
    <i r="1">
      <x v="3642"/>
    </i>
    <i r="1">
      <x v="3643"/>
    </i>
    <i r="1">
      <x v="3644"/>
    </i>
    <i r="1">
      <x v="3645"/>
    </i>
    <i r="1">
      <x v="3646"/>
    </i>
    <i r="1">
      <x v="3647"/>
    </i>
    <i r="1">
      <x v="3648"/>
    </i>
    <i r="1">
      <x v="3649"/>
    </i>
    <i r="1">
      <x v="3650"/>
    </i>
    <i r="1">
      <x v="3651"/>
    </i>
    <i r="1">
      <x v="3652"/>
    </i>
    <i r="1">
      <x v="3653"/>
    </i>
    <i r="1">
      <x v="3654"/>
    </i>
    <i r="1">
      <x v="3655"/>
    </i>
    <i r="1">
      <x v="3656"/>
    </i>
    <i r="1">
      <x v="3657"/>
    </i>
    <i r="1">
      <x v="3658"/>
    </i>
    <i r="1">
      <x v="3659"/>
    </i>
    <i r="1">
      <x v="3660"/>
    </i>
    <i r="1">
      <x v="3661"/>
    </i>
    <i r="1">
      <x v="3662"/>
    </i>
    <i r="1">
      <x v="3663"/>
    </i>
    <i r="1">
      <x v="3664"/>
    </i>
    <i r="1">
      <x v="3665"/>
    </i>
    <i r="1">
      <x v="3666"/>
    </i>
    <i r="1">
      <x v="3667"/>
    </i>
    <i r="1">
      <x v="3668"/>
    </i>
    <i r="1">
      <x v="3669"/>
    </i>
    <i r="1">
      <x v="3670"/>
    </i>
    <i r="1">
      <x v="3671"/>
    </i>
    <i r="1">
      <x v="3672"/>
    </i>
    <i r="1">
      <x v="3673"/>
    </i>
    <i r="1">
      <x v="3674"/>
    </i>
    <i r="1">
      <x v="3675"/>
    </i>
    <i r="1">
      <x v="3676"/>
    </i>
    <i r="1">
      <x v="3677"/>
    </i>
    <i r="1">
      <x v="3678"/>
    </i>
    <i r="1">
      <x v="3679"/>
    </i>
    <i r="1">
      <x v="3680"/>
    </i>
    <i r="1">
      <x v="3681"/>
    </i>
    <i r="1">
      <x v="3682"/>
    </i>
    <i r="1">
      <x v="3683"/>
    </i>
    <i r="1">
      <x v="3684"/>
    </i>
    <i r="1">
      <x v="3685"/>
    </i>
    <i r="1">
      <x v="3686"/>
    </i>
    <i r="1">
      <x v="3687"/>
    </i>
    <i r="1">
      <x v="3688"/>
    </i>
    <i r="1">
      <x v="3689"/>
    </i>
    <i r="1">
      <x v="3690"/>
    </i>
    <i r="1">
      <x v="3691"/>
    </i>
    <i r="1">
      <x v="3692"/>
    </i>
    <i r="1">
      <x v="3693"/>
    </i>
    <i r="1">
      <x v="3694"/>
    </i>
    <i r="1">
      <x v="3695"/>
    </i>
    <i r="1">
      <x v="3696"/>
    </i>
    <i r="1">
      <x v="3697"/>
    </i>
    <i r="1">
      <x v="3698"/>
    </i>
    <i r="1">
      <x v="3699"/>
    </i>
    <i r="1">
      <x v="3700"/>
    </i>
    <i r="1">
      <x v="3701"/>
    </i>
    <i r="1">
      <x v="3702"/>
    </i>
    <i r="1">
      <x v="3703"/>
    </i>
    <i r="1">
      <x v="3704"/>
    </i>
    <i r="1">
      <x v="3705"/>
    </i>
    <i r="1">
      <x v="3706"/>
    </i>
    <i r="1">
      <x v="3707"/>
    </i>
    <i r="1">
      <x v="3708"/>
    </i>
    <i r="1">
      <x v="3714"/>
    </i>
    <i r="1">
      <x v="3715"/>
    </i>
    <i r="1">
      <x v="3716"/>
    </i>
    <i r="1">
      <x v="3717"/>
    </i>
    <i r="1">
      <x v="3718"/>
    </i>
    <i r="1">
      <x v="3719"/>
    </i>
    <i r="1">
      <x v="3720"/>
    </i>
    <i r="1">
      <x v="3721"/>
    </i>
    <i r="1">
      <x v="3722"/>
    </i>
    <i r="1">
      <x v="3723"/>
    </i>
    <i r="1">
      <x v="3724"/>
    </i>
    <i r="1">
      <x v="3725"/>
    </i>
    <i r="1">
      <x v="3726"/>
    </i>
    <i r="1">
      <x v="3727"/>
    </i>
    <i r="1">
      <x v="3728"/>
    </i>
    <i r="1">
      <x v="3729"/>
    </i>
    <i r="1">
      <x v="3730"/>
    </i>
    <i r="1">
      <x v="3732"/>
    </i>
    <i r="1">
      <x v="3733"/>
    </i>
    <i r="1">
      <x v="3734"/>
    </i>
    <i r="1">
      <x v="3735"/>
    </i>
    <i r="1">
      <x v="3736"/>
    </i>
    <i r="1">
      <x v="3737"/>
    </i>
    <i r="1">
      <x v="3738"/>
    </i>
    <i r="1">
      <x v="3739"/>
    </i>
    <i r="1">
      <x v="3740"/>
    </i>
    <i r="1">
      <x v="3741"/>
    </i>
    <i r="1">
      <x v="3742"/>
    </i>
    <i r="1">
      <x v="3743"/>
    </i>
    <i r="1">
      <x v="3744"/>
    </i>
    <i r="1">
      <x v="3745"/>
    </i>
    <i r="1">
      <x v="3746"/>
    </i>
    <i r="1">
      <x v="3747"/>
    </i>
    <i r="1">
      <x v="3748"/>
    </i>
    <i r="1">
      <x v="3749"/>
    </i>
    <i r="1">
      <x v="3750"/>
    </i>
    <i r="1">
      <x v="3751"/>
    </i>
    <i r="1">
      <x v="3752"/>
    </i>
    <i r="1">
      <x v="3753"/>
    </i>
    <i r="1">
      <x v="3754"/>
    </i>
    <i r="1">
      <x v="3755"/>
    </i>
    <i r="1">
      <x v="3756"/>
    </i>
    <i r="1">
      <x v="3757"/>
    </i>
    <i r="1">
      <x v="3758"/>
    </i>
    <i r="1">
      <x v="3759"/>
    </i>
    <i r="1">
      <x v="3760"/>
    </i>
    <i r="1">
      <x v="3761"/>
    </i>
    <i r="1">
      <x v="3762"/>
    </i>
    <i r="1">
      <x v="3763"/>
    </i>
    <i r="1">
      <x v="3764"/>
    </i>
    <i r="1">
      <x v="3765"/>
    </i>
    <i r="1">
      <x v="3766"/>
    </i>
    <i r="1">
      <x v="3767"/>
    </i>
    <i r="1">
      <x v="3768"/>
    </i>
    <i r="1">
      <x v="3769"/>
    </i>
    <i r="1">
      <x v="3770"/>
    </i>
    <i r="1">
      <x v="3771"/>
    </i>
    <i r="1">
      <x v="3772"/>
    </i>
    <i r="1">
      <x v="3773"/>
    </i>
    <i r="1">
      <x v="3774"/>
    </i>
    <i r="1">
      <x v="3775"/>
    </i>
    <i r="1">
      <x v="3776"/>
    </i>
    <i r="1">
      <x v="3777"/>
    </i>
    <i r="1">
      <x v="3778"/>
    </i>
    <i r="1">
      <x v="3779"/>
    </i>
    <i r="1">
      <x v="3780"/>
    </i>
    <i r="1">
      <x v="3781"/>
    </i>
    <i r="1">
      <x v="3782"/>
    </i>
    <i r="1">
      <x v="3783"/>
    </i>
    <i r="1">
      <x v="3784"/>
    </i>
    <i r="1">
      <x v="3785"/>
    </i>
    <i r="1">
      <x v="3786"/>
    </i>
    <i r="1">
      <x v="3787"/>
    </i>
    <i r="1">
      <x v="3788"/>
    </i>
    <i r="1">
      <x v="3789"/>
    </i>
    <i r="1">
      <x v="3790"/>
    </i>
    <i r="1">
      <x v="3791"/>
    </i>
    <i r="1">
      <x v="3792"/>
    </i>
    <i r="1">
      <x v="3793"/>
    </i>
    <i r="1">
      <x v="3794"/>
    </i>
    <i r="1">
      <x v="3795"/>
    </i>
    <i r="1">
      <x v="3796"/>
    </i>
    <i r="1">
      <x v="3797"/>
    </i>
    <i r="1">
      <x v="3798"/>
    </i>
    <i r="1">
      <x v="3799"/>
    </i>
    <i r="1">
      <x v="3800"/>
    </i>
    <i r="1">
      <x v="3801"/>
    </i>
    <i r="1">
      <x v="3802"/>
    </i>
    <i r="1">
      <x v="3803"/>
    </i>
    <i r="1">
      <x v="3804"/>
    </i>
    <i r="1">
      <x v="3805"/>
    </i>
    <i r="1">
      <x v="3806"/>
    </i>
    <i r="1">
      <x v="3807"/>
    </i>
    <i r="1">
      <x v="3808"/>
    </i>
    <i r="1">
      <x v="3809"/>
    </i>
    <i r="1">
      <x v="3810"/>
    </i>
    <i r="1">
      <x v="3811"/>
    </i>
    <i r="1">
      <x v="3812"/>
    </i>
    <i r="1">
      <x v="3813"/>
    </i>
    <i r="1">
      <x v="3814"/>
    </i>
    <i r="1">
      <x v="3815"/>
    </i>
    <i r="1">
      <x v="3816"/>
    </i>
    <i r="1">
      <x v="3817"/>
    </i>
    <i r="1">
      <x v="3818"/>
    </i>
    <i r="1">
      <x v="3819"/>
    </i>
    <i r="1">
      <x v="3820"/>
    </i>
    <i r="1">
      <x v="3821"/>
    </i>
    <i r="1">
      <x v="3822"/>
    </i>
    <i r="1">
      <x v="3823"/>
    </i>
    <i r="1">
      <x v="3824"/>
    </i>
    <i r="1">
      <x v="3825"/>
    </i>
    <i r="1">
      <x v="3826"/>
    </i>
    <i r="1">
      <x v="3827"/>
    </i>
    <i r="1">
      <x v="3828"/>
    </i>
    <i r="1">
      <x v="3829"/>
    </i>
    <i r="1">
      <x v="3830"/>
    </i>
    <i r="1">
      <x v="3831"/>
    </i>
    <i r="1">
      <x v="3832"/>
    </i>
    <i r="1">
      <x v="3833"/>
    </i>
    <i r="1">
      <x v="3834"/>
    </i>
    <i r="1">
      <x v="3835"/>
    </i>
    <i r="1">
      <x v="3836"/>
    </i>
    <i r="1">
      <x v="3837"/>
    </i>
    <i r="1">
      <x v="3838"/>
    </i>
    <i r="1">
      <x v="3839"/>
    </i>
    <i r="1">
      <x v="3840"/>
    </i>
    <i r="1">
      <x v="3841"/>
    </i>
    <i r="1">
      <x v="3842"/>
    </i>
    <i r="1">
      <x v="3843"/>
    </i>
    <i r="1">
      <x v="3844"/>
    </i>
    <i r="1">
      <x v="3845"/>
    </i>
    <i r="1">
      <x v="3846"/>
    </i>
    <i r="1">
      <x v="3847"/>
    </i>
    <i r="1">
      <x v="3848"/>
    </i>
    <i r="1">
      <x v="3849"/>
    </i>
    <i r="1">
      <x v="3850"/>
    </i>
    <i r="1">
      <x v="3851"/>
    </i>
    <i r="1">
      <x v="3852"/>
    </i>
    <i r="1">
      <x v="3853"/>
    </i>
    <i r="1">
      <x v="3854"/>
    </i>
    <i r="1">
      <x v="3855"/>
    </i>
    <i r="1">
      <x v="3856"/>
    </i>
    <i r="1">
      <x v="3857"/>
    </i>
    <i r="1">
      <x v="3858"/>
    </i>
    <i r="1">
      <x v="3859"/>
    </i>
    <i r="1">
      <x v="3860"/>
    </i>
    <i r="1">
      <x v="3861"/>
    </i>
    <i r="1">
      <x v="3862"/>
    </i>
    <i r="1">
      <x v="3863"/>
    </i>
    <i r="1">
      <x v="3864"/>
    </i>
    <i r="1">
      <x v="3865"/>
    </i>
    <i r="1">
      <x v="3866"/>
    </i>
    <i r="1">
      <x v="3867"/>
    </i>
    <i r="1">
      <x v="3868"/>
    </i>
    <i r="1">
      <x v="3869"/>
    </i>
    <i r="1">
      <x v="3870"/>
    </i>
    <i r="1">
      <x v="3871"/>
    </i>
    <i r="1">
      <x v="3872"/>
    </i>
    <i r="1">
      <x v="3873"/>
    </i>
    <i r="1">
      <x v="3874"/>
    </i>
    <i r="1">
      <x v="3875"/>
    </i>
    <i r="1">
      <x v="3876"/>
    </i>
    <i r="1">
      <x v="3877"/>
    </i>
    <i r="1">
      <x v="3878"/>
    </i>
    <i r="1">
      <x v="3879"/>
    </i>
    <i r="1">
      <x v="3880"/>
    </i>
    <i r="1">
      <x v="3881"/>
    </i>
    <i r="1">
      <x v="3882"/>
    </i>
    <i r="1">
      <x v="3883"/>
    </i>
    <i r="1">
      <x v="3884"/>
    </i>
    <i r="1">
      <x v="3885"/>
    </i>
    <i r="1">
      <x v="3886"/>
    </i>
    <i r="1">
      <x v="3887"/>
    </i>
    <i r="1">
      <x v="3888"/>
    </i>
    <i r="1">
      <x v="3889"/>
    </i>
    <i r="1">
      <x v="3890"/>
    </i>
    <i r="1">
      <x v="3891"/>
    </i>
    <i r="1">
      <x v="3892"/>
    </i>
    <i r="1">
      <x v="3893"/>
    </i>
    <i r="1">
      <x v="3894"/>
    </i>
    <i r="1">
      <x v="3895"/>
    </i>
    <i r="1">
      <x v="3896"/>
    </i>
    <i r="1">
      <x v="3897"/>
    </i>
    <i r="1">
      <x v="3898"/>
    </i>
    <i r="1">
      <x v="3899"/>
    </i>
    <i r="1">
      <x v="3900"/>
    </i>
    <i r="1">
      <x v="3901"/>
    </i>
    <i r="1">
      <x v="3902"/>
    </i>
    <i r="1">
      <x v="3903"/>
    </i>
    <i r="1">
      <x v="3904"/>
    </i>
    <i r="1">
      <x v="3905"/>
    </i>
    <i r="1">
      <x v="3906"/>
    </i>
    <i r="1">
      <x v="3907"/>
    </i>
    <i r="1">
      <x v="3908"/>
    </i>
    <i r="1">
      <x v="3909"/>
    </i>
    <i r="1">
      <x v="3910"/>
    </i>
    <i r="1">
      <x v="3911"/>
    </i>
    <i r="1">
      <x v="3912"/>
    </i>
    <i r="1">
      <x v="3913"/>
    </i>
    <i r="1">
      <x v="3914"/>
    </i>
    <i r="1">
      <x v="3915"/>
    </i>
    <i r="1">
      <x v="3916"/>
    </i>
    <i r="1">
      <x v="3917"/>
    </i>
    <i r="1">
      <x v="3918"/>
    </i>
    <i r="1">
      <x v="3919"/>
    </i>
    <i r="1">
      <x v="3920"/>
    </i>
    <i r="1">
      <x v="3921"/>
    </i>
    <i r="1">
      <x v="3922"/>
    </i>
    <i r="1">
      <x v="3923"/>
    </i>
    <i r="1">
      <x v="3924"/>
    </i>
    <i r="1">
      <x v="3925"/>
    </i>
    <i r="1">
      <x v="3926"/>
    </i>
    <i r="1">
      <x v="3927"/>
    </i>
    <i r="1">
      <x v="3928"/>
    </i>
    <i r="1">
      <x v="3929"/>
    </i>
    <i r="1">
      <x v="3930"/>
    </i>
    <i r="1">
      <x v="3931"/>
    </i>
    <i r="1">
      <x v="3932"/>
    </i>
    <i r="1">
      <x v="3933"/>
    </i>
    <i r="1">
      <x v="3934"/>
    </i>
    <i r="1">
      <x v="3935"/>
    </i>
    <i r="1">
      <x v="3936"/>
    </i>
    <i r="1">
      <x v="3937"/>
    </i>
    <i r="1">
      <x v="3938"/>
    </i>
    <i r="1">
      <x v="3939"/>
    </i>
    <i r="1">
      <x v="3940"/>
    </i>
    <i r="1">
      <x v="3941"/>
    </i>
    <i r="1">
      <x v="3942"/>
    </i>
    <i r="1">
      <x v="3943"/>
    </i>
    <i r="1">
      <x v="3944"/>
    </i>
    <i r="1">
      <x v="3945"/>
    </i>
    <i r="1">
      <x v="3946"/>
    </i>
    <i r="1">
      <x v="3947"/>
    </i>
    <i r="1">
      <x v="3948"/>
    </i>
    <i r="1">
      <x v="3949"/>
    </i>
    <i r="1">
      <x v="3950"/>
    </i>
    <i r="1">
      <x v="3951"/>
    </i>
    <i r="1">
      <x v="3952"/>
    </i>
    <i r="1">
      <x v="3953"/>
    </i>
    <i r="1">
      <x v="3954"/>
    </i>
    <i r="1">
      <x v="3955"/>
    </i>
    <i r="1">
      <x v="3956"/>
    </i>
    <i r="1">
      <x v="3957"/>
    </i>
    <i r="1">
      <x v="3958"/>
    </i>
    <i r="1">
      <x v="3959"/>
    </i>
    <i r="1">
      <x v="3960"/>
    </i>
    <i r="1">
      <x v="3961"/>
    </i>
    <i r="1">
      <x v="3962"/>
    </i>
    <i r="1">
      <x v="3963"/>
    </i>
    <i r="1">
      <x v="3964"/>
    </i>
    <i r="1">
      <x v="3965"/>
    </i>
    <i r="1">
      <x v="3966"/>
    </i>
    <i r="1">
      <x v="3967"/>
    </i>
    <i r="1">
      <x v="3968"/>
    </i>
    <i r="1">
      <x v="3969"/>
    </i>
    <i r="1">
      <x v="3970"/>
    </i>
    <i r="1">
      <x v="3971"/>
    </i>
    <i r="1">
      <x v="3972"/>
    </i>
    <i r="1">
      <x v="3973"/>
    </i>
    <i r="1">
      <x v="3974"/>
    </i>
    <i r="1">
      <x v="3975"/>
    </i>
    <i r="1">
      <x v="3976"/>
    </i>
    <i r="1">
      <x v="3977"/>
    </i>
    <i r="1">
      <x v="3978"/>
    </i>
    <i r="1">
      <x v="3979"/>
    </i>
    <i r="1">
      <x v="3980"/>
    </i>
    <i r="1">
      <x v="3981"/>
    </i>
    <i r="1">
      <x v="3982"/>
    </i>
    <i r="1">
      <x v="3983"/>
    </i>
    <i r="1">
      <x v="3984"/>
    </i>
    <i r="1">
      <x v="3985"/>
    </i>
    <i r="1">
      <x v="3986"/>
    </i>
    <i r="1">
      <x v="3987"/>
    </i>
    <i r="1">
      <x v="3988"/>
    </i>
    <i r="1">
      <x v="3989"/>
    </i>
    <i r="1">
      <x v="3990"/>
    </i>
    <i r="1">
      <x v="3991"/>
    </i>
    <i r="1">
      <x v="3992"/>
    </i>
    <i r="1">
      <x v="3993"/>
    </i>
    <i r="1">
      <x v="3994"/>
    </i>
    <i r="1">
      <x v="3995"/>
    </i>
    <i r="1">
      <x v="3996"/>
    </i>
    <i r="1">
      <x v="3997"/>
    </i>
    <i r="1">
      <x v="3998"/>
    </i>
    <i r="1">
      <x v="3999"/>
    </i>
    <i r="1">
      <x v="4000"/>
    </i>
    <i r="1">
      <x v="4001"/>
    </i>
    <i r="1">
      <x v="4002"/>
    </i>
    <i r="1">
      <x v="4003"/>
    </i>
    <i r="1">
      <x v="4004"/>
    </i>
    <i r="1">
      <x v="4005"/>
    </i>
    <i r="1">
      <x v="4006"/>
    </i>
    <i r="1">
      <x v="4007"/>
    </i>
    <i r="1">
      <x v="4008"/>
    </i>
    <i r="1">
      <x v="4009"/>
    </i>
    <i r="1">
      <x v="4010"/>
    </i>
    <i r="1">
      <x v="4011"/>
    </i>
    <i r="1">
      <x v="4012"/>
    </i>
    <i r="1">
      <x v="4013"/>
    </i>
    <i r="1">
      <x v="4014"/>
    </i>
    <i r="1">
      <x v="4015"/>
    </i>
    <i r="1">
      <x v="4016"/>
    </i>
    <i r="1">
      <x v="4017"/>
    </i>
    <i r="1">
      <x v="4018"/>
    </i>
    <i r="1">
      <x v="4019"/>
    </i>
    <i r="1">
      <x v="4020"/>
    </i>
    <i r="1">
      <x v="4021"/>
    </i>
    <i r="1">
      <x v="4022"/>
    </i>
    <i r="1">
      <x v="4023"/>
    </i>
    <i r="1">
      <x v="4024"/>
    </i>
    <i r="1">
      <x v="4025"/>
    </i>
    <i r="1">
      <x v="4027"/>
    </i>
    <i r="1">
      <x v="4029"/>
    </i>
    <i r="1">
      <x v="4031"/>
    </i>
    <i r="1">
      <x v="4032"/>
    </i>
    <i r="1">
      <x v="4033"/>
    </i>
    <i r="1">
      <x v="4035"/>
    </i>
    <i r="1">
      <x v="4037"/>
    </i>
    <i r="1">
      <x v="4039"/>
    </i>
    <i r="1">
      <x v="4040"/>
    </i>
    <i r="1">
      <x v="4041"/>
    </i>
    <i r="1">
      <x v="4042"/>
    </i>
    <i r="1">
      <x v="4043"/>
    </i>
    <i r="1">
      <x v="4044"/>
    </i>
    <i r="1">
      <x v="4045"/>
    </i>
    <i r="1">
      <x v="4049"/>
    </i>
    <i r="1">
      <x v="4050"/>
    </i>
    <i r="1">
      <x v="4051"/>
    </i>
    <i r="1">
      <x v="4052"/>
    </i>
    <i r="1">
      <x v="4053"/>
    </i>
    <i r="1">
      <x v="4054"/>
    </i>
    <i r="1">
      <x v="4055"/>
    </i>
    <i r="1">
      <x v="4056"/>
    </i>
    <i r="1">
      <x v="4057"/>
    </i>
    <i r="1">
      <x v="4058"/>
    </i>
    <i r="1">
      <x v="4059"/>
    </i>
    <i r="1">
      <x v="4060"/>
    </i>
    <i r="1">
      <x v="4061"/>
    </i>
    <i r="1">
      <x v="4062"/>
    </i>
    <i r="1">
      <x v="4063"/>
    </i>
    <i r="1">
      <x v="4064"/>
    </i>
    <i r="1">
      <x v="4065"/>
    </i>
    <i r="1">
      <x v="4066"/>
    </i>
    <i r="1">
      <x v="4067"/>
    </i>
    <i r="1">
      <x v="4068"/>
    </i>
    <i r="1">
      <x v="4069"/>
    </i>
    <i r="1">
      <x v="4070"/>
    </i>
    <i r="1">
      <x v="4071"/>
    </i>
    <i r="1">
      <x v="4072"/>
    </i>
    <i r="1">
      <x v="4073"/>
    </i>
    <i r="1">
      <x v="4074"/>
    </i>
    <i r="1">
      <x v="4075"/>
    </i>
    <i r="1">
      <x v="4076"/>
    </i>
    <i r="1">
      <x v="4077"/>
    </i>
    <i r="1">
      <x v="4078"/>
    </i>
    <i r="1">
      <x v="4079"/>
    </i>
    <i r="1">
      <x v="4080"/>
    </i>
    <i r="1">
      <x v="4081"/>
    </i>
    <i r="1">
      <x v="4082"/>
    </i>
    <i r="1">
      <x v="4083"/>
    </i>
    <i r="1">
      <x v="4084"/>
    </i>
    <i r="1">
      <x v="4085"/>
    </i>
    <i r="1">
      <x v="4086"/>
    </i>
    <i r="1">
      <x v="4087"/>
    </i>
    <i r="1">
      <x v="4088"/>
    </i>
    <i r="1">
      <x v="4089"/>
    </i>
    <i r="1">
      <x v="4090"/>
    </i>
    <i r="1">
      <x v="4091"/>
    </i>
    <i r="1">
      <x v="4092"/>
    </i>
    <i r="1">
      <x v="4093"/>
    </i>
    <i r="1">
      <x v="4094"/>
    </i>
    <i r="1">
      <x v="4095"/>
    </i>
    <i r="1">
      <x v="4096"/>
    </i>
    <i r="1">
      <x v="4097"/>
    </i>
    <i r="1">
      <x v="4098"/>
    </i>
    <i r="1">
      <x v="4099"/>
    </i>
    <i r="1">
      <x v="4100"/>
    </i>
    <i r="1">
      <x v="4101"/>
    </i>
    <i r="1">
      <x v="4102"/>
    </i>
    <i r="1">
      <x v="4103"/>
    </i>
    <i r="1">
      <x v="4104"/>
    </i>
    <i r="1">
      <x v="4105"/>
    </i>
    <i r="1">
      <x v="4106"/>
    </i>
    <i r="1">
      <x v="4107"/>
    </i>
    <i r="1">
      <x v="4108"/>
    </i>
    <i r="1">
      <x v="4109"/>
    </i>
    <i r="1">
      <x v="4110"/>
    </i>
    <i r="1">
      <x v="4111"/>
    </i>
    <i r="1">
      <x v="4112"/>
    </i>
    <i r="1">
      <x v="4113"/>
    </i>
    <i r="1">
      <x v="4114"/>
    </i>
    <i r="1">
      <x v="4115"/>
    </i>
    <i r="1">
      <x v="4116"/>
    </i>
    <i r="1">
      <x v="4117"/>
    </i>
    <i r="1">
      <x v="4118"/>
    </i>
    <i r="1">
      <x v="4119"/>
    </i>
    <i r="1">
      <x v="4120"/>
    </i>
    <i r="1">
      <x v="4121"/>
    </i>
    <i r="1">
      <x v="4122"/>
    </i>
    <i r="1">
      <x v="4123"/>
    </i>
    <i r="1">
      <x v="4124"/>
    </i>
    <i r="1">
      <x v="4125"/>
    </i>
    <i r="1">
      <x v="4126"/>
    </i>
    <i r="1">
      <x v="4127"/>
    </i>
    <i r="1">
      <x v="4128"/>
    </i>
    <i r="1">
      <x v="4129"/>
    </i>
    <i r="1">
      <x v="4130"/>
    </i>
    <i r="1">
      <x v="4131"/>
    </i>
    <i r="1">
      <x v="4132"/>
    </i>
    <i r="1">
      <x v="4133"/>
    </i>
    <i r="1">
      <x v="4134"/>
    </i>
    <i r="1">
      <x v="4135"/>
    </i>
    <i r="1">
      <x v="4136"/>
    </i>
    <i r="1">
      <x v="4137"/>
    </i>
    <i r="1">
      <x v="4138"/>
    </i>
    <i r="1">
      <x v="4139"/>
    </i>
    <i r="1">
      <x v="4140"/>
    </i>
    <i r="1">
      <x v="4141"/>
    </i>
    <i r="1">
      <x v="4142"/>
    </i>
    <i r="1">
      <x v="4143"/>
    </i>
    <i r="1">
      <x v="4144"/>
    </i>
    <i r="1">
      <x v="4145"/>
    </i>
    <i r="1">
      <x v="4146"/>
    </i>
    <i r="1">
      <x v="4147"/>
    </i>
    <i r="1">
      <x v="4148"/>
    </i>
    <i r="1">
      <x v="4149"/>
    </i>
    <i r="1">
      <x v="4150"/>
    </i>
    <i r="1">
      <x v="4151"/>
    </i>
    <i r="1">
      <x v="4152"/>
    </i>
    <i r="1">
      <x v="4153"/>
    </i>
    <i r="1">
      <x v="4155"/>
    </i>
    <i r="1">
      <x v="4156"/>
    </i>
    <i r="1">
      <x v="4157"/>
    </i>
    <i r="1">
      <x v="4158"/>
    </i>
    <i r="1">
      <x v="4159"/>
    </i>
    <i r="1">
      <x v="4160"/>
    </i>
    <i r="1">
      <x v="4161"/>
    </i>
    <i r="1">
      <x v="4162"/>
    </i>
    <i r="1">
      <x v="4163"/>
    </i>
    <i r="1">
      <x v="4164"/>
    </i>
    <i r="1">
      <x v="4165"/>
    </i>
    <i r="1">
      <x v="4166"/>
    </i>
    <i r="1">
      <x v="4167"/>
    </i>
    <i r="1">
      <x v="4168"/>
    </i>
    <i r="1">
      <x v="4169"/>
    </i>
    <i r="1">
      <x v="4170"/>
    </i>
    <i r="1">
      <x v="4172"/>
    </i>
    <i r="1">
      <x v="4173"/>
    </i>
    <i r="1">
      <x v="4174"/>
    </i>
    <i r="1">
      <x v="4177"/>
    </i>
    <i r="1">
      <x v="4178"/>
    </i>
    <i r="1">
      <x v="4179"/>
    </i>
    <i r="1">
      <x v="4180"/>
    </i>
    <i r="1">
      <x v="4183"/>
    </i>
    <i r="1">
      <x v="4184"/>
    </i>
    <i r="1">
      <x v="4185"/>
    </i>
    <i r="1">
      <x v="4186"/>
    </i>
    <i r="1">
      <x v="4187"/>
    </i>
    <i r="1">
      <x v="4188"/>
    </i>
    <i r="1">
      <x v="4189"/>
    </i>
    <i r="1">
      <x v="4190"/>
    </i>
    <i r="1">
      <x v="4196"/>
    </i>
    <i r="1">
      <x v="4199"/>
    </i>
    <i r="1">
      <x v="4200"/>
    </i>
    <i r="1">
      <x v="4201"/>
    </i>
    <i r="1">
      <x v="4202"/>
    </i>
    <i r="1">
      <x v="4203"/>
    </i>
    <i r="1">
      <x v="4204"/>
    </i>
    <i r="1">
      <x v="4207"/>
    </i>
    <i r="1">
      <x v="4208"/>
    </i>
    <i r="1">
      <x v="4209"/>
    </i>
    <i r="1">
      <x v="4211"/>
    </i>
    <i r="1">
      <x v="4212"/>
    </i>
    <i r="1">
      <x v="4213"/>
    </i>
    <i r="1">
      <x v="4214"/>
    </i>
    <i r="1">
      <x v="4215"/>
    </i>
    <i r="1">
      <x v="4216"/>
    </i>
    <i r="1">
      <x v="4217"/>
    </i>
    <i r="1">
      <x v="4218"/>
    </i>
    <i r="1">
      <x v="4219"/>
    </i>
    <i r="1">
      <x v="4222"/>
    </i>
    <i r="1">
      <x v="4225"/>
    </i>
    <i r="1">
      <x v="4226"/>
    </i>
    <i r="1">
      <x v="4227"/>
    </i>
    <i r="1">
      <x v="4228"/>
    </i>
    <i r="1">
      <x v="4229"/>
    </i>
    <i r="1">
      <x v="4230"/>
    </i>
    <i r="1">
      <x v="4231"/>
    </i>
    <i r="1">
      <x v="4232"/>
    </i>
    <i r="1">
      <x v="4233"/>
    </i>
    <i r="1">
      <x v="4234"/>
    </i>
    <i r="1">
      <x v="4235"/>
    </i>
    <i r="1">
      <x v="4252"/>
    </i>
    <i r="1">
      <x v="4253"/>
    </i>
    <i r="1">
      <x v="4258"/>
    </i>
    <i r="1">
      <x v="4264"/>
    </i>
    <i r="1">
      <x v="4265"/>
    </i>
    <i r="1">
      <x v="4266"/>
    </i>
    <i r="1">
      <x v="4281"/>
    </i>
    <i r="1">
      <x v="4282"/>
    </i>
    <i r="1">
      <x v="4283"/>
    </i>
    <i r="1">
      <x v="4284"/>
    </i>
    <i r="1">
      <x v="4285"/>
    </i>
    <i r="1">
      <x v="4286"/>
    </i>
    <i r="1">
      <x v="4287"/>
    </i>
    <i r="1">
      <x v="4288"/>
    </i>
    <i r="1">
      <x v="4289"/>
    </i>
    <i r="1">
      <x v="4290"/>
    </i>
    <i r="1">
      <x v="4291"/>
    </i>
    <i r="1">
      <x v="4292"/>
    </i>
    <i r="1">
      <x v="4293"/>
    </i>
    <i r="1">
      <x v="4294"/>
    </i>
    <i r="1">
      <x v="4295"/>
    </i>
    <i r="1">
      <x v="4296"/>
    </i>
    <i r="1">
      <x v="4297"/>
    </i>
    <i r="1">
      <x v="4298"/>
    </i>
    <i r="1">
      <x v="4299"/>
    </i>
    <i r="1">
      <x v="4300"/>
    </i>
    <i r="1">
      <x v="4301"/>
    </i>
    <i r="1">
      <x v="4302"/>
    </i>
    <i r="1">
      <x v="4303"/>
    </i>
    <i r="1">
      <x v="4304"/>
    </i>
    <i r="1">
      <x v="4305"/>
    </i>
    <i r="1">
      <x v="4306"/>
    </i>
    <i r="1">
      <x v="4307"/>
    </i>
    <i r="1">
      <x v="4308"/>
    </i>
    <i r="1">
      <x v="4309"/>
    </i>
    <i r="1">
      <x v="4310"/>
    </i>
    <i r="1">
      <x v="4311"/>
    </i>
    <i r="1">
      <x v="4312"/>
    </i>
    <i r="1">
      <x v="4313"/>
    </i>
    <i r="1">
      <x v="4315"/>
    </i>
    <i r="1">
      <x v="4598"/>
    </i>
    <i r="1">
      <x v="4599"/>
    </i>
    <i r="1">
      <x v="4600"/>
    </i>
    <i r="1">
      <x v="4601"/>
    </i>
    <i r="1">
      <x v="4602"/>
    </i>
    <i r="1">
      <x v="4603"/>
    </i>
    <i r="1">
      <x v="4604"/>
    </i>
    <i r="1">
      <x v="4605"/>
    </i>
    <i r="1">
      <x v="4606"/>
    </i>
    <i r="1">
      <x v="4607"/>
    </i>
    <i r="1">
      <x v="4608"/>
    </i>
    <i r="1">
      <x v="4609"/>
    </i>
    <i r="1">
      <x v="4610"/>
    </i>
    <i r="1">
      <x v="4611"/>
    </i>
    <i r="1">
      <x v="4612"/>
    </i>
    <i r="1">
      <x v="4613"/>
    </i>
    <i r="1">
      <x v="4614"/>
    </i>
    <i r="1">
      <x v="4615"/>
    </i>
    <i r="1">
      <x v="4616"/>
    </i>
    <i r="1">
      <x v="4617"/>
    </i>
    <i r="1">
      <x v="4618"/>
    </i>
    <i r="1">
      <x v="4619"/>
    </i>
    <i r="1">
      <x v="4620"/>
    </i>
    <i r="1">
      <x v="4621"/>
    </i>
    <i r="1">
      <x v="4622"/>
    </i>
    <i r="1">
      <x v="4623"/>
    </i>
    <i r="1">
      <x v="4624"/>
    </i>
    <i r="1">
      <x v="4625"/>
    </i>
    <i r="1">
      <x v="4626"/>
    </i>
    <i r="1">
      <x v="4627"/>
    </i>
    <i r="1">
      <x v="4628"/>
    </i>
    <i r="1">
      <x v="4629"/>
    </i>
    <i r="1">
      <x v="4630"/>
    </i>
    <i r="1">
      <x v="4631"/>
    </i>
    <i r="1">
      <x v="4632"/>
    </i>
    <i r="1">
      <x v="4633"/>
    </i>
    <i r="1">
      <x v="4634"/>
    </i>
    <i r="1">
      <x v="4635"/>
    </i>
    <i r="1">
      <x v="4636"/>
    </i>
    <i r="1">
      <x v="4637"/>
    </i>
    <i r="1">
      <x v="4638"/>
    </i>
    <i r="1">
      <x v="4639"/>
    </i>
    <i r="1">
      <x v="4640"/>
    </i>
    <i r="1">
      <x v="4641"/>
    </i>
    <i r="1">
      <x v="4642"/>
    </i>
    <i r="1">
      <x v="4643"/>
    </i>
    <i r="1">
      <x v="4644"/>
    </i>
    <i r="1">
      <x v="4645"/>
    </i>
    <i r="1">
      <x v="4646"/>
    </i>
    <i r="1">
      <x v="4647"/>
    </i>
    <i r="1">
      <x v="4648"/>
    </i>
    <i r="1">
      <x v="4649"/>
    </i>
    <i r="1">
      <x v="4650"/>
    </i>
    <i r="1">
      <x v="4651"/>
    </i>
    <i r="1">
      <x v="4652"/>
    </i>
    <i r="1">
      <x v="4653"/>
    </i>
    <i r="1">
      <x v="4654"/>
    </i>
    <i r="1">
      <x v="4655"/>
    </i>
    <i r="1">
      <x v="4656"/>
    </i>
    <i r="1">
      <x v="4657"/>
    </i>
    <i r="1">
      <x v="4658"/>
    </i>
    <i r="1">
      <x v="4659"/>
    </i>
    <i r="1">
      <x v="4660"/>
    </i>
    <i r="1">
      <x v="4661"/>
    </i>
    <i r="1">
      <x v="4662"/>
    </i>
    <i r="1">
      <x v="4663"/>
    </i>
    <i r="1">
      <x v="4664"/>
    </i>
    <i r="1">
      <x v="4665"/>
    </i>
    <i r="1">
      <x v="4666"/>
    </i>
    <i r="1">
      <x v="4667"/>
    </i>
    <i r="1">
      <x v="4668"/>
    </i>
    <i r="1">
      <x v="4669"/>
    </i>
    <i r="1">
      <x v="4670"/>
    </i>
    <i r="1">
      <x v="4671"/>
    </i>
    <i r="1">
      <x v="4672"/>
    </i>
    <i r="1">
      <x v="4673"/>
    </i>
    <i r="1">
      <x v="4674"/>
    </i>
    <i r="1">
      <x v="4967"/>
    </i>
    <i r="1">
      <x v="4968"/>
    </i>
    <i r="1">
      <x v="4969"/>
    </i>
    <i r="1">
      <x v="4970"/>
    </i>
    <i r="1">
      <x v="4971"/>
    </i>
    <i r="1">
      <x v="4972"/>
    </i>
    <i r="1">
      <x v="4973"/>
    </i>
    <i r="1">
      <x v="4974"/>
    </i>
    <i r="1">
      <x v="4975"/>
    </i>
    <i r="1">
      <x v="4976"/>
    </i>
    <i r="1">
      <x v="4977"/>
    </i>
    <i r="1">
      <x v="4978"/>
    </i>
    <i r="1">
      <x v="4979"/>
    </i>
    <i r="1">
      <x v="4980"/>
    </i>
    <i r="1">
      <x v="4981"/>
    </i>
    <i r="1">
      <x v="4982"/>
    </i>
    <i r="1">
      <x v="4983"/>
    </i>
    <i r="1">
      <x v="4984"/>
    </i>
    <i r="1">
      <x v="4985"/>
    </i>
    <i r="1">
      <x v="4986"/>
    </i>
    <i r="1">
      <x v="4987"/>
    </i>
    <i r="1">
      <x v="4988"/>
    </i>
    <i r="1">
      <x v="4989"/>
    </i>
    <i r="1">
      <x v="4990"/>
    </i>
    <i r="1">
      <x v="4991"/>
    </i>
    <i r="1">
      <x v="4992"/>
    </i>
    <i r="1">
      <x v="4993"/>
    </i>
    <i r="1">
      <x v="4994"/>
    </i>
    <i r="1">
      <x v="4995"/>
    </i>
    <i r="1">
      <x v="4996"/>
    </i>
    <i r="1">
      <x v="4997"/>
    </i>
    <i r="1">
      <x v="4998"/>
    </i>
    <i r="1">
      <x v="4999"/>
    </i>
    <i r="1">
      <x v="5000"/>
    </i>
    <i r="1">
      <x v="5001"/>
    </i>
    <i r="1">
      <x v="5002"/>
    </i>
    <i r="1">
      <x v="5003"/>
    </i>
    <i r="1">
      <x v="5004"/>
    </i>
    <i r="1">
      <x v="5005"/>
    </i>
    <i r="1">
      <x v="5006"/>
    </i>
    <i r="1">
      <x v="5007"/>
    </i>
    <i r="1">
      <x v="5008"/>
    </i>
    <i r="1">
      <x v="5009"/>
    </i>
    <i r="1">
      <x v="5010"/>
    </i>
    <i r="1">
      <x v="5011"/>
    </i>
    <i r="1">
      <x v="5012"/>
    </i>
    <i r="1">
      <x v="5013"/>
    </i>
    <i r="1">
      <x v="5014"/>
    </i>
    <i r="1">
      <x v="5015"/>
    </i>
    <i r="1">
      <x v="5016"/>
    </i>
    <i r="1">
      <x v="5017"/>
    </i>
    <i r="1">
      <x v="5018"/>
    </i>
    <i r="1">
      <x v="5019"/>
    </i>
    <i r="1">
      <x v="5020"/>
    </i>
    <i r="1">
      <x v="5021"/>
    </i>
    <i r="1">
      <x v="5022"/>
    </i>
    <i r="1">
      <x v="5023"/>
    </i>
    <i r="1">
      <x v="5024"/>
    </i>
    <i r="1">
      <x v="5025"/>
    </i>
    <i r="1">
      <x v="5026"/>
    </i>
    <i r="1">
      <x v="5027"/>
    </i>
    <i r="1">
      <x v="5028"/>
    </i>
    <i r="1">
      <x v="5029"/>
    </i>
    <i r="1">
      <x v="5030"/>
    </i>
    <i r="1">
      <x v="5031"/>
    </i>
    <i r="1">
      <x v="5032"/>
    </i>
    <i r="1">
      <x v="5033"/>
    </i>
    <i r="1">
      <x v="5034"/>
    </i>
    <i r="1">
      <x v="5035"/>
    </i>
    <i r="1">
      <x v="5036"/>
    </i>
    <i r="1">
      <x v="5037"/>
    </i>
    <i r="1">
      <x v="5038"/>
    </i>
    <i r="1">
      <x v="5039"/>
    </i>
    <i r="1">
      <x v="5040"/>
    </i>
    <i r="1">
      <x v="5041"/>
    </i>
    <i r="1">
      <x v="5042"/>
    </i>
    <i r="1">
      <x v="5043"/>
    </i>
    <i r="1">
      <x v="5044"/>
    </i>
    <i r="1">
      <x v="5045"/>
    </i>
    <i r="1">
      <x v="5046"/>
    </i>
    <i r="1">
      <x v="5047"/>
    </i>
    <i r="1">
      <x v="5048"/>
    </i>
    <i r="1">
      <x v="5049"/>
    </i>
    <i r="1">
      <x v="5050"/>
    </i>
    <i r="1">
      <x v="5051"/>
    </i>
    <i r="1">
      <x v="5052"/>
    </i>
    <i r="1">
      <x v="5053"/>
    </i>
    <i r="1">
      <x v="5054"/>
    </i>
    <i r="1">
      <x v="5055"/>
    </i>
    <i r="1">
      <x v="5056"/>
    </i>
    <i r="1">
      <x v="5057"/>
    </i>
    <i r="1">
      <x v="5058"/>
    </i>
    <i r="1">
      <x v="5059"/>
    </i>
    <i r="1">
      <x v="5060"/>
    </i>
    <i r="1">
      <x v="5061"/>
    </i>
    <i r="1">
      <x v="5062"/>
    </i>
    <i r="1">
      <x v="5063"/>
    </i>
    <i r="1">
      <x v="5064"/>
    </i>
    <i r="1">
      <x v="5065"/>
    </i>
    <i r="1">
      <x v="5066"/>
    </i>
    <i r="1">
      <x v="5067"/>
    </i>
    <i r="1">
      <x v="5068"/>
    </i>
    <i r="1">
      <x v="5069"/>
    </i>
    <i r="1">
      <x v="5070"/>
    </i>
    <i r="1">
      <x v="5071"/>
    </i>
    <i r="1">
      <x v="5072"/>
    </i>
    <i r="1">
      <x v="5073"/>
    </i>
    <i r="1">
      <x v="5074"/>
    </i>
    <i r="1">
      <x v="5075"/>
    </i>
    <i r="1">
      <x v="5076"/>
    </i>
    <i r="1">
      <x v="5077"/>
    </i>
    <i r="1">
      <x v="5078"/>
    </i>
    <i r="1">
      <x v="5079"/>
    </i>
    <i r="1">
      <x v="5080"/>
    </i>
    <i r="1">
      <x v="5081"/>
    </i>
    <i r="1">
      <x v="5082"/>
    </i>
    <i r="1">
      <x v="5083"/>
    </i>
    <i r="1">
      <x v="5084"/>
    </i>
    <i r="1">
      <x v="5085"/>
    </i>
    <i r="1">
      <x v="5086"/>
    </i>
    <i r="1">
      <x v="5087"/>
    </i>
    <i r="1">
      <x v="5088"/>
    </i>
    <i r="1">
      <x v="5089"/>
    </i>
    <i r="1">
      <x v="5090"/>
    </i>
    <i r="1">
      <x v="5091"/>
    </i>
    <i r="1">
      <x v="5092"/>
    </i>
    <i r="1">
      <x v="5093"/>
    </i>
    <i r="1">
      <x v="5094"/>
    </i>
    <i r="1">
      <x v="5095"/>
    </i>
    <i r="1">
      <x v="5096"/>
    </i>
    <i r="1">
      <x v="5097"/>
    </i>
    <i r="1">
      <x v="5098"/>
    </i>
    <i r="1">
      <x v="5099"/>
    </i>
    <i r="1">
      <x v="5100"/>
    </i>
    <i r="1">
      <x v="5101"/>
    </i>
    <i r="1">
      <x v="5102"/>
    </i>
    <i r="1">
      <x v="5103"/>
    </i>
    <i r="1">
      <x v="5104"/>
    </i>
    <i r="1">
      <x v="5105"/>
    </i>
    <i r="1">
      <x v="5106"/>
    </i>
    <i r="1">
      <x v="5107"/>
    </i>
    <i r="1">
      <x v="5108"/>
    </i>
    <i r="1">
      <x v="5109"/>
    </i>
    <i r="1">
      <x v="5110"/>
    </i>
    <i r="1">
      <x v="5111"/>
    </i>
    <i r="1">
      <x v="5112"/>
    </i>
    <i r="1">
      <x v="5113"/>
    </i>
    <i r="1">
      <x v="5114"/>
    </i>
    <i r="1">
      <x v="5115"/>
    </i>
    <i r="1">
      <x v="5116"/>
    </i>
    <i r="1">
      <x v="5117"/>
    </i>
    <i r="1">
      <x v="5118"/>
    </i>
    <i r="1">
      <x v="5119"/>
    </i>
    <i r="1">
      <x v="5120"/>
    </i>
    <i r="1">
      <x v="5121"/>
    </i>
    <i r="1">
      <x v="5122"/>
    </i>
    <i r="1">
      <x v="5123"/>
    </i>
    <i r="1">
      <x v="5124"/>
    </i>
    <i r="1">
      <x v="5125"/>
    </i>
    <i r="1">
      <x v="5126"/>
    </i>
    <i r="1">
      <x v="5127"/>
    </i>
    <i r="1">
      <x v="5128"/>
    </i>
    <i r="1">
      <x v="5129"/>
    </i>
    <i r="1">
      <x v="5130"/>
    </i>
    <i r="1">
      <x v="5131"/>
    </i>
    <i r="1">
      <x v="5132"/>
    </i>
    <i r="1">
      <x v="5133"/>
    </i>
    <i r="1">
      <x v="5134"/>
    </i>
    <i r="1">
      <x v="5135"/>
    </i>
    <i r="1">
      <x v="5136"/>
    </i>
    <i r="1">
      <x v="5137"/>
    </i>
    <i r="1">
      <x v="5138"/>
    </i>
    <i r="1">
      <x v="5139"/>
    </i>
    <i r="1">
      <x v="5140"/>
    </i>
    <i r="1">
      <x v="5141"/>
    </i>
    <i r="1">
      <x v="5142"/>
    </i>
    <i r="1">
      <x v="5143"/>
    </i>
    <i r="1">
      <x v="5144"/>
    </i>
    <i r="1">
      <x v="5145"/>
    </i>
    <i r="1">
      <x v="5146"/>
    </i>
    <i r="1">
      <x v="5147"/>
    </i>
    <i r="1">
      <x v="5148"/>
    </i>
    <i r="1">
      <x v="5149"/>
    </i>
    <i r="1">
      <x v="5150"/>
    </i>
    <i r="1">
      <x v="5151"/>
    </i>
    <i r="1">
      <x v="5152"/>
    </i>
    <i r="1">
      <x v="5153"/>
    </i>
    <i r="1">
      <x v="5154"/>
    </i>
    <i r="1">
      <x v="5155"/>
    </i>
    <i r="1">
      <x v="5156"/>
    </i>
    <i r="1">
      <x v="5157"/>
    </i>
    <i r="1">
      <x v="5158"/>
    </i>
    <i r="1">
      <x v="5159"/>
    </i>
    <i r="1">
      <x v="5160"/>
    </i>
    <i r="1">
      <x v="5161"/>
    </i>
    <i r="1">
      <x v="5162"/>
    </i>
    <i r="1">
      <x v="5163"/>
    </i>
    <i r="1">
      <x v="5164"/>
    </i>
    <i r="1">
      <x v="5165"/>
    </i>
    <i r="1">
      <x v="5166"/>
    </i>
    <i r="1">
      <x v="5167"/>
    </i>
    <i r="1">
      <x v="5168"/>
    </i>
    <i r="1">
      <x v="5169"/>
    </i>
    <i r="1">
      <x v="5170"/>
    </i>
    <i r="1">
      <x v="5171"/>
    </i>
    <i r="1">
      <x v="5172"/>
    </i>
    <i r="1">
      <x v="5173"/>
    </i>
    <i r="1">
      <x v="5174"/>
    </i>
    <i r="1">
      <x v="5175"/>
    </i>
    <i r="1">
      <x v="5176"/>
    </i>
    <i r="1">
      <x v="5177"/>
    </i>
    <i r="1">
      <x v="5178"/>
    </i>
    <i r="1">
      <x v="5179"/>
    </i>
    <i r="1">
      <x v="5180"/>
    </i>
    <i r="1">
      <x v="5181"/>
    </i>
    <i r="1">
      <x v="5182"/>
    </i>
    <i r="1">
      <x v="5183"/>
    </i>
    <i r="1">
      <x v="5184"/>
    </i>
    <i r="1">
      <x v="5185"/>
    </i>
    <i r="1">
      <x v="5186"/>
    </i>
    <i r="1">
      <x v="5187"/>
    </i>
    <i r="1">
      <x v="5188"/>
    </i>
    <i r="1">
      <x v="5189"/>
    </i>
    <i r="1">
      <x v="5190"/>
    </i>
    <i r="1">
      <x v="5191"/>
    </i>
    <i r="1">
      <x v="5192"/>
    </i>
    <i r="1">
      <x v="5193"/>
    </i>
    <i r="1">
      <x v="5194"/>
    </i>
    <i r="1">
      <x v="5195"/>
    </i>
    <i r="1">
      <x v="5196"/>
    </i>
    <i r="1">
      <x v="5197"/>
    </i>
    <i r="1">
      <x v="5198"/>
    </i>
    <i r="1">
      <x v="5199"/>
    </i>
    <i r="1">
      <x v="5200"/>
    </i>
    <i r="1">
      <x v="5201"/>
    </i>
    <i r="1">
      <x v="5202"/>
    </i>
    <i r="1">
      <x v="5203"/>
    </i>
    <i r="1">
      <x v="5204"/>
    </i>
    <i t="default">
      <x v="4"/>
    </i>
    <i t="grand">
      <x/>
    </i>
  </rowItems>
  <colItems count="1">
    <i/>
  </colItem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1A5DA-B544-5C41-9631-A7F327262C0A}" name="피벗 테이블8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G3:H424" firstHeaderRow="1" firstDataRow="1" firstDataCol="2"/>
  <pivotFields count="2">
    <pivotField axis="axisRow" compact="0" outline="0" showAll="0">
      <items count="7">
        <item h="1" x="0"/>
        <item h="1" m="1" x="5"/>
        <item h="1" x="1"/>
        <item x="3"/>
        <item h="1" x="2"/>
        <item h="1" x="4"/>
        <item t="default"/>
      </items>
    </pivotField>
    <pivotField axis="axisRow" compact="0" outline="0" showAll="0">
      <items count="5211">
        <item x="2041"/>
        <item x="2042"/>
        <item x="2037"/>
        <item x="2043"/>
        <item x="2044"/>
        <item x="2045"/>
        <item x="2038"/>
        <item x="2039"/>
        <item x="2040"/>
        <item x="2050"/>
        <item x="2051"/>
        <item x="2046"/>
        <item x="2052"/>
        <item x="2053"/>
        <item x="2054"/>
        <item x="2047"/>
        <item x="2048"/>
        <item x="2049"/>
        <item x="1992"/>
        <item m="1" x="4812"/>
        <item x="1993"/>
        <item m="1" x="4813"/>
        <item x="1988"/>
        <item m="1" x="4814"/>
        <item x="1994"/>
        <item m="1" x="4815"/>
        <item x="1995"/>
        <item m="1" x="4816"/>
        <item x="1996"/>
        <item m="1" x="4817"/>
        <item x="1989"/>
        <item m="1" x="4818"/>
        <item x="1990"/>
        <item m="1" x="4819"/>
        <item x="1991"/>
        <item m="1" x="4820"/>
        <item x="2001"/>
        <item m="1" x="4821"/>
        <item x="2002"/>
        <item m="1" x="4822"/>
        <item x="1997"/>
        <item m="1" x="4823"/>
        <item x="2003"/>
        <item m="1" x="4824"/>
        <item x="2004"/>
        <item m="1" x="4825"/>
        <item x="2005"/>
        <item m="1" x="4826"/>
        <item x="1998"/>
        <item m="1" x="4827"/>
        <item x="1999"/>
        <item m="1" x="4828"/>
        <item x="2000"/>
        <item m="1" x="4829"/>
        <item x="2059"/>
        <item x="2060"/>
        <item x="2055"/>
        <item x="2061"/>
        <item x="2062"/>
        <item x="2063"/>
        <item x="2056"/>
        <item x="2057"/>
        <item x="2058"/>
        <item x="2068"/>
        <item x="2069"/>
        <item x="2064"/>
        <item x="2070"/>
        <item x="2071"/>
        <item x="2072"/>
        <item x="2065"/>
        <item x="2066"/>
        <item x="2067"/>
        <item x="2025"/>
        <item m="1" x="4830"/>
        <item x="2026"/>
        <item m="1" x="4831"/>
        <item x="2021"/>
        <item m="1" x="4832"/>
        <item x="2027"/>
        <item m="1" x="4833"/>
        <item x="2028"/>
        <item m="1" x="4834"/>
        <item x="2029"/>
        <item m="1" x="4835"/>
        <item x="2022"/>
        <item m="1" x="4836"/>
        <item x="2023"/>
        <item m="1" x="4837"/>
        <item x="2024"/>
        <item m="1" x="4838"/>
        <item x="2016"/>
        <item m="1" x="4839"/>
        <item x="2017"/>
        <item m="1" x="4840"/>
        <item x="2012"/>
        <item m="1" x="4841"/>
        <item x="2018"/>
        <item m="1" x="4842"/>
        <item x="2019"/>
        <item m="1" x="4843"/>
        <item x="2020"/>
        <item m="1" x="4844"/>
        <item x="2013"/>
        <item m="1" x="4845"/>
        <item x="2014"/>
        <item m="1" x="4846"/>
        <item x="2015"/>
        <item m="1" x="4847"/>
        <item x="2112"/>
        <item x="2104"/>
        <item x="2108"/>
        <item x="2105"/>
        <item x="2106"/>
        <item x="2107"/>
        <item x="2109"/>
        <item x="2110"/>
        <item x="2111"/>
        <item x="2116"/>
        <item x="661"/>
        <item m="1" x="4778"/>
        <item x="662"/>
        <item m="1" x="4779"/>
        <item x="657"/>
        <item m="1" x="4774"/>
        <item x="663"/>
        <item m="1" x="4780"/>
        <item x="664"/>
        <item m="1" x="4781"/>
        <item x="665"/>
        <item m="1" x="4782"/>
        <item x="658"/>
        <item m="1" x="4775"/>
        <item x="659"/>
        <item m="1" x="4776"/>
        <item x="660"/>
        <item m="1" x="4777"/>
        <item x="670"/>
        <item m="1" x="4787"/>
        <item x="671"/>
        <item m="1" x="4788"/>
        <item x="666"/>
        <item m="1" x="4783"/>
        <item x="672"/>
        <item m="1" x="4789"/>
        <item x="673"/>
        <item m="1" x="4790"/>
        <item x="674"/>
        <item m="1" x="4791"/>
        <item x="667"/>
        <item m="1" x="4784"/>
        <item x="668"/>
        <item m="1" x="4785"/>
        <item x="669"/>
        <item m="1" x="4786"/>
        <item x="679"/>
        <item m="1" x="4739"/>
        <item x="680"/>
        <item m="1" x="4740"/>
        <item x="675"/>
        <item m="1" x="4735"/>
        <item x="681"/>
        <item m="1" x="4741"/>
        <item x="682"/>
        <item m="1" x="4742"/>
        <item x="683"/>
        <item m="1" x="4743"/>
        <item x="676"/>
        <item m="1" x="4736"/>
        <item x="677"/>
        <item m="1" x="4737"/>
        <item x="678"/>
        <item m="1" x="4738"/>
        <item x="694"/>
        <item x="687"/>
        <item x="688"/>
        <item x="689"/>
        <item x="690"/>
        <item x="691"/>
        <item x="684"/>
        <item x="692"/>
        <item x="685"/>
        <item x="693"/>
        <item x="686"/>
        <item x="706"/>
        <item x="707"/>
        <item x="708"/>
        <item x="709"/>
        <item x="710"/>
        <item x="703"/>
        <item x="704"/>
        <item x="705"/>
        <item x="698"/>
        <item x="699"/>
        <item x="700"/>
        <item x="701"/>
        <item x="702"/>
        <item x="695"/>
        <item x="696"/>
        <item x="697"/>
        <item m="1" x="4344"/>
        <item x="65"/>
        <item x="66"/>
        <item m="1" x="4345"/>
        <item m="1" x="4346"/>
        <item x="67"/>
        <item m="1" x="4347"/>
        <item m="1" x="4348"/>
        <item x="80"/>
        <item x="81"/>
        <item x="61"/>
        <item x="60"/>
        <item m="1" x="4349"/>
        <item m="1" x="4350"/>
        <item m="1" x="4351"/>
        <item x="59"/>
        <item m="1" x="4352"/>
        <item m="1" x="4353"/>
        <item m="1" x="4354"/>
        <item x="84"/>
        <item x="85"/>
        <item x="64"/>
        <item x="63"/>
        <item m="1" x="4355"/>
        <item m="1" x="4356"/>
        <item x="62"/>
        <item m="1" x="4357"/>
        <item m="1" x="4358"/>
        <item x="82"/>
        <item x="83"/>
        <item m="1" x="4359"/>
        <item m="1" x="4360"/>
        <item x="58"/>
        <item x="57"/>
        <item m="1" x="4361"/>
        <item m="1" x="4362"/>
        <item x="56"/>
        <item m="1" x="4363"/>
        <item m="1" x="4364"/>
        <item m="1" x="4365"/>
        <item x="86"/>
        <item x="87"/>
        <item x="55"/>
        <item x="53"/>
        <item m="1" x="4366"/>
        <item m="1" x="4367"/>
        <item x="51"/>
        <item m="1" x="4368"/>
        <item m="1" x="4369"/>
        <item x="54"/>
        <item m="1" x="4370"/>
        <item x="52"/>
        <item m="1" x="4371"/>
        <item x="50"/>
        <item x="48"/>
        <item m="1" x="4372"/>
        <item m="1" x="4373"/>
        <item x="46"/>
        <item m="1" x="4374"/>
        <item m="1" x="4375"/>
        <item x="49"/>
        <item m="1" x="4376"/>
        <item x="47"/>
        <item m="1" x="4377"/>
        <item x="45"/>
        <item x="43"/>
        <item m="1" x="4378"/>
        <item x="41"/>
        <item m="1" x="4379"/>
        <item x="44"/>
        <item m="1" x="4380"/>
        <item x="42"/>
        <item m="1" x="4381"/>
        <item x="40"/>
        <item x="38"/>
        <item x="36"/>
        <item x="39"/>
        <item x="37"/>
        <item x="22"/>
        <item x="21"/>
        <item m="1" x="4382"/>
        <item m="1" x="4383"/>
        <item x="20"/>
        <item m="1" x="4384"/>
        <item m="1" x="4385"/>
        <item x="90"/>
        <item x="91"/>
        <item x="25"/>
        <item x="24"/>
        <item m="1" x="4386"/>
        <item m="1" x="4387"/>
        <item x="23"/>
        <item m="1" x="4388"/>
        <item m="1" x="4389"/>
        <item x="88"/>
        <item x="89"/>
        <item x="10"/>
        <item x="11"/>
        <item x="12"/>
        <item x="13"/>
        <item x="14"/>
        <item x="15"/>
        <item x="16"/>
        <item x="17"/>
        <item x="18"/>
        <item x="19"/>
        <item x="4"/>
        <item x="9"/>
        <item x="7"/>
        <item m="1" x="4390"/>
        <item m="1" x="4391"/>
        <item x="5"/>
        <item m="1" x="4392"/>
        <item m="1" x="4393"/>
        <item x="8"/>
        <item m="1" x="4394"/>
        <item x="6"/>
        <item m="1" x="4395"/>
        <item x="2"/>
        <item m="1" x="4396"/>
        <item m="1" x="4397"/>
        <item x="0"/>
        <item m="1" x="4398"/>
        <item m="1" x="4399"/>
        <item x="3"/>
        <item m="1" x="4400"/>
        <item x="1"/>
        <item m="1" x="4401"/>
        <item m="1" x="4402"/>
        <item m="1" x="4403"/>
        <item m="1" x="4404"/>
        <item m="1" x="4405"/>
        <item m="1" x="4406"/>
        <item x="1797"/>
        <item m="1" x="4407"/>
        <item x="1796"/>
        <item x="1794"/>
        <item x="1795"/>
        <item x="2007"/>
        <item x="2008"/>
        <item x="2009"/>
        <item x="2010"/>
        <item x="2006"/>
        <item x="2115"/>
        <item x="2114"/>
        <item x="2113"/>
        <item x="2103"/>
        <item x="2102"/>
        <item x="2101"/>
        <item x="2100"/>
        <item x="2099"/>
        <item x="2098"/>
        <item x="711"/>
        <item x="712"/>
        <item x="713"/>
        <item x="2129"/>
        <item x="2130"/>
        <item x="2131"/>
        <item x="2132"/>
        <item x="2133"/>
        <item x="2134"/>
        <item x="2126"/>
        <item x="2127"/>
        <item x="2128"/>
        <item x="2120"/>
        <item x="2121"/>
        <item x="2122"/>
        <item x="2123"/>
        <item x="2124"/>
        <item x="2125"/>
        <item x="2117"/>
        <item x="2118"/>
        <item x="2119"/>
        <item m="1" x="4408"/>
        <item x="528"/>
        <item x="529"/>
        <item x="530"/>
        <item x="531"/>
        <item x="568"/>
        <item x="566"/>
        <item m="1" x="4696"/>
        <item x="562"/>
        <item x="564"/>
        <item x="560"/>
        <item x="567"/>
        <item x="565"/>
        <item x="563"/>
        <item x="536"/>
        <item x="538"/>
        <item m="1" x="4697"/>
        <item x="539"/>
        <item x="540"/>
        <item m="1" x="4698"/>
        <item x="541"/>
        <item m="1" x="4699"/>
        <item x="542"/>
        <item x="543"/>
        <item x="544"/>
        <item m="1" x="4700"/>
        <item x="537"/>
        <item x="545"/>
        <item x="546"/>
        <item x="547"/>
        <item m="1" x="4701"/>
        <item x="548"/>
        <item x="552"/>
        <item x="551"/>
        <item x="550"/>
        <item x="555"/>
        <item x="533"/>
        <item x="535"/>
        <item x="558"/>
        <item x="553"/>
        <item x="559"/>
        <item m="1" x="4409"/>
        <item x="557"/>
        <item x="556"/>
        <item x="534"/>
        <item x="549"/>
        <item x="554"/>
        <item x="608"/>
        <item x="610"/>
        <item x="609"/>
        <item x="589"/>
        <item m="1" x="4768"/>
        <item x="591"/>
        <item m="1" x="4770"/>
        <item x="590"/>
        <item m="1" x="4769"/>
        <item x="588"/>
        <item x="613"/>
        <item x="611"/>
        <item x="612"/>
        <item x="593"/>
        <item m="1" x="4771"/>
        <item x="595"/>
        <item m="1" x="4773"/>
        <item x="594"/>
        <item m="1" x="4772"/>
        <item x="592"/>
        <item x="614"/>
        <item x="616"/>
        <item x="615"/>
        <item x="596"/>
        <item x="598"/>
        <item x="597"/>
        <item x="585"/>
        <item m="1" x="4765"/>
        <item x="587"/>
        <item m="1" x="4767"/>
        <item x="586"/>
        <item m="1" x="4766"/>
        <item x="584"/>
        <item x="617"/>
        <item x="571"/>
        <item x="607"/>
        <item x="606"/>
        <item x="605"/>
        <item x="577"/>
        <item m="1" x="4761"/>
        <item x="576"/>
        <item m="1" x="4760"/>
        <item x="575"/>
        <item m="1" x="4759"/>
        <item x="604"/>
        <item x="603"/>
        <item x="602"/>
        <item x="580"/>
        <item m="1" x="4764"/>
        <item x="579"/>
        <item m="1" x="4763"/>
        <item x="578"/>
        <item m="1" x="4762"/>
        <item x="601"/>
        <item x="600"/>
        <item x="599"/>
        <item x="583"/>
        <item x="582"/>
        <item x="581"/>
        <item x="574"/>
        <item x="573"/>
        <item x="572"/>
        <item m="1" x="4758"/>
        <item x="629"/>
        <item x="630"/>
        <item x="631"/>
        <item x="632"/>
        <item x="625"/>
        <item x="626"/>
        <item x="627"/>
        <item x="628"/>
        <item x="633"/>
        <item x="618"/>
        <item m="1" x="4728"/>
        <item x="620"/>
        <item m="1" x="4729"/>
        <item x="619"/>
        <item m="1" x="4730"/>
        <item x="622"/>
        <item m="1" x="4731"/>
        <item x="621"/>
        <item m="1" x="4732"/>
        <item x="623"/>
        <item m="1" x="4733"/>
        <item x="624"/>
        <item m="1" x="4734"/>
        <item x="634"/>
        <item x="635"/>
        <item x="636"/>
        <item x="637"/>
        <item x="652"/>
        <item x="653"/>
        <item x="654"/>
        <item x="655"/>
        <item x="656"/>
        <item x="638"/>
        <item x="639"/>
        <item x="640"/>
        <item x="641"/>
        <item x="642"/>
        <item x="643"/>
        <item x="644"/>
        <item x="645"/>
        <item x="647"/>
        <item x="646"/>
        <item x="649"/>
        <item x="648"/>
        <item x="650"/>
        <item x="651"/>
        <item x="569"/>
        <item x="715"/>
        <item x="714"/>
        <item x="718"/>
        <item m="1" x="4410"/>
        <item m="1" x="4411"/>
        <item x="717"/>
        <item x="716"/>
        <item x="1401"/>
        <item x="1397"/>
        <item m="1" x="4412"/>
        <item x="1398"/>
        <item m="1" x="4413"/>
        <item x="1399"/>
        <item m="1" x="4414"/>
        <item m="1" x="4415"/>
        <item m="1" x="4416"/>
        <item m="1" x="4417"/>
        <item m="1" x="4418"/>
        <item m="1" x="4419"/>
        <item x="1400"/>
        <item m="1" x="4420"/>
        <item x="1402"/>
        <item x="1391"/>
        <item x="1392"/>
        <item m="1" x="4421"/>
        <item x="1393"/>
        <item m="1" x="4422"/>
        <item x="1394"/>
        <item m="1" x="4423"/>
        <item m="1" x="4424"/>
        <item m="1" x="4425"/>
        <item m="1" x="4426"/>
        <item m="1" x="4427"/>
        <item m="1" x="4428"/>
        <item x="1395"/>
        <item m="1" x="4429"/>
        <item x="1396"/>
        <item x="1405"/>
        <item x="1620"/>
        <item x="1555"/>
        <item x="1550"/>
        <item x="1551"/>
        <item x="1552"/>
        <item x="1553"/>
        <item m="1" x="4430"/>
        <item m="1" x="4431"/>
        <item x="1554"/>
        <item x="1556"/>
        <item m="1" x="4432"/>
        <item x="1549"/>
        <item x="1544"/>
        <item x="1545"/>
        <item x="1546"/>
        <item x="1547"/>
        <item m="1" x="4433"/>
        <item m="1" x="4434"/>
        <item x="1582"/>
        <item x="1577"/>
        <item x="1578"/>
        <item x="1579"/>
        <item x="1580"/>
        <item m="1" x="4435"/>
        <item m="1" x="4436"/>
        <item m="1" x="4437"/>
        <item m="1" x="4438"/>
        <item m="1" x="4439"/>
        <item m="1" x="4440"/>
        <item m="1" x="4441"/>
        <item x="1581"/>
        <item x="1576"/>
        <item x="1570"/>
        <item x="1571"/>
        <item x="1572"/>
        <item x="1573"/>
        <item m="1" x="4442"/>
        <item m="1" x="4443"/>
        <item m="1" x="4444"/>
        <item x="1574"/>
        <item x="1588"/>
        <item x="1583"/>
        <item x="1584"/>
        <item x="1585"/>
        <item x="1586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x="1587"/>
        <item x="1569"/>
        <item x="1564"/>
        <item x="1565"/>
        <item x="1566"/>
        <item x="1567"/>
        <item m="1" x="4455"/>
        <item m="1" x="4456"/>
        <item x="1568"/>
        <item x="1563"/>
        <item x="1557"/>
        <item x="1558"/>
        <item x="1559"/>
        <item x="1560"/>
        <item m="1" x="4457"/>
        <item m="1" x="4458"/>
        <item m="1" x="4459"/>
        <item x="1561"/>
        <item x="1543"/>
        <item x="1538"/>
        <item x="1539"/>
        <item x="1540"/>
        <item x="1541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x="1542"/>
        <item x="1613"/>
        <item x="1608"/>
        <item x="1609"/>
        <item x="1610"/>
        <item x="1611"/>
        <item m="1" x="4470"/>
        <item m="1" x="4471"/>
        <item m="1" x="4472"/>
        <item m="1" x="4473"/>
        <item m="1" x="4474"/>
        <item m="1" x="4475"/>
        <item m="1" x="4476"/>
        <item x="1612"/>
        <item x="1619"/>
        <item x="1614"/>
        <item x="1615"/>
        <item x="1616"/>
        <item x="1617"/>
        <item m="1" x="4477"/>
        <item m="1" x="4478"/>
        <item x="1618"/>
        <item x="1607"/>
        <item x="1602"/>
        <item x="1603"/>
        <item x="1604"/>
        <item m="1" x="4479"/>
        <item m="1" x="4480"/>
        <item x="1605"/>
        <item x="1594"/>
        <item x="1589"/>
        <item x="1590"/>
        <item x="1591"/>
        <item x="1592"/>
        <item m="1" x="4481"/>
        <item m="1" x="4482"/>
        <item m="1" x="4483"/>
        <item m="1" x="4484"/>
        <item x="1593"/>
        <item x="1601"/>
        <item x="1595"/>
        <item x="1596"/>
        <item x="1597"/>
        <item x="1598"/>
        <item m="1" x="4485"/>
        <item m="1" x="4486"/>
        <item x="1599"/>
        <item x="1468"/>
        <item x="1463"/>
        <item x="1464"/>
        <item x="1465"/>
        <item x="1466"/>
        <item m="1" x="4487"/>
        <item m="1" x="4488"/>
        <item m="1" x="4489"/>
        <item m="1" x="4490"/>
        <item x="1467"/>
        <item x="1474"/>
        <item x="1469"/>
        <item x="1470"/>
        <item x="1471"/>
        <item x="1472"/>
        <item m="1" x="4491"/>
        <item x="1473"/>
        <item x="1475"/>
        <item x="1455"/>
        <item x="1450"/>
        <item x="1451"/>
        <item x="1452"/>
        <item x="1453"/>
        <item m="1" x="4492"/>
        <item m="1" x="4493"/>
        <item m="1" x="4494"/>
        <item m="1" x="4495"/>
        <item x="1454"/>
        <item x="1461"/>
        <item x="1456"/>
        <item x="1457"/>
        <item x="1458"/>
        <item x="1459"/>
        <item m="1" x="4496"/>
        <item m="1" x="4497"/>
        <item x="1460"/>
        <item x="1462"/>
        <item x="1484"/>
        <item x="1481"/>
        <item x="1479"/>
        <item x="1478"/>
        <item x="1480"/>
        <item x="1476"/>
        <item m="1" x="4498"/>
        <item m="1" x="4499"/>
        <item m="1" x="4500"/>
        <item m="1" x="4501"/>
        <item x="1477"/>
        <item x="1483"/>
        <item x="1482"/>
        <item x="1485"/>
        <item x="1504"/>
        <item x="1499"/>
        <item x="1500"/>
        <item x="1501"/>
        <item x="1502"/>
        <item m="1" x="4502"/>
        <item m="1" x="4503"/>
        <item m="1" x="4504"/>
        <item m="1" x="4505"/>
        <item x="1503"/>
        <item x="1510"/>
        <item x="1505"/>
        <item x="1506"/>
        <item x="1507"/>
        <item x="1508"/>
        <item m="1" x="4506"/>
        <item m="1" x="4507"/>
        <item x="1509"/>
        <item x="1511"/>
        <item x="1491"/>
        <item x="1486"/>
        <item x="1487"/>
        <item x="1488"/>
        <item x="1489"/>
        <item m="1" x="4508"/>
        <item m="1" x="4509"/>
        <item m="1" x="4510"/>
        <item m="1" x="4511"/>
        <item x="1490"/>
        <item x="1497"/>
        <item x="1492"/>
        <item x="1493"/>
        <item x="1494"/>
        <item x="1495"/>
        <item m="1" x="4512"/>
        <item m="1" x="4513"/>
        <item x="1496"/>
        <item x="1498"/>
        <item x="1536"/>
        <item x="1531"/>
        <item x="1532"/>
        <item x="1533"/>
        <item x="1534"/>
        <item m="1" x="4514"/>
        <item m="1" x="4515"/>
        <item x="1535"/>
        <item x="1530"/>
        <item x="1525"/>
        <item x="1526"/>
        <item x="1527"/>
        <item x="1528"/>
        <item x="1529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x="1537"/>
        <item x="1411"/>
        <item x="1406"/>
        <item x="1407"/>
        <item x="1408"/>
        <item x="1409"/>
        <item m="1" x="4533"/>
        <item m="1" x="4534"/>
        <item m="1" x="4535"/>
        <item m="1" x="4536"/>
        <item x="1410"/>
        <item x="1424"/>
        <item x="1419"/>
        <item x="1420"/>
        <item x="1421"/>
        <item x="1422"/>
        <item x="1423"/>
        <item m="1" x="4537"/>
        <item m="1" x="4538"/>
        <item m="1" x="4539"/>
        <item x="1417"/>
        <item x="1412"/>
        <item x="1413"/>
        <item x="1414"/>
        <item x="1415"/>
        <item x="1416"/>
        <item x="1430"/>
        <item x="1425"/>
        <item x="1426"/>
        <item x="1427"/>
        <item x="1428"/>
        <item x="1429"/>
        <item x="1418"/>
        <item x="1436"/>
        <item m="1" x="4540"/>
        <item m="1" x="4541"/>
        <item x="1431"/>
        <item x="1432"/>
        <item x="1433"/>
        <item x="1434"/>
        <item m="1" x="4542"/>
        <item m="1" x="4543"/>
        <item m="1" x="4544"/>
        <item m="1" x="4545"/>
        <item x="1435"/>
        <item x="1442"/>
        <item x="1437"/>
        <item x="1438"/>
        <item x="1439"/>
        <item x="1440"/>
        <item x="1441"/>
        <item x="1443"/>
        <item x="1667"/>
        <item x="1666"/>
        <item x="1647"/>
        <item x="1648"/>
        <item x="1655"/>
        <item x="1657"/>
        <item x="1658"/>
        <item x="1656"/>
        <item x="1654"/>
        <item x="1637"/>
        <item x="1635"/>
        <item x="1638"/>
        <item x="1636"/>
        <item x="1662"/>
        <item x="1650"/>
        <item x="1643"/>
        <item x="1641"/>
        <item x="1644"/>
        <item x="1642"/>
        <item x="1661"/>
        <item x="1649"/>
        <item x="239"/>
        <item x="238"/>
        <item x="237"/>
        <item x="4326"/>
        <item x="247"/>
        <item m="1" x="4546"/>
        <item x="245"/>
        <item x="246"/>
        <item m="1" x="4547"/>
        <item m="1" x="4548"/>
        <item m="1" x="4549"/>
        <item x="244"/>
        <item m="1" x="4550"/>
        <item m="1" x="4551"/>
        <item x="248"/>
        <item x="4327"/>
        <item x="253"/>
        <item m="1" x="4552"/>
        <item x="251"/>
        <item x="249"/>
        <item x="252"/>
        <item x="250"/>
        <item x="1245"/>
        <item x="1246"/>
        <item x="1359"/>
        <item x="1360"/>
        <item x="1361"/>
        <item x="1362"/>
        <item x="1355"/>
        <item x="1356"/>
        <item x="1354"/>
        <item x="1353"/>
        <item x="1357"/>
        <item x="1358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x="1270"/>
        <item x="1271"/>
        <item m="1" x="4566"/>
        <item m="1" x="4567"/>
        <item m="1" x="4568"/>
        <item x="1272"/>
        <item x="1273"/>
        <item x="1274"/>
        <item m="1" x="4569"/>
        <item m="1" x="4570"/>
        <item m="1" x="4571"/>
        <item x="1278"/>
        <item x="1279"/>
        <item x="1280"/>
        <item m="1" x="4572"/>
        <item m="1" x="4573"/>
        <item x="1281"/>
        <item m="1" x="4574"/>
        <item m="1" x="4575"/>
        <item m="1" x="4576"/>
        <item m="1" x="4577"/>
        <item x="1282"/>
        <item m="1" x="4578"/>
        <item m="1" x="4579"/>
        <item m="1" x="4580"/>
        <item m="1" x="4581"/>
        <item x="1283"/>
        <item x="1275"/>
        <item x="1276"/>
        <item x="1277"/>
        <item x="1255"/>
        <item x="1256"/>
        <item x="1257"/>
        <item x="1258"/>
        <item x="1259"/>
        <item x="1260"/>
        <item x="1249"/>
        <item m="1" x="4582"/>
        <item m="1" x="4583"/>
        <item x="1250"/>
        <item x="1251"/>
        <item x="1247"/>
        <item x="1248"/>
        <item x="1252"/>
        <item x="1253"/>
        <item x="1254"/>
        <item x="1264"/>
        <item x="1265"/>
        <item x="1266"/>
        <item x="1261"/>
        <item x="1262"/>
        <item x="1263"/>
        <item x="1284"/>
        <item m="1" x="4584"/>
        <item m="1" x="4585"/>
        <item x="1285"/>
        <item m="1" x="4586"/>
        <item m="1" x="4587"/>
        <item x="1286"/>
        <item x="1309"/>
        <item x="1310"/>
        <item x="1307"/>
        <item m="1" x="4588"/>
        <item x="1308"/>
        <item m="1" x="4589"/>
        <item x="1311"/>
        <item x="1302"/>
        <item x="1303"/>
        <item x="1304"/>
        <item m="1" x="4590"/>
        <item x="1305"/>
        <item m="1" x="4591"/>
        <item x="1306"/>
        <item x="1290"/>
        <item x="1291"/>
        <item x="1297"/>
        <item x="1298"/>
        <item x="1299"/>
        <item m="1" x="4592"/>
        <item m="1" x="4593"/>
        <item m="1" x="4594"/>
        <item m="1" x="4595"/>
        <item x="1300"/>
        <item m="1" x="4596"/>
        <item m="1" x="4597"/>
        <item m="1" x="4598"/>
        <item m="1" x="4599"/>
        <item x="1301"/>
        <item x="1292"/>
        <item x="1293"/>
        <item x="1294"/>
        <item x="1295"/>
        <item x="1296"/>
        <item m="1" x="4600"/>
        <item x="1287"/>
        <item x="1288"/>
        <item x="1289"/>
        <item x="1312"/>
        <item x="1313"/>
        <item x="1314"/>
        <item m="1" x="4601"/>
        <item m="1" x="4602"/>
        <item m="1" x="4603"/>
        <item x="1238"/>
        <item x="1239"/>
        <item x="1240"/>
        <item x="1235"/>
        <item x="1236"/>
        <item x="1237"/>
        <item x="1232"/>
        <item x="1233"/>
        <item x="1234"/>
        <item x="1226"/>
        <item x="1227"/>
        <item x="1225"/>
        <item x="1223"/>
        <item m="1" x="4604"/>
        <item x="1220"/>
        <item x="1221"/>
        <item x="1222"/>
        <item x="1212"/>
        <item x="1213"/>
        <item x="1214"/>
        <item x="1215"/>
        <item x="1217"/>
        <item x="1218"/>
        <item x="1219"/>
        <item x="1230"/>
        <item x="1231"/>
        <item x="1228"/>
        <item x="1229"/>
        <item x="1241"/>
        <item x="1242"/>
        <item x="1243"/>
        <item x="1208"/>
        <item m="1" x="4605"/>
        <item x="1209"/>
        <item x="1210"/>
        <item m="1" x="4606"/>
        <item x="1211"/>
        <item x="1189"/>
        <item x="1190"/>
        <item x="1191"/>
        <item x="1186"/>
        <item x="1187"/>
        <item x="1188"/>
        <item x="1195"/>
        <item x="1196"/>
        <item x="1197"/>
        <item x="1192"/>
        <item x="1193"/>
        <item x="1194"/>
        <item x="1202"/>
        <item x="1203"/>
        <item x="1201"/>
        <item x="1199"/>
        <item x="1200"/>
        <item x="1198"/>
        <item x="1183"/>
        <item x="1184"/>
        <item x="1185"/>
        <item x="1180"/>
        <item x="1181"/>
        <item x="1182"/>
        <item x="1177"/>
        <item x="1178"/>
        <item x="1179"/>
        <item x="1174"/>
        <item x="1175"/>
        <item x="1176"/>
        <item m="1" x="4607"/>
        <item m="1" x="4608"/>
        <item m="1" x="4609"/>
        <item x="1166"/>
        <item x="1167"/>
        <item x="1168"/>
        <item x="1169"/>
        <item x="1170"/>
        <item x="1171"/>
        <item x="1172"/>
        <item x="1173"/>
        <item m="1" x="4610"/>
        <item m="1" x="4611"/>
        <item x="1097"/>
        <item x="1094"/>
        <item x="1095"/>
        <item x="1096"/>
        <item x="1098"/>
        <item x="1099"/>
        <item x="1085"/>
        <item x="1081"/>
        <item x="1082"/>
        <item x="1083"/>
        <item x="1084"/>
        <item x="1086"/>
        <item x="1087"/>
        <item x="955"/>
        <item x="952"/>
        <item x="953"/>
        <item x="954"/>
        <item x="956"/>
        <item x="957"/>
        <item x="920"/>
        <item x="918"/>
        <item x="919"/>
        <item x="921"/>
        <item x="1017"/>
        <item x="1016"/>
        <item x="1018"/>
        <item x="1019"/>
        <item x="971"/>
        <item x="969"/>
        <item x="970"/>
        <item x="968"/>
        <item x="972"/>
        <item x="973"/>
        <item x="939"/>
        <item x="937"/>
        <item x="938"/>
        <item x="940"/>
        <item x="941"/>
        <item x="924"/>
        <item x="922"/>
        <item x="923"/>
        <item x="925"/>
        <item x="926"/>
        <item x="1028"/>
        <item x="1027"/>
        <item x="1029"/>
        <item x="1024"/>
        <item x="1025"/>
        <item x="1026"/>
        <item x="1030"/>
        <item x="978"/>
        <item x="975"/>
        <item x="976"/>
        <item x="974"/>
        <item x="977"/>
        <item x="979"/>
        <item x="949"/>
        <item x="947"/>
        <item x="948"/>
        <item x="950"/>
        <item x="951"/>
        <item x="934"/>
        <item x="932"/>
        <item x="933"/>
        <item x="935"/>
        <item x="936"/>
        <item x="1021"/>
        <item x="1020"/>
        <item x="1022"/>
        <item x="1023"/>
        <item x="983"/>
        <item x="981"/>
        <item x="982"/>
        <item x="980"/>
        <item x="984"/>
        <item x="985"/>
        <item x="944"/>
        <item x="942"/>
        <item x="943"/>
        <item x="945"/>
        <item x="946"/>
        <item x="929"/>
        <item x="927"/>
        <item x="928"/>
        <item x="930"/>
        <item x="931"/>
        <item x="1091"/>
        <item x="1088"/>
        <item x="1089"/>
        <item x="1090"/>
        <item x="1092"/>
        <item x="1093"/>
        <item x="989"/>
        <item x="986"/>
        <item x="987"/>
        <item x="988"/>
        <item x="990"/>
        <item x="991"/>
        <item x="1078"/>
        <item x="1075"/>
        <item x="1076"/>
        <item x="1077"/>
        <item x="1079"/>
        <item x="1080"/>
        <item x="1007"/>
        <item x="1004"/>
        <item x="1005"/>
        <item x="1006"/>
        <item x="1008"/>
        <item x="1009"/>
        <item x="966"/>
        <item x="962"/>
        <item x="963"/>
        <item x="964"/>
        <item x="965"/>
        <item x="967"/>
        <item x="960"/>
        <item x="958"/>
        <item x="959"/>
        <item x="961"/>
        <item x="916"/>
        <item x="914"/>
        <item x="915"/>
        <item x="917"/>
        <item x="995"/>
        <item x="992"/>
        <item x="993"/>
        <item x="994"/>
        <item x="996"/>
        <item x="997"/>
        <item x="1001"/>
        <item x="998"/>
        <item x="999"/>
        <item x="1000"/>
        <item x="1002"/>
        <item x="1003"/>
        <item x="1013"/>
        <item x="1010"/>
        <item x="1011"/>
        <item x="1012"/>
        <item x="1014"/>
        <item x="1015"/>
        <item m="1" x="4612"/>
        <item x="1064"/>
        <item m="1" x="4613"/>
        <item x="1061"/>
        <item x="1062"/>
        <item x="1063"/>
        <item x="1065"/>
        <item x="1044"/>
        <item x="1045"/>
        <item x="1043"/>
        <item x="1046"/>
        <item x="1032"/>
        <item x="1033"/>
        <item x="1031"/>
        <item x="1034"/>
        <item x="1054"/>
        <item x="1055"/>
        <item x="1053"/>
        <item m="1" x="4614"/>
        <item x="1056"/>
        <item x="1051"/>
        <item x="1052"/>
        <item x="1040"/>
        <item x="1041"/>
        <item x="1039"/>
        <item x="1042"/>
        <item x="1048"/>
        <item x="1049"/>
        <item x="1047"/>
        <item x="1050"/>
        <item x="1036"/>
        <item x="1037"/>
        <item x="1035"/>
        <item x="1038"/>
        <item m="1" x="4615"/>
        <item x="1059"/>
        <item x="1057"/>
        <item x="1058"/>
        <item x="1060"/>
        <item m="1" x="4616"/>
        <item x="1073"/>
        <item m="1" x="4617"/>
        <item x="1070"/>
        <item x="1071"/>
        <item x="1072"/>
        <item x="1074"/>
        <item m="1" x="4618"/>
        <item x="1068"/>
        <item x="1066"/>
        <item x="1067"/>
        <item x="1069"/>
        <item x="1124"/>
        <item x="1121"/>
        <item x="1122"/>
        <item x="1123"/>
        <item x="1125"/>
        <item x="1126"/>
        <item x="1130"/>
        <item x="1127"/>
        <item x="1128"/>
        <item x="1129"/>
        <item x="1131"/>
        <item x="1132"/>
        <item x="1104"/>
        <item x="1100"/>
        <item x="1101"/>
        <item x="1102"/>
        <item x="1103"/>
        <item x="1105"/>
        <item x="1109"/>
        <item x="1106"/>
        <item x="1107"/>
        <item x="1108"/>
        <item x="1110"/>
        <item x="1111"/>
        <item x="1115"/>
        <item x="1112"/>
        <item x="1113"/>
        <item x="1114"/>
        <item x="1116"/>
        <item x="1117"/>
        <item x="1118"/>
        <item x="1119"/>
        <item x="1120"/>
        <item x="1136"/>
        <item x="1137"/>
        <item x="1133"/>
        <item x="1134"/>
        <item x="1135"/>
        <item x="1138"/>
        <item x="1139"/>
        <item x="1143"/>
        <item x="1144"/>
        <item m="1" x="4619"/>
        <item m="1" x="4620"/>
        <item x="1142"/>
        <item x="1140"/>
        <item x="1141"/>
        <item x="1145"/>
        <item m="1" x="4621"/>
        <item m="1" x="4622"/>
        <item x="1146"/>
        <item x="1150"/>
        <item x="1147"/>
        <item x="1148"/>
        <item x="1149"/>
        <item x="1151"/>
        <item x="1152"/>
        <item x="1156"/>
        <item m="1" x="4623"/>
        <item x="1153"/>
        <item x="1154"/>
        <item x="1155"/>
        <item x="1157"/>
        <item x="1159"/>
        <item x="1163"/>
        <item x="1160"/>
        <item x="1161"/>
        <item x="1162"/>
        <item x="1164"/>
        <item x="1165"/>
        <item x="913"/>
        <item x="911"/>
        <item x="912"/>
        <item x="909"/>
        <item x="910"/>
        <item x="894"/>
        <item x="895"/>
        <item x="896"/>
        <item x="897"/>
        <item x="908"/>
        <item x="902"/>
        <item x="905"/>
        <item x="904"/>
        <item x="903"/>
        <item x="906"/>
        <item x="898"/>
        <item x="899"/>
        <item x="900"/>
        <item x="901"/>
        <item x="907"/>
        <item x="852"/>
        <item x="854"/>
        <item x="853"/>
        <item x="845"/>
        <item x="837"/>
        <item x="838"/>
        <item x="839"/>
        <item x="840"/>
        <item x="841"/>
        <item x="842"/>
        <item x="847"/>
        <item x="814"/>
        <item x="813"/>
        <item x="850"/>
        <item x="851"/>
        <item x="846"/>
        <item x="816"/>
        <item x="815"/>
        <item x="848"/>
        <item x="849"/>
        <item x="827"/>
        <item x="828"/>
        <item x="801"/>
        <item x="807"/>
        <item x="802"/>
        <item x="808"/>
        <item x="803"/>
        <item x="809"/>
        <item x="804"/>
        <item x="810"/>
        <item x="805"/>
        <item x="806"/>
        <item x="811"/>
        <item x="812"/>
        <item x="829"/>
        <item x="830"/>
        <item x="831"/>
        <item x="832"/>
        <item x="833"/>
        <item x="834"/>
        <item x="835"/>
        <item x="836"/>
        <item x="795"/>
        <item x="856"/>
        <item x="855"/>
        <item x="843"/>
        <item x="844"/>
        <item x="790"/>
        <item x="796"/>
        <item x="791"/>
        <item x="797"/>
        <item x="792"/>
        <item x="798"/>
        <item x="793"/>
        <item x="799"/>
        <item x="794"/>
        <item x="800"/>
        <item m="1" x="4624"/>
        <item x="825"/>
        <item x="826"/>
        <item x="821"/>
        <item x="823"/>
        <item x="824"/>
        <item x="789"/>
        <item x="857"/>
        <item x="817"/>
        <item x="785"/>
        <item m="1" x="4625"/>
        <item x="783"/>
        <item m="1" x="4626"/>
        <item x="788"/>
        <item x="818"/>
        <item x="820"/>
        <item x="819"/>
        <item x="781"/>
        <item x="782"/>
        <item x="774"/>
        <item x="776"/>
        <item x="777"/>
        <item x="775"/>
        <item x="766"/>
        <item x="767"/>
        <item x="764"/>
        <item x="765"/>
        <item x="770"/>
        <item x="771"/>
        <item x="768"/>
        <item x="769"/>
        <item x="772"/>
        <item x="773"/>
        <item x="778"/>
        <item x="744"/>
        <item x="743"/>
        <item x="742"/>
        <item x="741"/>
        <item x="737"/>
        <item x="739"/>
        <item x="738"/>
        <item x="740"/>
        <item x="761"/>
        <item x="779"/>
        <item x="752"/>
        <item x="751"/>
        <item x="750"/>
        <item x="749"/>
        <item x="745"/>
        <item x="747"/>
        <item x="746"/>
        <item x="748"/>
        <item x="762"/>
        <item x="780"/>
        <item x="760"/>
        <item x="759"/>
        <item x="757"/>
        <item x="756"/>
        <item x="753"/>
        <item x="755"/>
        <item x="754"/>
        <item x="758"/>
        <item x="763"/>
        <item x="393"/>
        <item x="394"/>
        <item x="396"/>
        <item x="395"/>
        <item x="390"/>
        <item x="391"/>
        <item x="392"/>
        <item x="347"/>
        <item x="348"/>
        <item x="349"/>
        <item x="350"/>
        <item x="355"/>
        <item x="356"/>
        <item x="351"/>
        <item x="352"/>
        <item x="353"/>
        <item x="354"/>
        <item x="365"/>
        <item x="366"/>
        <item m="1" x="4627"/>
        <item m="1" x="4628"/>
        <item x="363"/>
        <item x="364"/>
        <item m="1" x="4629"/>
        <item m="1" x="4630"/>
        <item x="367"/>
        <item x="368"/>
        <item x="361"/>
        <item x="362"/>
        <item x="357"/>
        <item x="358"/>
        <item m="1" x="4631"/>
        <item m="1" x="4632"/>
        <item x="359"/>
        <item x="360"/>
        <item m="1" x="4633"/>
        <item m="1" x="4634"/>
        <item m="1" x="4635"/>
        <item m="1" x="4636"/>
        <item x="343"/>
        <item x="344"/>
        <item x="345"/>
        <item x="346"/>
        <item x="294"/>
        <item x="295"/>
        <item x="373"/>
        <item x="310"/>
        <item x="309"/>
        <item x="307"/>
        <item x="306"/>
        <item x="308"/>
        <item x="312"/>
        <item x="311"/>
        <item x="375"/>
        <item m="1" x="4637"/>
        <item x="282"/>
        <item x="372"/>
        <item x="377"/>
        <item x="317"/>
        <item x="316"/>
        <item x="314"/>
        <item x="313"/>
        <item x="315"/>
        <item x="321"/>
        <item x="320"/>
        <item x="319"/>
        <item x="378"/>
        <item x="379"/>
        <item x="318"/>
        <item m="1" x="4638"/>
        <item x="278"/>
        <item x="279"/>
        <item x="380"/>
        <item x="371"/>
        <item x="381"/>
        <item x="326"/>
        <item x="324"/>
        <item x="322"/>
        <item x="4328"/>
        <item x="323"/>
        <item x="327"/>
        <item x="325"/>
        <item x="382"/>
        <item x="269"/>
        <item x="270"/>
        <item x="383"/>
        <item x="370"/>
        <item x="386"/>
        <item x="387"/>
        <item x="389"/>
        <item x="388"/>
        <item x="369"/>
        <item x="333"/>
        <item x="331"/>
        <item x="329"/>
        <item x="328"/>
        <item x="330"/>
        <item x="335"/>
        <item x="332"/>
        <item x="334"/>
        <item x="384"/>
        <item x="340"/>
        <item x="339"/>
        <item x="337"/>
        <item x="336"/>
        <item x="338"/>
        <item x="342"/>
        <item x="341"/>
        <item x="385"/>
        <item x="1674"/>
        <item x="1676"/>
        <item x="1675"/>
        <item x="1677"/>
        <item x="1678"/>
        <item x="1679"/>
        <item x="1680"/>
        <item x="1681"/>
        <item x="1690"/>
        <item x="1692"/>
        <item x="1691"/>
        <item x="1693"/>
        <item x="1696"/>
        <item x="1697"/>
        <item x="1694"/>
        <item x="1695"/>
        <item x="1682"/>
        <item x="1684"/>
        <item x="1683"/>
        <item x="1685"/>
        <item x="1686"/>
        <item x="1687"/>
        <item x="1688"/>
        <item x="1689"/>
        <item x="1673"/>
        <item m="1" x="4639"/>
        <item m="1" x="4640"/>
        <item x="1698"/>
        <item x="1699"/>
        <item x="1700"/>
        <item x="1701"/>
        <item x="1702"/>
        <item x="1703"/>
        <item x="1704"/>
        <item x="1705"/>
        <item x="1708"/>
        <item x="1709"/>
        <item x="1706"/>
        <item x="1707"/>
        <item x="1710"/>
        <item x="1711"/>
        <item x="1712"/>
        <item x="1713"/>
        <item x="1714"/>
        <item x="1715"/>
        <item x="1716"/>
        <item x="1382"/>
        <item x="1383"/>
        <item x="1384"/>
        <item x="1385"/>
        <item x="1386"/>
        <item x="1387"/>
        <item x="1388"/>
        <item x="1389"/>
        <item x="1723"/>
        <item x="1724"/>
        <item x="1668"/>
        <item x="722"/>
        <item x="721"/>
        <item m="1" x="4641"/>
        <item m="1" x="4642"/>
        <item m="1" x="4643"/>
        <item m="1" x="4644"/>
        <item m="1" x="4645"/>
        <item m="1" x="4646"/>
        <item m="1" x="4647"/>
        <item m="1" x="4648"/>
        <item m="1" x="4811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x="2093"/>
        <item x="2094"/>
        <item x="2095"/>
        <item x="2096"/>
        <item x="2089"/>
        <item x="2090"/>
        <item x="2091"/>
        <item x="2092"/>
        <item m="1" x="4663"/>
        <item x="1756"/>
        <item x="1757"/>
        <item x="1755"/>
        <item x="1742"/>
        <item x="1741"/>
        <item x="1754"/>
        <item x="1736"/>
        <item x="1735"/>
        <item x="1740"/>
        <item x="1739"/>
        <item x="1377"/>
        <item x="1376"/>
        <item x="1728"/>
        <item x="1726"/>
        <item x="1725"/>
        <item x="1734"/>
        <item m="1" x="4664"/>
        <item x="1747"/>
        <item x="1745"/>
        <item x="1749"/>
        <item x="1750"/>
        <item x="1748"/>
        <item x="1746"/>
        <item m="1" x="4665"/>
        <item m="1" x="4666"/>
        <item m="1" x="4667"/>
        <item m="1" x="4668"/>
        <item m="1" x="4669"/>
        <item x="1381"/>
        <item m="1" x="4670"/>
        <item m="1" x="4671"/>
        <item m="1" x="4672"/>
        <item m="1" x="4673"/>
        <item m="1" x="4674"/>
        <item m="1" x="4675"/>
        <item m="1" x="4676"/>
        <item x="1671"/>
        <item x="1733"/>
        <item x="1730"/>
        <item x="1729"/>
        <item x="1378"/>
        <item x="1371"/>
        <item x="1372"/>
        <item x="1374"/>
        <item x="1379"/>
        <item x="1375"/>
        <item x="1380"/>
        <item x="1373"/>
        <item x="1370"/>
        <item x="1368"/>
        <item x="1367"/>
        <item x="1369"/>
        <item x="1366"/>
        <item x="1363"/>
        <item x="1364"/>
        <item x="1365"/>
        <item x="730"/>
        <item x="732"/>
        <item x="731"/>
        <item x="729"/>
        <item x="728"/>
        <item x="726"/>
        <item x="725"/>
        <item x="724"/>
        <item x="1751"/>
        <item x="1631"/>
        <item x="1624"/>
        <item x="1625"/>
        <item x="1623"/>
        <item x="1627"/>
        <item x="1632"/>
        <item x="1663"/>
        <item x="1664"/>
        <item x="1665"/>
        <item m="1" x="4677"/>
        <item x="720"/>
        <item x="719"/>
        <item x="1752"/>
        <item x="1753"/>
        <item x="733"/>
        <item x="734"/>
        <item x="735"/>
        <item x="736"/>
        <item m="1" x="4678"/>
        <item x="229"/>
        <item x="230"/>
        <item x="168"/>
        <item x="228"/>
        <item x="180"/>
        <item x="200"/>
        <item x="170"/>
        <item x="175"/>
        <item x="201"/>
        <item x="190"/>
        <item x="195"/>
        <item x="185"/>
        <item x="181"/>
        <item m="1" x="4679"/>
        <item x="227"/>
        <item x="171"/>
        <item x="176"/>
        <item m="1" x="4680"/>
        <item x="202"/>
        <item x="191"/>
        <item x="196"/>
        <item x="186"/>
        <item x="182"/>
        <item x="226"/>
        <item x="172"/>
        <item x="177"/>
        <item x="203"/>
        <item x="192"/>
        <item x="197"/>
        <item x="187"/>
        <item x="183"/>
        <item x="225"/>
        <item x="173"/>
        <item x="178"/>
        <item m="1" x="4681"/>
        <item x="204"/>
        <item x="193"/>
        <item x="198"/>
        <item x="188"/>
        <item x="184"/>
        <item x="224"/>
        <item x="174"/>
        <item x="179"/>
        <item x="205"/>
        <item x="194"/>
        <item x="199"/>
        <item x="189"/>
        <item x="206"/>
        <item m="1" x="4682"/>
        <item x="223"/>
        <item x="208"/>
        <item x="211"/>
        <item x="210"/>
        <item m="1" x="4683"/>
        <item x="212"/>
        <item x="209"/>
        <item x="213"/>
        <item x="215"/>
        <item x="214"/>
        <item x="217"/>
        <item x="216"/>
        <item x="220"/>
        <item x="218"/>
        <item x="219"/>
        <item x="222"/>
        <item x="221"/>
        <item x="148"/>
        <item x="162"/>
        <item x="132"/>
        <item x="128"/>
        <item x="152"/>
        <item x="136"/>
        <item x="140"/>
        <item x="144"/>
        <item x="146"/>
        <item x="161"/>
        <item x="131"/>
        <item x="126"/>
        <item x="151"/>
        <item x="134"/>
        <item x="139"/>
        <item x="142"/>
        <item x="147"/>
        <item x="160"/>
        <item x="130"/>
        <item x="127"/>
        <item x="150"/>
        <item x="135"/>
        <item x="138"/>
        <item x="143"/>
        <item x="145"/>
        <item x="159"/>
        <item x="129"/>
        <item x="125"/>
        <item x="149"/>
        <item x="133"/>
        <item x="137"/>
        <item x="141"/>
        <item x="112"/>
        <item x="108"/>
        <item x="116"/>
        <item x="120"/>
        <item x="124"/>
        <item x="111"/>
        <item x="107"/>
        <item x="115"/>
        <item x="119"/>
        <item x="123"/>
        <item x="155"/>
        <item x="154"/>
        <item x="153"/>
        <item x="156"/>
        <item m="1" x="4684"/>
        <item x="157"/>
        <item x="158"/>
        <item m="1" x="4685"/>
        <item x="236"/>
        <item x="232"/>
        <item x="235"/>
        <item x="231"/>
        <item m="1" x="4686"/>
        <item x="234"/>
        <item x="73"/>
        <item x="70"/>
        <item x="74"/>
        <item x="71"/>
        <item x="75"/>
        <item m="1" x="4687"/>
        <item m="1" x="4688"/>
        <item m="1" x="4689"/>
        <item x="72"/>
        <item x="69"/>
        <item x="1924"/>
        <item x="1912"/>
        <item m="1" x="4745"/>
        <item x="1919"/>
        <item m="1" x="4750"/>
        <item x="1914"/>
        <item m="1" x="4747"/>
        <item x="1913"/>
        <item m="1" x="4746"/>
        <item x="1916"/>
        <item m="1" x="4748"/>
        <item x="1915"/>
        <item x="1920"/>
        <item x="1921"/>
        <item m="1" x="4712"/>
        <item m="1" x="4751"/>
        <item x="1922"/>
        <item x="1923"/>
        <item m="1" x="4711"/>
        <item x="1918"/>
        <item m="1" x="4749"/>
        <item x="1917"/>
        <item x="1910"/>
        <item m="1" x="4716"/>
        <item x="1903"/>
        <item m="1" x="4708"/>
        <item x="1902"/>
        <item m="1" x="4704"/>
        <item x="1904"/>
        <item m="1" x="4703"/>
        <item x="1905"/>
        <item m="1" x="4709"/>
        <item x="1911"/>
        <item x="3789"/>
        <item x="3790"/>
        <item x="3791"/>
        <item x="3792"/>
        <item x="3785"/>
        <item x="3786"/>
        <item x="3783"/>
        <item x="3784"/>
        <item x="3781"/>
        <item x="3782"/>
        <item x="3779"/>
        <item x="3780"/>
        <item x="3777"/>
        <item x="3778"/>
        <item x="3787"/>
        <item x="3788"/>
        <item x="3771"/>
        <item x="3772"/>
        <item x="3773"/>
        <item x="3774"/>
        <item x="3775"/>
        <item x="3776"/>
        <item x="3793"/>
        <item x="3794"/>
        <item x="3795"/>
        <item x="3796"/>
        <item x="3735"/>
        <item x="3736"/>
        <item x="3739"/>
        <item x="3740"/>
        <item x="3737"/>
        <item x="3738"/>
        <item x="3741"/>
        <item x="3742"/>
        <item x="3725"/>
        <item x="3726"/>
        <item x="3727"/>
        <item x="3728"/>
        <item x="3721"/>
        <item x="3722"/>
        <item x="3719"/>
        <item x="3720"/>
        <item x="3723"/>
        <item x="3724"/>
        <item m="1" x="5183"/>
        <item m="1" x="5182"/>
        <item m="1" x="5181"/>
        <item m="1" x="5180"/>
        <item m="1" x="5185"/>
        <item m="1" x="5184"/>
        <item x="3731"/>
        <item x="3732"/>
        <item x="3729"/>
        <item x="3730"/>
        <item m="1" x="5187"/>
        <item m="1" x="5186"/>
        <item m="1" x="5191"/>
        <item m="1" x="5190"/>
        <item m="1" x="5195"/>
        <item m="1" x="5194"/>
        <item m="1" x="5192"/>
        <item m="1" x="5193"/>
        <item x="3743"/>
        <item x="3744"/>
        <item x="3755"/>
        <item x="3756"/>
        <item x="3753"/>
        <item x="3754"/>
        <item x="3747"/>
        <item x="3748"/>
        <item x="3751"/>
        <item x="3752"/>
        <item x="3749"/>
        <item x="3750"/>
        <item x="3745"/>
        <item x="3746"/>
        <item m="1" x="5197"/>
        <item m="1" x="5196"/>
        <item m="1" x="5189"/>
        <item m="1" x="5188"/>
        <item m="1" x="5199"/>
        <item m="1" x="5198"/>
        <item m="1" x="5203"/>
        <item m="1" x="5202"/>
        <item m="1" x="5207"/>
        <item m="1" x="5206"/>
        <item m="1" x="5209"/>
        <item m="1" x="5208"/>
        <item x="3758"/>
        <item x="3757"/>
        <item m="1" x="5201"/>
        <item m="1" x="5200"/>
        <item m="1" x="5205"/>
        <item m="1" x="5204"/>
        <item x="3699"/>
        <item x="3700"/>
        <item x="3697"/>
        <item x="3698"/>
        <item x="3695"/>
        <item x="3696"/>
        <item x="3705"/>
        <item x="3706"/>
        <item x="3703"/>
        <item x="3704"/>
        <item x="3707"/>
        <item x="3708"/>
        <item x="3711"/>
        <item x="3712"/>
        <item x="3713"/>
        <item x="3714"/>
        <item x="3709"/>
        <item x="3710"/>
        <item x="3717"/>
        <item x="3718"/>
        <item x="3715"/>
        <item x="3716"/>
        <item x="3701"/>
        <item x="3702"/>
        <item x="3691"/>
        <item x="3692"/>
        <item x="3797"/>
        <item x="3798"/>
        <item m="1" x="4991"/>
        <item m="1" x="4992"/>
        <item x="3799"/>
        <item x="3800"/>
        <item x="3824"/>
        <item m="1" x="4989"/>
        <item m="1" x="5175"/>
        <item m="1" x="5174"/>
        <item m="1" x="5177"/>
        <item m="1" x="5176"/>
        <item m="1" x="5179"/>
        <item m="1" x="5178"/>
        <item m="1" x="5169"/>
        <item m="1" x="5168"/>
        <item m="1" x="5171"/>
        <item m="1" x="5170"/>
        <item m="1" x="5165"/>
        <item m="1" x="5164"/>
        <item m="1" x="5167"/>
        <item m="1" x="5166"/>
        <item m="1" x="5173"/>
        <item m="1" x="5172"/>
        <item m="1" x="5163"/>
        <item m="1" x="5162"/>
        <item x="3683"/>
        <item x="3684"/>
        <item x="3687"/>
        <item x="3688"/>
        <item x="3685"/>
        <item x="3686"/>
        <item x="3679"/>
        <item x="3680"/>
        <item x="3681"/>
        <item x="3682"/>
        <item x="3677"/>
        <item x="3678"/>
        <item x="3829"/>
        <item x="3830"/>
        <item x="3827"/>
        <item x="3828"/>
        <item x="3825"/>
        <item x="3826"/>
        <item m="1" x="5002"/>
        <item m="1" x="5001"/>
        <item x="3839"/>
        <item x="3840"/>
        <item x="3837"/>
        <item x="3838"/>
        <item x="3841"/>
        <item x="3842"/>
        <item x="3835"/>
        <item x="3836"/>
        <item x="3833"/>
        <item x="3834"/>
        <item x="3831"/>
        <item x="3832"/>
        <item x="3847"/>
        <item x="3848"/>
        <item x="3845"/>
        <item x="3846"/>
        <item x="3843"/>
        <item x="3844"/>
        <item x="3821"/>
        <item x="3822"/>
        <item x="3819"/>
        <item x="3820"/>
        <item x="3813"/>
        <item x="3814"/>
        <item x="3817"/>
        <item x="3818"/>
        <item x="3815"/>
        <item x="3816"/>
        <item x="3811"/>
        <item x="3812"/>
        <item x="3809"/>
        <item x="3810"/>
        <item m="1" x="4987"/>
        <item m="1" x="4988"/>
        <item x="3851"/>
        <item x="3852"/>
        <item x="3849"/>
        <item x="3850"/>
        <item x="3673"/>
        <item x="3674"/>
        <item x="3669"/>
        <item x="3670"/>
        <item x="3671"/>
        <item x="3672"/>
        <item x="3597"/>
        <item x="3598"/>
        <item x="3599"/>
        <item x="3600"/>
        <item x="3605"/>
        <item x="3606"/>
        <item x="3601"/>
        <item x="3602"/>
        <item x="3607"/>
        <item x="3608"/>
        <item x="3603"/>
        <item x="3604"/>
        <item x="3609"/>
        <item x="3610"/>
        <item x="3545"/>
        <item x="3546"/>
        <item x="3547"/>
        <item x="3548"/>
        <item x="3531"/>
        <item x="3532"/>
        <item x="3533"/>
        <item x="3534"/>
        <item x="3549"/>
        <item x="3550"/>
        <item x="3567"/>
        <item x="3568"/>
        <item x="3559"/>
        <item x="3560"/>
        <item x="3517"/>
        <item x="3518"/>
        <item x="3511"/>
        <item x="3512"/>
        <item x="3505"/>
        <item x="3506"/>
        <item x="3561"/>
        <item x="3562"/>
        <item x="3563"/>
        <item x="3564"/>
        <item x="3519"/>
        <item x="3520"/>
        <item x="3515"/>
        <item x="3516"/>
        <item x="3509"/>
        <item x="3510"/>
        <item x="3565"/>
        <item x="3566"/>
        <item x="3521"/>
        <item x="3522"/>
        <item x="3513"/>
        <item x="3514"/>
        <item x="3507"/>
        <item x="3508"/>
        <item x="3551"/>
        <item x="3552"/>
        <item x="3537"/>
        <item x="3538"/>
        <item x="3535"/>
        <item x="3536"/>
        <item x="3539"/>
        <item x="3540"/>
        <item x="3541"/>
        <item x="3542"/>
        <item x="3543"/>
        <item x="3544"/>
        <item x="3569"/>
        <item x="3570"/>
        <item x="3553"/>
        <item x="3554"/>
        <item x="3557"/>
        <item x="3558"/>
        <item m="1" x="5149"/>
        <item m="1" x="5150"/>
        <item x="3555"/>
        <item x="3556"/>
        <item x="3571"/>
        <item x="3572"/>
        <item x="3573"/>
        <item x="3574"/>
        <item x="3577"/>
        <item x="3578"/>
        <item x="3585"/>
        <item x="3586"/>
        <item x="3581"/>
        <item x="3582"/>
        <item x="3583"/>
        <item x="3584"/>
        <item x="3589"/>
        <item x="3590"/>
        <item x="3579"/>
        <item x="3580"/>
        <item x="3587"/>
        <item x="3588"/>
        <item x="3575"/>
        <item x="3576"/>
        <item x="3591"/>
        <item x="3592"/>
        <item x="3593"/>
        <item x="3594"/>
        <item x="3595"/>
        <item x="3596"/>
        <item x="3611"/>
        <item x="3612"/>
        <item x="3613"/>
        <item x="3614"/>
        <item x="3619"/>
        <item x="3620"/>
        <item x="3621"/>
        <item x="3622"/>
        <item x="3615"/>
        <item x="3616"/>
        <item x="3617"/>
        <item x="3618"/>
        <item x="3647"/>
        <item x="3648"/>
        <item x="3649"/>
        <item x="3650"/>
        <item x="3637"/>
        <item x="3638"/>
        <item x="3639"/>
        <item x="3640"/>
        <item x="3641"/>
        <item x="3642"/>
        <item x="3643"/>
        <item x="3644"/>
        <item x="3645"/>
        <item x="3646"/>
        <item x="3625"/>
        <item x="3626"/>
        <item x="3627"/>
        <item x="3628"/>
        <item x="3525"/>
        <item x="3526"/>
        <item x="3527"/>
        <item x="3528"/>
        <item x="3529"/>
        <item x="3530"/>
        <item x="3623"/>
        <item x="3624"/>
        <item x="3523"/>
        <item x="3524"/>
        <item x="3629"/>
        <item x="3630"/>
        <item x="3631"/>
        <item x="3632"/>
        <item x="3633"/>
        <item x="3634"/>
        <item x="3635"/>
        <item x="3636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7"/>
        <item x="3668"/>
        <item x="3663"/>
        <item x="3664"/>
        <item x="3665"/>
        <item x="3666"/>
        <item x="3487"/>
        <item x="3488"/>
        <item x="3491"/>
        <item x="3492"/>
        <item x="3489"/>
        <item x="3490"/>
        <item x="3453"/>
        <item x="3454"/>
        <item x="3461"/>
        <item x="3462"/>
        <item x="3457"/>
        <item x="3458"/>
        <item x="3465"/>
        <item x="3466"/>
        <item x="3451"/>
        <item x="3452"/>
        <item x="3459"/>
        <item x="3460"/>
        <item x="3455"/>
        <item x="3456"/>
        <item x="3463"/>
        <item x="3464"/>
        <item x="3469"/>
        <item x="3470"/>
        <item x="3467"/>
        <item x="3468"/>
        <item x="3477"/>
        <item x="3478"/>
        <item x="3475"/>
        <item x="3476"/>
        <item x="3473"/>
        <item x="3474"/>
        <item x="3471"/>
        <item x="3472"/>
        <item x="3479"/>
        <item x="3480"/>
        <item x="3449"/>
        <item x="3450"/>
        <item x="3445"/>
        <item x="3446"/>
        <item x="3433"/>
        <item x="3434"/>
        <item x="3447"/>
        <item x="3448"/>
        <item x="3443"/>
        <item x="3444"/>
        <item x="3435"/>
        <item x="3436"/>
        <item x="3441"/>
        <item x="3442"/>
        <item x="3437"/>
        <item x="3438"/>
        <item x="3439"/>
        <item x="3440"/>
        <item x="3853"/>
        <item x="3854"/>
        <item x="3855"/>
        <item x="3856"/>
        <item x="3423"/>
        <item x="3424"/>
        <item x="3425"/>
        <item x="3426"/>
        <item x="3417"/>
        <item x="3418"/>
        <item x="3427"/>
        <item x="3428"/>
        <item x="3413"/>
        <item x="3414"/>
        <item x="3431"/>
        <item x="3432"/>
        <item x="3429"/>
        <item x="3430"/>
        <item m="1" x="4927"/>
        <item m="1" x="4926"/>
        <item x="3481"/>
        <item x="3482"/>
        <item x="471"/>
        <item x="472"/>
        <item x="473"/>
        <item x="474"/>
        <item x="475"/>
        <item x="476"/>
        <item x="477"/>
        <item x="478"/>
        <item x="426"/>
        <item x="427"/>
        <item x="416"/>
        <item x="417"/>
        <item x="499"/>
        <item x="500"/>
        <item x="497"/>
        <item x="498"/>
        <item x="503"/>
        <item x="504"/>
        <item x="501"/>
        <item x="502"/>
        <item x="505"/>
        <item x="506"/>
        <item x="507"/>
        <item x="508"/>
        <item x="479"/>
        <item x="480"/>
        <item x="513"/>
        <item x="514"/>
        <item x="515"/>
        <item x="516"/>
        <item x="485"/>
        <item m="1" x="4690"/>
        <item m="1" x="4691"/>
        <item x="486"/>
        <item x="487"/>
        <item m="1" x="4692"/>
        <item m="1" x="4693"/>
        <item x="488"/>
        <item x="481"/>
        <item x="482"/>
        <item x="483"/>
        <item x="484"/>
        <item x="527"/>
        <item x="424"/>
        <item x="425"/>
        <item x="518"/>
        <item x="517"/>
        <item x="520"/>
        <item x="519"/>
        <item x="411"/>
        <item x="412"/>
        <item x="413"/>
        <item x="414"/>
        <item x="415"/>
        <item x="521"/>
        <item x="522"/>
        <item x="439"/>
        <item x="407"/>
        <item x="408"/>
        <item x="403"/>
        <item x="404"/>
        <item x="440"/>
        <item x="409"/>
        <item x="410"/>
        <item x="401"/>
        <item x="402"/>
        <item x="405"/>
        <item x="406"/>
        <item x="489"/>
        <item x="490"/>
        <item x="491"/>
        <item x="492"/>
        <item x="493"/>
        <item x="494"/>
        <item x="495"/>
        <item x="496"/>
        <item x="445"/>
        <item x="446"/>
        <item x="447"/>
        <item x="448"/>
        <item x="441"/>
        <item x="443"/>
        <item x="442"/>
        <item x="444"/>
        <item x="449"/>
        <item x="451"/>
        <item x="450"/>
        <item x="452"/>
        <item x="453"/>
        <item x="454"/>
        <item x="455"/>
        <item x="456"/>
        <item x="457"/>
        <item x="458"/>
        <item x="459"/>
        <item x="460"/>
        <item x="422"/>
        <item x="461"/>
        <item m="1" x="4694"/>
        <item x="437"/>
        <item x="438"/>
        <item x="435"/>
        <item x="436"/>
        <item x="423"/>
        <item x="462"/>
        <item x="463"/>
        <item x="464"/>
        <item x="465"/>
        <item x="466"/>
        <item x="467"/>
        <item x="468"/>
        <item x="469"/>
        <item x="470"/>
        <item m="1" x="4695"/>
        <item x="77"/>
        <item x="76"/>
        <item x="399"/>
        <item x="400"/>
        <item x="397"/>
        <item x="2097"/>
        <item x="2084"/>
        <item m="1" x="4756"/>
        <item x="2079"/>
        <item m="1" x="4753"/>
        <item x="2078"/>
        <item m="1" x="4752"/>
        <item x="2077"/>
        <item x="2081"/>
        <item m="1" x="4754"/>
        <item x="2080"/>
        <item x="2085"/>
        <item x="2086"/>
        <item m="1" x="4713"/>
        <item m="1" x="4757"/>
        <item x="2087"/>
        <item x="2088"/>
        <item m="1" x="4710"/>
        <item x="2083"/>
        <item m="1" x="4755"/>
        <item x="2082"/>
        <item x="2074"/>
        <item m="1" x="4717"/>
        <item x="2073"/>
        <item x="2031"/>
        <item m="1" x="4705"/>
        <item x="2030"/>
        <item m="1" x="4706"/>
        <item x="2032"/>
        <item m="1" x="4702"/>
        <item x="2033"/>
        <item m="1" x="4707"/>
        <item x="2135"/>
        <item m="1" x="4714"/>
        <item x="1937"/>
        <item m="1" x="4720"/>
        <item x="1942"/>
        <item m="1" x="4726"/>
        <item x="1931"/>
        <item x="1927"/>
        <item m="1" x="4721"/>
        <item x="1939"/>
        <item m="1" x="4727"/>
        <item x="1938"/>
        <item m="1" x="4793"/>
        <item x="1932"/>
        <item m="1" x="4722"/>
        <item x="1933"/>
        <item m="1" x="4723"/>
        <item x="1935"/>
        <item x="1940"/>
        <item m="1" x="4724"/>
        <item x="1946"/>
        <item x="1945"/>
        <item m="1" x="4715"/>
        <item m="1" x="4725"/>
        <item x="1943"/>
        <item x="1944"/>
        <item m="1" x="4719"/>
        <item x="1936"/>
        <item m="1" x="4792"/>
        <item x="1947"/>
        <item m="1" x="4718"/>
        <item x="1930"/>
        <item x="1925"/>
        <item x="1926"/>
        <item x="1950"/>
        <item x="1951"/>
        <item m="1" x="4800"/>
        <item x="1953"/>
        <item m="1" x="4798"/>
        <item x="1952"/>
        <item m="1" x="4801"/>
        <item x="1954"/>
        <item m="1" x="4794"/>
        <item x="1957"/>
        <item m="1" x="4802"/>
        <item x="1958"/>
        <item x="1959"/>
        <item m="1" x="4799"/>
        <item x="1955"/>
        <item x="1956"/>
        <item m="1" x="4803"/>
        <item x="1948"/>
        <item x="1986"/>
        <item x="1987"/>
        <item m="1" x="4804"/>
        <item x="1974"/>
        <item m="1" x="4806"/>
        <item x="1976"/>
        <item x="1975"/>
        <item x="1978"/>
        <item x="1977"/>
        <item x="1979"/>
        <item m="1" x="4807"/>
        <item x="1980"/>
        <item m="1" x="4808"/>
        <item x="1968"/>
        <item x="1969"/>
        <item x="1970"/>
        <item x="1981"/>
        <item m="1" x="4809"/>
        <item x="1982"/>
        <item m="1" x="4810"/>
        <item x="1972"/>
        <item x="1971"/>
        <item x="1973"/>
        <item m="1" x="4805"/>
        <item x="1983"/>
        <item x="1985"/>
        <item x="1984"/>
        <item x="1960"/>
        <item x="1964"/>
        <item x="1965"/>
        <item m="1" x="4744"/>
        <item x="1961"/>
        <item m="1" x="4795"/>
        <item x="1963"/>
        <item x="1962"/>
        <item m="1" x="4796"/>
        <item x="1966"/>
        <item x="1967"/>
        <item m="1" x="4797"/>
        <item x="2403"/>
        <item x="2402"/>
        <item x="2401"/>
        <item x="2404"/>
        <item x="2380"/>
        <item x="2379"/>
        <item x="2382"/>
        <item x="2375"/>
        <item x="2376"/>
        <item x="2381"/>
        <item x="2377"/>
        <item x="2378"/>
        <item x="2388"/>
        <item x="2387"/>
        <item x="2386"/>
        <item x="2385"/>
        <item x="2383"/>
        <item x="2384"/>
        <item x="2406"/>
        <item x="2363"/>
        <item x="2365"/>
        <item x="2366"/>
        <item x="2367"/>
        <item x="2364"/>
        <item m="1" x="4871"/>
        <item m="1" x="4873"/>
        <item m="1" x="4874"/>
        <item x="2293"/>
        <item m="1" x="4886"/>
        <item m="1" x="4887"/>
        <item m="1" x="4888"/>
        <item m="1" x="4889"/>
        <item x="2338"/>
        <item x="2339"/>
        <item x="2340"/>
        <item x="2344"/>
        <item x="2345"/>
        <item x="2346"/>
        <item x="2350"/>
        <item x="2351"/>
        <item x="2352"/>
        <item m="1" x="4875"/>
        <item m="1" x="4849"/>
        <item m="1" x="4850"/>
        <item m="1" x="4876"/>
        <item m="1" x="4877"/>
        <item m="1" x="4890"/>
        <item m="1" x="4851"/>
        <item m="1" x="4852"/>
        <item m="1" x="4894"/>
        <item m="1" x="4895"/>
        <item x="2341"/>
        <item m="1" x="4859"/>
        <item x="2342"/>
        <item x="2343"/>
        <item x="2347"/>
        <item m="1" x="4860"/>
        <item x="2348"/>
        <item x="2349"/>
        <item x="2353"/>
        <item m="1" x="4861"/>
        <item x="2354"/>
        <item x="2355"/>
        <item x="2359"/>
        <item m="1" x="4853"/>
        <item m="1" x="4854"/>
        <item x="2360"/>
        <item x="2361"/>
        <item m="1" x="4891"/>
        <item m="1" x="4862"/>
        <item m="1" x="4892"/>
        <item m="1" x="4893"/>
        <item x="2356"/>
        <item x="2357"/>
        <item x="2358"/>
        <item m="1" x="4896"/>
        <item m="1" x="4897"/>
        <item x="2362"/>
        <item m="1" x="4898"/>
        <item m="1" x="4899"/>
        <item x="2372"/>
        <item x="2371"/>
        <item x="2370"/>
        <item m="1" x="4868"/>
        <item x="2368"/>
        <item x="2450"/>
        <item x="2452"/>
        <item x="2451"/>
        <item x="2455"/>
        <item x="2454"/>
        <item x="2453"/>
        <item x="2149"/>
        <item x="2147"/>
        <item x="2145"/>
        <item x="2148"/>
        <item x="2146"/>
        <item m="1" x="4880"/>
        <item m="1" x="4881"/>
        <item m="1" x="4882"/>
        <item m="1" x="4908"/>
        <item m="1" x="4907"/>
        <item m="1" x="4906"/>
        <item m="1" x="4903"/>
        <item m="1" x="4904"/>
        <item m="1" x="4905"/>
        <item x="2230"/>
        <item x="2231"/>
        <item x="2232"/>
        <item x="2236"/>
        <item x="2237"/>
        <item x="2238"/>
        <item x="2242"/>
        <item x="2243"/>
        <item x="2244"/>
        <item m="1" x="4883"/>
        <item m="1" x="4884"/>
        <item m="1" x="4885"/>
        <item m="1" x="4909"/>
        <item m="1" x="4855"/>
        <item m="1" x="4856"/>
        <item m="1" x="4910"/>
        <item m="1" x="4911"/>
        <item x="2233"/>
        <item m="1" x="4863"/>
        <item x="2234"/>
        <item x="2235"/>
        <item x="2239"/>
        <item m="1" x="4864"/>
        <item x="2240"/>
        <item x="2241"/>
        <item x="2245"/>
        <item m="1" x="4865"/>
        <item x="2246"/>
        <item x="2247"/>
        <item x="2281"/>
        <item x="2282"/>
        <item x="2283"/>
        <item m="1" x="4912"/>
        <item m="1" x="4866"/>
        <item m="1" x="4857"/>
        <item m="1" x="4858"/>
        <item m="1" x="4913"/>
        <item m="1" x="4914"/>
        <item x="2278"/>
        <item x="2279"/>
        <item x="2280"/>
        <item m="1" x="4900"/>
        <item x="2284"/>
        <item m="1" x="4901"/>
        <item m="1" x="4902"/>
        <item x="2223"/>
        <item x="2222"/>
        <item m="1" x="4848"/>
        <item m="1" x="4870"/>
        <item x="2292"/>
        <item x="2291"/>
        <item x="2290"/>
        <item m="1" x="4867"/>
        <item x="2288"/>
        <item m="1" x="4879"/>
        <item m="1" x="4878"/>
        <item x="2285"/>
        <item x="2286"/>
        <item x="2287"/>
        <item x="2398"/>
        <item x="2397"/>
        <item x="2396"/>
        <item x="2395"/>
        <item x="2394"/>
        <item x="2392"/>
        <item x="2391"/>
        <item x="2390"/>
        <item x="2389"/>
        <item x="2393"/>
        <item x="2400"/>
        <item m="1" x="4915"/>
        <item x="2399"/>
        <item x="2374"/>
        <item x="2373"/>
        <item x="2417"/>
        <item x="2418"/>
        <item m="1" x="4917"/>
        <item x="2412"/>
        <item x="2410"/>
        <item x="2416"/>
        <item x="2409"/>
        <item x="2415"/>
        <item x="2413"/>
        <item x="2408"/>
        <item x="2414"/>
        <item x="2411"/>
        <item x="2407"/>
        <item m="1" x="4916"/>
        <item x="2424"/>
        <item x="2421"/>
        <item x="2422"/>
        <item x="2423"/>
        <item x="2425"/>
        <item x="2426"/>
        <item x="2435"/>
        <item x="2437"/>
        <item x="2436"/>
        <item m="1" x="4869"/>
        <item x="2419"/>
        <item x="4332"/>
        <item x="4331"/>
        <item x="4330"/>
        <item x="4329"/>
        <item x="2429"/>
        <item x="2427"/>
        <item x="2438"/>
        <item x="2428"/>
        <item x="2432"/>
        <item x="2420"/>
        <item x="4333"/>
        <item m="1" x="4872"/>
        <item x="2431"/>
        <item x="2430"/>
        <item x="2405"/>
        <item x="2446"/>
        <item x="2441"/>
        <item x="2440"/>
        <item x="2442"/>
        <item x="2439"/>
        <item x="2443"/>
        <item x="2444"/>
        <item x="2445"/>
        <item x="4335"/>
        <item x="4336"/>
        <item x="4334"/>
        <item x="4337"/>
        <item x="3249"/>
        <item x="3250"/>
        <item x="3251"/>
        <item x="4253"/>
        <item x="4254"/>
        <item x="3252"/>
        <item x="3253"/>
        <item x="3254"/>
        <item x="4255"/>
        <item x="4256"/>
        <item x="3243"/>
        <item x="3244"/>
        <item x="3245"/>
        <item x="4250"/>
        <item x="4249"/>
        <item x="3240"/>
        <item x="3241"/>
        <item x="3242"/>
        <item x="4247"/>
        <item x="4248"/>
        <item x="3237"/>
        <item x="3238"/>
        <item x="3239"/>
        <item x="4246"/>
        <item x="4245"/>
        <item x="3234"/>
        <item x="3235"/>
        <item x="3236"/>
        <item x="4244"/>
        <item x="4243"/>
        <item x="3231"/>
        <item x="3232"/>
        <item x="3233"/>
        <item x="4242"/>
        <item x="4241"/>
        <item x="3246"/>
        <item x="3247"/>
        <item x="3248"/>
        <item x="4252"/>
        <item x="4251"/>
        <item x="3228"/>
        <item x="3229"/>
        <item x="3230"/>
        <item x="4235"/>
        <item x="4236"/>
        <item x="3222"/>
        <item x="3223"/>
        <item x="3224"/>
        <item x="4237"/>
        <item x="4238"/>
        <item x="3225"/>
        <item x="3226"/>
        <item x="3227"/>
        <item x="4239"/>
        <item x="4240"/>
        <item x="3258"/>
        <item x="3259"/>
        <item x="3260"/>
        <item x="4257"/>
        <item x="4258"/>
        <item x="3255"/>
        <item x="3256"/>
        <item x="3257"/>
        <item x="4259"/>
        <item x="4260"/>
        <item m="1" x="5013"/>
        <item m="1" x="5012"/>
        <item x="3198"/>
        <item x="3199"/>
        <item x="3200"/>
        <item x="4199"/>
        <item x="4200"/>
        <item x="3195"/>
        <item x="3196"/>
        <item x="3197"/>
        <item x="4201"/>
        <item x="4202"/>
        <item x="3192"/>
        <item x="3193"/>
        <item x="3194"/>
        <item x="4203"/>
        <item x="4204"/>
        <item m="1" x="5016"/>
        <item m="1" x="5017"/>
        <item m="1" x="5018"/>
        <item x="3189"/>
        <item x="3190"/>
        <item x="3191"/>
        <item x="4205"/>
        <item x="4206"/>
        <item x="3159"/>
        <item x="3160"/>
        <item x="3161"/>
        <item x="4185"/>
        <item x="4186"/>
        <item x="3162"/>
        <item x="3163"/>
        <item x="3164"/>
        <item x="4183"/>
        <item x="4184"/>
        <item x="3153"/>
        <item x="3154"/>
        <item m="1" x="5022"/>
        <item x="3155"/>
        <item x="4193"/>
        <item x="4194"/>
        <item x="3150"/>
        <item x="3151"/>
        <item x="3152"/>
        <item x="4191"/>
        <item x="4192"/>
        <item x="3156"/>
        <item x="3157"/>
        <item x="3158"/>
        <item x="4195"/>
        <item x="4196"/>
        <item m="1" x="5031"/>
        <item m="1" x="5030"/>
        <item m="1" x="5029"/>
        <item m="1" x="5036"/>
        <item m="1" x="5035"/>
        <item m="1" x="5026"/>
        <item m="1" x="5025"/>
        <item m="1" x="5024"/>
        <item m="1" x="5028"/>
        <item m="1" x="5027"/>
        <item m="1" x="5034"/>
        <item m="1" x="5033"/>
        <item m="1" x="5032"/>
        <item m="1" x="5038"/>
        <item m="1" x="5037"/>
        <item x="3147"/>
        <item x="3148"/>
        <item x="3149"/>
        <item x="4189"/>
        <item x="4190"/>
        <item x="3146"/>
        <item x="3145"/>
        <item x="3144"/>
        <item x="4187"/>
        <item x="4188"/>
        <item m="1" x="5041"/>
        <item m="1" x="5040"/>
        <item m="1" x="5039"/>
        <item m="1" x="5045"/>
        <item m="1" x="5044"/>
        <item m="1" x="5076"/>
        <item m="1" x="5075"/>
        <item m="1" x="5074"/>
        <item m="1" x="5078"/>
        <item m="1" x="5077"/>
        <item m="1" x="5081"/>
        <item m="1" x="5080"/>
        <item m="1" x="5079"/>
        <item m="1" x="5083"/>
        <item m="1" x="5082"/>
        <item m="1" x="5071"/>
        <item m="1" x="5070"/>
        <item m="1" x="5069"/>
        <item m="1" x="5073"/>
        <item m="1" x="5072"/>
        <item x="3168"/>
        <item x="3169"/>
        <item x="3170"/>
        <item x="4208"/>
        <item x="4207"/>
        <item x="3177"/>
        <item x="3178"/>
        <item x="3179"/>
        <item x="4213"/>
        <item x="4214"/>
        <item x="3174"/>
        <item x="3175"/>
        <item x="3176"/>
        <item x="4211"/>
        <item x="4212"/>
        <item x="3186"/>
        <item x="3187"/>
        <item x="3188"/>
        <item x="4215"/>
        <item x="4216"/>
        <item x="3183"/>
        <item x="3184"/>
        <item x="3185"/>
        <item x="4217"/>
        <item x="4218"/>
        <item x="3180"/>
        <item x="3181"/>
        <item x="3182"/>
        <item x="4209"/>
        <item x="4210"/>
        <item x="3171"/>
        <item x="3172"/>
        <item x="3173"/>
        <item x="4219"/>
        <item x="4220"/>
        <item m="1" x="5043"/>
        <item m="1" x="5042"/>
        <item m="1" x="5048"/>
        <item m="1" x="5047"/>
        <item m="1" x="5046"/>
        <item m="1" x="5050"/>
        <item m="1" x="5049"/>
        <item m="1" x="5055"/>
        <item m="1" x="5054"/>
        <item m="1" x="5053"/>
        <item m="1" x="5058"/>
        <item m="1" x="5057"/>
        <item m="1" x="5061"/>
        <item m="1" x="5060"/>
        <item m="1" x="5059"/>
        <item m="1" x="5063"/>
        <item m="1" x="5062"/>
        <item m="1" x="5066"/>
        <item m="1" x="5065"/>
        <item m="1" x="5064"/>
        <item m="1" x="5068"/>
        <item m="1" x="5067"/>
        <item x="3201"/>
        <item x="3202"/>
        <item x="3203"/>
        <item x="4221"/>
        <item x="4222"/>
        <item m="1" x="5052"/>
        <item m="1" x="5051"/>
        <item m="1" x="5056"/>
        <item x="3114"/>
        <item x="3115"/>
        <item x="3116"/>
        <item x="4161"/>
        <item x="4162"/>
        <item x="4163"/>
        <item x="4164"/>
        <item x="3111"/>
        <item x="3112"/>
        <item x="3113"/>
        <item x="4159"/>
        <item x="4160"/>
        <item x="3108"/>
        <item x="3109"/>
        <item x="3110"/>
        <item x="4157"/>
        <item x="4158"/>
        <item x="3129"/>
        <item x="3130"/>
        <item x="3131"/>
        <item x="4175"/>
        <item x="4176"/>
        <item x="3126"/>
        <item x="3127"/>
        <item x="3128"/>
        <item x="4173"/>
        <item x="4174"/>
        <item m="1" x="4918"/>
        <item x="3141"/>
        <item x="3142"/>
        <item x="3143"/>
        <item x="4165"/>
        <item x="4166"/>
        <item x="3135"/>
        <item x="3136"/>
        <item x="3137"/>
        <item x="4170"/>
        <item x="4169"/>
        <item x="3138"/>
        <item x="3139"/>
        <item x="3140"/>
        <item x="4172"/>
        <item x="4171"/>
        <item x="3132"/>
        <item x="3133"/>
        <item x="3134"/>
        <item x="4167"/>
        <item x="4168"/>
        <item x="3123"/>
        <item x="3124"/>
        <item x="3125"/>
        <item x="4179"/>
        <item x="4180"/>
        <item x="3120"/>
        <item x="3121"/>
        <item x="3122"/>
        <item x="4177"/>
        <item x="4178"/>
        <item x="3117"/>
        <item x="3118"/>
        <item x="3119"/>
        <item x="4181"/>
        <item x="4182"/>
        <item x="3102"/>
        <item x="3103"/>
        <item x="3104"/>
        <item m="1" x="4990"/>
        <item x="4155"/>
        <item x="4156"/>
        <item x="3105"/>
        <item x="3106"/>
        <item x="3107"/>
        <item m="1" x="4919"/>
        <item m="1" x="5084"/>
        <item m="1" x="5085"/>
        <item x="3269"/>
        <item x="3270"/>
        <item x="3271"/>
        <item x="3272"/>
        <item x="4269"/>
        <item x="4270"/>
        <item m="1" x="4993"/>
        <item m="1" x="4994"/>
        <item m="1" x="4995"/>
        <item m="1" x="4996"/>
        <item x="4271"/>
        <item x="4272"/>
        <item x="3277"/>
        <item x="3278"/>
        <item x="3279"/>
        <item x="3280"/>
        <item x="4273"/>
        <item x="4274"/>
        <item x="3273"/>
        <item x="3274"/>
        <item x="3275"/>
        <item x="3276"/>
        <item x="4266"/>
        <item x="4265"/>
        <item x="3042"/>
        <item x="3043"/>
        <item x="3044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x="3051"/>
        <item x="3052"/>
        <item x="3053"/>
        <item m="1" x="5086"/>
        <item m="1" x="5087"/>
        <item m="1" x="5088"/>
        <item x="3048"/>
        <item x="3049"/>
        <item x="3050"/>
        <item m="1" x="5110"/>
        <item m="1" x="5111"/>
        <item m="1" x="5112"/>
        <item m="1" x="5113"/>
        <item m="1" x="5114"/>
        <item m="1" x="5115"/>
        <item x="3054"/>
        <item x="3055"/>
        <item x="3056"/>
        <item x="3063"/>
        <item x="3064"/>
        <item x="3065"/>
        <item m="1" x="5116"/>
        <item m="1" x="5117"/>
        <item m="1" x="5118"/>
        <item x="3057"/>
        <item x="3058"/>
        <item x="3059"/>
        <item x="3069"/>
        <item x="3070"/>
        <item x="3071"/>
        <item x="3066"/>
        <item x="3067"/>
        <item x="3068"/>
        <item x="3060"/>
        <item x="3061"/>
        <item x="3062"/>
        <item x="3072"/>
        <item x="3073"/>
        <item x="3074"/>
        <item m="1" x="5119"/>
        <item m="1" x="5120"/>
        <item m="1" x="5121"/>
        <item m="1" x="5122"/>
        <item m="1" x="5123"/>
        <item m="1" x="5124"/>
        <item x="3075"/>
        <item x="3076"/>
        <item x="3077"/>
        <item x="3078"/>
        <item x="3079"/>
        <item x="3080"/>
        <item x="3098"/>
        <item x="3097"/>
        <item x="3096"/>
        <item x="3081"/>
        <item x="3082"/>
        <item x="3083"/>
        <item x="3084"/>
        <item x="3085"/>
        <item x="3086"/>
        <item x="3095"/>
        <item x="3094"/>
        <item x="3093"/>
        <item x="3092"/>
        <item x="3091"/>
        <item x="3090"/>
        <item x="3087"/>
        <item x="3088"/>
        <item x="3089"/>
        <item x="3045"/>
        <item x="3046"/>
        <item x="3047"/>
        <item x="3039"/>
        <item x="3040"/>
        <item x="3041"/>
        <item m="1" x="5005"/>
        <item m="1" x="5006"/>
        <item m="1" x="5007"/>
        <item x="3036"/>
        <item x="3037"/>
        <item x="3038"/>
        <item m="1" x="5008"/>
        <item m="1" x="5009"/>
        <item m="1" x="5010"/>
        <item m="1" x="5128"/>
        <item m="1" x="5127"/>
        <item m="1" x="5130"/>
        <item m="1" x="5129"/>
        <item m="1" x="5132"/>
        <item m="1" x="5131"/>
        <item m="1" x="5134"/>
        <item m="1" x="5133"/>
        <item m="1" x="5138"/>
        <item m="1" x="5137"/>
        <item m="1" x="5139"/>
        <item m="1" x="5126"/>
        <item m="1" x="5125"/>
        <item m="1" x="5136"/>
        <item m="1" x="5135"/>
        <item m="1" x="5141"/>
        <item m="1" x="5140"/>
        <item m="1" x="5145"/>
        <item m="1" x="5144"/>
        <item m="1" x="5143"/>
        <item m="1" x="5142"/>
        <item x="3024"/>
        <item x="3025"/>
        <item x="3026"/>
        <item x="4147"/>
        <item x="4148"/>
        <item x="3030"/>
        <item x="3031"/>
        <item x="3032"/>
        <item x="4151"/>
        <item x="4152"/>
        <item x="3027"/>
        <item x="3028"/>
        <item x="3029"/>
        <item x="4149"/>
        <item x="4150"/>
        <item x="3018"/>
        <item x="3019"/>
        <item x="3020"/>
        <item x="4143"/>
        <item x="4144"/>
        <item x="3021"/>
        <item x="3022"/>
        <item x="3023"/>
        <item x="4145"/>
        <item x="4146"/>
        <item x="3015"/>
        <item x="3016"/>
        <item x="3017"/>
        <item x="4141"/>
        <item x="4142"/>
        <item x="3349"/>
        <item x="3350"/>
        <item x="3351"/>
        <item x="3352"/>
        <item x="4291"/>
        <item x="4292"/>
        <item x="3345"/>
        <item x="3346"/>
        <item x="3347"/>
        <item x="3348"/>
        <item x="4289"/>
        <item x="4290"/>
        <item x="3341"/>
        <item x="3342"/>
        <item x="3343"/>
        <item x="3344"/>
        <item x="4293"/>
        <item x="4294"/>
        <item m="1" x="5000"/>
        <item m="1" x="4999"/>
        <item m="1" x="4998"/>
        <item m="1" x="4997"/>
        <item m="1" x="5004"/>
        <item m="1" x="5003"/>
        <item x="3365"/>
        <item x="3366"/>
        <item x="3367"/>
        <item x="3368"/>
        <item x="4303"/>
        <item x="4304"/>
        <item x="3361"/>
        <item x="3362"/>
        <item x="3363"/>
        <item x="3364"/>
        <item x="4305"/>
        <item x="4306"/>
        <item x="3369"/>
        <item x="3370"/>
        <item x="3371"/>
        <item x="3372"/>
        <item x="4295"/>
        <item x="4296"/>
        <item x="3357"/>
        <item x="3358"/>
        <item x="3359"/>
        <item x="3360"/>
        <item x="4301"/>
        <item x="4302"/>
        <item x="3353"/>
        <item x="3354"/>
        <item x="3355"/>
        <item x="3356"/>
        <item x="4298"/>
        <item x="4297"/>
        <item x="3337"/>
        <item x="3338"/>
        <item x="3339"/>
        <item x="3340"/>
        <item x="4299"/>
        <item x="4300"/>
        <item x="3381"/>
        <item x="3382"/>
        <item x="3383"/>
        <item x="3384"/>
        <item x="4312"/>
        <item x="4311"/>
        <item x="3377"/>
        <item x="3378"/>
        <item x="3379"/>
        <item x="3380"/>
        <item x="4307"/>
        <item x="4308"/>
        <item x="3373"/>
        <item x="3374"/>
        <item x="3375"/>
        <item x="3376"/>
        <item x="4310"/>
        <item x="4309"/>
        <item x="3333"/>
        <item x="3334"/>
        <item x="3335"/>
        <item x="3336"/>
        <item x="4275"/>
        <item x="4276"/>
        <item x="3329"/>
        <item x="3330"/>
        <item x="3331"/>
        <item x="3332"/>
        <item x="4277"/>
        <item x="4278"/>
        <item x="3317"/>
        <item x="3318"/>
        <item x="3319"/>
        <item x="3320"/>
        <item x="4286"/>
        <item x="4285"/>
        <item x="3325"/>
        <item x="3326"/>
        <item x="3327"/>
        <item x="3328"/>
        <item x="4279"/>
        <item x="4280"/>
        <item x="3321"/>
        <item x="3322"/>
        <item x="3323"/>
        <item x="3324"/>
        <item x="4281"/>
        <item x="4282"/>
        <item x="3293"/>
        <item x="3294"/>
        <item x="3295"/>
        <item x="3296"/>
        <item x="4283"/>
        <item x="4284"/>
        <item x="3289"/>
        <item x="3290"/>
        <item x="3291"/>
        <item x="3292"/>
        <item x="3301"/>
        <item x="3302"/>
        <item x="3303"/>
        <item x="3304"/>
        <item x="4315"/>
        <item x="4316"/>
        <item x="3305"/>
        <item x="3306"/>
        <item x="3307"/>
        <item x="3308"/>
        <item x="4317"/>
        <item x="4318"/>
        <item x="3008"/>
        <item x="3007"/>
        <item x="3006"/>
        <item x="4137"/>
        <item x="4138"/>
        <item x="3011"/>
        <item x="3010"/>
        <item x="3009"/>
        <item x="4133"/>
        <item x="4134"/>
        <item x="3014"/>
        <item x="3013"/>
        <item x="3012"/>
        <item x="4135"/>
        <item x="4136"/>
        <item m="1" x="5148"/>
        <item m="1" x="5147"/>
        <item m="1" x="5146"/>
        <item x="2937"/>
        <item x="2938"/>
        <item x="2939"/>
        <item x="4089"/>
        <item x="4090"/>
        <item x="2919"/>
        <item x="2920"/>
        <item x="2921"/>
        <item x="4077"/>
        <item x="4078"/>
        <item x="2928"/>
        <item x="2929"/>
        <item x="2930"/>
        <item x="4079"/>
        <item x="4080"/>
        <item x="2922"/>
        <item x="2923"/>
        <item x="2924"/>
        <item x="4081"/>
        <item x="4082"/>
        <item x="2931"/>
        <item x="2932"/>
        <item x="2933"/>
        <item x="4083"/>
        <item x="4084"/>
        <item x="2925"/>
        <item x="2926"/>
        <item x="2927"/>
        <item x="4085"/>
        <item x="4086"/>
        <item x="2934"/>
        <item x="2935"/>
        <item x="2936"/>
        <item x="4087"/>
        <item x="4088"/>
        <item x="2859"/>
        <item x="2860"/>
        <item x="2861"/>
        <item x="4013"/>
        <item x="4014"/>
        <item x="2862"/>
        <item x="2863"/>
        <item x="2864"/>
        <item x="4015"/>
        <item x="4016"/>
        <item x="2838"/>
        <item x="2839"/>
        <item x="2840"/>
        <item x="4017"/>
        <item x="4018"/>
        <item x="2841"/>
        <item x="2842"/>
        <item x="2843"/>
        <item x="4019"/>
        <item x="4020"/>
        <item x="2874"/>
        <item x="2875"/>
        <item x="2876"/>
        <item x="4021"/>
        <item x="4022"/>
        <item x="2913"/>
        <item x="2914"/>
        <item x="2915"/>
        <item x="4023"/>
        <item x="4024"/>
        <item x="2877"/>
        <item x="2878"/>
        <item x="2879"/>
        <item x="4045"/>
        <item x="4046"/>
        <item x="2817"/>
        <item x="2818"/>
        <item x="2819"/>
        <item x="4008"/>
        <item x="4007"/>
        <item x="2808"/>
        <item x="2809"/>
        <item x="2810"/>
        <item x="3999"/>
        <item x="4000"/>
        <item x="2799"/>
        <item x="2800"/>
        <item x="2801"/>
        <item x="3993"/>
        <item x="3994"/>
        <item x="2880"/>
        <item x="2881"/>
        <item x="2882"/>
        <item x="4049"/>
        <item x="4050"/>
        <item x="2883"/>
        <item x="2884"/>
        <item x="2885"/>
        <item x="4005"/>
        <item x="4006"/>
        <item x="2820"/>
        <item x="2821"/>
        <item x="2822"/>
        <item x="4012"/>
        <item x="4011"/>
        <item x="2814"/>
        <item x="2815"/>
        <item x="2816"/>
        <item x="4003"/>
        <item x="4004"/>
        <item x="2805"/>
        <item x="2806"/>
        <item x="2807"/>
        <item x="3997"/>
        <item x="3998"/>
        <item x="2886"/>
        <item x="2887"/>
        <item x="2888"/>
        <item x="4047"/>
        <item x="4048"/>
        <item x="2823"/>
        <item x="2824"/>
        <item x="2825"/>
        <item x="4010"/>
        <item x="4009"/>
        <item x="2811"/>
        <item x="2812"/>
        <item x="2813"/>
        <item x="4001"/>
        <item x="4002"/>
        <item x="2802"/>
        <item x="2803"/>
        <item x="2804"/>
        <item x="3995"/>
        <item x="3996"/>
        <item x="2865"/>
        <item x="2866"/>
        <item x="2867"/>
        <item x="4029"/>
        <item x="4030"/>
        <item x="2847"/>
        <item x="2848"/>
        <item x="2849"/>
        <item x="4025"/>
        <item x="4026"/>
        <item x="2844"/>
        <item x="2845"/>
        <item x="2846"/>
        <item x="4031"/>
        <item x="4032"/>
        <item x="2850"/>
        <item x="2851"/>
        <item x="2852"/>
        <item x="4027"/>
        <item x="4028"/>
        <item x="2853"/>
        <item x="2854"/>
        <item x="2855"/>
        <item x="4033"/>
        <item x="4034"/>
        <item x="2856"/>
        <item x="2857"/>
        <item x="2858"/>
        <item x="4035"/>
        <item x="4036"/>
        <item x="2916"/>
        <item x="2917"/>
        <item x="2918"/>
        <item x="4037"/>
        <item x="4038"/>
        <item x="2868"/>
        <item x="2869"/>
        <item x="2870"/>
        <item x="4039"/>
        <item x="4040"/>
        <item x="2910"/>
        <item x="2911"/>
        <item x="2912"/>
        <item x="4041"/>
        <item x="4042"/>
        <item m="1" x="5151"/>
        <item m="1" x="5152"/>
        <item m="1" x="5153"/>
        <item m="1" x="5154"/>
        <item m="1" x="5155"/>
        <item x="2871"/>
        <item x="2872"/>
        <item x="2873"/>
        <item x="4043"/>
        <item x="4044"/>
        <item x="2790"/>
        <item x="2791"/>
        <item x="2792"/>
        <item x="4051"/>
        <item x="4052"/>
        <item x="2793"/>
        <item x="2794"/>
        <item x="2795"/>
        <item x="4053"/>
        <item x="4054"/>
        <item x="2778"/>
        <item x="2779"/>
        <item m="1" x="5023"/>
        <item x="2780"/>
        <item x="4057"/>
        <item x="4058"/>
        <item x="2769"/>
        <item x="2770"/>
        <item x="2771"/>
        <item x="4066"/>
        <item x="4065"/>
        <item x="2784"/>
        <item x="2785"/>
        <item x="2786"/>
        <item x="4061"/>
        <item x="4062"/>
        <item x="2787"/>
        <item x="2788"/>
        <item x="2789"/>
        <item x="4063"/>
        <item x="4064"/>
        <item x="2775"/>
        <item x="2776"/>
        <item x="2777"/>
        <item x="4070"/>
        <item x="4069"/>
        <item x="2781"/>
        <item x="2782"/>
        <item x="2783"/>
        <item x="4059"/>
        <item x="4060"/>
        <item x="2772"/>
        <item x="2773"/>
        <item x="2774"/>
        <item x="4068"/>
        <item x="4067"/>
        <item x="2796"/>
        <item x="2797"/>
        <item x="2798"/>
        <item x="4055"/>
        <item x="4056"/>
        <item x="2760"/>
        <item x="2761"/>
        <item x="2762"/>
        <item x="4071"/>
        <item x="4072"/>
        <item x="2763"/>
        <item x="2764"/>
        <item x="2765"/>
        <item x="4073"/>
        <item x="4074"/>
        <item x="2766"/>
        <item x="2767"/>
        <item x="2768"/>
        <item x="4075"/>
        <item x="4076"/>
        <item x="2940"/>
        <item x="2941"/>
        <item x="2942"/>
        <item x="4091"/>
        <item x="4092"/>
        <item x="2943"/>
        <item x="2944"/>
        <item x="2945"/>
        <item x="4093"/>
        <item x="4094"/>
        <item x="2952"/>
        <item x="2953"/>
        <item x="2954"/>
        <item x="4099"/>
        <item x="4100"/>
        <item x="2955"/>
        <item x="2956"/>
        <item x="2957"/>
        <item x="4101"/>
        <item x="4102"/>
        <item x="2946"/>
        <item x="2947"/>
        <item x="2948"/>
        <item x="4095"/>
        <item x="4096"/>
        <item x="2949"/>
        <item x="2950"/>
        <item x="2951"/>
        <item x="4097"/>
        <item x="4098"/>
        <item x="2985"/>
        <item x="2986"/>
        <item x="2987"/>
        <item x="4113"/>
        <item x="4114"/>
        <item x="2988"/>
        <item x="2989"/>
        <item x="2990"/>
        <item x="4115"/>
        <item x="4116"/>
        <item x="2964"/>
        <item x="2965"/>
        <item x="2966"/>
        <item x="4103"/>
        <item x="4104"/>
        <item x="2967"/>
        <item x="2968"/>
        <item x="2969"/>
        <item x="4105"/>
        <item x="4106"/>
        <item x="2958"/>
        <item x="2959"/>
        <item x="2960"/>
        <item x="4107"/>
        <item x="4108"/>
        <item x="2961"/>
        <item x="2962"/>
        <item x="2963"/>
        <item x="4109"/>
        <item x="4110"/>
        <item x="2970"/>
        <item x="2971"/>
        <item x="2972"/>
        <item x="4111"/>
        <item x="4112"/>
        <item x="2892"/>
        <item x="2893"/>
        <item x="2894"/>
        <item x="3975"/>
        <item x="3976"/>
        <item x="2895"/>
        <item x="2896"/>
        <item x="2897"/>
        <item x="3983"/>
        <item x="3984"/>
        <item x="2829"/>
        <item x="2830"/>
        <item x="2831"/>
        <item x="3978"/>
        <item x="3977"/>
        <item x="2832"/>
        <item x="2833"/>
        <item x="2834"/>
        <item x="3982"/>
        <item x="3981"/>
        <item x="2835"/>
        <item x="2836"/>
        <item x="2837"/>
        <item x="3980"/>
        <item x="3979"/>
        <item x="2889"/>
        <item x="2890"/>
        <item x="2891"/>
        <item x="3973"/>
        <item x="3974"/>
        <item x="2826"/>
        <item x="2827"/>
        <item x="2828"/>
        <item x="3972"/>
        <item x="3971"/>
        <item x="2901"/>
        <item x="2902"/>
        <item x="2903"/>
        <item x="3987"/>
        <item x="3988"/>
        <item x="2898"/>
        <item x="2899"/>
        <item x="2900"/>
        <item x="3985"/>
        <item x="3986"/>
        <item x="2904"/>
        <item x="2905"/>
        <item x="2906"/>
        <item x="3989"/>
        <item x="3990"/>
        <item x="2907"/>
        <item x="2908"/>
        <item x="2909"/>
        <item x="3992"/>
        <item x="3991"/>
        <item x="2979"/>
        <item x="2980"/>
        <item x="2981"/>
        <item x="4117"/>
        <item x="4118"/>
        <item x="2982"/>
        <item x="2983"/>
        <item x="2984"/>
        <item x="4119"/>
        <item x="4120"/>
        <item x="2976"/>
        <item x="2977"/>
        <item x="2978"/>
        <item x="4121"/>
        <item x="4122"/>
        <item x="2973"/>
        <item x="2974"/>
        <item x="2975"/>
        <item x="4123"/>
        <item x="4124"/>
        <item x="2997"/>
        <item x="2998"/>
        <item x="2999"/>
        <item x="4125"/>
        <item x="4126"/>
        <item x="3000"/>
        <item x="3001"/>
        <item x="3002"/>
        <item x="4127"/>
        <item x="4128"/>
        <item x="3003"/>
        <item x="3004"/>
        <item x="3005"/>
        <item x="3969"/>
        <item x="3970"/>
        <item x="2991"/>
        <item x="2992"/>
        <item x="2993"/>
        <item x="4129"/>
        <item x="4130"/>
        <item x="2994"/>
        <item x="2995"/>
        <item x="2996"/>
        <item x="4131"/>
        <item x="4132"/>
        <item x="2751"/>
        <item x="2752"/>
        <item x="2753"/>
        <item x="3963"/>
        <item x="3964"/>
        <item x="2757"/>
        <item x="2758"/>
        <item x="2759"/>
        <item x="3965"/>
        <item x="3966"/>
        <item x="2754"/>
        <item x="2755"/>
        <item x="2756"/>
        <item x="3967"/>
        <item x="3968"/>
        <item x="2701"/>
        <item x="2702"/>
        <item x="2703"/>
        <item x="3915"/>
        <item x="3916"/>
        <item x="2695"/>
        <item x="2696"/>
        <item x="2697"/>
        <item x="3917"/>
        <item x="3918"/>
        <item x="2692"/>
        <item x="2693"/>
        <item x="2694"/>
        <item x="3919"/>
        <item x="3920"/>
        <item x="2698"/>
        <item x="2699"/>
        <item x="2700"/>
        <item x="3921"/>
        <item x="3922"/>
        <item x="2713"/>
        <item x="2714"/>
        <item x="2715"/>
        <item x="3923"/>
        <item x="3924"/>
        <item x="2707"/>
        <item x="2708"/>
        <item x="2709"/>
        <item x="3925"/>
        <item x="3926"/>
        <item x="2704"/>
        <item x="2705"/>
        <item x="2706"/>
        <item x="3927"/>
        <item x="3928"/>
        <item x="2710"/>
        <item x="2711"/>
        <item x="2712"/>
        <item x="3929"/>
        <item x="3930"/>
        <item x="2716"/>
        <item x="2717"/>
        <item x="2718"/>
        <item x="3931"/>
        <item x="3932"/>
        <item x="2719"/>
        <item x="2720"/>
        <item x="2721"/>
        <item x="3933"/>
        <item x="3934"/>
        <item x="2680"/>
        <item x="2681"/>
        <item x="2682"/>
        <item x="3940"/>
        <item x="3939"/>
        <item x="2683"/>
        <item x="2684"/>
        <item x="2685"/>
        <item x="3942"/>
        <item x="3941"/>
        <item x="2686"/>
        <item m="1" x="5156"/>
        <item x="2687"/>
        <item m="1" x="5157"/>
        <item x="2688"/>
        <item m="1" x="5158"/>
        <item x="3935"/>
        <item x="3936"/>
        <item x="2689"/>
        <item m="1" x="5159"/>
        <item x="2690"/>
        <item m="1" x="5160"/>
        <item x="2691"/>
        <item m="1" x="5161"/>
        <item x="3937"/>
        <item x="3938"/>
        <item x="2678"/>
        <item x="2677"/>
        <item x="2679"/>
        <item x="3944"/>
        <item x="3943"/>
        <item m="1" x="5019"/>
        <item m="1" x="5020"/>
        <item m="1" x="5021"/>
        <item x="2665"/>
        <item x="2666"/>
        <item x="2667"/>
        <item x="3907"/>
        <item x="3908"/>
        <item x="2656"/>
        <item x="2657"/>
        <item x="2658"/>
        <item x="3901"/>
        <item x="3902"/>
        <item x="2668"/>
        <item x="2669"/>
        <item x="2670"/>
        <item x="3909"/>
        <item x="3910"/>
        <item x="2659"/>
        <item x="2660"/>
        <item x="2661"/>
        <item x="3903"/>
        <item x="3904"/>
        <item x="2671"/>
        <item x="2672"/>
        <item x="2673"/>
        <item x="3911"/>
        <item x="3912"/>
        <item x="2662"/>
        <item x="2663"/>
        <item x="2664"/>
        <item x="3905"/>
        <item x="3906"/>
        <item x="2674"/>
        <item x="2675"/>
        <item x="2676"/>
        <item x="3913"/>
        <item x="3914"/>
        <item x="3261"/>
        <item x="3262"/>
        <item x="3263"/>
        <item x="3264"/>
        <item x="4319"/>
        <item x="4320"/>
        <item x="3265"/>
        <item x="3266"/>
        <item x="3267"/>
        <item x="3268"/>
        <item x="4321"/>
        <item x="4322"/>
        <item x="2638"/>
        <item x="2639"/>
        <item x="2640"/>
        <item x="3889"/>
        <item x="3890"/>
        <item x="2644"/>
        <item x="2645"/>
        <item x="2646"/>
        <item x="3891"/>
        <item x="3892"/>
        <item x="2641"/>
        <item x="2642"/>
        <item x="2643"/>
        <item x="3893"/>
        <item x="3894"/>
        <item x="2629"/>
        <item x="2630"/>
        <item x="2631"/>
        <item x="3885"/>
        <item x="3886"/>
        <item x="2647"/>
        <item x="2648"/>
        <item x="2649"/>
        <item x="3895"/>
        <item x="3896"/>
        <item x="2623"/>
        <item x="2624"/>
        <item x="2625"/>
        <item x="3883"/>
        <item x="3884"/>
        <item x="2653"/>
        <item x="2654"/>
        <item x="2655"/>
        <item x="3899"/>
        <item x="3900"/>
        <item x="2650"/>
        <item x="2651"/>
        <item x="2652"/>
        <item x="3897"/>
        <item x="3898"/>
        <item x="2546"/>
        <item x="2616"/>
        <item x="2615"/>
        <item x="2607"/>
        <item x="2608"/>
        <item x="2609"/>
        <item x="2610"/>
        <item x="2611"/>
        <item x="2612"/>
        <item x="2598"/>
        <item x="2599"/>
        <item x="2600"/>
        <item x="2601"/>
        <item x="2602"/>
        <item x="2603"/>
        <item x="2604"/>
        <item x="2605"/>
        <item x="2606"/>
        <item m="1" x="4920"/>
        <item x="2573"/>
        <item x="2580"/>
        <item x="2552"/>
        <item x="2551"/>
        <item x="2550"/>
        <item x="4338"/>
        <item x="2572"/>
        <item x="2569"/>
        <item x="2570"/>
        <item x="2571"/>
        <item x="2579"/>
        <item x="2564"/>
        <item x="2565"/>
        <item x="2566"/>
        <item x="2567"/>
        <item x="2568"/>
        <item m="1" x="4969"/>
        <item x="2557"/>
        <item x="2562"/>
        <item x="2563"/>
        <item m="1" x="4970"/>
        <item m="1" x="4971"/>
        <item x="2558"/>
        <item x="2559"/>
        <item x="2560"/>
        <item x="2561"/>
        <item m="1" x="4985"/>
        <item m="1" x="4986"/>
        <item x="2574"/>
        <item x="4339"/>
        <item x="4340"/>
        <item x="2577"/>
        <item x="2575"/>
        <item x="2578"/>
        <item x="2576"/>
        <item x="2614"/>
        <item m="1" x="4925"/>
        <item m="1" x="4924"/>
        <item m="1" x="4922"/>
        <item m="1" x="4929"/>
        <item m="1" x="4928"/>
        <item x="2728"/>
        <item m="1" x="4921"/>
        <item m="1" x="4923"/>
        <item x="2722"/>
        <item x="2723"/>
        <item x="2724"/>
        <item x="3949"/>
        <item x="3950"/>
        <item x="2725"/>
        <item m="1" x="5014"/>
        <item m="1" x="5015"/>
        <item x="2548"/>
        <item x="2549"/>
        <item x="2547"/>
        <item m="1" x="5011"/>
        <item x="2583"/>
        <item x="2584"/>
        <item x="3870"/>
        <item x="2581"/>
        <item x="2582"/>
        <item x="3869"/>
        <item x="2589"/>
        <item x="2590"/>
        <item x="2591"/>
        <item m="1" x="4965"/>
        <item m="1" x="4966"/>
        <item x="3873"/>
        <item m="1" x="4967"/>
        <item m="1" x="4968"/>
        <item x="3874"/>
        <item x="2585"/>
        <item x="2586"/>
        <item x="3871"/>
        <item x="2587"/>
        <item x="2588"/>
        <item x="3872"/>
        <item x="2613"/>
        <item x="2592"/>
        <item x="2593"/>
        <item x="2594"/>
        <item m="1" x="4942"/>
        <item m="1" x="4972"/>
        <item m="1" x="4973"/>
        <item m="1" x="4974"/>
        <item m="1" x="4952"/>
        <item m="1" x="4976"/>
        <item m="1" x="4977"/>
        <item m="1" x="4978"/>
        <item m="1" x="4979"/>
        <item m="1" x="4980"/>
        <item m="1" x="4981"/>
        <item m="1" x="4982"/>
        <item m="1" x="4975"/>
        <item m="1" x="4983"/>
        <item m="1" x="4984"/>
        <item m="1" x="4951"/>
        <item x="1871"/>
        <item x="1872"/>
        <item m="1" x="4953"/>
        <item m="1" x="4948"/>
        <item m="1" x="4949"/>
        <item m="1" x="4950"/>
        <item x="1870"/>
        <item m="1" x="4964"/>
        <item m="1" x="4961"/>
        <item m="1" x="4962"/>
        <item m="1" x="4960"/>
        <item m="1" x="4963"/>
        <item x="1836"/>
        <item x="1835"/>
        <item x="1834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59"/>
        <item m="1" x="4958"/>
        <item x="1758"/>
        <item x="1771"/>
        <item x="1770"/>
        <item x="1769"/>
        <item x="1759"/>
        <item x="1772"/>
        <item x="1777"/>
        <item x="1778"/>
        <item x="1779"/>
        <item x="1789"/>
        <item x="1788"/>
        <item x="1781"/>
        <item x="1782"/>
        <item x="1783"/>
        <item x="1784"/>
        <item x="1785"/>
        <item x="1780"/>
        <item x="1787"/>
        <item x="1786"/>
        <item x="1765"/>
        <item x="1766"/>
        <item x="1761"/>
        <item x="1763"/>
        <item x="1760"/>
        <item x="1762"/>
        <item x="1764"/>
        <item x="1768"/>
        <item x="1767"/>
        <item x="1773"/>
        <item x="1775"/>
        <item x="1774"/>
        <item x="1776"/>
        <item x="1878"/>
        <item m="1" x="4957"/>
        <item x="1873"/>
        <item m="1" x="4947"/>
        <item m="1" x="4943"/>
        <item m="1" x="4944"/>
        <item m="1" x="4945"/>
        <item m="1" x="4946"/>
        <item m="1" x="4954"/>
        <item m="1" x="4955"/>
        <item m="1" x="4956"/>
        <item x="1790"/>
        <item m="1" x="4343"/>
        <item x="26"/>
        <item x="27"/>
        <item x="28"/>
        <item x="29"/>
        <item x="30"/>
        <item x="31"/>
        <item x="32"/>
        <item x="33"/>
        <item x="34"/>
        <item x="35"/>
        <item x="68"/>
        <item x="78"/>
        <item x="7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10"/>
        <item x="113"/>
        <item x="114"/>
        <item x="117"/>
        <item x="118"/>
        <item x="121"/>
        <item x="122"/>
        <item x="163"/>
        <item x="164"/>
        <item x="165"/>
        <item x="166"/>
        <item x="167"/>
        <item x="169"/>
        <item x="207"/>
        <item x="233"/>
        <item x="240"/>
        <item x="241"/>
        <item x="242"/>
        <item x="24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6"/>
        <item x="297"/>
        <item x="298"/>
        <item x="299"/>
        <item x="300"/>
        <item x="301"/>
        <item x="302"/>
        <item x="303"/>
        <item x="304"/>
        <item x="305"/>
        <item x="374"/>
        <item x="376"/>
        <item x="398"/>
        <item x="418"/>
        <item x="419"/>
        <item x="420"/>
        <item x="421"/>
        <item x="428"/>
        <item x="429"/>
        <item x="430"/>
        <item x="431"/>
        <item x="432"/>
        <item x="433"/>
        <item x="434"/>
        <item x="509"/>
        <item x="510"/>
        <item x="511"/>
        <item x="512"/>
        <item x="523"/>
        <item x="524"/>
        <item x="525"/>
        <item x="526"/>
        <item x="532"/>
        <item x="561"/>
        <item x="570"/>
        <item x="723"/>
        <item x="727"/>
        <item x="784"/>
        <item x="786"/>
        <item x="787"/>
        <item x="822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1158"/>
        <item x="1204"/>
        <item x="1205"/>
        <item x="1206"/>
        <item x="1207"/>
        <item x="1216"/>
        <item x="1224"/>
        <item x="1244"/>
        <item x="1267"/>
        <item x="1268"/>
        <item x="1269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90"/>
        <item x="1403"/>
        <item x="1404"/>
        <item x="1444"/>
        <item x="1445"/>
        <item x="1446"/>
        <item x="1447"/>
        <item x="1448"/>
        <item x="1449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48"/>
        <item x="1562"/>
        <item x="1575"/>
        <item x="1600"/>
        <item x="1606"/>
        <item x="1621"/>
        <item x="1622"/>
        <item x="1626"/>
        <item x="1628"/>
        <item x="1629"/>
        <item x="1630"/>
        <item x="1633"/>
        <item x="1634"/>
        <item x="1639"/>
        <item x="1640"/>
        <item x="1645"/>
        <item x="1646"/>
        <item x="1651"/>
        <item x="1652"/>
        <item x="1653"/>
        <item x="1659"/>
        <item x="1660"/>
        <item x="1669"/>
        <item x="1670"/>
        <item x="1672"/>
        <item x="1717"/>
        <item x="1718"/>
        <item x="1719"/>
        <item x="1720"/>
        <item x="1721"/>
        <item x="1722"/>
        <item x="1727"/>
        <item x="1731"/>
        <item x="1732"/>
        <item x="1737"/>
        <item x="1738"/>
        <item x="1743"/>
        <item x="1744"/>
        <item x="1791"/>
        <item x="1792"/>
        <item x="1793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4"/>
        <item x="1875"/>
        <item x="1876"/>
        <item x="1877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6"/>
        <item x="1907"/>
        <item x="1908"/>
        <item x="1909"/>
        <item x="1928"/>
        <item x="1929"/>
        <item x="1934"/>
        <item x="1941"/>
        <item x="1949"/>
        <item x="2011"/>
        <item x="2034"/>
        <item x="2035"/>
        <item x="2036"/>
        <item x="2075"/>
        <item x="2076"/>
        <item x="2136"/>
        <item x="2137"/>
        <item x="2138"/>
        <item x="2139"/>
        <item x="2140"/>
        <item x="2141"/>
        <item x="2142"/>
        <item x="2143"/>
        <item x="2144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4"/>
        <item x="2225"/>
        <item x="2226"/>
        <item x="2227"/>
        <item x="2228"/>
        <item x="2229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89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69"/>
        <item x="2433"/>
        <item x="2434"/>
        <item x="2447"/>
        <item x="2448"/>
        <item x="2449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53"/>
        <item x="2554"/>
        <item x="2555"/>
        <item x="2556"/>
        <item x="2595"/>
        <item x="2596"/>
        <item x="2597"/>
        <item x="2617"/>
        <item x="2618"/>
        <item x="2619"/>
        <item x="2620"/>
        <item x="2621"/>
        <item x="2622"/>
        <item x="2626"/>
        <item x="2627"/>
        <item x="2628"/>
        <item x="2632"/>
        <item x="2633"/>
        <item x="2634"/>
        <item x="2635"/>
        <item x="2636"/>
        <item x="2637"/>
        <item x="2726"/>
        <item x="2727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3033"/>
        <item x="3034"/>
        <item x="3035"/>
        <item x="3099"/>
        <item x="3100"/>
        <item x="3101"/>
        <item x="3165"/>
        <item x="3166"/>
        <item x="3167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81"/>
        <item x="3282"/>
        <item x="3283"/>
        <item x="3284"/>
        <item x="3285"/>
        <item x="3286"/>
        <item x="3287"/>
        <item x="3288"/>
        <item x="3297"/>
        <item x="3298"/>
        <item x="3299"/>
        <item x="3300"/>
        <item x="3309"/>
        <item x="3310"/>
        <item x="3311"/>
        <item x="3312"/>
        <item x="3313"/>
        <item x="3314"/>
        <item x="3315"/>
        <item x="3316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5"/>
        <item x="3416"/>
        <item x="3419"/>
        <item x="3420"/>
        <item x="3421"/>
        <item x="3422"/>
        <item x="3483"/>
        <item x="3484"/>
        <item x="3485"/>
        <item x="3486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675"/>
        <item x="3676"/>
        <item x="3689"/>
        <item x="3690"/>
        <item x="3693"/>
        <item x="3694"/>
        <item x="3733"/>
        <item x="3734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801"/>
        <item x="3802"/>
        <item x="3803"/>
        <item x="3804"/>
        <item x="3805"/>
        <item x="3806"/>
        <item x="3807"/>
        <item x="3808"/>
        <item x="3823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5"/>
        <item x="3876"/>
        <item x="3877"/>
        <item x="3878"/>
        <item x="3879"/>
        <item x="3880"/>
        <item x="3881"/>
        <item x="3882"/>
        <item x="3887"/>
        <item x="3888"/>
        <item x="3945"/>
        <item x="3946"/>
        <item x="3947"/>
        <item x="3948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4139"/>
        <item x="4140"/>
        <item x="4153"/>
        <item x="4154"/>
        <item x="4197"/>
        <item x="4198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61"/>
        <item x="4262"/>
        <item x="4263"/>
        <item x="4264"/>
        <item x="4267"/>
        <item x="4268"/>
        <item x="4287"/>
        <item x="4288"/>
        <item x="4313"/>
        <item x="4314"/>
        <item x="4323"/>
        <item x="4324"/>
        <item x="4325"/>
        <item x="4341"/>
        <item x="4342"/>
        <item t="default"/>
      </items>
    </pivotField>
  </pivotFields>
  <rowFields count="2">
    <field x="0"/>
    <field x="1"/>
  </rowFields>
  <rowItems count="421">
    <i>
      <x v="3"/>
      <x v="2671"/>
    </i>
    <i r="1">
      <x v="2672"/>
    </i>
    <i r="1">
      <x v="2673"/>
    </i>
    <i r="1">
      <x v="2674"/>
    </i>
    <i r="1">
      <x v="2675"/>
    </i>
    <i r="1">
      <x v="2676"/>
    </i>
    <i r="1">
      <x v="2677"/>
    </i>
    <i r="1">
      <x v="2678"/>
    </i>
    <i r="1">
      <x v="2679"/>
    </i>
    <i r="1">
      <x v="2680"/>
    </i>
    <i r="1">
      <x v="2681"/>
    </i>
    <i r="1">
      <x v="2682"/>
    </i>
    <i r="1">
      <x v="2683"/>
    </i>
    <i r="1">
      <x v="2684"/>
    </i>
    <i r="1">
      <x v="2685"/>
    </i>
    <i r="1">
      <x v="2686"/>
    </i>
    <i r="1">
      <x v="2687"/>
    </i>
    <i r="1">
      <x v="2688"/>
    </i>
    <i r="1">
      <x v="2689"/>
    </i>
    <i r="1">
      <x v="2690"/>
    </i>
    <i r="1">
      <x v="2691"/>
    </i>
    <i r="1">
      <x v="2692"/>
    </i>
    <i r="1">
      <x v="2693"/>
    </i>
    <i r="1">
      <x v="2694"/>
    </i>
    <i r="1">
      <x v="2698"/>
    </i>
    <i r="1">
      <x v="2703"/>
    </i>
    <i r="1">
      <x v="2704"/>
    </i>
    <i r="1">
      <x v="2705"/>
    </i>
    <i r="1">
      <x v="2706"/>
    </i>
    <i r="1">
      <x v="2707"/>
    </i>
    <i r="1">
      <x v="2708"/>
    </i>
    <i r="1">
      <x v="2709"/>
    </i>
    <i r="1">
      <x v="2710"/>
    </i>
    <i r="1">
      <x v="2711"/>
    </i>
    <i r="1">
      <x v="2722"/>
    </i>
    <i r="1">
      <x v="2724"/>
    </i>
    <i r="1">
      <x v="2725"/>
    </i>
    <i r="1">
      <x v="2726"/>
    </i>
    <i r="1">
      <x v="2728"/>
    </i>
    <i r="1">
      <x v="2729"/>
    </i>
    <i r="1">
      <x v="2730"/>
    </i>
    <i r="1">
      <x v="2732"/>
    </i>
    <i r="1">
      <x v="2733"/>
    </i>
    <i r="1">
      <x v="2734"/>
    </i>
    <i r="1">
      <x v="2737"/>
    </i>
    <i r="1">
      <x v="2738"/>
    </i>
    <i r="1">
      <x v="2743"/>
    </i>
    <i r="1">
      <x v="2744"/>
    </i>
    <i r="1">
      <x v="2745"/>
    </i>
    <i r="1">
      <x v="2748"/>
    </i>
    <i r="1">
      <x v="2751"/>
    </i>
    <i r="1">
      <x v="2752"/>
    </i>
    <i r="1">
      <x v="2753"/>
    </i>
    <i r="1">
      <x v="2755"/>
    </i>
    <i r="1">
      <x v="2756"/>
    </i>
    <i r="1">
      <x v="2757"/>
    </i>
    <i r="1">
      <x v="2758"/>
    </i>
    <i r="1">
      <x v="2759"/>
    </i>
    <i r="1">
      <x v="2760"/>
    </i>
    <i r="1">
      <x v="2761"/>
    </i>
    <i r="1">
      <x v="2762"/>
    </i>
    <i r="1">
      <x v="2763"/>
    </i>
    <i r="1">
      <x v="2764"/>
    </i>
    <i r="1">
      <x v="2765"/>
    </i>
    <i r="1">
      <x v="2766"/>
    </i>
    <i r="1">
      <x v="2776"/>
    </i>
    <i r="1">
      <x v="2777"/>
    </i>
    <i r="1">
      <x v="2778"/>
    </i>
    <i r="1">
      <x v="2779"/>
    </i>
    <i r="1">
      <x v="2780"/>
    </i>
    <i r="1">
      <x v="2781"/>
    </i>
    <i r="1">
      <x v="2782"/>
    </i>
    <i r="1">
      <x v="2783"/>
    </i>
    <i r="1">
      <x v="2784"/>
    </i>
    <i r="1">
      <x v="2793"/>
    </i>
    <i r="1">
      <x v="2795"/>
    </i>
    <i r="1">
      <x v="2796"/>
    </i>
    <i r="1">
      <x v="2797"/>
    </i>
    <i r="1">
      <x v="2799"/>
    </i>
    <i r="1">
      <x v="2800"/>
    </i>
    <i r="1">
      <x v="2801"/>
    </i>
    <i r="1">
      <x v="2803"/>
    </i>
    <i r="1">
      <x v="2804"/>
    </i>
    <i r="1">
      <x v="2805"/>
    </i>
    <i r="1">
      <x v="2806"/>
    </i>
    <i r="1">
      <x v="2807"/>
    </i>
    <i r="1">
      <x v="2814"/>
    </i>
    <i r="1">
      <x v="2815"/>
    </i>
    <i r="1">
      <x v="2816"/>
    </i>
    <i r="1">
      <x v="2818"/>
    </i>
    <i r="1">
      <x v="2821"/>
    </i>
    <i r="1">
      <x v="2822"/>
    </i>
    <i r="1">
      <x v="2825"/>
    </i>
    <i r="1">
      <x v="2826"/>
    </i>
    <i r="1">
      <x v="2827"/>
    </i>
    <i r="1">
      <x v="2829"/>
    </i>
    <i r="1">
      <x v="2832"/>
    </i>
    <i r="1">
      <x v="2833"/>
    </i>
    <i r="1">
      <x v="2834"/>
    </i>
    <i r="1">
      <x v="2835"/>
    </i>
    <i r="1">
      <x v="2836"/>
    </i>
    <i r="1">
      <x v="2837"/>
    </i>
    <i r="1">
      <x v="2838"/>
    </i>
    <i r="1">
      <x v="2839"/>
    </i>
    <i r="1">
      <x v="2840"/>
    </i>
    <i r="1">
      <x v="2841"/>
    </i>
    <i r="1">
      <x v="2842"/>
    </i>
    <i r="1">
      <x v="2843"/>
    </i>
    <i r="1">
      <x v="2844"/>
    </i>
    <i r="1">
      <x v="2845"/>
    </i>
    <i r="1">
      <x v="2847"/>
    </i>
    <i r="1">
      <x v="2848"/>
    </i>
    <i r="1">
      <x v="2849"/>
    </i>
    <i r="1">
      <x v="2850"/>
    </i>
    <i r="1">
      <x v="2851"/>
    </i>
    <i r="1">
      <x v="2853"/>
    </i>
    <i r="1">
      <x v="2854"/>
    </i>
    <i r="1">
      <x v="2855"/>
    </i>
    <i r="1">
      <x v="2856"/>
    </i>
    <i r="1">
      <x v="2857"/>
    </i>
    <i r="1">
      <x v="2858"/>
    </i>
    <i r="1">
      <x v="2859"/>
    </i>
    <i r="1">
      <x v="2860"/>
    </i>
    <i r="1">
      <x v="2861"/>
    </i>
    <i r="1">
      <x v="2862"/>
    </i>
    <i r="1">
      <x v="2864"/>
    </i>
    <i r="1">
      <x v="2865"/>
    </i>
    <i r="1">
      <x v="2866"/>
    </i>
    <i r="1">
      <x v="2867"/>
    </i>
    <i r="1">
      <x v="2868"/>
    </i>
    <i r="1">
      <x v="2869"/>
    </i>
    <i r="1">
      <x v="2870"/>
    </i>
    <i r="1">
      <x v="2871"/>
    </i>
    <i r="1">
      <x v="2872"/>
    </i>
    <i r="1">
      <x v="2874"/>
    </i>
    <i r="1">
      <x v="2875"/>
    </i>
    <i r="1">
      <x v="2876"/>
    </i>
    <i r="1">
      <x v="2877"/>
    </i>
    <i r="1">
      <x v="2878"/>
    </i>
    <i r="1">
      <x v="2879"/>
    </i>
    <i r="1">
      <x v="2880"/>
    </i>
    <i r="1">
      <x v="2881"/>
    </i>
    <i r="1">
      <x v="2882"/>
    </i>
    <i r="1">
      <x v="2883"/>
    </i>
    <i r="1">
      <x v="2884"/>
    </i>
    <i r="1">
      <x v="2885"/>
    </i>
    <i r="1">
      <x v="2887"/>
    </i>
    <i r="1">
      <x v="2888"/>
    </i>
    <i r="1">
      <x v="2889"/>
    </i>
    <i r="1">
      <x v="2890"/>
    </i>
    <i r="1">
      <x v="2891"/>
    </i>
    <i r="1">
      <x v="2892"/>
    </i>
    <i r="1">
      <x v="2893"/>
    </i>
    <i r="1">
      <x v="2894"/>
    </i>
    <i r="1">
      <x v="2895"/>
    </i>
    <i r="1">
      <x v="2896"/>
    </i>
    <i r="1">
      <x v="2897"/>
    </i>
    <i r="1">
      <x v="2898"/>
    </i>
    <i r="1">
      <x v="2899"/>
    </i>
    <i r="1">
      <x v="2900"/>
    </i>
    <i r="1">
      <x v="2901"/>
    </i>
    <i r="1">
      <x v="4709"/>
    </i>
    <i r="1">
      <x v="4710"/>
    </i>
    <i r="1">
      <x v="4711"/>
    </i>
    <i r="1">
      <x v="4712"/>
    </i>
    <i r="1">
      <x v="4713"/>
    </i>
    <i r="1">
      <x v="4714"/>
    </i>
    <i r="1">
      <x v="4715"/>
    </i>
    <i r="1">
      <x v="4716"/>
    </i>
    <i r="1">
      <x v="4717"/>
    </i>
    <i r="1">
      <x v="4718"/>
    </i>
    <i r="1">
      <x v="4719"/>
    </i>
    <i r="1">
      <x v="4720"/>
    </i>
    <i r="1">
      <x v="4721"/>
    </i>
    <i r="1">
      <x v="4722"/>
    </i>
    <i r="1">
      <x v="4723"/>
    </i>
    <i r="1">
      <x v="4724"/>
    </i>
    <i r="1">
      <x v="4725"/>
    </i>
    <i r="1">
      <x v="4726"/>
    </i>
    <i r="1">
      <x v="4727"/>
    </i>
    <i r="1">
      <x v="4728"/>
    </i>
    <i r="1">
      <x v="4729"/>
    </i>
    <i r="1">
      <x v="4730"/>
    </i>
    <i r="1">
      <x v="4731"/>
    </i>
    <i r="1">
      <x v="4732"/>
    </i>
    <i r="1">
      <x v="4733"/>
    </i>
    <i r="1">
      <x v="4734"/>
    </i>
    <i r="1">
      <x v="4735"/>
    </i>
    <i r="1">
      <x v="4736"/>
    </i>
    <i r="1">
      <x v="4737"/>
    </i>
    <i r="1">
      <x v="4738"/>
    </i>
    <i r="1">
      <x v="4739"/>
    </i>
    <i r="1">
      <x v="4740"/>
    </i>
    <i r="1">
      <x v="4741"/>
    </i>
    <i r="1">
      <x v="4742"/>
    </i>
    <i r="1">
      <x v="4743"/>
    </i>
    <i r="1">
      <x v="4744"/>
    </i>
    <i r="1">
      <x v="4745"/>
    </i>
    <i r="1">
      <x v="4746"/>
    </i>
    <i r="1">
      <x v="4747"/>
    </i>
    <i r="1">
      <x v="4748"/>
    </i>
    <i r="1">
      <x v="4749"/>
    </i>
    <i r="1">
      <x v="4750"/>
    </i>
    <i r="1">
      <x v="4751"/>
    </i>
    <i r="1">
      <x v="4752"/>
    </i>
    <i r="1">
      <x v="4753"/>
    </i>
    <i r="1">
      <x v="4754"/>
    </i>
    <i r="1">
      <x v="4755"/>
    </i>
    <i r="1">
      <x v="4756"/>
    </i>
    <i r="1">
      <x v="4757"/>
    </i>
    <i r="1">
      <x v="4758"/>
    </i>
    <i r="1">
      <x v="4759"/>
    </i>
    <i r="1">
      <x v="4760"/>
    </i>
    <i r="1">
      <x v="4761"/>
    </i>
    <i r="1">
      <x v="4762"/>
    </i>
    <i r="1">
      <x v="4763"/>
    </i>
    <i r="1">
      <x v="4764"/>
    </i>
    <i r="1">
      <x v="4765"/>
    </i>
    <i r="1">
      <x v="4766"/>
    </i>
    <i r="1">
      <x v="4767"/>
    </i>
    <i r="1">
      <x v="4768"/>
    </i>
    <i r="1">
      <x v="4769"/>
    </i>
    <i r="1">
      <x v="4770"/>
    </i>
    <i r="1">
      <x v="4771"/>
    </i>
    <i r="1">
      <x v="4772"/>
    </i>
    <i r="1">
      <x v="4773"/>
    </i>
    <i r="1">
      <x v="4774"/>
    </i>
    <i r="1">
      <x v="4775"/>
    </i>
    <i r="1">
      <x v="4776"/>
    </i>
    <i r="1">
      <x v="4777"/>
    </i>
    <i r="1">
      <x v="4778"/>
    </i>
    <i r="1">
      <x v="4779"/>
    </i>
    <i r="1">
      <x v="4780"/>
    </i>
    <i r="1">
      <x v="4781"/>
    </i>
    <i r="1">
      <x v="4782"/>
    </i>
    <i r="1">
      <x v="4783"/>
    </i>
    <i r="1">
      <x v="4784"/>
    </i>
    <i r="1">
      <x v="4785"/>
    </i>
    <i r="1">
      <x v="4786"/>
    </i>
    <i r="1">
      <x v="4787"/>
    </i>
    <i r="1">
      <x v="4788"/>
    </i>
    <i r="1">
      <x v="4789"/>
    </i>
    <i r="1">
      <x v="4790"/>
    </i>
    <i r="1">
      <x v="4791"/>
    </i>
    <i r="1">
      <x v="4792"/>
    </i>
    <i r="1">
      <x v="4793"/>
    </i>
    <i r="1">
      <x v="4794"/>
    </i>
    <i r="1">
      <x v="4795"/>
    </i>
    <i r="1">
      <x v="4796"/>
    </i>
    <i r="1">
      <x v="4797"/>
    </i>
    <i r="1">
      <x v="4798"/>
    </i>
    <i r="1">
      <x v="4799"/>
    </i>
    <i r="1">
      <x v="4800"/>
    </i>
    <i r="1">
      <x v="4801"/>
    </i>
    <i r="1">
      <x v="4802"/>
    </i>
    <i r="1">
      <x v="4803"/>
    </i>
    <i r="1">
      <x v="4804"/>
    </i>
    <i r="1">
      <x v="4805"/>
    </i>
    <i r="1">
      <x v="4806"/>
    </i>
    <i r="1">
      <x v="4807"/>
    </i>
    <i r="1">
      <x v="4808"/>
    </i>
    <i r="1">
      <x v="4809"/>
    </i>
    <i r="1">
      <x v="4810"/>
    </i>
    <i r="1">
      <x v="4811"/>
    </i>
    <i r="1">
      <x v="4812"/>
    </i>
    <i r="1">
      <x v="4813"/>
    </i>
    <i r="1">
      <x v="4814"/>
    </i>
    <i r="1">
      <x v="4815"/>
    </i>
    <i r="1">
      <x v="4816"/>
    </i>
    <i r="1">
      <x v="4817"/>
    </i>
    <i r="1">
      <x v="4818"/>
    </i>
    <i r="1">
      <x v="4819"/>
    </i>
    <i r="1">
      <x v="4820"/>
    </i>
    <i r="1">
      <x v="4821"/>
    </i>
    <i r="1">
      <x v="4822"/>
    </i>
    <i r="1">
      <x v="4823"/>
    </i>
    <i r="1">
      <x v="4824"/>
    </i>
    <i r="1">
      <x v="4825"/>
    </i>
    <i r="1">
      <x v="4826"/>
    </i>
    <i r="1">
      <x v="4827"/>
    </i>
    <i r="1">
      <x v="4828"/>
    </i>
    <i r="1">
      <x v="4829"/>
    </i>
    <i r="1">
      <x v="4830"/>
    </i>
    <i r="1">
      <x v="4831"/>
    </i>
    <i r="1">
      <x v="4832"/>
    </i>
    <i r="1">
      <x v="4833"/>
    </i>
    <i r="1">
      <x v="4834"/>
    </i>
    <i r="1">
      <x v="4835"/>
    </i>
    <i r="1">
      <x v="4836"/>
    </i>
    <i r="1">
      <x v="4837"/>
    </i>
    <i r="1">
      <x v="4838"/>
    </i>
    <i r="1">
      <x v="4839"/>
    </i>
    <i r="1">
      <x v="4840"/>
    </i>
    <i r="1">
      <x v="4841"/>
    </i>
    <i r="1">
      <x v="4842"/>
    </i>
    <i r="1">
      <x v="4843"/>
    </i>
    <i r="1">
      <x v="4844"/>
    </i>
    <i r="1">
      <x v="4845"/>
    </i>
    <i r="1">
      <x v="4846"/>
    </i>
    <i r="1">
      <x v="4847"/>
    </i>
    <i r="1">
      <x v="4848"/>
    </i>
    <i r="1">
      <x v="4849"/>
    </i>
    <i r="1">
      <x v="4850"/>
    </i>
    <i r="1">
      <x v="4851"/>
    </i>
    <i r="1">
      <x v="4852"/>
    </i>
    <i r="1">
      <x v="4853"/>
    </i>
    <i r="1">
      <x v="4854"/>
    </i>
    <i r="1">
      <x v="4855"/>
    </i>
    <i r="1">
      <x v="4856"/>
    </i>
    <i r="1">
      <x v="4857"/>
    </i>
    <i r="1">
      <x v="4858"/>
    </i>
    <i r="1">
      <x v="4859"/>
    </i>
    <i r="1">
      <x v="4860"/>
    </i>
    <i r="1">
      <x v="4861"/>
    </i>
    <i r="1">
      <x v="4862"/>
    </i>
    <i r="1">
      <x v="4863"/>
    </i>
    <i r="1">
      <x v="4864"/>
    </i>
    <i r="1">
      <x v="4865"/>
    </i>
    <i r="1">
      <x v="4866"/>
    </i>
    <i r="1">
      <x v="4867"/>
    </i>
    <i r="1">
      <x v="4868"/>
    </i>
    <i r="1">
      <x v="4869"/>
    </i>
    <i r="1">
      <x v="4870"/>
    </i>
    <i r="1">
      <x v="4871"/>
    </i>
    <i r="1">
      <x v="4872"/>
    </i>
    <i r="1">
      <x v="4873"/>
    </i>
    <i r="1">
      <x v="4874"/>
    </i>
    <i r="1">
      <x v="4875"/>
    </i>
    <i r="1">
      <x v="4876"/>
    </i>
    <i r="1">
      <x v="4877"/>
    </i>
    <i r="1">
      <x v="4878"/>
    </i>
    <i r="1">
      <x v="4879"/>
    </i>
    <i r="1">
      <x v="4880"/>
    </i>
    <i r="1">
      <x v="4881"/>
    </i>
    <i r="1">
      <x v="4882"/>
    </i>
    <i r="1">
      <x v="4883"/>
    </i>
    <i r="1">
      <x v="4884"/>
    </i>
    <i r="1">
      <x v="4885"/>
    </i>
    <i r="1">
      <x v="4886"/>
    </i>
    <i r="1">
      <x v="4887"/>
    </i>
    <i r="1">
      <x v="4888"/>
    </i>
    <i r="1">
      <x v="4889"/>
    </i>
    <i r="1">
      <x v="4890"/>
    </i>
    <i r="1">
      <x v="4891"/>
    </i>
    <i r="1">
      <x v="4892"/>
    </i>
    <i r="1">
      <x v="4893"/>
    </i>
    <i r="1">
      <x v="4894"/>
    </i>
    <i r="1">
      <x v="4895"/>
    </i>
    <i r="1">
      <x v="4896"/>
    </i>
    <i r="1">
      <x v="4897"/>
    </i>
    <i r="1">
      <x v="4898"/>
    </i>
    <i r="1">
      <x v="4899"/>
    </i>
    <i r="1">
      <x v="4900"/>
    </i>
    <i r="1">
      <x v="4901"/>
    </i>
    <i r="1">
      <x v="4902"/>
    </i>
    <i r="1">
      <x v="4903"/>
    </i>
    <i r="1">
      <x v="4904"/>
    </i>
    <i r="1">
      <x v="4905"/>
    </i>
    <i r="1">
      <x v="4906"/>
    </i>
    <i r="1">
      <x v="4907"/>
    </i>
    <i r="1">
      <x v="4908"/>
    </i>
    <i r="1">
      <x v="4909"/>
    </i>
    <i r="1">
      <x v="4910"/>
    </i>
    <i r="1">
      <x v="4911"/>
    </i>
    <i r="1">
      <x v="4912"/>
    </i>
    <i r="1">
      <x v="4913"/>
    </i>
    <i r="1">
      <x v="4914"/>
    </i>
    <i r="1">
      <x v="4915"/>
    </i>
    <i r="1">
      <x v="4916"/>
    </i>
    <i r="1">
      <x v="4917"/>
    </i>
    <i r="1">
      <x v="4918"/>
    </i>
    <i r="1">
      <x v="4919"/>
    </i>
    <i r="1">
      <x v="4920"/>
    </i>
    <i r="1">
      <x v="4921"/>
    </i>
    <i r="1">
      <x v="4922"/>
    </i>
    <i r="1">
      <x v="4923"/>
    </i>
    <i r="1">
      <x v="4924"/>
    </i>
    <i r="1">
      <x v="4925"/>
    </i>
    <i r="1">
      <x v="4926"/>
    </i>
    <i r="1">
      <x v="4927"/>
    </i>
    <i r="1">
      <x v="4928"/>
    </i>
    <i r="1">
      <x v="4929"/>
    </i>
    <i r="1">
      <x v="4930"/>
    </i>
    <i r="1">
      <x v="4931"/>
    </i>
    <i r="1">
      <x v="4932"/>
    </i>
    <i r="1">
      <x v="4933"/>
    </i>
    <i r="1">
      <x v="4934"/>
    </i>
    <i r="1">
      <x v="4935"/>
    </i>
    <i r="1">
      <x v="4936"/>
    </i>
    <i r="1">
      <x v="4937"/>
    </i>
    <i r="1">
      <x v="4938"/>
    </i>
    <i r="1">
      <x v="4939"/>
    </i>
    <i r="1">
      <x v="4940"/>
    </i>
    <i r="1">
      <x v="4941"/>
    </i>
    <i r="1">
      <x v="4942"/>
    </i>
    <i r="1">
      <x v="4943"/>
    </i>
    <i r="1">
      <x v="4944"/>
    </i>
    <i r="1">
      <x v="4945"/>
    </i>
    <i r="1">
      <x v="4946"/>
    </i>
    <i r="1">
      <x v="4947"/>
    </i>
    <i r="1">
      <x v="4948"/>
    </i>
    <i r="1">
      <x v="4949"/>
    </i>
    <i r="1">
      <x v="4950"/>
    </i>
    <i r="1">
      <x v="4951"/>
    </i>
    <i r="1">
      <x v="4952"/>
    </i>
    <i r="1">
      <x v="4953"/>
    </i>
    <i r="1">
      <x v="4954"/>
    </i>
    <i r="1">
      <x v="4955"/>
    </i>
    <i r="1">
      <x v="4956"/>
    </i>
    <i r="1">
      <x v="4957"/>
    </i>
    <i r="1">
      <x v="4958"/>
    </i>
    <i r="1">
      <x v="4959"/>
    </i>
    <i r="1">
      <x v="4960"/>
    </i>
    <i r="1">
      <x v="4961"/>
    </i>
    <i r="1">
      <x v="4962"/>
    </i>
    <i r="1">
      <x v="4963"/>
    </i>
    <i r="1">
      <x v="4964"/>
    </i>
    <i r="1">
      <x v="4965"/>
    </i>
    <i r="1">
      <x v="4966"/>
    </i>
    <i t="default">
      <x v="3"/>
    </i>
    <i t="grand">
      <x/>
    </i>
  </rowItems>
  <colItems count="1">
    <i/>
  </colItem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81F4-F224-4AE6-A592-E7D607B1F5CC}">
  <sheetPr>
    <tabColor rgb="FFFFFF00"/>
    <pageSetUpPr fitToPage="1"/>
  </sheetPr>
  <dimension ref="A5:N47"/>
  <sheetViews>
    <sheetView showGridLines="0" tabSelected="1" topLeftCell="D5" zoomScale="125" zoomScaleNormal="87" zoomScaleSheetLayoutView="40" workbookViewId="0">
      <selection activeCell="N12" sqref="N12"/>
    </sheetView>
  </sheetViews>
  <sheetFormatPr defaultColWidth="8.42578125" defaultRowHeight="12.75"/>
  <cols>
    <col min="1" max="1" width="12.42578125" style="26" customWidth="1"/>
    <col min="2" max="2" width="26.140625" style="26" customWidth="1"/>
    <col min="3" max="3" width="36.7109375" style="26" customWidth="1"/>
    <col min="4" max="4" width="66.85546875" style="26" bestFit="1" customWidth="1"/>
    <col min="5" max="5" width="9.85546875" style="26" customWidth="1"/>
    <col min="6" max="6" width="6.85546875" style="30" customWidth="1"/>
    <col min="7" max="10" width="15.7109375" style="26" customWidth="1"/>
    <col min="11" max="11" width="8.42578125" style="26" customWidth="1"/>
    <col min="12" max="13" width="16.7109375" style="26" bestFit="1" customWidth="1"/>
    <col min="14" max="14" width="12.5703125" style="26" bestFit="1" customWidth="1"/>
    <col min="15" max="16384" width="8.42578125" style="26"/>
  </cols>
  <sheetData>
    <row r="5" spans="1:14" ht="69.75">
      <c r="A5" s="113" t="s">
        <v>2737</v>
      </c>
      <c r="B5" s="113"/>
      <c r="C5" s="113"/>
      <c r="D5" s="113"/>
      <c r="E5" s="113"/>
      <c r="F5" s="113"/>
      <c r="G5" s="113"/>
      <c r="H5" s="113"/>
      <c r="I5" s="113"/>
      <c r="J5" s="113"/>
    </row>
    <row r="6" spans="1:14" ht="20.45" customHeight="1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4" ht="17.850000000000001" customHeight="1">
      <c r="B7" s="32"/>
      <c r="C7" s="32"/>
      <c r="D7" s="32" t="s">
        <v>10183</v>
      </c>
      <c r="E7" s="32"/>
      <c r="F7" s="33"/>
      <c r="G7" s="34"/>
      <c r="H7" s="34"/>
    </row>
    <row r="8" spans="1:14" s="28" customFormat="1" ht="17.100000000000001" customHeight="1">
      <c r="A8" s="35"/>
      <c r="B8" s="35"/>
      <c r="C8" s="35"/>
      <c r="D8" s="114"/>
      <c r="E8" s="114"/>
      <c r="F8" s="33"/>
      <c r="G8" s="36"/>
      <c r="H8" s="37"/>
      <c r="I8" s="38"/>
      <c r="J8" s="38"/>
    </row>
    <row r="9" spans="1:14" s="28" customFormat="1" ht="17.100000000000001" customHeight="1">
      <c r="A9" s="35"/>
      <c r="B9" s="35"/>
      <c r="C9" s="35"/>
      <c r="D9" s="58"/>
      <c r="E9" s="58"/>
      <c r="F9" s="33"/>
      <c r="G9" s="36"/>
      <c r="H9" s="37"/>
      <c r="I9" s="38"/>
      <c r="J9" s="38"/>
    </row>
    <row r="10" spans="1:14" s="51" customFormat="1" ht="27.95" customHeight="1">
      <c r="A10" s="59" t="s">
        <v>5398</v>
      </c>
      <c r="B10" s="48"/>
      <c r="C10" s="48"/>
      <c r="D10" s="48"/>
      <c r="E10" s="48"/>
      <c r="F10" s="49"/>
      <c r="G10" s="50"/>
      <c r="H10" s="50"/>
      <c r="I10" s="49"/>
      <c r="J10" s="49"/>
      <c r="L10" s="51">
        <v>0.85</v>
      </c>
    </row>
    <row r="11" spans="1:14" ht="42.6" customHeight="1">
      <c r="A11" s="106" t="s">
        <v>10190</v>
      </c>
      <c r="B11" s="105" t="s">
        <v>10189</v>
      </c>
      <c r="C11" s="107" t="s">
        <v>10186</v>
      </c>
      <c r="D11" s="108"/>
      <c r="E11" s="103" t="s">
        <v>10184</v>
      </c>
      <c r="F11" s="104" t="s">
        <v>10185</v>
      </c>
      <c r="G11" s="6" t="s">
        <v>2741</v>
      </c>
      <c r="H11" s="6" t="s">
        <v>2742</v>
      </c>
      <c r="I11" s="6" t="s">
        <v>2743</v>
      </c>
      <c r="J11" s="6" t="s">
        <v>2744</v>
      </c>
      <c r="L11" s="118" t="s">
        <v>10192</v>
      </c>
      <c r="M11" s="118" t="s">
        <v>10191</v>
      </c>
      <c r="N11" s="118" t="s">
        <v>10193</v>
      </c>
    </row>
    <row r="12" spans="1:14" ht="20.100000000000001" customHeight="1">
      <c r="A12" s="4" t="s">
        <v>2738</v>
      </c>
      <c r="B12" s="116" t="s">
        <v>5582</v>
      </c>
      <c r="C12" s="110" t="str">
        <f>VLOOKUP(B12,Lookup!B:E,2,0)</f>
        <v>Arista 7050X3, 24x25GbE SFP &amp; 4x100GbE QSFP switch, front-to-rear air, 2xAC</v>
      </c>
      <c r="D12" s="110"/>
      <c r="E12" s="110"/>
      <c r="F12" s="3">
        <v>2</v>
      </c>
      <c r="G12" s="39">
        <f>VLOOKUP(B12,Lookup!B:E,3,0)</f>
        <v>420453000</v>
      </c>
      <c r="H12" s="39">
        <f t="shared" ref="H12" si="0">G12*F12</f>
        <v>840906000</v>
      </c>
      <c r="I12" s="40">
        <f>ROUND(VLOOKUP(B12,Lookup!B:E,4,0),-3)</f>
        <v>16457000</v>
      </c>
      <c r="J12" s="40">
        <f t="shared" ref="J12:J14" si="1">I12*F12</f>
        <v>32914000</v>
      </c>
      <c r="L12" s="117">
        <f>I12/$L$10</f>
        <v>19361176.470588237</v>
      </c>
      <c r="M12" s="119">
        <f>ROUND(L12,-2)</f>
        <v>19361200</v>
      </c>
      <c r="N12" s="120">
        <f>M12*F12</f>
        <v>38722400</v>
      </c>
    </row>
    <row r="13" spans="1:14" ht="20.100000000000001" customHeight="1">
      <c r="A13" s="4" t="s">
        <v>10179</v>
      </c>
      <c r="B13" s="116" t="s">
        <v>51</v>
      </c>
      <c r="C13" s="110" t="str">
        <f>VLOOKUP(B13,Lookup!$B$5:$C$4367,2,0)</f>
        <v>Enhanced L3 License for Arista Group 2 Fixed switches (BGP, OSPF, ISIS, PIM, NAT)</v>
      </c>
      <c r="D13" s="110"/>
      <c r="E13" s="110"/>
      <c r="F13" s="3">
        <v>2</v>
      </c>
      <c r="G13" s="39">
        <f>VLOOKUP(B13,Lookup!B:E,3,0)</f>
        <v>133664200</v>
      </c>
      <c r="H13" s="39">
        <f t="shared" ref="H13:H14" si="2">G13*F13</f>
        <v>267328400</v>
      </c>
      <c r="I13" s="40">
        <f>ROUND(VLOOKUP(B13,Lookup!B:E,4,0),-3)</f>
        <v>5242000</v>
      </c>
      <c r="J13" s="40">
        <f t="shared" si="1"/>
        <v>10484000</v>
      </c>
      <c r="L13" s="117">
        <f t="shared" ref="L13:L16" si="3">I13/$L$10</f>
        <v>6167058.823529412</v>
      </c>
      <c r="M13" s="119">
        <f t="shared" ref="M13:M16" si="4">ROUND(L13,-2)</f>
        <v>6167100</v>
      </c>
      <c r="N13" s="120">
        <f t="shared" ref="N13:N16" si="5">M13*F13</f>
        <v>12334200</v>
      </c>
    </row>
    <row r="14" spans="1:14" ht="20.100000000000001" customHeight="1">
      <c r="A14" s="4" t="s">
        <v>2738</v>
      </c>
      <c r="B14" s="55" t="s">
        <v>4103</v>
      </c>
      <c r="C14" s="110" t="str">
        <f>VLOOKUP(B14,Lookup!B:E,2,0)</f>
        <v>Arista 720DT, 24 x 1G, 4x10G SFP switch, front to rear air, 2 100W AC, EU Power Cord</v>
      </c>
      <c r="D14" s="110"/>
      <c r="E14" s="110"/>
      <c r="F14" s="3">
        <v>1</v>
      </c>
      <c r="G14" s="39">
        <f>VLOOKUP(B14,Lookup!B:E,3,0)</f>
        <v>102731700</v>
      </c>
      <c r="H14" s="39">
        <f t="shared" si="2"/>
        <v>102731700</v>
      </c>
      <c r="I14" s="40">
        <f>ROUND(VLOOKUP(B14,Lookup!B:E,4,0),-3)</f>
        <v>4021000</v>
      </c>
      <c r="J14" s="40">
        <f t="shared" si="1"/>
        <v>4021000</v>
      </c>
      <c r="L14" s="117">
        <f t="shared" si="3"/>
        <v>4730588.2352941176</v>
      </c>
      <c r="M14" s="119">
        <f t="shared" si="4"/>
        <v>4730600</v>
      </c>
      <c r="N14" s="120">
        <f t="shared" si="5"/>
        <v>4730600</v>
      </c>
    </row>
    <row r="15" spans="1:14" ht="20.100000000000001" customHeight="1">
      <c r="A15" s="4" t="s">
        <v>2740</v>
      </c>
      <c r="B15" s="65" t="s">
        <v>5809</v>
      </c>
      <c r="C15" s="109" t="str">
        <f>VLOOKUP(B15,Lookup!B:C,2,0)</f>
        <v>1 Month A-Care Software &amp; NBD Hardware Replacement/Same Day Ship for 7050SX3-24YC4C-S</v>
      </c>
      <c r="D15" s="109"/>
      <c r="E15" s="2">
        <v>12</v>
      </c>
      <c r="F15" s="3">
        <v>2</v>
      </c>
      <c r="G15" s="39">
        <f>VLOOKUP(B15,Lookup!B:E,3,0)</f>
        <v>2804600</v>
      </c>
      <c r="H15" s="39">
        <f>G15*F15*E15</f>
        <v>67310400</v>
      </c>
      <c r="I15" s="40">
        <f>ROUND(VLOOKUP(B15,Lookup!B:E,4,0),-3)</f>
        <v>208000</v>
      </c>
      <c r="J15" s="40">
        <f>I15*F15*E15</f>
        <v>4992000</v>
      </c>
      <c r="L15" s="117">
        <f t="shared" si="3"/>
        <v>244705.88235294117</v>
      </c>
      <c r="M15" s="119">
        <f t="shared" si="4"/>
        <v>244700</v>
      </c>
      <c r="N15" s="120">
        <f>M15*F15*E15</f>
        <v>5872800</v>
      </c>
    </row>
    <row r="16" spans="1:14" ht="20.100000000000001" customHeight="1">
      <c r="A16" s="4" t="s">
        <v>2740</v>
      </c>
      <c r="B16" s="65" t="s">
        <v>4296</v>
      </c>
      <c r="C16" s="109" t="str">
        <f>VLOOKUP(B16,Lookup!B:C,2,0)</f>
        <v>1-Month A-Care Software &amp; NBD Hardware Replacement/Same Day Ship for CCS-720DT-24S series</v>
      </c>
      <c r="D16" s="109"/>
      <c r="E16" s="2">
        <v>12</v>
      </c>
      <c r="F16" s="3">
        <v>1</v>
      </c>
      <c r="G16" s="39">
        <f>VLOOKUP(B16,Lookup!B:E,3,0)</f>
        <v>219300</v>
      </c>
      <c r="H16" s="39">
        <f t="shared" ref="H16" si="6">G16*F16*E16</f>
        <v>2631600</v>
      </c>
      <c r="I16" s="40">
        <f>ROUND(VLOOKUP(B16,Lookup!B:E,4,0),-3)</f>
        <v>16000</v>
      </c>
      <c r="J16" s="40">
        <f t="shared" ref="J16" si="7">I16*F16*E16</f>
        <v>192000</v>
      </c>
      <c r="L16" s="117">
        <f t="shared" si="3"/>
        <v>18823.529411764706</v>
      </c>
      <c r="M16" s="119">
        <f t="shared" si="4"/>
        <v>18800</v>
      </c>
      <c r="N16" s="120">
        <f>M16*F16*E16</f>
        <v>225600</v>
      </c>
    </row>
    <row r="17" spans="1:10" ht="15.75" customHeight="1">
      <c r="A17" s="5"/>
      <c r="B17" s="5"/>
      <c r="C17" s="111"/>
      <c r="D17" s="111"/>
      <c r="E17" s="112"/>
      <c r="F17" s="41"/>
      <c r="G17" s="7"/>
      <c r="H17" s="7"/>
      <c r="I17" s="8"/>
      <c r="J17" s="8"/>
    </row>
    <row r="18" spans="1:10" s="28" customFormat="1" ht="17.100000000000001" customHeight="1">
      <c r="A18" s="35"/>
      <c r="B18" s="35"/>
      <c r="C18" s="35"/>
      <c r="D18" s="58"/>
      <c r="E18" s="58"/>
      <c r="F18" s="33"/>
      <c r="G18" s="36"/>
      <c r="H18" s="37"/>
      <c r="I18" s="38"/>
      <c r="J18" s="38"/>
    </row>
    <row r="19" spans="1:10" s="27" customFormat="1" ht="30.75" customHeight="1">
      <c r="A19" s="59" t="s">
        <v>77</v>
      </c>
      <c r="B19" s="12"/>
      <c r="C19" s="13"/>
      <c r="D19" s="13"/>
      <c r="E19" s="42"/>
      <c r="F19" s="43"/>
      <c r="G19" s="46"/>
      <c r="H19" s="46"/>
      <c r="I19" s="29"/>
      <c r="J19" s="14"/>
    </row>
    <row r="20" spans="1:10" ht="43.5" customHeight="1">
      <c r="A20" s="106" t="s">
        <v>10190</v>
      </c>
      <c r="B20" s="105" t="s">
        <v>10189</v>
      </c>
      <c r="C20" s="107" t="s">
        <v>10187</v>
      </c>
      <c r="D20" s="108"/>
      <c r="E20" s="103" t="s">
        <v>10184</v>
      </c>
      <c r="F20" s="104" t="s">
        <v>10185</v>
      </c>
      <c r="G20" s="6" t="s">
        <v>2741</v>
      </c>
      <c r="H20" s="6" t="s">
        <v>2742</v>
      </c>
      <c r="I20" s="6" t="s">
        <v>2743</v>
      </c>
      <c r="J20" s="6" t="s">
        <v>2744</v>
      </c>
    </row>
    <row r="21" spans="1:10" ht="20.100000000000001" customHeight="1">
      <c r="A21" s="4" t="s">
        <v>2739</v>
      </c>
      <c r="B21" s="55" t="s">
        <v>2383</v>
      </c>
      <c r="C21" s="110" t="str">
        <f>VLOOKUP(B21,Lookup!B:E,2,0)</f>
        <v>100GBASE-LR QSFP Transceiver, up to 10km over duplex SMF</v>
      </c>
      <c r="D21" s="110"/>
      <c r="E21" s="110"/>
      <c r="F21" s="3">
        <v>1</v>
      </c>
      <c r="G21" s="39">
        <f>VLOOKUP(B21,Lookup!B:E,3,0)</f>
        <v>58870300</v>
      </c>
      <c r="H21" s="39">
        <f t="shared" ref="H21" si="8">G21*F21</f>
        <v>58870300</v>
      </c>
      <c r="I21" s="40">
        <f>ROUND(VLOOKUP(B21,Lookup!B:E,4,0),-3)</f>
        <v>1868000</v>
      </c>
      <c r="J21" s="40">
        <f t="shared" ref="J21:J25" si="9">I21*F21</f>
        <v>1868000</v>
      </c>
    </row>
    <row r="22" spans="1:10" ht="20.100000000000001" customHeight="1">
      <c r="A22" s="4" t="s">
        <v>10182</v>
      </c>
      <c r="B22" s="55" t="s">
        <v>2604</v>
      </c>
      <c r="C22" s="110" t="str">
        <f>VLOOKUP(B22,Lookup!B:E,2,0)</f>
        <v>400GbE QSFP-DD to QSFP-DD Active Optical Cable, 10 meter</v>
      </c>
      <c r="D22" s="110"/>
      <c r="E22" s="110"/>
      <c r="F22" s="3">
        <v>1</v>
      </c>
      <c r="G22" s="39">
        <f>VLOOKUP(B22,Lookup!B:E,3,0)</f>
        <v>184626200</v>
      </c>
      <c r="H22" s="39">
        <f t="shared" ref="H22:H25" si="10">G22*F22</f>
        <v>184626200</v>
      </c>
      <c r="I22" s="40">
        <f>ROUND(VLOOKUP(B22,Lookup!B:E,4,0),-3)</f>
        <v>7240000</v>
      </c>
      <c r="J22" s="40">
        <f t="shared" si="9"/>
        <v>7240000</v>
      </c>
    </row>
    <row r="23" spans="1:10" ht="20.100000000000001" customHeight="1">
      <c r="A23" s="4" t="s">
        <v>2739</v>
      </c>
      <c r="B23" s="55" t="s">
        <v>6221</v>
      </c>
      <c r="C23" s="110" t="str">
        <f>VLOOKUP(B23,Lookup!B:E,2,0)</f>
        <v>2x 400GBASE-FR4 Linear Pluggable OSFP Transceiver, Dual LC, up to 2km over dual duplex SMF</v>
      </c>
      <c r="D23" s="110"/>
      <c r="E23" s="110"/>
      <c r="F23" s="3">
        <v>1</v>
      </c>
      <c r="G23" s="39">
        <f>VLOOKUP(B23,Lookup!B:E,3,0)</f>
        <v>177785600</v>
      </c>
      <c r="H23" s="39">
        <f t="shared" si="10"/>
        <v>177785600</v>
      </c>
      <c r="I23" s="40">
        <f>ROUND(VLOOKUP(B23,Lookup!B:E,4,0),-3)</f>
        <v>5653000</v>
      </c>
      <c r="J23" s="40">
        <f t="shared" si="9"/>
        <v>5653000</v>
      </c>
    </row>
    <row r="24" spans="1:10" ht="20.100000000000001" customHeight="1">
      <c r="A24" s="4" t="s">
        <v>2739</v>
      </c>
      <c r="B24" s="55" t="s">
        <v>6217</v>
      </c>
      <c r="C24" s="110" t="str">
        <f>VLOOKUP(B24,Lookup!B:E,2,0)</f>
        <v>2x 400GBASE-VSR4 OSFP Transceiver, dual MPO-12 APC connectors, up to 50m over parallel MMF</v>
      </c>
      <c r="D24" s="110"/>
      <c r="E24" s="110"/>
      <c r="F24" s="3">
        <v>1</v>
      </c>
      <c r="G24" s="39">
        <f>VLOOKUP(B24,Lookup!B:E,3,0)</f>
        <v>136998500</v>
      </c>
      <c r="H24" s="39">
        <f t="shared" si="10"/>
        <v>136998500</v>
      </c>
      <c r="I24" s="40">
        <f>ROUND(VLOOKUP(B24,Lookup!B:E,4,0),-3)</f>
        <v>4348000</v>
      </c>
      <c r="J24" s="40">
        <f t="shared" si="9"/>
        <v>4348000</v>
      </c>
    </row>
    <row r="25" spans="1:10" ht="20.100000000000001" customHeight="1">
      <c r="A25" s="4" t="s">
        <v>2739</v>
      </c>
      <c r="B25" s="55" t="s">
        <v>5282</v>
      </c>
      <c r="C25" s="110" t="str">
        <f>VLOOKUP(B25,Lookup!B:E,2,0)</f>
        <v>100BASE-FX SFP Transceiver, up to 2km over duplex MMF.</v>
      </c>
      <c r="D25" s="110"/>
      <c r="E25" s="110"/>
      <c r="F25" s="3">
        <v>1</v>
      </c>
      <c r="G25" s="39">
        <f>VLOOKUP(B25,Lookup!B:E,3,0)</f>
        <v>6772100</v>
      </c>
      <c r="H25" s="39">
        <f t="shared" si="10"/>
        <v>6772100</v>
      </c>
      <c r="I25" s="40">
        <f>ROUND(VLOOKUP(B25,Lookup!B:E,4,0),-3)</f>
        <v>215000</v>
      </c>
      <c r="J25" s="40">
        <f t="shared" si="9"/>
        <v>215000</v>
      </c>
    </row>
    <row r="26" spans="1:10" ht="15.75" customHeight="1">
      <c r="A26" s="5"/>
      <c r="B26" s="5"/>
      <c r="C26" s="111"/>
      <c r="D26" s="111"/>
      <c r="E26" s="112"/>
      <c r="F26" s="41"/>
      <c r="G26" s="7"/>
      <c r="H26" s="7"/>
      <c r="I26" s="8"/>
      <c r="J26" s="8"/>
    </row>
    <row r="27" spans="1:10" s="28" customFormat="1" ht="17.100000000000001" customHeight="1">
      <c r="A27" s="35"/>
      <c r="B27" s="35"/>
      <c r="C27" s="35"/>
      <c r="D27" s="58"/>
      <c r="E27" s="58"/>
      <c r="F27" s="33"/>
      <c r="G27" s="36"/>
      <c r="H27" s="37"/>
      <c r="I27" s="38"/>
      <c r="J27" s="38"/>
    </row>
    <row r="28" spans="1:10" s="27" customFormat="1" ht="30.75" customHeight="1">
      <c r="A28" s="47" t="s">
        <v>5961</v>
      </c>
      <c r="B28" s="12"/>
      <c r="C28" s="13"/>
      <c r="D28" s="13"/>
      <c r="E28" s="42"/>
      <c r="F28" s="43"/>
      <c r="G28" s="46"/>
      <c r="H28" s="46"/>
      <c r="I28" s="29"/>
      <c r="J28" s="14"/>
    </row>
    <row r="29" spans="1:10" ht="43.5" customHeight="1">
      <c r="A29" s="106" t="s">
        <v>10190</v>
      </c>
      <c r="B29" s="105" t="s">
        <v>10189</v>
      </c>
      <c r="C29" s="115" t="s">
        <v>10188</v>
      </c>
      <c r="D29" s="108"/>
      <c r="E29" s="103" t="s">
        <v>10184</v>
      </c>
      <c r="F29" s="104" t="s">
        <v>10185</v>
      </c>
      <c r="G29" s="6" t="s">
        <v>2741</v>
      </c>
      <c r="H29" s="6" t="s">
        <v>2742</v>
      </c>
      <c r="I29" s="6" t="s">
        <v>2743</v>
      </c>
      <c r="J29" s="6" t="s">
        <v>2744</v>
      </c>
    </row>
    <row r="30" spans="1:10" ht="45" customHeight="1">
      <c r="A30" s="4" t="s">
        <v>5963</v>
      </c>
      <c r="B30" s="55" t="s">
        <v>2379</v>
      </c>
      <c r="C30" s="109" t="str">
        <f>VLOOKUP(B30,Lookup!B:E,2,0)</f>
        <v>CloudEOS Router for VM/Cloud SW Sub Lic for 1-Month, up to 10M routes with virtual route reflector feature, A-care Support, and 1-Month CloudVision as-a-Service for single instance</v>
      </c>
      <c r="D30" s="109"/>
      <c r="E30" s="2">
        <v>28</v>
      </c>
      <c r="F30" s="3">
        <v>1</v>
      </c>
      <c r="G30" s="39">
        <f>VLOOKUP(B30,Lookup!B:E,3,0)</f>
        <v>17717000</v>
      </c>
      <c r="H30" s="39">
        <f>G30*F30*E30</f>
        <v>496076000</v>
      </c>
      <c r="I30" s="40">
        <f>ROUND(VLOOKUP(B30,Lookup!B:E,4,0),-3)</f>
        <v>695000</v>
      </c>
      <c r="J30" s="40">
        <f>I30*F30*E30</f>
        <v>19460000</v>
      </c>
    </row>
    <row r="31" spans="1:10" ht="35.1" customHeight="1">
      <c r="A31" s="4" t="s">
        <v>5963</v>
      </c>
      <c r="B31" s="55" t="s">
        <v>6413</v>
      </c>
      <c r="C31" s="109" t="str">
        <f>VLOOKUP(B31,Lookup!B:E,2,0)</f>
        <v>Arista VeloCloud SD-WAN Enterprise Edition (Hosted Orchestrator+Controller) - 100 Gbps</v>
      </c>
      <c r="D31" s="109"/>
      <c r="E31" s="2">
        <v>24</v>
      </c>
      <c r="F31" s="3">
        <v>1</v>
      </c>
      <c r="G31" s="39">
        <f>VLOOKUP(B31,Lookup!B:E,3,0)</f>
        <v>106780800</v>
      </c>
      <c r="H31" s="39">
        <f>G31*F31*E31</f>
        <v>2562739200</v>
      </c>
      <c r="I31" s="40">
        <f>ROUND(VLOOKUP(B31,Lookup!B:E,4,0),-3)</f>
        <v>4187000</v>
      </c>
      <c r="J31" s="40">
        <f>I31*F31*E31</f>
        <v>100488000</v>
      </c>
    </row>
    <row r="32" spans="1:10" ht="15.75" customHeight="1">
      <c r="A32" s="5"/>
      <c r="B32" s="5"/>
      <c r="C32" s="111"/>
      <c r="D32" s="111"/>
      <c r="E32" s="112"/>
      <c r="F32" s="41"/>
      <c r="G32" s="7"/>
      <c r="H32" s="7"/>
      <c r="I32" s="8"/>
      <c r="J32" s="8"/>
    </row>
    <row r="34" spans="1:10" ht="21.6" customHeight="1">
      <c r="C34" s="9"/>
      <c r="D34" s="9"/>
      <c r="E34" s="9"/>
      <c r="F34" s="15"/>
    </row>
    <row r="35" spans="1:10" s="27" customFormat="1" ht="30.75" customHeight="1">
      <c r="A35" s="47" t="s">
        <v>5962</v>
      </c>
      <c r="B35" s="12"/>
      <c r="C35" s="13"/>
      <c r="D35" s="13"/>
      <c r="E35" s="42"/>
      <c r="F35" s="43"/>
      <c r="G35" s="46"/>
      <c r="H35" s="46"/>
      <c r="I35" s="29"/>
      <c r="J35" s="14"/>
    </row>
    <row r="36" spans="1:10" ht="43.5" customHeight="1">
      <c r="A36" s="106" t="s">
        <v>10190</v>
      </c>
      <c r="B36" s="105" t="s">
        <v>10189</v>
      </c>
      <c r="C36" s="107" t="s">
        <v>10187</v>
      </c>
      <c r="D36" s="108"/>
      <c r="E36" s="103" t="s">
        <v>10184</v>
      </c>
      <c r="F36" s="104" t="s">
        <v>10185</v>
      </c>
      <c r="G36" s="6" t="s">
        <v>2741</v>
      </c>
      <c r="H36" s="6" t="s">
        <v>2742</v>
      </c>
      <c r="I36" s="6" t="s">
        <v>2743</v>
      </c>
      <c r="J36" s="6" t="s">
        <v>2744</v>
      </c>
    </row>
    <row r="37" spans="1:10" ht="20.100000000000001" customHeight="1">
      <c r="A37" s="4" t="s">
        <v>2740</v>
      </c>
      <c r="B37" s="65" t="s">
        <v>3350</v>
      </c>
      <c r="C37" s="109" t="str">
        <f>VLOOKUP(B37,Lookup!B:C,2,0)</f>
        <v>1-Month Shared Service Contract for 7010TX-48, SW and NBD/Same Day Ship Replacement</v>
      </c>
      <c r="D37" s="109"/>
      <c r="E37" s="2">
        <v>12</v>
      </c>
      <c r="F37" s="3">
        <v>1</v>
      </c>
      <c r="G37" s="39">
        <f>VLOOKUP(B37,Lookup!B:E,3,0)</f>
        <v>370100</v>
      </c>
      <c r="H37" s="39">
        <f>G37*F37*E37</f>
        <v>4441200</v>
      </c>
      <c r="I37" s="40">
        <f>ROUND(VLOOKUP(B37,Lookup!B:E,4,0),-3)</f>
        <v>27000</v>
      </c>
      <c r="J37" s="40">
        <f>I37*F37*E37</f>
        <v>324000</v>
      </c>
    </row>
    <row r="38" spans="1:10" ht="20.100000000000001" customHeight="1">
      <c r="A38" s="4" t="s">
        <v>2740</v>
      </c>
      <c r="B38" s="65" t="s">
        <v>5811</v>
      </c>
      <c r="C38" s="109" t="str">
        <f>VLOOKUP(B38,Lookup!B:C,2,0)</f>
        <v>1-Month Shared Service Contract for 7050SX3-24YC4C-S, SW and NBD/Same Day Ship Replacement</v>
      </c>
      <c r="D38" s="109"/>
      <c r="E38" s="2">
        <v>12</v>
      </c>
      <c r="F38" s="3">
        <v>1</v>
      </c>
      <c r="G38" s="39">
        <f>VLOOKUP(B38,Lookup!B:E,3,0)</f>
        <v>1781900</v>
      </c>
      <c r="H38" s="39">
        <f t="shared" ref="H38:H41" si="11">G38*F38*E38</f>
        <v>21382800</v>
      </c>
      <c r="I38" s="40">
        <f>ROUND(VLOOKUP(B38,Lookup!B:E,4,0),-3)</f>
        <v>132000</v>
      </c>
      <c r="J38" s="40">
        <f t="shared" ref="J38:J41" si="12">I38*F38*E38</f>
        <v>1584000</v>
      </c>
    </row>
    <row r="39" spans="1:10" ht="20.100000000000001" customHeight="1">
      <c r="A39" s="4" t="s">
        <v>2740</v>
      </c>
      <c r="B39" s="65" t="s">
        <v>3350</v>
      </c>
      <c r="C39" s="109" t="str">
        <f>VLOOKUP(B39,Lookup!B:C,2,0)</f>
        <v>1-Month Shared Service Contract for 7010TX-48, SW and NBD/Same Day Ship Replacement</v>
      </c>
      <c r="D39" s="109"/>
      <c r="E39" s="2">
        <v>12</v>
      </c>
      <c r="F39" s="3">
        <v>1</v>
      </c>
      <c r="G39" s="39">
        <f>VLOOKUP(B39,Lookup!B:E,3,0)</f>
        <v>370100</v>
      </c>
      <c r="H39" s="39">
        <f t="shared" si="11"/>
        <v>4441200</v>
      </c>
      <c r="I39" s="40">
        <f>ROUND(VLOOKUP(B39,Lookup!B:E,4,0),-3)</f>
        <v>27000</v>
      </c>
      <c r="J39" s="40">
        <f t="shared" si="12"/>
        <v>324000</v>
      </c>
    </row>
    <row r="40" spans="1:10" ht="20.100000000000001" customHeight="1">
      <c r="A40" s="4" t="s">
        <v>2740</v>
      </c>
      <c r="B40" s="65" t="s">
        <v>3350</v>
      </c>
      <c r="C40" s="109" t="str">
        <f>VLOOKUP(B40,Lookup!B:C,2,0)</f>
        <v>1-Month Shared Service Contract for 7010TX-48, SW and NBD/Same Day Ship Replacement</v>
      </c>
      <c r="D40" s="109"/>
      <c r="E40" s="2">
        <v>12</v>
      </c>
      <c r="F40" s="3">
        <v>1</v>
      </c>
      <c r="G40" s="39">
        <f>VLOOKUP(B40,Lookup!B:E,3,0)</f>
        <v>370100</v>
      </c>
      <c r="H40" s="39">
        <f t="shared" si="11"/>
        <v>4441200</v>
      </c>
      <c r="I40" s="40">
        <f>ROUND(VLOOKUP(B40,Lookup!B:E,4,0),-3)</f>
        <v>27000</v>
      </c>
      <c r="J40" s="40">
        <f t="shared" si="12"/>
        <v>324000</v>
      </c>
    </row>
    <row r="41" spans="1:10" ht="20.100000000000001" customHeight="1">
      <c r="A41" s="4" t="s">
        <v>2740</v>
      </c>
      <c r="B41" s="65" t="s">
        <v>3350</v>
      </c>
      <c r="C41" s="109" t="str">
        <f>VLOOKUP(B41,Lookup!B:C,2,0)</f>
        <v>1-Month Shared Service Contract for 7010TX-48, SW and NBD/Same Day Ship Replacement</v>
      </c>
      <c r="D41" s="109"/>
      <c r="E41" s="2">
        <v>12</v>
      </c>
      <c r="F41" s="3">
        <v>1</v>
      </c>
      <c r="G41" s="39">
        <f>VLOOKUP(B41,Lookup!B:E,3,0)</f>
        <v>370100</v>
      </c>
      <c r="H41" s="39">
        <f t="shared" si="11"/>
        <v>4441200</v>
      </c>
      <c r="I41" s="40">
        <f>ROUND(VLOOKUP(B41,Lookup!B:E,4,0),-3)</f>
        <v>27000</v>
      </c>
      <c r="J41" s="40">
        <f t="shared" si="12"/>
        <v>324000</v>
      </c>
    </row>
    <row r="42" spans="1:10" ht="15.75" customHeight="1">
      <c r="A42" s="5"/>
      <c r="B42" s="5"/>
      <c r="C42" s="111"/>
      <c r="D42" s="111"/>
      <c r="E42" s="112"/>
      <c r="F42" s="41"/>
      <c r="G42" s="7"/>
      <c r="H42" s="7"/>
      <c r="I42" s="8"/>
      <c r="J42" s="8"/>
    </row>
    <row r="43" spans="1:10" ht="21.6" customHeight="1">
      <c r="C43" s="9"/>
      <c r="D43" s="9"/>
      <c r="E43" s="9"/>
      <c r="F43" s="15"/>
    </row>
    <row r="44" spans="1:10" ht="21.6" customHeight="1">
      <c r="A44" s="44" t="s">
        <v>5080</v>
      </c>
      <c r="C44" s="10"/>
      <c r="D44" s="10"/>
      <c r="E44" s="10"/>
      <c r="F44" s="45"/>
      <c r="H44" s="53" t="s">
        <v>4586</v>
      </c>
      <c r="I44" s="56" t="s">
        <v>2745</v>
      </c>
      <c r="J44" s="57">
        <f>SUM(J11:J32)</f>
        <v>191875000</v>
      </c>
    </row>
    <row r="45" spans="1:10" ht="21.6" customHeight="1">
      <c r="A45" s="44" t="s">
        <v>3093</v>
      </c>
      <c r="B45" s="11"/>
      <c r="C45" s="10"/>
      <c r="D45" s="10"/>
      <c r="E45" s="10"/>
      <c r="F45" s="45"/>
      <c r="H45" s="53" t="s">
        <v>4587</v>
      </c>
      <c r="I45" s="56" t="s">
        <v>2745</v>
      </c>
      <c r="J45" s="57">
        <f>J44*1.1</f>
        <v>211062500.00000003</v>
      </c>
    </row>
    <row r="46" spans="1:10" ht="21.6" customHeight="1">
      <c r="A46" s="44" t="s">
        <v>3094</v>
      </c>
    </row>
    <row r="47" spans="1:10" ht="22.5" customHeight="1">
      <c r="A47" s="44"/>
    </row>
  </sheetData>
  <sheetProtection insertColumns="0" insertRows="0"/>
  <dataConsolidate/>
  <mergeCells count="27">
    <mergeCell ref="C15:D15"/>
    <mergeCell ref="C16:D16"/>
    <mergeCell ref="C42:E42"/>
    <mergeCell ref="C32:E32"/>
    <mergeCell ref="C39:D39"/>
    <mergeCell ref="C40:D40"/>
    <mergeCell ref="C41:D41"/>
    <mergeCell ref="C36:D36"/>
    <mergeCell ref="C37:D37"/>
    <mergeCell ref="C38:D38"/>
    <mergeCell ref="C21:E21"/>
    <mergeCell ref="C22:E22"/>
    <mergeCell ref="C23:E23"/>
    <mergeCell ref="C24:E24"/>
    <mergeCell ref="C30:D30"/>
    <mergeCell ref="C25:E25"/>
    <mergeCell ref="C29:D29"/>
    <mergeCell ref="C20:D20"/>
    <mergeCell ref="C31:D31"/>
    <mergeCell ref="C14:E14"/>
    <mergeCell ref="C26:E26"/>
    <mergeCell ref="A5:J5"/>
    <mergeCell ref="D8:E8"/>
    <mergeCell ref="C11:D11"/>
    <mergeCell ref="C12:E12"/>
    <mergeCell ref="C13:E13"/>
    <mergeCell ref="C17:E17"/>
  </mergeCells>
  <phoneticPr fontId="9" type="noConversion"/>
  <dataValidations count="1">
    <dataValidation type="list" allowBlank="1" showInputMessage="1" showErrorMessage="1" sqref="B32 B19 B17 B26 B28 B42 B35" xr:uid="{048E1182-7A2B-4014-AC5C-2BC7E754310D}">
      <formula1>Switches</formula1>
    </dataValidation>
  </dataValidations>
  <printOptions horizontalCentered="1"/>
  <pageMargins left="0.25" right="0.25" top="0.5" bottom="0.5" header="0.3" footer="0.3"/>
  <pageSetup scale="32" orientation="portrait" horizontalDpi="4294967292" verticalDpi="4294967292" r:id="rId1"/>
  <headerFooter alignWithMargins="0"/>
  <ignoredErrors>
    <ignoredError sqref="H23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E2A399C-D8B3-C643-A746-5C3C4FF985E7}">
          <x14:formula1>
            <xm:f>'Names Ranges_New'!$E$4:$E$424</xm:f>
          </x14:formula1>
          <xm:sqref>B21:B25</xm:sqref>
        </x14:dataValidation>
        <x14:dataValidation type="list" allowBlank="1" showInputMessage="1" showErrorMessage="1" xr:uid="{EB13B68F-5B14-E04E-B150-8FF1B4685933}">
          <x14:formula1>
            <xm:f>'Names Ranges_New'!$H$4:$H$422</xm:f>
          </x14:formula1>
          <xm:sqref>B30:B31</xm:sqref>
        </x14:dataValidation>
        <x14:dataValidation type="list" allowBlank="1" showInputMessage="1" showErrorMessage="1" xr:uid="{D4C2BFF9-CFDC-7040-9253-17B6DA5585C1}">
          <x14:formula1>
            <xm:f>'Names Ranges_New'!$K$4:$K$1900</xm:f>
          </x14:formula1>
          <xm:sqref>B37:B41 B15:B16</xm:sqref>
        </x14:dataValidation>
        <x14:dataValidation type="list" allowBlank="1" showInputMessage="1" showErrorMessage="1" xr:uid="{06033964-4B17-C540-8105-E62CD24F566D}">
          <x14:formula1>
            <xm:f>'Names Ranges_New'!$B$4:$B$1723</xm:f>
          </x14:formula1>
          <xm:sqref>B12:B14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0"/>
    <pageSetUpPr fitToPage="1"/>
  </sheetPr>
  <dimension ref="A1:N5182"/>
  <sheetViews>
    <sheetView zoomScale="110" zoomScaleNormal="110" zoomScalePageLayoutView="115" workbookViewId="0">
      <pane ySplit="5" topLeftCell="A6" activePane="bottomLeft" state="frozen"/>
      <selection pane="bottomLeft" activeCell="A5" sqref="A5"/>
    </sheetView>
  </sheetViews>
  <sheetFormatPr defaultColWidth="8.7109375" defaultRowHeight="12.75"/>
  <cols>
    <col min="1" max="1" width="9.42578125" style="18" customWidth="1"/>
    <col min="2" max="2" width="35.42578125" style="16" customWidth="1"/>
    <col min="3" max="3" width="92.140625" style="19" customWidth="1"/>
    <col min="4" max="4" width="19.85546875" style="19" customWidth="1"/>
    <col min="5" max="5" width="18.42578125" style="61" customWidth="1"/>
    <col min="6" max="6" width="23.85546875" style="63" bestFit="1" customWidth="1"/>
    <col min="7" max="7" width="19.140625" style="19" customWidth="1"/>
    <col min="8" max="10" width="15.42578125" style="19" customWidth="1"/>
    <col min="11" max="11" width="16.7109375" style="19" customWidth="1"/>
    <col min="12" max="12" width="16.28515625" style="19" customWidth="1"/>
    <col min="13" max="13" width="15.85546875" style="19" customWidth="1"/>
    <col min="14" max="14" width="14.140625" style="19" customWidth="1"/>
    <col min="15" max="15" width="8.7109375" style="19"/>
    <col min="16" max="16" width="11.28515625" style="19" customWidth="1"/>
    <col min="17" max="16384" width="8.7109375" style="19"/>
  </cols>
  <sheetData>
    <row r="1" spans="1:14" ht="26.1" customHeight="1">
      <c r="E1" s="23"/>
      <c r="F1" s="23"/>
      <c r="G1" s="23"/>
      <c r="H1" s="23"/>
      <c r="I1" s="23"/>
      <c r="J1" s="23"/>
    </row>
    <row r="2" spans="1:14" ht="26.1" customHeight="1">
      <c r="C2" s="64" t="s">
        <v>5603</v>
      </c>
      <c r="D2" s="64"/>
      <c r="E2" s="23"/>
      <c r="F2" s="23"/>
      <c r="G2" s="23"/>
      <c r="H2" s="23"/>
      <c r="I2" s="23"/>
      <c r="J2" s="23"/>
      <c r="N2" s="20"/>
    </row>
    <row r="3" spans="1:14" ht="17.45" customHeight="1">
      <c r="B3" s="21"/>
      <c r="E3" s="19"/>
      <c r="F3" s="19"/>
    </row>
    <row r="4" spans="1:14" s="18" customFormat="1" ht="18.600000000000001" customHeight="1">
      <c r="B4" s="18" t="s">
        <v>1812</v>
      </c>
      <c r="E4" s="74" t="s">
        <v>5502</v>
      </c>
      <c r="F4" s="90"/>
      <c r="G4" s="24"/>
    </row>
    <row r="5" spans="1:14" s="17" customFormat="1" ht="42" customHeight="1">
      <c r="A5" s="25" t="s">
        <v>22</v>
      </c>
      <c r="B5" s="25" t="s">
        <v>34</v>
      </c>
      <c r="C5" s="25" t="s">
        <v>1</v>
      </c>
      <c r="D5" s="25" t="s">
        <v>10181</v>
      </c>
      <c r="E5" s="62" t="s">
        <v>10180</v>
      </c>
      <c r="F5" s="60" t="s">
        <v>5503</v>
      </c>
      <c r="G5" s="54"/>
    </row>
    <row r="6" spans="1:14" ht="13.35" customHeight="1">
      <c r="A6" s="82">
        <v>1</v>
      </c>
      <c r="B6" s="83" t="s">
        <v>4350</v>
      </c>
      <c r="C6" s="67" t="s">
        <v>4351</v>
      </c>
      <c r="D6" s="91">
        <v>26637100</v>
      </c>
      <c r="E6" s="76">
        <v>1044565.5</v>
      </c>
      <c r="F6" s="77" t="str" cm="1">
        <f t="array" ref="F6">IF(TRIM(B6)="","",
IF(SUMPRODUCT(COUNTIF(B6,{"AP-*"}))&gt;0,"Access Point",
IF(SUMPRODUCT(COUNTIF(B6,{"SVC-*","OSV-*"}))&gt;0,"Service",
IF(SUMPRODUCT(COUNTIF(B6,{"SS-*","SDEX-*","SDE-ENT-*","SDE-PRE2*","SDE-STD-*"}))&gt;0,"Subscription",
IF(SUMPRODUCT(COUNTIF(B6,{"SFP-*","QSFP-*","OSFP-*"}))&gt;0,"Optic",
IF(SUMPRODUCT(COUNTIF(B6,{"A-*","QDD-*","H-*","C-*","CAB-*","AOC-*"}))&gt;0,"Cable",
IF(SUMPRODUCT(COUNTIF(B6,{"DCS-*","CCS-*","PWR-*","KIT-*","FAN-*","GG*","DCA*","FB*","OC*","AWE*","5NB*","3NB*","7NB*","ZTX*","NIM*","JB*","SSD*"}))&gt;0,"Switch",
"기타")))))))</f>
        <v>Access Point</v>
      </c>
      <c r="G6" s="22"/>
      <c r="H6" s="22"/>
    </row>
    <row r="7" spans="1:14" ht="13.35" customHeight="1">
      <c r="A7" s="82">
        <v>1</v>
      </c>
      <c r="B7" s="83" t="s">
        <v>4354</v>
      </c>
      <c r="C7" s="67" t="s">
        <v>4355</v>
      </c>
      <c r="D7" s="91">
        <v>26637100</v>
      </c>
      <c r="E7" s="76">
        <v>1044565.5</v>
      </c>
      <c r="F7" s="77" t="s">
        <v>10169</v>
      </c>
      <c r="G7" s="22"/>
      <c r="H7" s="22"/>
    </row>
    <row r="8" spans="1:14" ht="13.35" customHeight="1">
      <c r="A8" s="82">
        <v>1</v>
      </c>
      <c r="B8" s="83" t="s">
        <v>4348</v>
      </c>
      <c r="C8" s="67" t="s">
        <v>4349</v>
      </c>
      <c r="D8" s="91">
        <v>20863600</v>
      </c>
      <c r="E8" s="76">
        <v>818162.5</v>
      </c>
      <c r="F8" s="77" t="s">
        <v>10169</v>
      </c>
      <c r="G8" s="22"/>
      <c r="H8" s="22"/>
    </row>
    <row r="9" spans="1:14" ht="13.35" customHeight="1">
      <c r="A9" s="82">
        <v>1</v>
      </c>
      <c r="B9" s="83" t="s">
        <v>4352</v>
      </c>
      <c r="C9" s="67" t="s">
        <v>4353</v>
      </c>
      <c r="D9" s="91">
        <v>20863600</v>
      </c>
      <c r="E9" s="76">
        <v>818162.5</v>
      </c>
      <c r="F9" s="77" t="s">
        <v>10169</v>
      </c>
      <c r="G9" s="22"/>
      <c r="H9" s="22"/>
    </row>
    <row r="10" spans="1:14" ht="13.35" customHeight="1">
      <c r="A10" s="82">
        <v>1</v>
      </c>
      <c r="B10" s="83" t="s">
        <v>4346</v>
      </c>
      <c r="C10" s="67" t="s">
        <v>4347</v>
      </c>
      <c r="D10" s="91">
        <v>12928600</v>
      </c>
      <c r="E10" s="76">
        <v>506992.49999999994</v>
      </c>
      <c r="F10" s="77" t="s">
        <v>10169</v>
      </c>
      <c r="G10" s="22"/>
      <c r="H10" s="22"/>
    </row>
    <row r="11" spans="1:14" ht="13.35" customHeight="1">
      <c r="A11" s="82">
        <v>1</v>
      </c>
      <c r="B11" s="83" t="s">
        <v>4360</v>
      </c>
      <c r="C11" s="67" t="s">
        <v>4361</v>
      </c>
      <c r="D11" s="91">
        <v>28073600</v>
      </c>
      <c r="E11" s="76">
        <v>1100898</v>
      </c>
      <c r="F11" s="77" t="s">
        <v>10169</v>
      </c>
      <c r="G11" s="22"/>
      <c r="H11" s="22"/>
    </row>
    <row r="12" spans="1:14" ht="13.35" customHeight="1">
      <c r="A12" s="82">
        <v>1</v>
      </c>
      <c r="B12" s="83" t="s">
        <v>4364</v>
      </c>
      <c r="C12" s="67" t="s">
        <v>4365</v>
      </c>
      <c r="D12" s="91">
        <v>28073600</v>
      </c>
      <c r="E12" s="76">
        <v>1100898</v>
      </c>
      <c r="F12" s="77" t="s">
        <v>10169</v>
      </c>
      <c r="G12" s="22"/>
      <c r="H12" s="22"/>
    </row>
    <row r="13" spans="1:14" ht="13.35" customHeight="1">
      <c r="A13" s="82">
        <v>1</v>
      </c>
      <c r="B13" s="83" t="s">
        <v>4358</v>
      </c>
      <c r="C13" s="67" t="s">
        <v>4359</v>
      </c>
      <c r="D13" s="91">
        <v>22300200</v>
      </c>
      <c r="E13" s="76">
        <v>874495</v>
      </c>
      <c r="F13" s="77" t="s">
        <v>10169</v>
      </c>
      <c r="G13" s="22"/>
      <c r="H13" s="22"/>
    </row>
    <row r="14" spans="1:14" ht="13.35" customHeight="1">
      <c r="A14" s="82">
        <v>1</v>
      </c>
      <c r="B14" s="83" t="s">
        <v>4362</v>
      </c>
      <c r="C14" s="67" t="s">
        <v>4363</v>
      </c>
      <c r="D14" s="91">
        <v>22300200</v>
      </c>
      <c r="E14" s="76">
        <v>874495</v>
      </c>
      <c r="F14" s="77" t="s">
        <v>10169</v>
      </c>
      <c r="G14" s="22"/>
      <c r="H14" s="22"/>
    </row>
    <row r="15" spans="1:14" ht="13.35" customHeight="1">
      <c r="A15" s="82">
        <v>1</v>
      </c>
      <c r="B15" s="83" t="s">
        <v>4356</v>
      </c>
      <c r="C15" s="67" t="s">
        <v>4357</v>
      </c>
      <c r="D15" s="91">
        <v>14365100</v>
      </c>
      <c r="E15" s="76">
        <v>563325</v>
      </c>
      <c r="F15" s="77" t="s">
        <v>10169</v>
      </c>
      <c r="G15" s="22"/>
      <c r="H15" s="22"/>
    </row>
    <row r="16" spans="1:14" ht="32.1" customHeight="1">
      <c r="A16" s="82">
        <v>1</v>
      </c>
      <c r="B16" s="67" t="s">
        <v>5506</v>
      </c>
      <c r="C16" s="67" t="s">
        <v>7173</v>
      </c>
      <c r="D16" s="91">
        <v>36118100</v>
      </c>
      <c r="E16" s="76">
        <v>1416360</v>
      </c>
      <c r="F16" s="77" t="s">
        <v>10169</v>
      </c>
      <c r="G16" s="22"/>
      <c r="H16" s="22"/>
    </row>
    <row r="17" spans="1:8" ht="13.35" customHeight="1">
      <c r="A17" s="82">
        <v>1</v>
      </c>
      <c r="B17" s="67" t="s">
        <v>5512</v>
      </c>
      <c r="C17" s="67" t="s">
        <v>7174</v>
      </c>
      <c r="D17" s="91">
        <v>44148800</v>
      </c>
      <c r="E17" s="76">
        <v>1731285.5</v>
      </c>
      <c r="F17" s="77" t="s">
        <v>10169</v>
      </c>
      <c r="G17" s="22"/>
      <c r="H17" s="22"/>
    </row>
    <row r="18" spans="1:8" ht="13.35" customHeight="1">
      <c r="A18" s="82">
        <v>1</v>
      </c>
      <c r="B18" s="67" t="s">
        <v>5513</v>
      </c>
      <c r="C18" s="67" t="s">
        <v>7175</v>
      </c>
      <c r="D18" s="91">
        <v>49552900</v>
      </c>
      <c r="E18" s="76">
        <v>1943202.9999999998</v>
      </c>
      <c r="F18" s="77" t="s">
        <v>10169</v>
      </c>
      <c r="G18" s="22"/>
      <c r="H18" s="22"/>
    </row>
    <row r="19" spans="1:8" ht="13.35" customHeight="1">
      <c r="A19" s="82">
        <v>1</v>
      </c>
      <c r="B19" s="67" t="s">
        <v>5514</v>
      </c>
      <c r="C19" s="67" t="s">
        <v>7176</v>
      </c>
      <c r="D19" s="91">
        <v>44148800</v>
      </c>
      <c r="E19" s="76">
        <v>1731285.5</v>
      </c>
      <c r="F19" s="77" t="s">
        <v>10169</v>
      </c>
      <c r="G19" s="22"/>
      <c r="H19" s="22"/>
    </row>
    <row r="20" spans="1:8" ht="13.35" customHeight="1">
      <c r="A20" s="82">
        <v>1</v>
      </c>
      <c r="B20" s="67" t="s">
        <v>5515</v>
      </c>
      <c r="C20" s="67" t="s">
        <v>7177</v>
      </c>
      <c r="D20" s="91">
        <v>49552900</v>
      </c>
      <c r="E20" s="76">
        <v>1943202.9999999998</v>
      </c>
      <c r="F20" s="77" t="s">
        <v>10169</v>
      </c>
      <c r="G20" s="22"/>
      <c r="H20" s="22"/>
    </row>
    <row r="21" spans="1:8" ht="13.35" customHeight="1">
      <c r="A21" s="82">
        <v>1</v>
      </c>
      <c r="B21" s="67" t="s">
        <v>5507</v>
      </c>
      <c r="C21" s="67" t="s">
        <v>7178</v>
      </c>
      <c r="D21" s="91">
        <v>36118100</v>
      </c>
      <c r="E21" s="76">
        <v>1416360</v>
      </c>
      <c r="F21" s="77" t="s">
        <v>10169</v>
      </c>
      <c r="G21" s="22"/>
      <c r="H21" s="22"/>
    </row>
    <row r="22" spans="1:8" ht="13.35" customHeight="1">
      <c r="A22" s="82">
        <v>1</v>
      </c>
      <c r="B22" s="67" t="s">
        <v>5508</v>
      </c>
      <c r="C22" s="67" t="s">
        <v>7179</v>
      </c>
      <c r="D22" s="91">
        <v>44148800</v>
      </c>
      <c r="E22" s="76">
        <v>1731285.5</v>
      </c>
      <c r="F22" s="77" t="s">
        <v>10169</v>
      </c>
      <c r="G22" s="22"/>
      <c r="H22" s="22"/>
    </row>
    <row r="23" spans="1:8" ht="13.35" customHeight="1">
      <c r="A23" s="82">
        <v>1</v>
      </c>
      <c r="B23" s="67" t="s">
        <v>5509</v>
      </c>
      <c r="C23" s="67" t="s">
        <v>7180</v>
      </c>
      <c r="D23" s="91">
        <v>49552900</v>
      </c>
      <c r="E23" s="76">
        <v>1943202.9999999998</v>
      </c>
      <c r="F23" s="77" t="s">
        <v>10169</v>
      </c>
      <c r="G23" s="22"/>
      <c r="H23" s="22"/>
    </row>
    <row r="24" spans="1:8" ht="13.35" customHeight="1">
      <c r="A24" s="82">
        <v>1</v>
      </c>
      <c r="B24" s="67" t="s">
        <v>5510</v>
      </c>
      <c r="C24" s="67" t="s">
        <v>7181</v>
      </c>
      <c r="D24" s="91">
        <v>44148800</v>
      </c>
      <c r="E24" s="76">
        <v>1731285.5</v>
      </c>
      <c r="F24" s="77" t="s">
        <v>10169</v>
      </c>
      <c r="G24" s="22"/>
      <c r="H24" s="22"/>
    </row>
    <row r="25" spans="1:8" ht="13.35" customHeight="1">
      <c r="A25" s="82">
        <v>1</v>
      </c>
      <c r="B25" s="67" t="s">
        <v>5511</v>
      </c>
      <c r="C25" s="67" t="s">
        <v>7182</v>
      </c>
      <c r="D25" s="91">
        <v>49552900</v>
      </c>
      <c r="E25" s="76">
        <v>1943202.9999999998</v>
      </c>
      <c r="F25" s="77" t="s">
        <v>10169</v>
      </c>
      <c r="G25" s="22"/>
      <c r="H25" s="22"/>
    </row>
    <row r="26" spans="1:8" ht="13.35" customHeight="1">
      <c r="A26" s="82">
        <v>1</v>
      </c>
      <c r="B26" s="83" t="s">
        <v>2357</v>
      </c>
      <c r="C26" s="67" t="s">
        <v>2358</v>
      </c>
      <c r="D26" s="91">
        <v>33204000</v>
      </c>
      <c r="E26" s="76">
        <v>1302085.5</v>
      </c>
      <c r="F26" s="77" t="s">
        <v>10169</v>
      </c>
      <c r="G26" s="22"/>
      <c r="H26" s="22"/>
    </row>
    <row r="27" spans="1:8" ht="13.35" customHeight="1">
      <c r="A27" s="82">
        <v>1</v>
      </c>
      <c r="B27" s="83" t="s">
        <v>2349</v>
      </c>
      <c r="C27" s="67" t="s">
        <v>2350</v>
      </c>
      <c r="D27" s="91">
        <v>27430600</v>
      </c>
      <c r="E27" s="76">
        <v>1075682.5</v>
      </c>
      <c r="F27" s="77" t="s">
        <v>10169</v>
      </c>
      <c r="G27" s="22"/>
      <c r="H27" s="22"/>
    </row>
    <row r="28" spans="1:8" ht="13.35" customHeight="1">
      <c r="A28" s="82">
        <v>1</v>
      </c>
      <c r="B28" s="83" t="s">
        <v>2341</v>
      </c>
      <c r="C28" s="67" t="s">
        <v>2342</v>
      </c>
      <c r="D28" s="91">
        <v>19495500</v>
      </c>
      <c r="E28" s="76">
        <v>764512.5</v>
      </c>
      <c r="F28" s="77" t="s">
        <v>10169</v>
      </c>
      <c r="G28" s="22"/>
      <c r="H28" s="22"/>
    </row>
    <row r="29" spans="1:8" ht="13.35" customHeight="1">
      <c r="A29" s="82">
        <v>1</v>
      </c>
      <c r="B29" s="83" t="s">
        <v>2359</v>
      </c>
      <c r="C29" s="67" t="s">
        <v>2360</v>
      </c>
      <c r="D29" s="91">
        <v>34681500</v>
      </c>
      <c r="E29" s="76">
        <v>1360027.5</v>
      </c>
      <c r="F29" s="77" t="s">
        <v>10169</v>
      </c>
      <c r="G29" s="22"/>
      <c r="H29" s="22"/>
    </row>
    <row r="30" spans="1:8" ht="13.35" customHeight="1">
      <c r="A30" s="82">
        <v>1</v>
      </c>
      <c r="B30" s="83" t="s">
        <v>2351</v>
      </c>
      <c r="C30" s="67" t="s">
        <v>2352</v>
      </c>
      <c r="D30" s="91">
        <v>28867100</v>
      </c>
      <c r="E30" s="76">
        <v>1132015</v>
      </c>
      <c r="F30" s="77" t="s">
        <v>10169</v>
      </c>
      <c r="G30" s="22"/>
      <c r="H30" s="22"/>
    </row>
    <row r="31" spans="1:8" ht="13.35" customHeight="1">
      <c r="A31" s="82">
        <v>1</v>
      </c>
      <c r="B31" s="83" t="s">
        <v>2343</v>
      </c>
      <c r="C31" s="67" t="s">
        <v>2344</v>
      </c>
      <c r="D31" s="91">
        <v>20932100</v>
      </c>
      <c r="E31" s="76">
        <v>820845</v>
      </c>
      <c r="F31" s="77" t="s">
        <v>10169</v>
      </c>
      <c r="G31" s="22"/>
      <c r="H31" s="22"/>
    </row>
    <row r="32" spans="1:8" ht="13.35" customHeight="1">
      <c r="A32" s="82">
        <v>1</v>
      </c>
      <c r="B32" s="67" t="s">
        <v>6241</v>
      </c>
      <c r="C32" s="67" t="s">
        <v>6242</v>
      </c>
      <c r="D32" s="91">
        <v>19153500</v>
      </c>
      <c r="E32" s="76">
        <v>751100</v>
      </c>
      <c r="F32" s="77" t="s">
        <v>10169</v>
      </c>
      <c r="G32" s="22"/>
      <c r="H32" s="22"/>
    </row>
    <row r="33" spans="1:8" ht="13.35" customHeight="1">
      <c r="A33" s="82">
        <v>1</v>
      </c>
      <c r="B33" s="67" t="s">
        <v>6243</v>
      </c>
      <c r="C33" s="67" t="s">
        <v>6244</v>
      </c>
      <c r="D33" s="91">
        <v>19153500</v>
      </c>
      <c r="E33" s="76">
        <v>751100</v>
      </c>
      <c r="F33" s="77" t="s">
        <v>10169</v>
      </c>
      <c r="G33" s="22"/>
      <c r="H33" s="22"/>
    </row>
    <row r="34" spans="1:8" ht="13.35" customHeight="1">
      <c r="A34" s="82">
        <v>1</v>
      </c>
      <c r="B34" s="67" t="s">
        <v>6245</v>
      </c>
      <c r="C34" s="67" t="s">
        <v>6246</v>
      </c>
      <c r="D34" s="91">
        <v>15049200</v>
      </c>
      <c r="E34" s="76">
        <v>590150</v>
      </c>
      <c r="F34" s="77" t="s">
        <v>10169</v>
      </c>
      <c r="G34" s="22"/>
      <c r="H34" s="22"/>
    </row>
    <row r="35" spans="1:8" ht="13.35" customHeight="1">
      <c r="A35" s="82">
        <v>1</v>
      </c>
      <c r="B35" s="67" t="s">
        <v>6247</v>
      </c>
      <c r="C35" s="67" t="s">
        <v>6248</v>
      </c>
      <c r="D35" s="91">
        <v>15049200</v>
      </c>
      <c r="E35" s="76">
        <v>590150</v>
      </c>
      <c r="F35" s="77" t="s">
        <v>10169</v>
      </c>
      <c r="G35" s="22"/>
      <c r="H35" s="22"/>
    </row>
    <row r="36" spans="1:8" ht="13.35" customHeight="1">
      <c r="A36" s="82">
        <v>1</v>
      </c>
      <c r="B36" s="67" t="s">
        <v>6249</v>
      </c>
      <c r="C36" s="67" t="s">
        <v>6250</v>
      </c>
      <c r="D36" s="91">
        <v>8892700</v>
      </c>
      <c r="E36" s="76">
        <v>348725</v>
      </c>
      <c r="F36" s="77" t="s">
        <v>10169</v>
      </c>
      <c r="G36" s="22"/>
      <c r="H36" s="22"/>
    </row>
    <row r="37" spans="1:8" ht="13.35" customHeight="1">
      <c r="A37" s="82">
        <v>1</v>
      </c>
      <c r="B37" s="67" t="s">
        <v>6691</v>
      </c>
      <c r="C37" s="67" t="s">
        <v>7183</v>
      </c>
      <c r="D37" s="91">
        <v>41385300</v>
      </c>
      <c r="E37" s="76">
        <v>1622912.5</v>
      </c>
      <c r="F37" s="77" t="s">
        <v>10169</v>
      </c>
      <c r="G37" s="22"/>
      <c r="H37" s="22"/>
    </row>
    <row r="38" spans="1:8" ht="13.35" customHeight="1">
      <c r="A38" s="82">
        <v>1</v>
      </c>
      <c r="B38" s="67" t="s">
        <v>6692</v>
      </c>
      <c r="C38" s="67" t="s">
        <v>7184</v>
      </c>
      <c r="D38" s="91">
        <v>41385300</v>
      </c>
      <c r="E38" s="76">
        <v>1622912.5</v>
      </c>
      <c r="F38" s="77" t="s">
        <v>10169</v>
      </c>
      <c r="G38" s="22"/>
      <c r="H38" s="22"/>
    </row>
    <row r="39" spans="1:8" ht="13.35" customHeight="1">
      <c r="A39" s="82">
        <v>1</v>
      </c>
      <c r="B39" s="67" t="s">
        <v>6693</v>
      </c>
      <c r="C39" s="67" t="s">
        <v>7185</v>
      </c>
      <c r="D39" s="91">
        <v>36733700</v>
      </c>
      <c r="E39" s="76">
        <v>1440502.5</v>
      </c>
      <c r="F39" s="77" t="s">
        <v>10169</v>
      </c>
      <c r="G39" s="22"/>
      <c r="H39" s="22"/>
    </row>
    <row r="40" spans="1:8" ht="13.35" customHeight="1">
      <c r="A40" s="82">
        <v>1</v>
      </c>
      <c r="B40" s="67" t="s">
        <v>6694</v>
      </c>
      <c r="C40" s="67" t="s">
        <v>7186</v>
      </c>
      <c r="D40" s="91">
        <v>36733700</v>
      </c>
      <c r="E40" s="76">
        <v>1440502.5</v>
      </c>
      <c r="F40" s="77" t="s">
        <v>10169</v>
      </c>
      <c r="G40" s="22"/>
      <c r="H40" s="22"/>
    </row>
    <row r="41" spans="1:8" ht="13.35" customHeight="1">
      <c r="A41" s="82">
        <v>1</v>
      </c>
      <c r="B41" s="67" t="s">
        <v>6695</v>
      </c>
      <c r="C41" s="67" t="s">
        <v>7187</v>
      </c>
      <c r="D41" s="91">
        <v>29469000</v>
      </c>
      <c r="E41" s="76">
        <v>1155621</v>
      </c>
      <c r="F41" s="77" t="s">
        <v>10169</v>
      </c>
      <c r="G41" s="22"/>
      <c r="H41" s="22"/>
    </row>
    <row r="42" spans="1:8" ht="13.35" customHeight="1">
      <c r="A42" s="82">
        <v>1</v>
      </c>
      <c r="B42" s="67" t="s">
        <v>5524</v>
      </c>
      <c r="C42" s="67" t="s">
        <v>7188</v>
      </c>
      <c r="D42" s="91">
        <v>56913300</v>
      </c>
      <c r="E42" s="76">
        <v>2231840</v>
      </c>
      <c r="F42" s="77" t="s">
        <v>10169</v>
      </c>
      <c r="G42" s="22"/>
      <c r="H42" s="22"/>
    </row>
    <row r="43" spans="1:8" ht="13.35" customHeight="1">
      <c r="A43" s="82">
        <v>1</v>
      </c>
      <c r="B43" s="67" t="s">
        <v>5526</v>
      </c>
      <c r="C43" s="67" t="s">
        <v>7189</v>
      </c>
      <c r="D43" s="91">
        <v>56913300</v>
      </c>
      <c r="E43" s="76">
        <v>2231840</v>
      </c>
      <c r="F43" s="77" t="s">
        <v>10169</v>
      </c>
      <c r="G43" s="22"/>
      <c r="H43" s="22"/>
    </row>
    <row r="44" spans="1:8" ht="13.35" customHeight="1">
      <c r="A44" s="82">
        <v>1</v>
      </c>
      <c r="B44" s="67" t="s">
        <v>5523</v>
      </c>
      <c r="C44" s="67" t="s">
        <v>7190</v>
      </c>
      <c r="D44" s="91">
        <v>51536600</v>
      </c>
      <c r="E44" s="76">
        <v>2020995.5</v>
      </c>
      <c r="F44" s="77" t="s">
        <v>10169</v>
      </c>
      <c r="G44" s="22"/>
      <c r="H44" s="22"/>
    </row>
    <row r="45" spans="1:8" ht="13.35" customHeight="1">
      <c r="A45" s="82">
        <v>1</v>
      </c>
      <c r="B45" s="67" t="s">
        <v>5525</v>
      </c>
      <c r="C45" s="67" t="s">
        <v>7191</v>
      </c>
      <c r="D45" s="91">
        <v>51536600</v>
      </c>
      <c r="E45" s="76">
        <v>2020995.5</v>
      </c>
      <c r="F45" s="77" t="s">
        <v>10169</v>
      </c>
      <c r="G45" s="22"/>
      <c r="H45" s="22"/>
    </row>
    <row r="46" spans="1:8" ht="13.35" customHeight="1">
      <c r="A46" s="82">
        <v>1</v>
      </c>
      <c r="B46" s="67" t="s">
        <v>5522</v>
      </c>
      <c r="C46" s="67" t="s">
        <v>7192</v>
      </c>
      <c r="D46" s="91">
        <v>43505800</v>
      </c>
      <c r="E46" s="76">
        <v>1706069.9999999998</v>
      </c>
      <c r="F46" s="77" t="s">
        <v>10169</v>
      </c>
      <c r="G46" s="22"/>
      <c r="H46" s="22"/>
    </row>
    <row r="47" spans="1:8" ht="13.35" customHeight="1">
      <c r="A47" s="82">
        <v>1</v>
      </c>
      <c r="B47" s="67" t="s">
        <v>5529</v>
      </c>
      <c r="C47" s="67" t="s">
        <v>7193</v>
      </c>
      <c r="D47" s="91">
        <v>54464400</v>
      </c>
      <c r="E47" s="76">
        <v>2135806.5</v>
      </c>
      <c r="F47" s="77" t="s">
        <v>10169</v>
      </c>
      <c r="G47" s="22"/>
      <c r="H47" s="22"/>
    </row>
    <row r="48" spans="1:8" ht="13.35" customHeight="1">
      <c r="A48" s="82">
        <v>1</v>
      </c>
      <c r="B48" s="67" t="s">
        <v>5531</v>
      </c>
      <c r="C48" s="67" t="s">
        <v>7194</v>
      </c>
      <c r="D48" s="91">
        <v>54464400</v>
      </c>
      <c r="E48" s="76">
        <v>2135806.5</v>
      </c>
      <c r="F48" s="77" t="s">
        <v>10169</v>
      </c>
      <c r="G48" s="22"/>
      <c r="H48" s="22"/>
    </row>
    <row r="49" spans="1:8" ht="13.35" customHeight="1">
      <c r="A49" s="82">
        <v>1</v>
      </c>
      <c r="B49" s="67" t="s">
        <v>5528</v>
      </c>
      <c r="C49" s="67" t="s">
        <v>7195</v>
      </c>
      <c r="D49" s="91">
        <v>49074000</v>
      </c>
      <c r="E49" s="76">
        <v>1924425.5</v>
      </c>
      <c r="F49" s="77" t="s">
        <v>10169</v>
      </c>
      <c r="G49" s="22"/>
      <c r="H49" s="22"/>
    </row>
    <row r="50" spans="1:8" ht="13.35" customHeight="1">
      <c r="A50" s="82">
        <v>1</v>
      </c>
      <c r="B50" s="67" t="s">
        <v>5530</v>
      </c>
      <c r="C50" s="67" t="s">
        <v>7196</v>
      </c>
      <c r="D50" s="91">
        <v>49074000</v>
      </c>
      <c r="E50" s="76">
        <v>1924425.5</v>
      </c>
      <c r="F50" s="77" t="s">
        <v>10169</v>
      </c>
      <c r="G50" s="22"/>
      <c r="H50" s="22"/>
    </row>
    <row r="51" spans="1:8" ht="13.35" customHeight="1">
      <c r="A51" s="82">
        <v>1</v>
      </c>
      <c r="B51" s="67" t="s">
        <v>5527</v>
      </c>
      <c r="C51" s="67" t="s">
        <v>7195</v>
      </c>
      <c r="D51" s="91">
        <v>41043200</v>
      </c>
      <c r="E51" s="76">
        <v>1609500</v>
      </c>
      <c r="F51" s="77" t="s">
        <v>10169</v>
      </c>
      <c r="G51" s="22"/>
      <c r="H51" s="22"/>
    </row>
    <row r="52" spans="1:8" ht="13.35" customHeight="1">
      <c r="A52" s="82">
        <v>1</v>
      </c>
      <c r="B52" s="83" t="s">
        <v>3484</v>
      </c>
      <c r="C52" s="67" t="s">
        <v>3485</v>
      </c>
      <c r="D52" s="91">
        <v>45489600</v>
      </c>
      <c r="E52" s="76">
        <v>1783862.5</v>
      </c>
      <c r="F52" s="77" t="s">
        <v>10169</v>
      </c>
      <c r="G52" s="22"/>
      <c r="H52" s="22"/>
    </row>
    <row r="53" spans="1:8" ht="13.35" customHeight="1">
      <c r="A53" s="82">
        <v>1</v>
      </c>
      <c r="B53" s="83" t="s">
        <v>3488</v>
      </c>
      <c r="C53" s="67" t="s">
        <v>3489</v>
      </c>
      <c r="D53" s="91">
        <v>45489600</v>
      </c>
      <c r="E53" s="76">
        <v>1783862.5</v>
      </c>
      <c r="F53" s="77" t="s">
        <v>10169</v>
      </c>
      <c r="G53" s="22"/>
      <c r="H53" s="22"/>
    </row>
    <row r="54" spans="1:8" ht="13.35" customHeight="1">
      <c r="A54" s="82">
        <v>1</v>
      </c>
      <c r="B54" s="83" t="s">
        <v>3482</v>
      </c>
      <c r="C54" s="67" t="s">
        <v>3483</v>
      </c>
      <c r="D54" s="91">
        <v>38991100</v>
      </c>
      <c r="E54" s="76">
        <v>1529025</v>
      </c>
      <c r="F54" s="77" t="s">
        <v>10169</v>
      </c>
      <c r="G54" s="22"/>
      <c r="H54" s="22"/>
    </row>
    <row r="55" spans="1:8" ht="13.35" customHeight="1">
      <c r="A55" s="82">
        <v>1</v>
      </c>
      <c r="B55" s="83" t="s">
        <v>3486</v>
      </c>
      <c r="C55" s="67" t="s">
        <v>3487</v>
      </c>
      <c r="D55" s="91">
        <v>38991100</v>
      </c>
      <c r="E55" s="76">
        <v>1529025</v>
      </c>
      <c r="F55" s="77" t="s">
        <v>10169</v>
      </c>
      <c r="G55" s="22"/>
      <c r="H55" s="22"/>
    </row>
    <row r="56" spans="1:8" ht="13.35" customHeight="1">
      <c r="A56" s="82">
        <v>1</v>
      </c>
      <c r="B56" s="83" t="s">
        <v>3480</v>
      </c>
      <c r="C56" s="67" t="s">
        <v>3481</v>
      </c>
      <c r="D56" s="91">
        <v>30317300</v>
      </c>
      <c r="E56" s="76">
        <v>1188884</v>
      </c>
      <c r="F56" s="77" t="s">
        <v>10169</v>
      </c>
      <c r="G56" s="22"/>
      <c r="H56" s="22"/>
    </row>
    <row r="57" spans="1:8" ht="13.35" customHeight="1">
      <c r="A57" s="82">
        <v>1</v>
      </c>
      <c r="B57" s="83" t="s">
        <v>4811</v>
      </c>
      <c r="C57" s="67" t="s">
        <v>5225</v>
      </c>
      <c r="D57" s="91">
        <v>32410500</v>
      </c>
      <c r="E57" s="76">
        <v>1270968.5</v>
      </c>
      <c r="F57" s="77" t="s">
        <v>10169</v>
      </c>
      <c r="G57" s="22"/>
      <c r="H57" s="22"/>
    </row>
    <row r="58" spans="1:8" ht="13.35" customHeight="1">
      <c r="A58" s="82">
        <v>1</v>
      </c>
      <c r="B58" s="83" t="s">
        <v>4813</v>
      </c>
      <c r="C58" s="67" t="s">
        <v>5227</v>
      </c>
      <c r="D58" s="91">
        <v>32410500</v>
      </c>
      <c r="E58" s="76">
        <v>1270968.5</v>
      </c>
      <c r="F58" s="77" t="s">
        <v>10169</v>
      </c>
      <c r="G58" s="22"/>
      <c r="H58" s="22"/>
    </row>
    <row r="59" spans="1:8" ht="13.35" customHeight="1">
      <c r="A59" s="82">
        <v>1</v>
      </c>
      <c r="B59" s="83" t="s">
        <v>4810</v>
      </c>
      <c r="C59" s="67" t="s">
        <v>5224</v>
      </c>
      <c r="D59" s="91">
        <v>26637100</v>
      </c>
      <c r="E59" s="76">
        <v>1044565.5</v>
      </c>
      <c r="F59" s="77" t="s">
        <v>10169</v>
      </c>
      <c r="G59" s="22"/>
      <c r="H59" s="22"/>
    </row>
    <row r="60" spans="1:8" ht="13.35" customHeight="1">
      <c r="A60" s="82">
        <v>1</v>
      </c>
      <c r="B60" s="83" t="s">
        <v>4812</v>
      </c>
      <c r="C60" s="67" t="s">
        <v>5226</v>
      </c>
      <c r="D60" s="91">
        <v>26637100</v>
      </c>
      <c r="E60" s="76">
        <v>1044565.5</v>
      </c>
      <c r="F60" s="77" t="s">
        <v>10169</v>
      </c>
      <c r="G60" s="22"/>
      <c r="H60" s="22"/>
    </row>
    <row r="61" spans="1:8" ht="13.35" customHeight="1">
      <c r="A61" s="82">
        <v>1</v>
      </c>
      <c r="B61" s="83" t="s">
        <v>4809</v>
      </c>
      <c r="C61" s="67" t="s">
        <v>5223</v>
      </c>
      <c r="D61" s="91">
        <v>18702000</v>
      </c>
      <c r="E61" s="76">
        <v>733395.5</v>
      </c>
      <c r="F61" s="77" t="s">
        <v>10169</v>
      </c>
      <c r="G61" s="22"/>
      <c r="H61" s="22"/>
    </row>
    <row r="62" spans="1:8" ht="13.35" customHeight="1">
      <c r="A62" s="82">
        <v>1</v>
      </c>
      <c r="B62" s="83" t="s">
        <v>2124</v>
      </c>
      <c r="C62" s="67" t="s">
        <v>2125</v>
      </c>
      <c r="D62" s="91">
        <v>21821300</v>
      </c>
      <c r="E62" s="76">
        <v>855717.5</v>
      </c>
      <c r="F62" s="77" t="s">
        <v>10169</v>
      </c>
      <c r="G62" s="22"/>
      <c r="H62" s="22"/>
    </row>
    <row r="63" spans="1:8" ht="13.35" customHeight="1">
      <c r="A63" s="82">
        <v>1</v>
      </c>
      <c r="B63" s="83" t="s">
        <v>2122</v>
      </c>
      <c r="C63" s="67" t="s">
        <v>2123</v>
      </c>
      <c r="D63" s="91">
        <v>20453200</v>
      </c>
      <c r="E63" s="76">
        <v>802067.5</v>
      </c>
      <c r="F63" s="77" t="s">
        <v>10169</v>
      </c>
      <c r="G63" s="22"/>
      <c r="H63" s="22"/>
    </row>
    <row r="64" spans="1:8" ht="13.35" customHeight="1">
      <c r="A64" s="82">
        <v>1</v>
      </c>
      <c r="B64" s="83" t="s">
        <v>2120</v>
      </c>
      <c r="C64" s="67" t="s">
        <v>2121</v>
      </c>
      <c r="D64" s="91">
        <v>17032900</v>
      </c>
      <c r="E64" s="76">
        <v>667942.5</v>
      </c>
      <c r="F64" s="77" t="s">
        <v>10169</v>
      </c>
      <c r="G64" s="22"/>
      <c r="H64" s="22"/>
    </row>
    <row r="65" spans="1:8" ht="13.35" customHeight="1">
      <c r="A65" s="82">
        <v>1</v>
      </c>
      <c r="B65" s="83" t="s">
        <v>2353</v>
      </c>
      <c r="C65" s="67" t="s">
        <v>2354</v>
      </c>
      <c r="D65" s="91">
        <v>14980800</v>
      </c>
      <c r="E65" s="76">
        <v>587467.5</v>
      </c>
      <c r="F65" s="77" t="s">
        <v>10169</v>
      </c>
      <c r="G65" s="22"/>
      <c r="H65" s="22"/>
    </row>
    <row r="66" spans="1:8" ht="13.35" customHeight="1">
      <c r="A66" s="82">
        <v>1</v>
      </c>
      <c r="B66" s="83" t="s">
        <v>2345</v>
      </c>
      <c r="C66" s="67" t="s">
        <v>2346</v>
      </c>
      <c r="D66" s="91">
        <v>12928600</v>
      </c>
      <c r="E66" s="76">
        <v>506992.49999999994</v>
      </c>
      <c r="F66" s="77" t="s">
        <v>10169</v>
      </c>
      <c r="G66" s="22"/>
      <c r="H66" s="22"/>
    </row>
    <row r="67" spans="1:8" ht="13.35" customHeight="1">
      <c r="A67" s="82">
        <v>1</v>
      </c>
      <c r="B67" s="83" t="s">
        <v>2337</v>
      </c>
      <c r="C67" s="67" t="s">
        <v>2338</v>
      </c>
      <c r="D67" s="91">
        <v>10192400</v>
      </c>
      <c r="E67" s="76">
        <v>399692.49999999994</v>
      </c>
      <c r="F67" s="77" t="s">
        <v>10169</v>
      </c>
      <c r="G67" s="22"/>
      <c r="H67" s="22"/>
    </row>
    <row r="68" spans="1:8" ht="13.35" customHeight="1">
      <c r="A68" s="82">
        <v>1</v>
      </c>
      <c r="B68" s="83" t="s">
        <v>2355</v>
      </c>
      <c r="C68" s="67" t="s">
        <v>2356</v>
      </c>
      <c r="D68" s="91">
        <v>30317300</v>
      </c>
      <c r="E68" s="76">
        <v>1188884</v>
      </c>
      <c r="F68" s="77" t="s">
        <v>10169</v>
      </c>
      <c r="G68" s="22"/>
      <c r="H68" s="22"/>
    </row>
    <row r="69" spans="1:8" ht="13.35" customHeight="1">
      <c r="A69" s="82">
        <v>1</v>
      </c>
      <c r="B69" s="83" t="s">
        <v>2347</v>
      </c>
      <c r="C69" s="67" t="s">
        <v>2348</v>
      </c>
      <c r="D69" s="91">
        <v>24543900</v>
      </c>
      <c r="E69" s="76">
        <v>962481</v>
      </c>
      <c r="F69" s="77" t="s">
        <v>10169</v>
      </c>
      <c r="G69" s="22"/>
      <c r="H69" s="22"/>
    </row>
    <row r="70" spans="1:8" ht="13.35" customHeight="1">
      <c r="A70" s="82">
        <v>1</v>
      </c>
      <c r="B70" s="83" t="s">
        <v>2339</v>
      </c>
      <c r="C70" s="67" t="s">
        <v>2340</v>
      </c>
      <c r="D70" s="91">
        <v>16608800</v>
      </c>
      <c r="E70" s="76">
        <v>651311</v>
      </c>
      <c r="F70" s="77" t="s">
        <v>10169</v>
      </c>
      <c r="G70" s="22"/>
      <c r="H70" s="22"/>
    </row>
    <row r="71" spans="1:8" ht="13.35" customHeight="1">
      <c r="A71" s="82">
        <v>1</v>
      </c>
      <c r="B71" s="83" t="s">
        <v>3178</v>
      </c>
      <c r="C71" s="67" t="s">
        <v>3179</v>
      </c>
      <c r="D71" s="91">
        <v>7948700</v>
      </c>
      <c r="E71" s="76">
        <v>311706.5</v>
      </c>
      <c r="F71" s="77" t="s">
        <v>10169</v>
      </c>
      <c r="G71" s="22"/>
      <c r="H71" s="22"/>
    </row>
    <row r="72" spans="1:8" ht="13.35" customHeight="1">
      <c r="A72" s="82">
        <v>1</v>
      </c>
      <c r="B72" s="83" t="s">
        <v>3180</v>
      </c>
      <c r="C72" s="67" t="s">
        <v>3181</v>
      </c>
      <c r="D72" s="91">
        <v>13352700</v>
      </c>
      <c r="E72" s="76">
        <v>523624</v>
      </c>
      <c r="F72" s="77" t="s">
        <v>10169</v>
      </c>
      <c r="G72" s="22"/>
      <c r="H72" s="22"/>
    </row>
    <row r="73" spans="1:8" ht="13.35" customHeight="1">
      <c r="A73" s="82">
        <v>1</v>
      </c>
      <c r="B73" s="83" t="s">
        <v>3182</v>
      </c>
      <c r="C73" s="67" t="s">
        <v>3183</v>
      </c>
      <c r="D73" s="91">
        <v>18045300</v>
      </c>
      <c r="E73" s="76">
        <v>707643.5</v>
      </c>
      <c r="F73" s="77" t="s">
        <v>10169</v>
      </c>
      <c r="G73" s="22"/>
      <c r="H73" s="22"/>
    </row>
    <row r="74" spans="1:8" ht="13.35" customHeight="1">
      <c r="A74" s="82">
        <v>1</v>
      </c>
      <c r="B74" s="67" t="s">
        <v>6696</v>
      </c>
      <c r="C74" s="67" t="s">
        <v>7197</v>
      </c>
      <c r="D74" s="91">
        <v>109400</v>
      </c>
      <c r="E74" s="76">
        <v>4292</v>
      </c>
      <c r="F74" s="77" t="s">
        <v>10175</v>
      </c>
      <c r="G74" s="22"/>
      <c r="H74" s="22"/>
    </row>
    <row r="75" spans="1:8" ht="13.35" customHeight="1">
      <c r="A75" s="82">
        <v>1</v>
      </c>
      <c r="B75" s="67" t="s">
        <v>5611</v>
      </c>
      <c r="C75" s="67" t="s">
        <v>7198</v>
      </c>
      <c r="D75" s="91">
        <v>273600</v>
      </c>
      <c r="E75" s="76">
        <v>10730</v>
      </c>
      <c r="F75" s="77" t="s">
        <v>10175</v>
      </c>
      <c r="G75" s="22"/>
      <c r="H75" s="22"/>
    </row>
    <row r="76" spans="1:8" ht="13.35" customHeight="1">
      <c r="A76" s="82">
        <v>1</v>
      </c>
      <c r="B76" s="83" t="s">
        <v>5610</v>
      </c>
      <c r="C76" s="67" t="s">
        <v>7199</v>
      </c>
      <c r="D76" s="91">
        <v>273600</v>
      </c>
      <c r="E76" s="76">
        <v>10730</v>
      </c>
      <c r="F76" s="77" t="s">
        <v>10175</v>
      </c>
      <c r="G76" s="22"/>
      <c r="H76" s="22"/>
    </row>
    <row r="77" spans="1:8" ht="13.35" customHeight="1">
      <c r="A77" s="82">
        <v>1</v>
      </c>
      <c r="B77" s="83" t="s">
        <v>5612</v>
      </c>
      <c r="C77" s="67" t="s">
        <v>7200</v>
      </c>
      <c r="D77" s="91">
        <v>273600</v>
      </c>
      <c r="E77" s="76">
        <v>10730</v>
      </c>
      <c r="F77" s="77" t="s">
        <v>10175</v>
      </c>
      <c r="G77" s="22"/>
      <c r="H77" s="22"/>
    </row>
    <row r="78" spans="1:8" ht="13.35" customHeight="1">
      <c r="A78" s="82">
        <v>1</v>
      </c>
      <c r="B78" s="83" t="s">
        <v>2207</v>
      </c>
      <c r="C78" s="67" t="s">
        <v>2854</v>
      </c>
      <c r="D78" s="91">
        <v>191500</v>
      </c>
      <c r="E78" s="76">
        <v>7511</v>
      </c>
      <c r="F78" s="77" t="s">
        <v>10175</v>
      </c>
      <c r="G78" s="22"/>
      <c r="H78" s="22"/>
    </row>
    <row r="79" spans="1:8" ht="13.35" customHeight="1">
      <c r="A79" s="82">
        <v>1</v>
      </c>
      <c r="B79" s="83" t="s">
        <v>2204</v>
      </c>
      <c r="C79" s="67" t="s">
        <v>2851</v>
      </c>
      <c r="D79" s="91">
        <v>95800</v>
      </c>
      <c r="E79" s="76">
        <v>3755.5</v>
      </c>
      <c r="F79" s="77" t="s">
        <v>10175</v>
      </c>
      <c r="G79" s="22"/>
      <c r="H79" s="22"/>
    </row>
    <row r="80" spans="1:8" ht="13.35" customHeight="1">
      <c r="A80" s="82">
        <v>1</v>
      </c>
      <c r="B80" s="83" t="s">
        <v>2205</v>
      </c>
      <c r="C80" s="67" t="s">
        <v>2852</v>
      </c>
      <c r="D80" s="91">
        <v>27400</v>
      </c>
      <c r="E80" s="76">
        <v>1073</v>
      </c>
      <c r="F80" s="77" t="s">
        <v>10175</v>
      </c>
      <c r="G80" s="22"/>
      <c r="H80" s="22"/>
    </row>
    <row r="81" spans="1:8" ht="13.35" customHeight="1">
      <c r="A81" s="82">
        <v>1</v>
      </c>
      <c r="B81" s="83" t="s">
        <v>2206</v>
      </c>
      <c r="C81" s="67" t="s">
        <v>2853</v>
      </c>
      <c r="D81" s="91">
        <v>218900</v>
      </c>
      <c r="E81" s="76">
        <v>8584</v>
      </c>
      <c r="F81" s="77" t="s">
        <v>10175</v>
      </c>
      <c r="G81" s="22"/>
      <c r="H81" s="22"/>
    </row>
    <row r="82" spans="1:8" ht="13.35" customHeight="1">
      <c r="A82" s="82">
        <v>1</v>
      </c>
      <c r="B82" s="67" t="s">
        <v>5609</v>
      </c>
      <c r="C82" s="67" t="s">
        <v>7201</v>
      </c>
      <c r="D82" s="91">
        <v>684100</v>
      </c>
      <c r="E82" s="76">
        <v>26825</v>
      </c>
      <c r="F82" s="77" t="s">
        <v>10175</v>
      </c>
      <c r="G82" s="22"/>
      <c r="H82" s="22"/>
    </row>
    <row r="83" spans="1:8" ht="13.35" customHeight="1">
      <c r="A83" s="82">
        <v>1</v>
      </c>
      <c r="B83" s="83" t="s">
        <v>2215</v>
      </c>
      <c r="C83" s="67" t="s">
        <v>2216</v>
      </c>
      <c r="D83" s="91">
        <v>684100</v>
      </c>
      <c r="E83" s="76">
        <v>26825</v>
      </c>
      <c r="F83" s="77" t="s">
        <v>10175</v>
      </c>
      <c r="G83" s="22"/>
      <c r="H83" s="22"/>
    </row>
    <row r="84" spans="1:8" ht="13.35" customHeight="1">
      <c r="A84" s="82">
        <v>1</v>
      </c>
      <c r="B84" s="83" t="s">
        <v>2213</v>
      </c>
      <c r="C84" s="67" t="s">
        <v>2214</v>
      </c>
      <c r="D84" s="91">
        <v>218900</v>
      </c>
      <c r="E84" s="76">
        <v>8584</v>
      </c>
      <c r="F84" s="77" t="s">
        <v>10175</v>
      </c>
      <c r="G84" s="22"/>
      <c r="H84" s="22"/>
    </row>
    <row r="85" spans="1:8" ht="13.35" customHeight="1">
      <c r="A85" s="82">
        <v>1</v>
      </c>
      <c r="B85" s="83" t="s">
        <v>2212</v>
      </c>
      <c r="C85" s="67" t="s">
        <v>1610</v>
      </c>
      <c r="D85" s="91">
        <v>218900</v>
      </c>
      <c r="E85" s="76">
        <v>8584</v>
      </c>
      <c r="F85" s="77" t="s">
        <v>10175</v>
      </c>
      <c r="G85" s="22"/>
      <c r="H85" s="22"/>
    </row>
    <row r="86" spans="1:8" ht="13.35" customHeight="1">
      <c r="A86" s="82">
        <v>1</v>
      </c>
      <c r="B86" s="83" t="s">
        <v>3845</v>
      </c>
      <c r="C86" s="67" t="s">
        <v>3846</v>
      </c>
      <c r="D86" s="91">
        <v>13352700</v>
      </c>
      <c r="E86" s="76">
        <v>523624</v>
      </c>
      <c r="F86" s="77" t="s">
        <v>10169</v>
      </c>
      <c r="G86" s="22"/>
      <c r="H86" s="22"/>
    </row>
    <row r="87" spans="1:8" ht="13.35" customHeight="1">
      <c r="A87" s="82">
        <v>1</v>
      </c>
      <c r="B87" s="83" t="s">
        <v>3847</v>
      </c>
      <c r="C87" s="67" t="s">
        <v>5482</v>
      </c>
      <c r="D87" s="91">
        <v>18045300</v>
      </c>
      <c r="E87" s="76">
        <v>707643.5</v>
      </c>
      <c r="F87" s="77" t="s">
        <v>10169</v>
      </c>
      <c r="G87" s="22"/>
      <c r="H87" s="22"/>
    </row>
    <row r="88" spans="1:8" ht="13.35" customHeight="1">
      <c r="A88" s="82">
        <v>1</v>
      </c>
      <c r="B88" s="83" t="s">
        <v>2931</v>
      </c>
      <c r="C88" s="67" t="s">
        <v>2932</v>
      </c>
      <c r="D88" s="91">
        <v>24543900</v>
      </c>
      <c r="E88" s="76">
        <v>962481</v>
      </c>
      <c r="F88" s="77" t="s">
        <v>10169</v>
      </c>
      <c r="G88" s="22"/>
      <c r="H88" s="22"/>
    </row>
    <row r="89" spans="1:8" ht="13.35" customHeight="1">
      <c r="A89" s="82">
        <v>1</v>
      </c>
      <c r="B89" s="83" t="s">
        <v>2933</v>
      </c>
      <c r="C89" s="67" t="s">
        <v>2934</v>
      </c>
      <c r="D89" s="91">
        <v>30317300</v>
      </c>
      <c r="E89" s="76">
        <v>1188884</v>
      </c>
      <c r="F89" s="77" t="s">
        <v>10169</v>
      </c>
      <c r="G89" s="22"/>
      <c r="H89" s="22"/>
    </row>
    <row r="90" spans="1:8" ht="13.35" customHeight="1">
      <c r="A90" s="82">
        <v>1</v>
      </c>
      <c r="B90" s="83" t="s">
        <v>2935</v>
      </c>
      <c r="C90" s="67" t="s">
        <v>2936</v>
      </c>
      <c r="D90" s="91">
        <v>12928600</v>
      </c>
      <c r="E90" s="76">
        <v>506992.49999999994</v>
      </c>
      <c r="F90" s="77" t="s">
        <v>10169</v>
      </c>
      <c r="G90" s="22"/>
      <c r="H90" s="22"/>
    </row>
    <row r="91" spans="1:8" ht="13.35" customHeight="1">
      <c r="A91" s="82">
        <v>1</v>
      </c>
      <c r="B91" s="83" t="s">
        <v>2937</v>
      </c>
      <c r="C91" s="67" t="s">
        <v>2938</v>
      </c>
      <c r="D91" s="91">
        <v>14980800</v>
      </c>
      <c r="E91" s="76">
        <v>587467.5</v>
      </c>
      <c r="F91" s="77" t="s">
        <v>10169</v>
      </c>
      <c r="G91" s="22"/>
      <c r="H91" s="22"/>
    </row>
    <row r="92" spans="1:8" ht="13.35" customHeight="1">
      <c r="A92" s="82">
        <v>1</v>
      </c>
      <c r="B92" s="83" t="s">
        <v>2939</v>
      </c>
      <c r="C92" s="67" t="s">
        <v>2940</v>
      </c>
      <c r="D92" s="91">
        <v>20453200</v>
      </c>
      <c r="E92" s="76">
        <v>802067.5</v>
      </c>
      <c r="F92" s="77" t="s">
        <v>10169</v>
      </c>
      <c r="G92" s="22"/>
      <c r="H92" s="22"/>
    </row>
    <row r="93" spans="1:8" ht="13.35" customHeight="1">
      <c r="A93" s="82">
        <v>1</v>
      </c>
      <c r="B93" s="83" t="s">
        <v>2941</v>
      </c>
      <c r="C93" s="67" t="s">
        <v>2942</v>
      </c>
      <c r="D93" s="91">
        <v>21821300</v>
      </c>
      <c r="E93" s="76">
        <v>855717.5</v>
      </c>
      <c r="F93" s="77" t="s">
        <v>10169</v>
      </c>
      <c r="G93" s="22"/>
      <c r="H93" s="22"/>
    </row>
    <row r="94" spans="1:8" ht="13.35" customHeight="1">
      <c r="A94" s="82">
        <v>1</v>
      </c>
      <c r="B94" s="83" t="s">
        <v>2943</v>
      </c>
      <c r="C94" s="67" t="s">
        <v>2944</v>
      </c>
      <c r="D94" s="91">
        <v>28867100</v>
      </c>
      <c r="E94" s="76">
        <v>1132015</v>
      </c>
      <c r="F94" s="77" t="s">
        <v>10169</v>
      </c>
      <c r="G94" s="22"/>
      <c r="H94" s="22"/>
    </row>
    <row r="95" spans="1:8" ht="13.35" customHeight="1">
      <c r="A95" s="82">
        <v>1</v>
      </c>
      <c r="B95" s="83" t="s">
        <v>2945</v>
      </c>
      <c r="C95" s="67" t="s">
        <v>2946</v>
      </c>
      <c r="D95" s="91">
        <v>34681500</v>
      </c>
      <c r="E95" s="76">
        <v>1360027.5</v>
      </c>
      <c r="F95" s="77" t="s">
        <v>10169</v>
      </c>
      <c r="G95" s="22"/>
      <c r="H95" s="22"/>
    </row>
    <row r="96" spans="1:8" ht="13.35" customHeight="1">
      <c r="A96" s="82">
        <v>1</v>
      </c>
      <c r="B96" s="83" t="s">
        <v>2947</v>
      </c>
      <c r="C96" s="67" t="s">
        <v>2948</v>
      </c>
      <c r="D96" s="91">
        <v>27430600</v>
      </c>
      <c r="E96" s="76">
        <v>1075682.5</v>
      </c>
      <c r="F96" s="77" t="s">
        <v>10169</v>
      </c>
      <c r="G96" s="22"/>
      <c r="H96" s="22"/>
    </row>
    <row r="97" spans="1:8" ht="13.35" customHeight="1">
      <c r="A97" s="82">
        <v>1</v>
      </c>
      <c r="B97" s="83" t="s">
        <v>2949</v>
      </c>
      <c r="C97" s="67" t="s">
        <v>2950</v>
      </c>
      <c r="D97" s="91">
        <v>33204000</v>
      </c>
      <c r="E97" s="76">
        <v>1302085.5</v>
      </c>
      <c r="F97" s="77" t="s">
        <v>10169</v>
      </c>
      <c r="G97" s="22"/>
      <c r="H97" s="22"/>
    </row>
    <row r="98" spans="1:8" ht="13.35" customHeight="1">
      <c r="A98" s="82">
        <v>1</v>
      </c>
      <c r="B98" s="67" t="s">
        <v>5990</v>
      </c>
      <c r="C98" s="67" t="s">
        <v>5991</v>
      </c>
      <c r="D98" s="91">
        <v>13706700</v>
      </c>
      <c r="E98" s="76">
        <v>536500</v>
      </c>
      <c r="F98" s="77" t="s">
        <v>5504</v>
      </c>
      <c r="G98" s="22"/>
      <c r="H98" s="22"/>
    </row>
    <row r="99" spans="1:8" ht="13.35" customHeight="1">
      <c r="A99" s="82">
        <v>1</v>
      </c>
      <c r="B99" s="67" t="s">
        <v>5992</v>
      </c>
      <c r="C99" s="67" t="s">
        <v>5993</v>
      </c>
      <c r="D99" s="91">
        <v>13681100</v>
      </c>
      <c r="E99" s="76">
        <v>536500</v>
      </c>
      <c r="F99" s="77" t="s">
        <v>5504</v>
      </c>
      <c r="G99" s="22"/>
      <c r="H99" s="22"/>
    </row>
    <row r="100" spans="1:8" ht="13.35" customHeight="1">
      <c r="A100" s="82">
        <v>1</v>
      </c>
      <c r="B100" s="67" t="s">
        <v>6697</v>
      </c>
      <c r="C100" s="67" t="s">
        <v>7202</v>
      </c>
      <c r="D100" s="91">
        <v>1712734400</v>
      </c>
      <c r="E100" s="76">
        <v>67164435</v>
      </c>
      <c r="F100" s="77" t="s">
        <v>5504</v>
      </c>
      <c r="G100" s="22"/>
      <c r="H100" s="22"/>
    </row>
    <row r="101" spans="1:8" ht="13.35" customHeight="1">
      <c r="A101" s="82">
        <v>1</v>
      </c>
      <c r="B101" s="67" t="s">
        <v>6014</v>
      </c>
      <c r="C101" s="67" t="s">
        <v>6015</v>
      </c>
      <c r="D101" s="91">
        <v>1256538800</v>
      </c>
      <c r="E101" s="76">
        <v>49274842.5</v>
      </c>
      <c r="F101" s="77" t="s">
        <v>5504</v>
      </c>
      <c r="G101" s="22"/>
      <c r="H101" s="22"/>
    </row>
    <row r="102" spans="1:8" ht="13.35" customHeight="1">
      <c r="A102" s="82">
        <v>1</v>
      </c>
      <c r="B102" s="67" t="s">
        <v>6016</v>
      </c>
      <c r="C102" s="67" t="s">
        <v>6017</v>
      </c>
      <c r="D102" s="91">
        <v>912391200</v>
      </c>
      <c r="E102" s="76">
        <v>35779185</v>
      </c>
      <c r="F102" s="77" t="s">
        <v>5504</v>
      </c>
      <c r="G102" s="22"/>
      <c r="H102" s="22"/>
    </row>
    <row r="103" spans="1:8" ht="13.35" customHeight="1">
      <c r="A103" s="82">
        <v>1</v>
      </c>
      <c r="B103" s="67" t="s">
        <v>6018</v>
      </c>
      <c r="C103" s="67" t="s">
        <v>6019</v>
      </c>
      <c r="D103" s="91">
        <v>688295100</v>
      </c>
      <c r="E103" s="76">
        <v>26991315</v>
      </c>
      <c r="F103" s="77" t="s">
        <v>5504</v>
      </c>
      <c r="G103" s="22"/>
      <c r="H103" s="22"/>
    </row>
    <row r="104" spans="1:8" ht="13.35" customHeight="1">
      <c r="A104" s="82">
        <v>1</v>
      </c>
      <c r="B104" s="67" t="s">
        <v>6698</v>
      </c>
      <c r="C104" s="67" t="s">
        <v>7203</v>
      </c>
      <c r="D104" s="91">
        <v>2513077600</v>
      </c>
      <c r="E104" s="76">
        <v>98549685</v>
      </c>
      <c r="F104" s="77" t="s">
        <v>5504</v>
      </c>
      <c r="G104" s="22"/>
      <c r="H104" s="22"/>
    </row>
    <row r="105" spans="1:8" ht="13.35" customHeight="1">
      <c r="A105" s="82">
        <v>1</v>
      </c>
      <c r="B105" s="67" t="s">
        <v>6020</v>
      </c>
      <c r="C105" s="67" t="s">
        <v>6021</v>
      </c>
      <c r="D105" s="91">
        <v>1824782500</v>
      </c>
      <c r="E105" s="76">
        <v>71558370</v>
      </c>
      <c r="F105" s="77" t="s">
        <v>5504</v>
      </c>
      <c r="G105" s="22"/>
      <c r="H105" s="22"/>
    </row>
    <row r="106" spans="1:8" ht="13.35" customHeight="1">
      <c r="A106" s="82">
        <v>1</v>
      </c>
      <c r="B106" s="67" t="s">
        <v>6022</v>
      </c>
      <c r="C106" s="67" t="s">
        <v>6023</v>
      </c>
      <c r="D106" s="91">
        <v>1368586800</v>
      </c>
      <c r="E106" s="76">
        <v>53668777.499999993</v>
      </c>
      <c r="F106" s="77" t="s">
        <v>5504</v>
      </c>
      <c r="G106" s="22"/>
      <c r="H106" s="22"/>
    </row>
    <row r="107" spans="1:8" ht="13.35" customHeight="1">
      <c r="A107" s="82">
        <v>1</v>
      </c>
      <c r="B107" s="67" t="s">
        <v>6024</v>
      </c>
      <c r="C107" s="67" t="s">
        <v>6025</v>
      </c>
      <c r="D107" s="91">
        <v>1032442700</v>
      </c>
      <c r="E107" s="76">
        <v>40486972.5</v>
      </c>
      <c r="F107" s="77" t="s">
        <v>5504</v>
      </c>
      <c r="G107" s="22"/>
      <c r="H107" s="22"/>
    </row>
    <row r="108" spans="1:8" ht="13.35" customHeight="1">
      <c r="A108" s="82">
        <v>1</v>
      </c>
      <c r="B108" s="67" t="s">
        <v>6699</v>
      </c>
      <c r="C108" s="67" t="s">
        <v>7204</v>
      </c>
      <c r="D108" s="91">
        <v>3761612900</v>
      </c>
      <c r="E108" s="76">
        <v>147510675</v>
      </c>
      <c r="F108" s="77" t="s">
        <v>5504</v>
      </c>
      <c r="G108" s="22"/>
      <c r="H108" s="22"/>
    </row>
    <row r="109" spans="1:8" ht="13.35" customHeight="1">
      <c r="A109" s="82">
        <v>1</v>
      </c>
      <c r="B109" s="67" t="s">
        <v>6026</v>
      </c>
      <c r="C109" s="67" t="s">
        <v>6027</v>
      </c>
      <c r="D109" s="91">
        <v>3265400200</v>
      </c>
      <c r="E109" s="76">
        <v>128051820.00000001</v>
      </c>
      <c r="F109" s="77" t="s">
        <v>5504</v>
      </c>
      <c r="G109" s="22"/>
      <c r="H109" s="22"/>
    </row>
    <row r="110" spans="1:8" ht="13.35" customHeight="1">
      <c r="A110" s="82">
        <v>1</v>
      </c>
      <c r="B110" s="67" t="s">
        <v>6028</v>
      </c>
      <c r="C110" s="67" t="s">
        <v>6029</v>
      </c>
      <c r="D110" s="91">
        <v>2513077600</v>
      </c>
      <c r="E110" s="76">
        <v>98549685</v>
      </c>
      <c r="F110" s="77" t="s">
        <v>5504</v>
      </c>
      <c r="G110" s="22"/>
      <c r="H110" s="22"/>
    </row>
    <row r="111" spans="1:8" ht="13.35" customHeight="1">
      <c r="A111" s="82">
        <v>1</v>
      </c>
      <c r="B111" s="67" t="s">
        <v>6030</v>
      </c>
      <c r="C111" s="67" t="s">
        <v>6031</v>
      </c>
      <c r="D111" s="91">
        <v>1632700100</v>
      </c>
      <c r="E111" s="76">
        <v>64025910.000000007</v>
      </c>
      <c r="F111" s="77" t="s">
        <v>5504</v>
      </c>
      <c r="G111" s="22"/>
      <c r="H111" s="22"/>
    </row>
    <row r="112" spans="1:8" ht="13.35" customHeight="1">
      <c r="A112" s="82">
        <v>1</v>
      </c>
      <c r="B112" s="67" t="s">
        <v>6032</v>
      </c>
      <c r="C112" s="67" t="s">
        <v>6033</v>
      </c>
      <c r="D112" s="91">
        <v>1088466700</v>
      </c>
      <c r="E112" s="76">
        <v>42683940</v>
      </c>
      <c r="F112" s="77" t="s">
        <v>5504</v>
      </c>
      <c r="G112" s="22"/>
      <c r="H112" s="22"/>
    </row>
    <row r="113" spans="1:8" ht="13.35" customHeight="1">
      <c r="A113" s="82">
        <v>1</v>
      </c>
      <c r="B113" s="67" t="s">
        <v>5621</v>
      </c>
      <c r="C113" s="67" t="s">
        <v>7205</v>
      </c>
      <c r="D113" s="91">
        <v>824353500</v>
      </c>
      <c r="E113" s="76">
        <v>32326807.499999996</v>
      </c>
      <c r="F113" s="77" t="s">
        <v>5504</v>
      </c>
      <c r="G113" s="22"/>
      <c r="H113" s="22"/>
    </row>
    <row r="114" spans="1:8" ht="13.35" customHeight="1">
      <c r="A114" s="82">
        <v>1</v>
      </c>
      <c r="B114" s="67" t="s">
        <v>5616</v>
      </c>
      <c r="C114" s="67" t="s">
        <v>7206</v>
      </c>
      <c r="D114" s="91">
        <v>824353500</v>
      </c>
      <c r="E114" s="76">
        <v>32326807.499999996</v>
      </c>
      <c r="F114" s="77" t="s">
        <v>5504</v>
      </c>
      <c r="G114" s="22"/>
      <c r="H114" s="22"/>
    </row>
    <row r="115" spans="1:8" ht="13.35" customHeight="1">
      <c r="A115" s="82">
        <v>1</v>
      </c>
      <c r="B115" s="67" t="s">
        <v>6034</v>
      </c>
      <c r="C115" s="67" t="s">
        <v>6035</v>
      </c>
      <c r="D115" s="91">
        <v>520223100</v>
      </c>
      <c r="E115" s="76">
        <v>20400412.5</v>
      </c>
      <c r="F115" s="77" t="s">
        <v>5504</v>
      </c>
      <c r="G115" s="22"/>
      <c r="H115" s="22"/>
    </row>
    <row r="116" spans="1:8" ht="13.35" customHeight="1">
      <c r="A116" s="82">
        <v>1</v>
      </c>
      <c r="B116" s="67" t="s">
        <v>6700</v>
      </c>
      <c r="C116" s="67" t="s">
        <v>7207</v>
      </c>
      <c r="D116" s="91">
        <v>912391200</v>
      </c>
      <c r="E116" s="76">
        <v>35779185</v>
      </c>
      <c r="F116" s="77" t="s">
        <v>5504</v>
      </c>
      <c r="G116" s="22"/>
      <c r="H116" s="22"/>
    </row>
    <row r="117" spans="1:8" ht="13.35" customHeight="1">
      <c r="A117" s="82">
        <v>1</v>
      </c>
      <c r="B117" s="67" t="s">
        <v>5620</v>
      </c>
      <c r="C117" s="67" t="s">
        <v>7208</v>
      </c>
      <c r="D117" s="91">
        <v>688295100</v>
      </c>
      <c r="E117" s="76">
        <v>26991315</v>
      </c>
      <c r="F117" s="77" t="s">
        <v>5504</v>
      </c>
      <c r="G117" s="22"/>
      <c r="H117" s="22"/>
    </row>
    <row r="118" spans="1:8" ht="13.35" customHeight="1">
      <c r="A118" s="82">
        <v>1</v>
      </c>
      <c r="B118" s="67" t="s">
        <v>5615</v>
      </c>
      <c r="C118" s="67" t="s">
        <v>7209</v>
      </c>
      <c r="D118" s="91">
        <v>688295100</v>
      </c>
      <c r="E118" s="76">
        <v>26991315</v>
      </c>
      <c r="F118" s="77" t="s">
        <v>5504</v>
      </c>
      <c r="G118" s="22"/>
      <c r="H118" s="22"/>
    </row>
    <row r="119" spans="1:8" ht="13.35" customHeight="1">
      <c r="A119" s="82">
        <v>1</v>
      </c>
      <c r="B119" s="67" t="s">
        <v>6036</v>
      </c>
      <c r="C119" s="67" t="s">
        <v>6037</v>
      </c>
      <c r="D119" s="91">
        <v>368157900</v>
      </c>
      <c r="E119" s="76">
        <v>14437215.000000002</v>
      </c>
      <c r="F119" s="77" t="s">
        <v>5504</v>
      </c>
      <c r="G119" s="22"/>
      <c r="H119" s="22"/>
    </row>
    <row r="120" spans="1:8" ht="13.35" customHeight="1">
      <c r="A120" s="82">
        <v>1</v>
      </c>
      <c r="B120" s="67" t="s">
        <v>6701</v>
      </c>
      <c r="C120" s="67" t="s">
        <v>7210</v>
      </c>
      <c r="D120" s="91">
        <v>259940500</v>
      </c>
      <c r="E120" s="76">
        <v>10193500</v>
      </c>
      <c r="F120" s="77" t="s">
        <v>5504</v>
      </c>
      <c r="G120" s="22"/>
      <c r="H120" s="22"/>
    </row>
    <row r="121" spans="1:8" ht="13.35" customHeight="1">
      <c r="A121" s="82">
        <v>1</v>
      </c>
      <c r="B121" s="67" t="s">
        <v>5622</v>
      </c>
      <c r="C121" s="67" t="s">
        <v>7211</v>
      </c>
      <c r="D121" s="91">
        <v>198375700</v>
      </c>
      <c r="E121" s="76">
        <v>7779250</v>
      </c>
      <c r="F121" s="77" t="s">
        <v>5504</v>
      </c>
      <c r="G121" s="22"/>
      <c r="H121" s="22"/>
    </row>
    <row r="122" spans="1:8" ht="13.35" customHeight="1">
      <c r="A122" s="82">
        <v>1</v>
      </c>
      <c r="B122" s="67" t="s">
        <v>5617</v>
      </c>
      <c r="C122" s="67" t="s">
        <v>7212</v>
      </c>
      <c r="D122" s="91">
        <v>198375700</v>
      </c>
      <c r="E122" s="76">
        <v>7779250</v>
      </c>
      <c r="F122" s="77" t="s">
        <v>5504</v>
      </c>
      <c r="G122" s="22"/>
      <c r="H122" s="22"/>
    </row>
    <row r="123" spans="1:8" ht="13.35" customHeight="1">
      <c r="A123" s="82">
        <v>1</v>
      </c>
      <c r="B123" s="67" t="s">
        <v>6038</v>
      </c>
      <c r="C123" s="67" t="s">
        <v>6039</v>
      </c>
      <c r="D123" s="91">
        <v>129970300</v>
      </c>
      <c r="E123" s="76">
        <v>5096750</v>
      </c>
      <c r="F123" s="77" t="s">
        <v>5504</v>
      </c>
      <c r="G123" s="22"/>
      <c r="H123" s="22"/>
    </row>
    <row r="124" spans="1:8" ht="13.35" customHeight="1">
      <c r="A124" s="82">
        <v>1</v>
      </c>
      <c r="B124" s="67" t="s">
        <v>6702</v>
      </c>
      <c r="C124" s="67" t="s">
        <v>7213</v>
      </c>
      <c r="D124" s="91">
        <v>304130400</v>
      </c>
      <c r="E124" s="76">
        <v>11926395</v>
      </c>
      <c r="F124" s="77" t="s">
        <v>5504</v>
      </c>
      <c r="G124" s="22"/>
      <c r="H124" s="22"/>
    </row>
    <row r="125" spans="1:8" ht="13.35" customHeight="1">
      <c r="A125" s="82">
        <v>1</v>
      </c>
      <c r="B125" s="67" t="s">
        <v>5623</v>
      </c>
      <c r="C125" s="67" t="s">
        <v>7214</v>
      </c>
      <c r="D125" s="91">
        <v>232099500</v>
      </c>
      <c r="E125" s="76">
        <v>9101722.5</v>
      </c>
      <c r="F125" s="77" t="s">
        <v>5504</v>
      </c>
      <c r="G125" s="22"/>
      <c r="H125" s="22"/>
    </row>
    <row r="126" spans="1:8" ht="13.35" customHeight="1">
      <c r="A126" s="82">
        <v>1</v>
      </c>
      <c r="B126" s="67" t="s">
        <v>5618</v>
      </c>
      <c r="C126" s="67" t="s">
        <v>7215</v>
      </c>
      <c r="D126" s="91">
        <v>232099500</v>
      </c>
      <c r="E126" s="76">
        <v>9101722.5</v>
      </c>
      <c r="F126" s="77" t="s">
        <v>5504</v>
      </c>
      <c r="G126" s="22"/>
      <c r="H126" s="22"/>
    </row>
    <row r="127" spans="1:8" ht="13.35" customHeight="1">
      <c r="A127" s="82">
        <v>1</v>
      </c>
      <c r="B127" s="67" t="s">
        <v>6040</v>
      </c>
      <c r="C127" s="67" t="s">
        <v>6041</v>
      </c>
      <c r="D127" s="91">
        <v>152065200</v>
      </c>
      <c r="E127" s="76">
        <v>5963197.5</v>
      </c>
      <c r="F127" s="77" t="s">
        <v>5504</v>
      </c>
      <c r="G127" s="22"/>
      <c r="H127" s="22"/>
    </row>
    <row r="128" spans="1:8" ht="13.35" customHeight="1">
      <c r="A128" s="82">
        <v>1</v>
      </c>
      <c r="B128" s="67" t="s">
        <v>6703</v>
      </c>
      <c r="C128" s="67" t="s">
        <v>7216</v>
      </c>
      <c r="D128" s="91">
        <v>600257400</v>
      </c>
      <c r="E128" s="76">
        <v>23538937.5</v>
      </c>
      <c r="F128" s="77" t="s">
        <v>5504</v>
      </c>
      <c r="G128" s="22"/>
      <c r="H128" s="22"/>
    </row>
    <row r="129" spans="1:8" ht="13.35" customHeight="1">
      <c r="A129" s="82">
        <v>1</v>
      </c>
      <c r="B129" s="67" t="s">
        <v>5624</v>
      </c>
      <c r="C129" s="67" t="s">
        <v>7217</v>
      </c>
      <c r="D129" s="91">
        <v>456195600</v>
      </c>
      <c r="E129" s="76">
        <v>17889592.5</v>
      </c>
      <c r="F129" s="77" t="s">
        <v>5504</v>
      </c>
      <c r="G129" s="22"/>
      <c r="H129" s="22"/>
    </row>
    <row r="130" spans="1:8" ht="13.35" customHeight="1">
      <c r="A130" s="82">
        <v>1</v>
      </c>
      <c r="B130" s="67" t="s">
        <v>5619</v>
      </c>
      <c r="C130" s="67" t="s">
        <v>7218</v>
      </c>
      <c r="D130" s="91">
        <v>456195600</v>
      </c>
      <c r="E130" s="76">
        <v>17889592.5</v>
      </c>
      <c r="F130" s="77" t="s">
        <v>5504</v>
      </c>
      <c r="G130" s="22"/>
      <c r="H130" s="22"/>
    </row>
    <row r="131" spans="1:8" ht="13.35" customHeight="1">
      <c r="A131" s="82">
        <v>1</v>
      </c>
      <c r="B131" s="83" t="s">
        <v>571</v>
      </c>
      <c r="C131" s="67" t="s">
        <v>1781</v>
      </c>
      <c r="D131" s="91">
        <v>802121700</v>
      </c>
      <c r="E131" s="76">
        <v>31454994.999999996</v>
      </c>
      <c r="F131" s="77" t="s">
        <v>5504</v>
      </c>
      <c r="G131" s="22"/>
      <c r="H131" s="22"/>
    </row>
    <row r="132" spans="1:8" ht="13.35" customHeight="1">
      <c r="A132" s="82">
        <v>1</v>
      </c>
      <c r="B132" s="83" t="s">
        <v>569</v>
      </c>
      <c r="C132" s="67" t="s">
        <v>1012</v>
      </c>
      <c r="D132" s="91">
        <v>607918800</v>
      </c>
      <c r="E132" s="76">
        <v>23839377.5</v>
      </c>
      <c r="F132" s="77" t="s">
        <v>5504</v>
      </c>
      <c r="G132" s="22"/>
      <c r="H132" s="22"/>
    </row>
    <row r="133" spans="1:8" ht="13.35" customHeight="1">
      <c r="A133" s="82">
        <v>1</v>
      </c>
      <c r="B133" s="83" t="s">
        <v>570</v>
      </c>
      <c r="C133" s="67" t="s">
        <v>1013</v>
      </c>
      <c r="D133" s="91">
        <v>607918800</v>
      </c>
      <c r="E133" s="76">
        <v>23839377.5</v>
      </c>
      <c r="F133" s="77" t="s">
        <v>5504</v>
      </c>
      <c r="G133" s="22"/>
      <c r="H133" s="22"/>
    </row>
    <row r="134" spans="1:8" ht="13.35" customHeight="1">
      <c r="A134" s="82">
        <v>1</v>
      </c>
      <c r="B134" s="83" t="s">
        <v>568</v>
      </c>
      <c r="C134" s="67" t="s">
        <v>1011</v>
      </c>
      <c r="D134" s="91">
        <v>379923600</v>
      </c>
      <c r="E134" s="76">
        <v>14898605</v>
      </c>
      <c r="F134" s="77" t="s">
        <v>5504</v>
      </c>
      <c r="G134" s="22"/>
      <c r="H134" s="22"/>
    </row>
    <row r="135" spans="1:8" ht="13.35" customHeight="1">
      <c r="A135" s="82">
        <v>1</v>
      </c>
      <c r="B135" s="83" t="s">
        <v>580</v>
      </c>
      <c r="C135" s="67" t="s">
        <v>4369</v>
      </c>
      <c r="D135" s="91">
        <v>2786357200</v>
      </c>
      <c r="E135" s="76">
        <v>109266272.5</v>
      </c>
      <c r="F135" s="77" t="s">
        <v>5504</v>
      </c>
      <c r="G135" s="22"/>
      <c r="H135" s="22"/>
    </row>
    <row r="136" spans="1:8" ht="13.35" customHeight="1">
      <c r="A136" s="82">
        <v>1</v>
      </c>
      <c r="B136" s="83" t="s">
        <v>452</v>
      </c>
      <c r="C136" s="67" t="s">
        <v>4368</v>
      </c>
      <c r="D136" s="91">
        <v>2414847400</v>
      </c>
      <c r="E136" s="76">
        <v>94697615</v>
      </c>
      <c r="F136" s="77" t="s">
        <v>5504</v>
      </c>
      <c r="G136" s="22"/>
      <c r="H136" s="22"/>
    </row>
    <row r="137" spans="1:8" ht="13.35" customHeight="1">
      <c r="A137" s="82">
        <v>1</v>
      </c>
      <c r="B137" s="83" t="s">
        <v>377</v>
      </c>
      <c r="C137" s="67" t="s">
        <v>4367</v>
      </c>
      <c r="D137" s="91">
        <v>1857548600</v>
      </c>
      <c r="E137" s="76">
        <v>72843287.5</v>
      </c>
      <c r="F137" s="77" t="s">
        <v>5504</v>
      </c>
      <c r="G137" s="22"/>
      <c r="H137" s="22"/>
    </row>
    <row r="138" spans="1:8" ht="13.35" customHeight="1">
      <c r="A138" s="82">
        <v>1</v>
      </c>
      <c r="B138" s="83" t="s">
        <v>376</v>
      </c>
      <c r="C138" s="67" t="s">
        <v>4366</v>
      </c>
      <c r="D138" s="91">
        <v>1207423700</v>
      </c>
      <c r="E138" s="76">
        <v>47348807.5</v>
      </c>
      <c r="F138" s="77" t="s">
        <v>5504</v>
      </c>
      <c r="G138" s="22"/>
      <c r="H138" s="22"/>
    </row>
    <row r="139" spans="1:8" ht="13.35" customHeight="1">
      <c r="A139" s="82">
        <v>1</v>
      </c>
      <c r="B139" s="83" t="s">
        <v>579</v>
      </c>
      <c r="C139" s="67" t="s">
        <v>5412</v>
      </c>
      <c r="D139" s="91">
        <v>187567600</v>
      </c>
      <c r="E139" s="76">
        <v>7355415</v>
      </c>
      <c r="F139" s="77" t="s">
        <v>5504</v>
      </c>
      <c r="G139" s="22"/>
      <c r="H139" s="22"/>
    </row>
    <row r="140" spans="1:8" ht="13.35" customHeight="1">
      <c r="A140" s="82">
        <v>1</v>
      </c>
      <c r="B140" s="83" t="s">
        <v>91</v>
      </c>
      <c r="C140" s="67" t="s">
        <v>616</v>
      </c>
      <c r="D140" s="91">
        <v>144267000</v>
      </c>
      <c r="E140" s="76">
        <v>5657392.5</v>
      </c>
      <c r="F140" s="77" t="s">
        <v>5504</v>
      </c>
      <c r="G140" s="22"/>
      <c r="H140" s="22"/>
    </row>
    <row r="141" spans="1:8" ht="13.35" customHeight="1">
      <c r="A141" s="82">
        <v>1</v>
      </c>
      <c r="B141" s="83" t="s">
        <v>577</v>
      </c>
      <c r="C141" s="67" t="s">
        <v>578</v>
      </c>
      <c r="D141" s="91">
        <v>144267000</v>
      </c>
      <c r="E141" s="76">
        <v>5657392.5</v>
      </c>
      <c r="F141" s="77" t="s">
        <v>5504</v>
      </c>
      <c r="G141" s="22"/>
      <c r="H141" s="22"/>
    </row>
    <row r="142" spans="1:8" ht="13.35" customHeight="1">
      <c r="A142" s="82">
        <v>1</v>
      </c>
      <c r="B142" s="83" t="s">
        <v>90</v>
      </c>
      <c r="C142" s="67" t="s">
        <v>56</v>
      </c>
      <c r="D142" s="91">
        <v>95220300</v>
      </c>
      <c r="E142" s="76">
        <v>3734039.9999999995</v>
      </c>
      <c r="F142" s="77" t="s">
        <v>5504</v>
      </c>
      <c r="G142" s="22"/>
      <c r="H142" s="22"/>
    </row>
    <row r="143" spans="1:8" ht="13.35" customHeight="1">
      <c r="A143" s="82">
        <v>1</v>
      </c>
      <c r="B143" s="83" t="s">
        <v>1137</v>
      </c>
      <c r="C143" s="67" t="s">
        <v>5233</v>
      </c>
      <c r="D143" s="91">
        <v>219512900</v>
      </c>
      <c r="E143" s="76">
        <v>8608142.5</v>
      </c>
      <c r="F143" s="77" t="s">
        <v>5504</v>
      </c>
      <c r="G143" s="22"/>
      <c r="H143" s="22"/>
    </row>
    <row r="144" spans="1:8" ht="13.35" customHeight="1">
      <c r="A144" s="82">
        <v>1</v>
      </c>
      <c r="B144" s="83" t="s">
        <v>1136</v>
      </c>
      <c r="C144" s="67" t="s">
        <v>5232</v>
      </c>
      <c r="D144" s="91">
        <v>168824500</v>
      </c>
      <c r="E144" s="76">
        <v>6620410</v>
      </c>
      <c r="F144" s="77" t="s">
        <v>5504</v>
      </c>
      <c r="G144" s="22"/>
      <c r="H144" s="22"/>
    </row>
    <row r="145" spans="1:8" ht="13.35" customHeight="1">
      <c r="A145" s="82">
        <v>1</v>
      </c>
      <c r="B145" s="83" t="s">
        <v>1135</v>
      </c>
      <c r="C145" s="67" t="s">
        <v>5231</v>
      </c>
      <c r="D145" s="91">
        <v>168824500</v>
      </c>
      <c r="E145" s="76">
        <v>6620410</v>
      </c>
      <c r="F145" s="77" t="s">
        <v>5504</v>
      </c>
      <c r="G145" s="22"/>
      <c r="H145" s="22"/>
    </row>
    <row r="146" spans="1:8" ht="13.35" customHeight="1">
      <c r="A146" s="82">
        <v>1</v>
      </c>
      <c r="B146" s="83" t="s">
        <v>1134</v>
      </c>
      <c r="C146" s="67" t="s">
        <v>5230</v>
      </c>
      <c r="D146" s="91">
        <v>111432400</v>
      </c>
      <c r="E146" s="76">
        <v>4369792.5</v>
      </c>
      <c r="F146" s="77" t="s">
        <v>5504</v>
      </c>
      <c r="G146" s="22"/>
      <c r="H146" s="22"/>
    </row>
    <row r="147" spans="1:8" ht="13.35" customHeight="1">
      <c r="A147" s="82">
        <v>1</v>
      </c>
      <c r="B147" s="83" t="s">
        <v>576</v>
      </c>
      <c r="C147" s="67" t="s">
        <v>4373</v>
      </c>
      <c r="D147" s="91">
        <v>439025900</v>
      </c>
      <c r="E147" s="76">
        <v>17216285</v>
      </c>
      <c r="F147" s="77" t="s">
        <v>5504</v>
      </c>
      <c r="G147" s="22"/>
      <c r="H147" s="22"/>
    </row>
    <row r="148" spans="1:8" ht="13.35" customHeight="1">
      <c r="A148" s="82">
        <v>1</v>
      </c>
      <c r="B148" s="83" t="s">
        <v>89</v>
      </c>
      <c r="C148" s="67" t="s">
        <v>4371</v>
      </c>
      <c r="D148" s="91">
        <v>337717500</v>
      </c>
      <c r="E148" s="76">
        <v>13243502.500000002</v>
      </c>
      <c r="F148" s="77" t="s">
        <v>5504</v>
      </c>
      <c r="G148" s="22"/>
      <c r="H148" s="22"/>
    </row>
    <row r="149" spans="1:8" ht="13.35" customHeight="1">
      <c r="A149" s="82">
        <v>1</v>
      </c>
      <c r="B149" s="83" t="s">
        <v>575</v>
      </c>
      <c r="C149" s="67" t="s">
        <v>4372</v>
      </c>
      <c r="D149" s="91">
        <v>337717500</v>
      </c>
      <c r="E149" s="76">
        <v>13243502.500000002</v>
      </c>
      <c r="F149" s="77" t="s">
        <v>5504</v>
      </c>
      <c r="G149" s="22"/>
      <c r="H149" s="22"/>
    </row>
    <row r="150" spans="1:8" ht="13.35" customHeight="1">
      <c r="A150" s="82">
        <v>1</v>
      </c>
      <c r="B150" s="83" t="s">
        <v>88</v>
      </c>
      <c r="C150" s="67" t="s">
        <v>4370</v>
      </c>
      <c r="D150" s="91">
        <v>168824500</v>
      </c>
      <c r="E150" s="76">
        <v>6620410</v>
      </c>
      <c r="F150" s="77" t="s">
        <v>5504</v>
      </c>
      <c r="G150" s="22"/>
      <c r="H150" s="22"/>
    </row>
    <row r="151" spans="1:8" ht="13.35" customHeight="1">
      <c r="A151" s="82">
        <v>1</v>
      </c>
      <c r="B151" s="83" t="s">
        <v>574</v>
      </c>
      <c r="C151" s="67" t="s">
        <v>5413</v>
      </c>
      <c r="D151" s="91">
        <v>675434900</v>
      </c>
      <c r="E151" s="76">
        <v>26487005.000000004</v>
      </c>
      <c r="F151" s="77" t="s">
        <v>5504</v>
      </c>
      <c r="G151" s="22"/>
      <c r="H151" s="22"/>
    </row>
    <row r="152" spans="1:8" ht="13.35" customHeight="1">
      <c r="A152" s="82">
        <v>1</v>
      </c>
      <c r="B152" s="83" t="s">
        <v>87</v>
      </c>
      <c r="C152" s="67" t="s">
        <v>615</v>
      </c>
      <c r="D152" s="91">
        <v>506542000</v>
      </c>
      <c r="E152" s="76">
        <v>19863912.5</v>
      </c>
      <c r="F152" s="77" t="s">
        <v>5504</v>
      </c>
      <c r="G152" s="22"/>
      <c r="H152" s="22"/>
    </row>
    <row r="153" spans="1:8" ht="13.35" customHeight="1">
      <c r="A153" s="82">
        <v>1</v>
      </c>
      <c r="B153" s="83" t="s">
        <v>572</v>
      </c>
      <c r="C153" s="67" t="s">
        <v>573</v>
      </c>
      <c r="D153" s="91">
        <v>506542000</v>
      </c>
      <c r="E153" s="76">
        <v>19863912.5</v>
      </c>
      <c r="F153" s="77" t="s">
        <v>5504</v>
      </c>
      <c r="G153" s="22"/>
      <c r="H153" s="22"/>
    </row>
    <row r="154" spans="1:8" ht="13.35" customHeight="1">
      <c r="A154" s="82">
        <v>1</v>
      </c>
      <c r="B154" s="83" t="s">
        <v>85</v>
      </c>
      <c r="C154" s="67" t="s">
        <v>86</v>
      </c>
      <c r="D154" s="91">
        <v>270132900</v>
      </c>
      <c r="E154" s="76">
        <v>10593192.5</v>
      </c>
      <c r="F154" s="77" t="s">
        <v>5504</v>
      </c>
      <c r="G154" s="22"/>
      <c r="H154" s="22"/>
    </row>
    <row r="155" spans="1:8" ht="13.35" customHeight="1">
      <c r="A155" s="82">
        <v>1</v>
      </c>
      <c r="B155" s="83" t="s">
        <v>4655</v>
      </c>
      <c r="C155" s="67" t="s">
        <v>4656</v>
      </c>
      <c r="D155" s="91">
        <v>1266526000</v>
      </c>
      <c r="E155" s="76">
        <v>49666487.5</v>
      </c>
      <c r="F155" s="77" t="s">
        <v>5504</v>
      </c>
      <c r="G155" s="22"/>
      <c r="H155" s="22"/>
    </row>
    <row r="156" spans="1:8" ht="13.35" customHeight="1">
      <c r="A156" s="82">
        <v>1</v>
      </c>
      <c r="B156" s="83" t="s">
        <v>4651</v>
      </c>
      <c r="C156" s="67" t="s">
        <v>4652</v>
      </c>
      <c r="D156" s="91">
        <v>928740100</v>
      </c>
      <c r="E156" s="76">
        <v>36420302.5</v>
      </c>
      <c r="F156" s="77" t="s">
        <v>5504</v>
      </c>
      <c r="G156" s="22"/>
      <c r="H156" s="22"/>
    </row>
    <row r="157" spans="1:8" ht="13.35" customHeight="1">
      <c r="A157" s="82">
        <v>1</v>
      </c>
      <c r="B157" s="83" t="s">
        <v>4647</v>
      </c>
      <c r="C157" s="67" t="s">
        <v>4648</v>
      </c>
      <c r="D157" s="91">
        <v>675434900</v>
      </c>
      <c r="E157" s="76">
        <v>26487005.000000004</v>
      </c>
      <c r="F157" s="77" t="s">
        <v>5504</v>
      </c>
      <c r="G157" s="22"/>
      <c r="H157" s="22"/>
    </row>
    <row r="158" spans="1:8" ht="13.35" customHeight="1">
      <c r="A158" s="82">
        <v>1</v>
      </c>
      <c r="B158" s="83" t="s">
        <v>243</v>
      </c>
      <c r="C158" s="67" t="s">
        <v>4659</v>
      </c>
      <c r="D158" s="91">
        <v>506542000</v>
      </c>
      <c r="E158" s="76">
        <v>19863912.5</v>
      </c>
      <c r="F158" s="77" t="s">
        <v>5504</v>
      </c>
      <c r="G158" s="22"/>
      <c r="H158" s="22"/>
    </row>
    <row r="159" spans="1:8" ht="13.35" customHeight="1">
      <c r="A159" s="82">
        <v>1</v>
      </c>
      <c r="B159" s="83" t="s">
        <v>4159</v>
      </c>
      <c r="C159" s="67" t="s">
        <v>4160</v>
      </c>
      <c r="D159" s="91">
        <v>216434700</v>
      </c>
      <c r="E159" s="76">
        <v>8487430</v>
      </c>
      <c r="F159" s="77" t="s">
        <v>5504</v>
      </c>
      <c r="G159" s="22"/>
      <c r="H159" s="22"/>
    </row>
    <row r="160" spans="1:8" ht="13.35" customHeight="1">
      <c r="A160" s="82">
        <v>1</v>
      </c>
      <c r="B160" s="83" t="s">
        <v>2423</v>
      </c>
      <c r="C160" s="67" t="s">
        <v>2424</v>
      </c>
      <c r="D160" s="91">
        <v>129833400</v>
      </c>
      <c r="E160" s="76">
        <v>5091385</v>
      </c>
      <c r="F160" s="77" t="s">
        <v>5504</v>
      </c>
      <c r="G160" s="22"/>
      <c r="H160" s="22"/>
    </row>
    <row r="161" spans="1:8" ht="13.35" customHeight="1">
      <c r="A161" s="82">
        <v>1</v>
      </c>
      <c r="B161" s="83" t="s">
        <v>2425</v>
      </c>
      <c r="C161" s="67" t="s">
        <v>2426</v>
      </c>
      <c r="D161" s="91">
        <v>86532800</v>
      </c>
      <c r="E161" s="76">
        <v>3393362.5</v>
      </c>
      <c r="F161" s="77" t="s">
        <v>5504</v>
      </c>
      <c r="G161" s="22"/>
      <c r="H161" s="22"/>
    </row>
    <row r="162" spans="1:8" ht="13.35" customHeight="1">
      <c r="A162" s="82">
        <v>1</v>
      </c>
      <c r="B162" s="83" t="s">
        <v>3270</v>
      </c>
      <c r="C162" s="67" t="s">
        <v>5240</v>
      </c>
      <c r="D162" s="91">
        <v>57665800</v>
      </c>
      <c r="E162" s="76">
        <v>2261347.5</v>
      </c>
      <c r="F162" s="77" t="s">
        <v>5504</v>
      </c>
      <c r="G162" s="22"/>
      <c r="H162" s="22"/>
    </row>
    <row r="163" spans="1:8" ht="13.35" customHeight="1">
      <c r="A163" s="82">
        <v>1</v>
      </c>
      <c r="B163" s="83" t="s">
        <v>3160</v>
      </c>
      <c r="C163" s="67" t="s">
        <v>3161</v>
      </c>
      <c r="D163" s="91">
        <v>259735300</v>
      </c>
      <c r="E163" s="76">
        <v>10185452.5</v>
      </c>
      <c r="F163" s="77" t="s">
        <v>5504</v>
      </c>
      <c r="G163" s="22"/>
      <c r="H163" s="22"/>
    </row>
    <row r="164" spans="1:8" ht="13.35" customHeight="1">
      <c r="A164" s="82">
        <v>1</v>
      </c>
      <c r="B164" s="83" t="s">
        <v>3158</v>
      </c>
      <c r="C164" s="67" t="s">
        <v>3159</v>
      </c>
      <c r="D164" s="91">
        <v>115399900</v>
      </c>
      <c r="E164" s="76">
        <v>4525377.5</v>
      </c>
      <c r="F164" s="77" t="s">
        <v>5504</v>
      </c>
      <c r="G164" s="22"/>
      <c r="H164" s="22"/>
    </row>
    <row r="165" spans="1:8" ht="13.35" customHeight="1">
      <c r="A165" s="82">
        <v>1</v>
      </c>
      <c r="B165" s="83" t="s">
        <v>4653</v>
      </c>
      <c r="C165" s="67" t="s">
        <v>4654</v>
      </c>
      <c r="D165" s="91">
        <v>1857548600</v>
      </c>
      <c r="E165" s="76">
        <v>72843287.5</v>
      </c>
      <c r="F165" s="77" t="s">
        <v>5504</v>
      </c>
      <c r="G165" s="22"/>
      <c r="H165" s="22"/>
    </row>
    <row r="166" spans="1:8" ht="13.35" customHeight="1">
      <c r="A166" s="82">
        <v>1</v>
      </c>
      <c r="B166" s="83" t="s">
        <v>4649</v>
      </c>
      <c r="C166" s="67" t="s">
        <v>4650</v>
      </c>
      <c r="D166" s="91">
        <v>1350938200</v>
      </c>
      <c r="E166" s="76">
        <v>52976692.5</v>
      </c>
      <c r="F166" s="77" t="s">
        <v>5504</v>
      </c>
      <c r="G166" s="22"/>
      <c r="H166" s="22"/>
    </row>
    <row r="167" spans="1:8" ht="13.35" customHeight="1">
      <c r="A167" s="82">
        <v>1</v>
      </c>
      <c r="B167" s="83" t="s">
        <v>4645</v>
      </c>
      <c r="C167" s="67" t="s">
        <v>4646</v>
      </c>
      <c r="D167" s="91">
        <v>1013220800</v>
      </c>
      <c r="E167" s="76">
        <v>39733190</v>
      </c>
      <c r="F167" s="77" t="s">
        <v>5504</v>
      </c>
      <c r="G167" s="22"/>
      <c r="H167" s="22"/>
    </row>
    <row r="168" spans="1:8" ht="13.35" customHeight="1">
      <c r="A168" s="82">
        <v>1</v>
      </c>
      <c r="B168" s="83" t="s">
        <v>4643</v>
      </c>
      <c r="C168" s="67" t="s">
        <v>4644</v>
      </c>
      <c r="D168" s="91">
        <v>759847200</v>
      </c>
      <c r="E168" s="76">
        <v>29797210</v>
      </c>
      <c r="F168" s="77" t="s">
        <v>5504</v>
      </c>
      <c r="G168" s="22"/>
      <c r="H168" s="22"/>
    </row>
    <row r="169" spans="1:8" ht="13.35" customHeight="1">
      <c r="A169" s="82">
        <v>1</v>
      </c>
      <c r="B169" s="83" t="s">
        <v>85</v>
      </c>
      <c r="C169" s="67" t="s">
        <v>86</v>
      </c>
      <c r="D169" s="91">
        <v>270132900</v>
      </c>
      <c r="E169" s="76">
        <v>10593192.5</v>
      </c>
      <c r="F169" s="77" t="s">
        <v>5504</v>
      </c>
      <c r="G169" s="22"/>
      <c r="H169" s="22"/>
    </row>
    <row r="170" spans="1:8" ht="13.35" customHeight="1">
      <c r="A170" s="82">
        <v>1</v>
      </c>
      <c r="B170" s="83" t="s">
        <v>87</v>
      </c>
      <c r="C170" s="67" t="s">
        <v>615</v>
      </c>
      <c r="D170" s="91">
        <v>506542000</v>
      </c>
      <c r="E170" s="76">
        <v>19863912.5</v>
      </c>
      <c r="F170" s="77" t="s">
        <v>5504</v>
      </c>
      <c r="G170" s="22"/>
      <c r="H170" s="22"/>
    </row>
    <row r="171" spans="1:8" ht="13.35" customHeight="1">
      <c r="A171" s="82">
        <v>1</v>
      </c>
      <c r="B171" s="83" t="s">
        <v>88</v>
      </c>
      <c r="C171" s="67" t="s">
        <v>4370</v>
      </c>
      <c r="D171" s="91">
        <v>168824500</v>
      </c>
      <c r="E171" s="76">
        <v>6620410</v>
      </c>
      <c r="F171" s="77" t="s">
        <v>5504</v>
      </c>
      <c r="G171" s="22"/>
      <c r="H171" s="22"/>
    </row>
    <row r="172" spans="1:8" ht="13.35" customHeight="1">
      <c r="A172" s="82">
        <v>1</v>
      </c>
      <c r="B172" s="83" t="s">
        <v>89</v>
      </c>
      <c r="C172" s="67" t="s">
        <v>4371</v>
      </c>
      <c r="D172" s="91">
        <v>337717500</v>
      </c>
      <c r="E172" s="76">
        <v>13243502.500000002</v>
      </c>
      <c r="F172" s="77" t="s">
        <v>5504</v>
      </c>
      <c r="G172" s="22"/>
      <c r="H172" s="22"/>
    </row>
    <row r="173" spans="1:8" ht="13.35" customHeight="1">
      <c r="A173" s="82">
        <v>1</v>
      </c>
      <c r="B173" s="83" t="s">
        <v>90</v>
      </c>
      <c r="C173" s="67" t="s">
        <v>56</v>
      </c>
      <c r="D173" s="91">
        <v>95220300</v>
      </c>
      <c r="E173" s="76">
        <v>3734039.9999999995</v>
      </c>
      <c r="F173" s="77" t="s">
        <v>5504</v>
      </c>
      <c r="G173" s="22"/>
      <c r="H173" s="22"/>
    </row>
    <row r="174" spans="1:8" ht="13.35" customHeight="1">
      <c r="A174" s="82">
        <v>1</v>
      </c>
      <c r="B174" s="83" t="s">
        <v>91</v>
      </c>
      <c r="C174" s="67" t="s">
        <v>616</v>
      </c>
      <c r="D174" s="91">
        <v>144267000</v>
      </c>
      <c r="E174" s="76">
        <v>5657392.5</v>
      </c>
      <c r="F174" s="77" t="s">
        <v>5504</v>
      </c>
      <c r="G174" s="22"/>
      <c r="H174" s="22"/>
    </row>
    <row r="175" spans="1:8" ht="13.35" customHeight="1">
      <c r="A175" s="82">
        <v>1</v>
      </c>
      <c r="B175" s="83" t="s">
        <v>1134</v>
      </c>
      <c r="C175" s="67" t="s">
        <v>5230</v>
      </c>
      <c r="D175" s="91">
        <v>111432400</v>
      </c>
      <c r="E175" s="76">
        <v>4369792.5</v>
      </c>
      <c r="F175" s="77" t="s">
        <v>5504</v>
      </c>
      <c r="G175" s="22"/>
      <c r="H175" s="22"/>
    </row>
    <row r="176" spans="1:8" ht="13.35" customHeight="1">
      <c r="A176" s="82">
        <v>1</v>
      </c>
      <c r="B176" s="83" t="s">
        <v>1135</v>
      </c>
      <c r="C176" s="67" t="s">
        <v>5231</v>
      </c>
      <c r="D176" s="91">
        <v>168824500</v>
      </c>
      <c r="E176" s="76">
        <v>6620410</v>
      </c>
      <c r="F176" s="77" t="s">
        <v>5504</v>
      </c>
      <c r="G176" s="22"/>
      <c r="H176" s="22"/>
    </row>
    <row r="177" spans="1:8" ht="13.35" customHeight="1">
      <c r="A177" s="82">
        <v>1</v>
      </c>
      <c r="B177" s="67" t="s">
        <v>6704</v>
      </c>
      <c r="C177" s="67" t="s">
        <v>7219</v>
      </c>
      <c r="D177" s="91">
        <v>320068900</v>
      </c>
      <c r="E177" s="76">
        <v>12551417.5</v>
      </c>
      <c r="F177" s="77" t="s">
        <v>5504</v>
      </c>
      <c r="G177" s="22"/>
      <c r="H177" s="22"/>
    </row>
    <row r="178" spans="1:8" ht="13.35" customHeight="1">
      <c r="A178" s="82">
        <v>1</v>
      </c>
      <c r="B178" s="67" t="s">
        <v>6705</v>
      </c>
      <c r="C178" s="67" t="s">
        <v>7220</v>
      </c>
      <c r="D178" s="91">
        <v>192014000</v>
      </c>
      <c r="E178" s="76">
        <v>7529777.5</v>
      </c>
      <c r="F178" s="77" t="s">
        <v>5504</v>
      </c>
      <c r="G178" s="22"/>
      <c r="H178" s="22"/>
    </row>
    <row r="179" spans="1:8" ht="13.35" customHeight="1">
      <c r="A179" s="82">
        <v>1</v>
      </c>
      <c r="B179" s="67" t="s">
        <v>6706</v>
      </c>
      <c r="C179" s="67" t="s">
        <v>7221</v>
      </c>
      <c r="D179" s="91">
        <v>176007100</v>
      </c>
      <c r="E179" s="76">
        <v>6902072.5</v>
      </c>
      <c r="F179" s="77" t="s">
        <v>5504</v>
      </c>
      <c r="G179" s="22"/>
      <c r="H179" s="22"/>
    </row>
    <row r="180" spans="1:8" ht="13.35" customHeight="1">
      <c r="A180" s="82">
        <v>1</v>
      </c>
      <c r="B180" s="67" t="s">
        <v>6211</v>
      </c>
      <c r="C180" s="67" t="s">
        <v>6212</v>
      </c>
      <c r="D180" s="91">
        <v>96041200</v>
      </c>
      <c r="E180" s="76">
        <v>3766230</v>
      </c>
      <c r="F180" s="77" t="s">
        <v>5504</v>
      </c>
      <c r="G180" s="22"/>
      <c r="H180" s="22"/>
    </row>
    <row r="181" spans="1:8" ht="13.35" customHeight="1">
      <c r="A181" s="82">
        <v>1</v>
      </c>
      <c r="B181" s="67" t="s">
        <v>6213</v>
      </c>
      <c r="C181" s="67" t="s">
        <v>6214</v>
      </c>
      <c r="D181" s="91">
        <v>74493500</v>
      </c>
      <c r="E181" s="76">
        <v>2921242.5</v>
      </c>
      <c r="F181" s="77" t="s">
        <v>5504</v>
      </c>
      <c r="G181" s="22"/>
      <c r="H181" s="22"/>
    </row>
    <row r="182" spans="1:8" ht="13.35" customHeight="1">
      <c r="A182" s="82">
        <v>1</v>
      </c>
      <c r="B182" s="67" t="s">
        <v>5625</v>
      </c>
      <c r="C182" s="67" t="s">
        <v>7222</v>
      </c>
      <c r="D182" s="91">
        <v>48020600</v>
      </c>
      <c r="E182" s="76">
        <v>1883115</v>
      </c>
      <c r="F182" s="77" t="s">
        <v>5504</v>
      </c>
      <c r="G182" s="22"/>
      <c r="H182" s="22"/>
    </row>
    <row r="183" spans="1:8" ht="13.35" customHeight="1">
      <c r="A183" s="82">
        <v>1</v>
      </c>
      <c r="B183" s="67" t="s">
        <v>6215</v>
      </c>
      <c r="C183" s="67" t="s">
        <v>6216</v>
      </c>
      <c r="D183" s="91">
        <v>26472900</v>
      </c>
      <c r="E183" s="76">
        <v>1038127.5000000001</v>
      </c>
      <c r="F183" s="77" t="s">
        <v>5504</v>
      </c>
      <c r="G183" s="22"/>
      <c r="H183" s="22"/>
    </row>
    <row r="184" spans="1:8" ht="13.35" customHeight="1">
      <c r="A184" s="82">
        <v>1</v>
      </c>
      <c r="B184" s="83" t="s">
        <v>1609</v>
      </c>
      <c r="C184" s="67" t="s">
        <v>5454</v>
      </c>
      <c r="D184" s="91">
        <v>177306800</v>
      </c>
      <c r="E184" s="76">
        <v>6953040</v>
      </c>
      <c r="F184" s="77" t="s">
        <v>5504</v>
      </c>
      <c r="G184" s="22"/>
      <c r="H184" s="22"/>
    </row>
    <row r="185" spans="1:8" ht="13.35" customHeight="1">
      <c r="A185" s="82">
        <v>1</v>
      </c>
      <c r="B185" s="83" t="s">
        <v>374</v>
      </c>
      <c r="C185" s="67" t="s">
        <v>4376</v>
      </c>
      <c r="D185" s="91">
        <v>336075700</v>
      </c>
      <c r="E185" s="76">
        <v>13179122.499999998</v>
      </c>
      <c r="F185" s="77" t="s">
        <v>5504</v>
      </c>
      <c r="G185" s="22"/>
      <c r="H185" s="22"/>
    </row>
    <row r="186" spans="1:8" ht="13.35" customHeight="1">
      <c r="A186" s="82">
        <v>1</v>
      </c>
      <c r="B186" s="83" t="s">
        <v>585</v>
      </c>
      <c r="C186" s="67" t="s">
        <v>4377</v>
      </c>
      <c r="D186" s="91">
        <v>443267000</v>
      </c>
      <c r="E186" s="76">
        <v>17382600</v>
      </c>
      <c r="F186" s="77" t="s">
        <v>5504</v>
      </c>
      <c r="G186" s="22"/>
      <c r="H186" s="22"/>
    </row>
    <row r="187" spans="1:8" ht="13.35" customHeight="1">
      <c r="A187" s="82">
        <v>1</v>
      </c>
      <c r="B187" s="83" t="s">
        <v>375</v>
      </c>
      <c r="C187" s="67" t="s">
        <v>4378</v>
      </c>
      <c r="D187" s="91">
        <v>886602400</v>
      </c>
      <c r="E187" s="76">
        <v>34767882.5</v>
      </c>
      <c r="F187" s="77" t="s">
        <v>5504</v>
      </c>
      <c r="G187" s="22"/>
      <c r="H187" s="22"/>
    </row>
    <row r="188" spans="1:8" ht="13.35" customHeight="1">
      <c r="A188" s="82">
        <v>1</v>
      </c>
      <c r="B188" s="83" t="s">
        <v>3639</v>
      </c>
      <c r="C188" s="67" t="s">
        <v>4374</v>
      </c>
      <c r="D188" s="91">
        <v>1329869400</v>
      </c>
      <c r="E188" s="76">
        <v>52150482.5</v>
      </c>
      <c r="F188" s="77" t="s">
        <v>5504</v>
      </c>
      <c r="G188" s="22"/>
      <c r="H188" s="22"/>
    </row>
    <row r="189" spans="1:8" ht="13.35" customHeight="1">
      <c r="A189" s="82">
        <v>1</v>
      </c>
      <c r="B189" s="83" t="s">
        <v>581</v>
      </c>
      <c r="C189" s="67" t="s">
        <v>1611</v>
      </c>
      <c r="D189" s="91">
        <v>84412300</v>
      </c>
      <c r="E189" s="76">
        <v>3310205</v>
      </c>
      <c r="F189" s="77" t="s">
        <v>5504</v>
      </c>
      <c r="G189" s="22"/>
      <c r="H189" s="22"/>
    </row>
    <row r="190" spans="1:8" ht="13.35" customHeight="1">
      <c r="A190" s="82">
        <v>1</v>
      </c>
      <c r="B190" s="83" t="s">
        <v>582</v>
      </c>
      <c r="C190" s="67" t="s">
        <v>1612</v>
      </c>
      <c r="D190" s="91">
        <v>177306800</v>
      </c>
      <c r="E190" s="76">
        <v>6953040</v>
      </c>
      <c r="F190" s="77" t="s">
        <v>5504</v>
      </c>
      <c r="G190" s="22"/>
      <c r="H190" s="22"/>
    </row>
    <row r="191" spans="1:8" ht="13.35" customHeight="1">
      <c r="A191" s="82">
        <v>1</v>
      </c>
      <c r="B191" s="83" t="s">
        <v>583</v>
      </c>
      <c r="C191" s="67" t="s">
        <v>1613</v>
      </c>
      <c r="D191" s="91">
        <v>261719100</v>
      </c>
      <c r="E191" s="76">
        <v>10263245</v>
      </c>
      <c r="F191" s="77" t="s">
        <v>5504</v>
      </c>
      <c r="G191" s="22"/>
      <c r="H191" s="22"/>
    </row>
    <row r="192" spans="1:8" ht="13.35" customHeight="1">
      <c r="A192" s="82">
        <v>1</v>
      </c>
      <c r="B192" s="83" t="s">
        <v>584</v>
      </c>
      <c r="C192" s="67" t="s">
        <v>1614</v>
      </c>
      <c r="D192" s="91">
        <v>320821300</v>
      </c>
      <c r="E192" s="76">
        <v>12580925</v>
      </c>
      <c r="F192" s="77" t="s">
        <v>5504</v>
      </c>
      <c r="G192" s="22"/>
      <c r="H192" s="22"/>
    </row>
    <row r="193" spans="1:8" ht="13.35" customHeight="1">
      <c r="A193" s="82">
        <v>1</v>
      </c>
      <c r="B193" s="83" t="s">
        <v>3640</v>
      </c>
      <c r="C193" s="67" t="s">
        <v>5455</v>
      </c>
      <c r="D193" s="91">
        <v>506542000</v>
      </c>
      <c r="E193" s="76">
        <v>19863912.5</v>
      </c>
      <c r="F193" s="77" t="s">
        <v>5504</v>
      </c>
      <c r="G193" s="22"/>
      <c r="H193" s="22"/>
    </row>
    <row r="194" spans="1:8" ht="13.35" customHeight="1">
      <c r="A194" s="82">
        <v>1</v>
      </c>
      <c r="B194" s="83" t="s">
        <v>50</v>
      </c>
      <c r="C194" s="67" t="s">
        <v>1138</v>
      </c>
      <c r="D194" s="91">
        <v>66832100</v>
      </c>
      <c r="E194" s="76">
        <v>2620802.5</v>
      </c>
      <c r="F194" s="77" t="s">
        <v>5504</v>
      </c>
      <c r="G194" s="22"/>
      <c r="H194" s="22"/>
    </row>
    <row r="195" spans="1:8" ht="13.35" customHeight="1">
      <c r="A195" s="82">
        <v>1</v>
      </c>
      <c r="B195" s="83" t="s">
        <v>51</v>
      </c>
      <c r="C195" s="67" t="s">
        <v>1665</v>
      </c>
      <c r="D195" s="91">
        <v>133664200</v>
      </c>
      <c r="E195" s="76">
        <v>5241605</v>
      </c>
      <c r="F195" s="77" t="s">
        <v>5504</v>
      </c>
      <c r="G195" s="22"/>
      <c r="H195" s="22"/>
    </row>
    <row r="196" spans="1:8" ht="13.35" customHeight="1">
      <c r="A196" s="82">
        <v>1</v>
      </c>
      <c r="B196" s="83" t="s">
        <v>82</v>
      </c>
      <c r="C196" s="67" t="s">
        <v>1666</v>
      </c>
      <c r="D196" s="91">
        <v>202616800</v>
      </c>
      <c r="E196" s="76">
        <v>7945565</v>
      </c>
      <c r="F196" s="77" t="s">
        <v>5504</v>
      </c>
      <c r="G196" s="22"/>
      <c r="H196" s="22"/>
    </row>
    <row r="197" spans="1:8" ht="13.35" customHeight="1">
      <c r="A197" s="82">
        <v>1</v>
      </c>
      <c r="B197" s="83" t="s">
        <v>279</v>
      </c>
      <c r="C197" s="67" t="s">
        <v>1667</v>
      </c>
      <c r="D197" s="91">
        <v>253236800</v>
      </c>
      <c r="E197" s="76">
        <v>9930615</v>
      </c>
      <c r="F197" s="77" t="s">
        <v>5504</v>
      </c>
      <c r="G197" s="22"/>
      <c r="H197" s="22"/>
    </row>
    <row r="198" spans="1:8" ht="13.35" customHeight="1">
      <c r="A198" s="82">
        <v>1</v>
      </c>
      <c r="B198" s="83" t="s">
        <v>3641</v>
      </c>
      <c r="C198" s="67" t="s">
        <v>3642</v>
      </c>
      <c r="D198" s="91">
        <v>379923600</v>
      </c>
      <c r="E198" s="76">
        <v>14898605</v>
      </c>
      <c r="F198" s="77" t="s">
        <v>5504</v>
      </c>
      <c r="G198" s="22"/>
      <c r="H198" s="22"/>
    </row>
    <row r="199" spans="1:8" ht="13.35" customHeight="1">
      <c r="A199" s="82">
        <v>1</v>
      </c>
      <c r="B199" s="83" t="s">
        <v>52</v>
      </c>
      <c r="C199" s="67" t="s">
        <v>4379</v>
      </c>
      <c r="D199" s="91">
        <v>30303600</v>
      </c>
      <c r="E199" s="76">
        <v>1188347.5</v>
      </c>
      <c r="F199" s="77" t="s">
        <v>5504</v>
      </c>
      <c r="G199" s="22"/>
      <c r="H199" s="22"/>
    </row>
    <row r="200" spans="1:8" ht="13.35" customHeight="1">
      <c r="A200" s="82">
        <v>1</v>
      </c>
      <c r="B200" s="83" t="s">
        <v>53</v>
      </c>
      <c r="C200" s="67" t="s">
        <v>4380</v>
      </c>
      <c r="D200" s="91">
        <v>60812400</v>
      </c>
      <c r="E200" s="76">
        <v>2384742.5</v>
      </c>
      <c r="F200" s="77" t="s">
        <v>5504</v>
      </c>
      <c r="G200" s="22"/>
      <c r="H200" s="22"/>
    </row>
    <row r="201" spans="1:8" ht="13.35" customHeight="1">
      <c r="A201" s="82">
        <v>1</v>
      </c>
      <c r="B201" s="83" t="s">
        <v>83</v>
      </c>
      <c r="C201" s="67" t="s">
        <v>4381</v>
      </c>
      <c r="D201" s="91">
        <v>81060400</v>
      </c>
      <c r="E201" s="76">
        <v>3178762.5</v>
      </c>
      <c r="F201" s="77" t="s">
        <v>5504</v>
      </c>
      <c r="G201" s="22"/>
      <c r="H201" s="22"/>
    </row>
    <row r="202" spans="1:8" ht="13.35" customHeight="1">
      <c r="A202" s="82">
        <v>1</v>
      </c>
      <c r="B202" s="83" t="s">
        <v>281</v>
      </c>
      <c r="C202" s="67" t="s">
        <v>4382</v>
      </c>
      <c r="D202" s="91">
        <v>135032300</v>
      </c>
      <c r="E202" s="76">
        <v>5295255</v>
      </c>
      <c r="F202" s="77" t="s">
        <v>5504</v>
      </c>
      <c r="G202" s="22"/>
      <c r="H202" s="22"/>
    </row>
    <row r="203" spans="1:8" ht="13.35" customHeight="1">
      <c r="A203" s="82">
        <v>1</v>
      </c>
      <c r="B203" s="83" t="s">
        <v>3643</v>
      </c>
      <c r="C203" s="67" t="s">
        <v>4375</v>
      </c>
      <c r="D203" s="91">
        <v>219512900</v>
      </c>
      <c r="E203" s="76">
        <v>8608142.5</v>
      </c>
      <c r="F203" s="77" t="s">
        <v>5504</v>
      </c>
      <c r="G203" s="22"/>
      <c r="H203" s="22"/>
    </row>
    <row r="204" spans="1:8" ht="13.35" customHeight="1">
      <c r="A204" s="82">
        <v>1</v>
      </c>
      <c r="B204" s="83" t="s">
        <v>54</v>
      </c>
      <c r="C204" s="67" t="s">
        <v>1668</v>
      </c>
      <c r="D204" s="91">
        <v>25980400</v>
      </c>
      <c r="E204" s="76">
        <v>1018813.5</v>
      </c>
      <c r="F204" s="77" t="s">
        <v>5504</v>
      </c>
      <c r="G204" s="22"/>
      <c r="H204" s="22"/>
    </row>
    <row r="205" spans="1:8" ht="13.35" customHeight="1">
      <c r="A205" s="82">
        <v>1</v>
      </c>
      <c r="B205" s="83" t="s">
        <v>55</v>
      </c>
      <c r="C205" s="67" t="s">
        <v>1669</v>
      </c>
      <c r="D205" s="91">
        <v>51988100</v>
      </c>
      <c r="E205" s="76">
        <v>2038700</v>
      </c>
      <c r="F205" s="77" t="s">
        <v>5504</v>
      </c>
      <c r="G205" s="22"/>
      <c r="H205" s="22"/>
    </row>
    <row r="206" spans="1:8" ht="13.35" customHeight="1">
      <c r="A206" s="82">
        <v>1</v>
      </c>
      <c r="B206" s="83" t="s">
        <v>84</v>
      </c>
      <c r="C206" s="67" t="s">
        <v>1670</v>
      </c>
      <c r="D206" s="91">
        <v>77913800</v>
      </c>
      <c r="E206" s="76">
        <v>3055367.5</v>
      </c>
      <c r="F206" s="77" t="s">
        <v>5504</v>
      </c>
      <c r="G206" s="22"/>
      <c r="H206" s="22"/>
    </row>
    <row r="207" spans="1:8" ht="13.35" customHeight="1">
      <c r="A207" s="82">
        <v>1</v>
      </c>
      <c r="B207" s="83" t="s">
        <v>280</v>
      </c>
      <c r="C207" s="67" t="s">
        <v>1139</v>
      </c>
      <c r="D207" s="91">
        <v>86532800</v>
      </c>
      <c r="E207" s="76">
        <v>3393362.5</v>
      </c>
      <c r="F207" s="77" t="s">
        <v>5504</v>
      </c>
      <c r="G207" s="22"/>
      <c r="H207" s="22"/>
    </row>
    <row r="208" spans="1:8" ht="13.35" customHeight="1">
      <c r="A208" s="82">
        <v>1</v>
      </c>
      <c r="B208" s="83" t="s">
        <v>3644</v>
      </c>
      <c r="C208" s="67" t="s">
        <v>3645</v>
      </c>
      <c r="D208" s="91">
        <v>129833400</v>
      </c>
      <c r="E208" s="76">
        <v>5091385</v>
      </c>
      <c r="F208" s="77" t="s">
        <v>5504</v>
      </c>
      <c r="G208" s="22"/>
      <c r="H208" s="22"/>
    </row>
    <row r="209" spans="1:8" ht="13.35" customHeight="1">
      <c r="A209" s="82">
        <v>1</v>
      </c>
      <c r="B209" s="83" t="s">
        <v>1140</v>
      </c>
      <c r="C209" s="67" t="s">
        <v>5235</v>
      </c>
      <c r="D209" s="91">
        <v>30440400</v>
      </c>
      <c r="E209" s="76">
        <v>1193712.5</v>
      </c>
      <c r="F209" s="77" t="s">
        <v>5504</v>
      </c>
      <c r="G209" s="22"/>
      <c r="H209" s="22"/>
    </row>
    <row r="210" spans="1:8" ht="13.35" customHeight="1">
      <c r="A210" s="82">
        <v>1</v>
      </c>
      <c r="B210" s="83" t="s">
        <v>1141</v>
      </c>
      <c r="C210" s="67" t="s">
        <v>5236</v>
      </c>
      <c r="D210" s="91">
        <v>60880800</v>
      </c>
      <c r="E210" s="76">
        <v>2387425</v>
      </c>
      <c r="F210" s="77" t="s">
        <v>5504</v>
      </c>
      <c r="G210" s="22"/>
      <c r="H210" s="22"/>
    </row>
    <row r="211" spans="1:8" ht="13.35" customHeight="1">
      <c r="A211" s="82">
        <v>1</v>
      </c>
      <c r="B211" s="83" t="s">
        <v>1142</v>
      </c>
      <c r="C211" s="67" t="s">
        <v>5237</v>
      </c>
      <c r="D211" s="91">
        <v>91184400</v>
      </c>
      <c r="E211" s="76">
        <v>3575772.5000000005</v>
      </c>
      <c r="F211" s="77" t="s">
        <v>5504</v>
      </c>
      <c r="G211" s="22"/>
      <c r="H211" s="22"/>
    </row>
    <row r="212" spans="1:8" ht="13.35" customHeight="1">
      <c r="A212" s="82">
        <v>1</v>
      </c>
      <c r="B212" s="83" t="s">
        <v>1143</v>
      </c>
      <c r="C212" s="67" t="s">
        <v>5238</v>
      </c>
      <c r="D212" s="91">
        <v>101308400</v>
      </c>
      <c r="E212" s="76">
        <v>3972782.5</v>
      </c>
      <c r="F212" s="77" t="s">
        <v>5504</v>
      </c>
      <c r="G212" s="22"/>
      <c r="H212" s="22"/>
    </row>
    <row r="213" spans="1:8" ht="13.35" customHeight="1">
      <c r="A213" s="82">
        <v>1</v>
      </c>
      <c r="B213" s="83" t="s">
        <v>3646</v>
      </c>
      <c r="C213" s="67" t="s">
        <v>5234</v>
      </c>
      <c r="D213" s="91">
        <v>151928400</v>
      </c>
      <c r="E213" s="76">
        <v>5957832.5000000009</v>
      </c>
      <c r="F213" s="77" t="s">
        <v>5504</v>
      </c>
      <c r="G213" s="22"/>
      <c r="H213" s="22"/>
    </row>
    <row r="214" spans="1:8" ht="13.35" customHeight="1">
      <c r="A214" s="82">
        <v>1</v>
      </c>
      <c r="B214" s="83" t="s">
        <v>240</v>
      </c>
      <c r="C214" s="67" t="s">
        <v>878</v>
      </c>
      <c r="D214" s="91">
        <v>43232200</v>
      </c>
      <c r="E214" s="76">
        <v>1695340</v>
      </c>
      <c r="F214" s="77" t="s">
        <v>5504</v>
      </c>
      <c r="G214" s="22"/>
      <c r="H214" s="22"/>
    </row>
    <row r="215" spans="1:8" ht="13.35" customHeight="1">
      <c r="A215" s="82">
        <v>1</v>
      </c>
      <c r="B215" s="83" t="s">
        <v>1369</v>
      </c>
      <c r="C215" s="67" t="s">
        <v>1370</v>
      </c>
      <c r="D215" s="91">
        <v>72099300</v>
      </c>
      <c r="E215" s="76">
        <v>2827355</v>
      </c>
      <c r="F215" s="77" t="s">
        <v>5504</v>
      </c>
      <c r="G215" s="22"/>
      <c r="H215" s="22"/>
    </row>
    <row r="216" spans="1:8" ht="13.35" customHeight="1">
      <c r="A216" s="82">
        <v>1</v>
      </c>
      <c r="B216" s="83" t="s">
        <v>879</v>
      </c>
      <c r="C216" s="67" t="s">
        <v>2393</v>
      </c>
      <c r="D216" s="91">
        <v>168824500</v>
      </c>
      <c r="E216" s="76">
        <v>6620410</v>
      </c>
      <c r="F216" s="77" t="s">
        <v>5504</v>
      </c>
      <c r="G216" s="22"/>
      <c r="H216" s="22"/>
    </row>
    <row r="217" spans="1:8" ht="13.35" customHeight="1">
      <c r="A217" s="82">
        <v>1</v>
      </c>
      <c r="B217" s="83" t="s">
        <v>2324</v>
      </c>
      <c r="C217" s="67" t="s">
        <v>2325</v>
      </c>
      <c r="D217" s="91">
        <v>270132900</v>
      </c>
      <c r="E217" s="76">
        <v>10593192.5</v>
      </c>
      <c r="F217" s="77" t="s">
        <v>5504</v>
      </c>
      <c r="G217" s="22"/>
      <c r="H217" s="22"/>
    </row>
    <row r="218" spans="1:8" ht="13.35" customHeight="1">
      <c r="A218" s="82">
        <v>1</v>
      </c>
      <c r="B218" s="83" t="s">
        <v>1064</v>
      </c>
      <c r="C218" s="67" t="s">
        <v>2394</v>
      </c>
      <c r="D218" s="91">
        <v>337717500</v>
      </c>
      <c r="E218" s="76">
        <v>13243502.500000002</v>
      </c>
      <c r="F218" s="77" t="s">
        <v>5504</v>
      </c>
      <c r="G218" s="22"/>
      <c r="H218" s="22"/>
    </row>
    <row r="219" spans="1:8" ht="13.35" customHeight="1">
      <c r="A219" s="82">
        <v>1</v>
      </c>
      <c r="B219" s="83" t="s">
        <v>3647</v>
      </c>
      <c r="C219" s="67" t="s">
        <v>3648</v>
      </c>
      <c r="D219" s="91">
        <v>422129700</v>
      </c>
      <c r="E219" s="76">
        <v>16553707.5</v>
      </c>
      <c r="F219" s="77" t="s">
        <v>5504</v>
      </c>
      <c r="G219" s="22"/>
      <c r="H219" s="22"/>
    </row>
    <row r="220" spans="1:8" ht="13.35" customHeight="1">
      <c r="A220" s="82">
        <v>1</v>
      </c>
      <c r="B220" s="83" t="s">
        <v>3490</v>
      </c>
      <c r="C220" s="67" t="s">
        <v>3491</v>
      </c>
      <c r="D220" s="91">
        <v>7155200</v>
      </c>
      <c r="E220" s="76">
        <v>280589.5</v>
      </c>
      <c r="F220" s="77" t="s">
        <v>5504</v>
      </c>
      <c r="G220" s="22"/>
      <c r="H220" s="22"/>
    </row>
    <row r="221" spans="1:8" ht="13.35" customHeight="1">
      <c r="A221" s="82">
        <v>1</v>
      </c>
      <c r="B221" s="67" t="s">
        <v>6707</v>
      </c>
      <c r="C221" s="67" t="s">
        <v>7223</v>
      </c>
      <c r="D221" s="91">
        <v>5458800</v>
      </c>
      <c r="E221" s="76">
        <v>214063.5</v>
      </c>
      <c r="F221" s="77" t="s">
        <v>5504</v>
      </c>
      <c r="G221" s="22"/>
      <c r="H221" s="22"/>
    </row>
    <row r="222" spans="1:8" ht="13.35" customHeight="1">
      <c r="A222" s="82">
        <v>1</v>
      </c>
      <c r="B222" s="83" t="s">
        <v>2077</v>
      </c>
      <c r="C222" s="67" t="s">
        <v>1325</v>
      </c>
      <c r="D222" s="91">
        <v>21588700</v>
      </c>
      <c r="E222" s="76">
        <v>846597</v>
      </c>
      <c r="F222" s="77" t="s">
        <v>5504</v>
      </c>
      <c r="G222" s="22"/>
      <c r="H222" s="22"/>
    </row>
    <row r="223" spans="1:8" ht="13.35" customHeight="1">
      <c r="A223" s="82">
        <v>1</v>
      </c>
      <c r="B223" s="83" t="s">
        <v>2078</v>
      </c>
      <c r="C223" s="67" t="s">
        <v>5239</v>
      </c>
      <c r="D223" s="91">
        <v>17251800</v>
      </c>
      <c r="E223" s="76">
        <v>676526.5</v>
      </c>
      <c r="F223" s="77" t="s">
        <v>5504</v>
      </c>
      <c r="G223" s="22"/>
      <c r="H223" s="22"/>
    </row>
    <row r="224" spans="1:8" ht="13.35" customHeight="1">
      <c r="A224" s="82">
        <v>1</v>
      </c>
      <c r="B224" s="83" t="s">
        <v>2079</v>
      </c>
      <c r="C224" s="67" t="s">
        <v>1326</v>
      </c>
      <c r="D224" s="91">
        <v>36049600</v>
      </c>
      <c r="E224" s="76">
        <v>1413677.5</v>
      </c>
      <c r="F224" s="77" t="s">
        <v>5504</v>
      </c>
      <c r="G224" s="22"/>
      <c r="H224" s="22"/>
    </row>
    <row r="225" spans="1:8" ht="13.35" customHeight="1">
      <c r="A225" s="82">
        <v>1</v>
      </c>
      <c r="B225" s="83" t="s">
        <v>2080</v>
      </c>
      <c r="C225" s="67" t="s">
        <v>2081</v>
      </c>
      <c r="D225" s="91">
        <v>108217300</v>
      </c>
      <c r="E225" s="76">
        <v>4243715</v>
      </c>
      <c r="F225" s="77" t="s">
        <v>5504</v>
      </c>
      <c r="G225" s="22"/>
      <c r="H225" s="22"/>
    </row>
    <row r="226" spans="1:8" ht="13.35" customHeight="1">
      <c r="A226" s="82">
        <v>1</v>
      </c>
      <c r="B226" s="83" t="s">
        <v>3271</v>
      </c>
      <c r="C226" s="67" t="s">
        <v>5456</v>
      </c>
      <c r="D226" s="91">
        <v>15815300</v>
      </c>
      <c r="E226" s="76">
        <v>620194</v>
      </c>
      <c r="F226" s="77" t="s">
        <v>5504</v>
      </c>
      <c r="G226" s="22"/>
      <c r="H226" s="22"/>
    </row>
    <row r="227" spans="1:8" ht="13.35" customHeight="1">
      <c r="A227" s="82">
        <v>1</v>
      </c>
      <c r="B227" s="83" t="s">
        <v>5626</v>
      </c>
      <c r="C227" s="67" t="s">
        <v>7224</v>
      </c>
      <c r="D227" s="91">
        <v>7155200</v>
      </c>
      <c r="E227" s="76">
        <v>280589.5</v>
      </c>
      <c r="F227" s="77" t="s">
        <v>5504</v>
      </c>
      <c r="G227" s="22"/>
      <c r="H227" s="22"/>
    </row>
    <row r="228" spans="1:8" ht="13.35" customHeight="1">
      <c r="A228" s="82">
        <v>1</v>
      </c>
      <c r="B228" s="83" t="s">
        <v>5627</v>
      </c>
      <c r="C228" s="67" t="s">
        <v>7225</v>
      </c>
      <c r="D228" s="91">
        <v>20453200</v>
      </c>
      <c r="E228" s="76">
        <v>802067.5</v>
      </c>
      <c r="F228" s="77" t="s">
        <v>5504</v>
      </c>
      <c r="G228" s="22"/>
      <c r="H228" s="22"/>
    </row>
    <row r="229" spans="1:8" ht="13.35" customHeight="1">
      <c r="A229" s="82">
        <v>1</v>
      </c>
      <c r="B229" s="83" t="s">
        <v>5628</v>
      </c>
      <c r="C229" s="67" t="s">
        <v>7226</v>
      </c>
      <c r="D229" s="91">
        <v>16348900</v>
      </c>
      <c r="E229" s="76">
        <v>641117.5</v>
      </c>
      <c r="F229" s="77" t="s">
        <v>5504</v>
      </c>
      <c r="G229" s="22"/>
      <c r="H229" s="22"/>
    </row>
    <row r="230" spans="1:8" ht="13.35" customHeight="1">
      <c r="A230" s="82">
        <v>1</v>
      </c>
      <c r="B230" s="83" t="s">
        <v>5629</v>
      </c>
      <c r="C230" s="67" t="s">
        <v>7227</v>
      </c>
      <c r="D230" s="91">
        <v>10192400</v>
      </c>
      <c r="E230" s="76">
        <v>399692.49999999994</v>
      </c>
      <c r="F230" s="77" t="s">
        <v>5504</v>
      </c>
      <c r="G230" s="22"/>
      <c r="H230" s="22"/>
    </row>
    <row r="231" spans="1:8" ht="13.35" customHeight="1">
      <c r="A231" s="82">
        <v>1</v>
      </c>
      <c r="B231" s="83" t="s">
        <v>5630</v>
      </c>
      <c r="C231" s="67" t="s">
        <v>7228</v>
      </c>
      <c r="D231" s="91">
        <v>10876500</v>
      </c>
      <c r="E231" s="76">
        <v>426517.49999999994</v>
      </c>
      <c r="F231" s="77" t="s">
        <v>5504</v>
      </c>
      <c r="G231" s="22"/>
      <c r="H231" s="22"/>
    </row>
    <row r="232" spans="1:8" ht="13.35" customHeight="1">
      <c r="A232" s="82">
        <v>1</v>
      </c>
      <c r="B232" s="83" t="s">
        <v>5631</v>
      </c>
      <c r="C232" s="67" t="s">
        <v>7229</v>
      </c>
      <c r="D232" s="91">
        <v>108217300</v>
      </c>
      <c r="E232" s="76">
        <v>4243715</v>
      </c>
      <c r="F232" s="77" t="s">
        <v>5504</v>
      </c>
      <c r="G232" s="22"/>
      <c r="H232" s="22"/>
    </row>
    <row r="233" spans="1:8" ht="13.35" customHeight="1">
      <c r="A233" s="82">
        <v>1</v>
      </c>
      <c r="B233" s="83" t="s">
        <v>5632</v>
      </c>
      <c r="C233" s="67" t="s">
        <v>7230</v>
      </c>
      <c r="D233" s="91">
        <v>36049600</v>
      </c>
      <c r="E233" s="76">
        <v>1413677.5</v>
      </c>
      <c r="F233" s="77" t="s">
        <v>5504</v>
      </c>
      <c r="G233" s="22"/>
      <c r="H233" s="22"/>
    </row>
    <row r="234" spans="1:8" ht="13.35" customHeight="1">
      <c r="A234" s="82">
        <v>1</v>
      </c>
      <c r="B234" s="83" t="s">
        <v>5633</v>
      </c>
      <c r="C234" s="67" t="s">
        <v>7231</v>
      </c>
      <c r="D234" s="91">
        <v>21588700</v>
      </c>
      <c r="E234" s="76">
        <v>846597</v>
      </c>
      <c r="F234" s="77" t="s">
        <v>5504</v>
      </c>
      <c r="G234" s="22"/>
      <c r="H234" s="22"/>
    </row>
    <row r="235" spans="1:8" ht="13.35" customHeight="1">
      <c r="A235" s="82">
        <v>1</v>
      </c>
      <c r="B235" s="83" t="s">
        <v>5634</v>
      </c>
      <c r="C235" s="67" t="s">
        <v>7232</v>
      </c>
      <c r="D235" s="91">
        <v>17251800</v>
      </c>
      <c r="E235" s="76">
        <v>676526.5</v>
      </c>
      <c r="F235" s="77" t="s">
        <v>5504</v>
      </c>
      <c r="G235" s="22"/>
      <c r="H235" s="22"/>
    </row>
    <row r="236" spans="1:8" ht="13.35" customHeight="1">
      <c r="A236" s="82">
        <v>1</v>
      </c>
      <c r="B236" s="83" t="s">
        <v>5635</v>
      </c>
      <c r="C236" s="67" t="s">
        <v>7233</v>
      </c>
      <c r="D236" s="91">
        <v>15815300</v>
      </c>
      <c r="E236" s="76">
        <v>620194</v>
      </c>
      <c r="F236" s="77" t="s">
        <v>5504</v>
      </c>
      <c r="G236" s="22"/>
      <c r="H236" s="22"/>
    </row>
    <row r="237" spans="1:8" ht="13.35" customHeight="1">
      <c r="A237" s="82">
        <v>1</v>
      </c>
      <c r="B237" s="84" t="s">
        <v>2335</v>
      </c>
      <c r="C237" s="71" t="s">
        <v>2336</v>
      </c>
      <c r="D237" s="92">
        <v>721608600</v>
      </c>
      <c r="E237" s="76">
        <v>28297692.500000004</v>
      </c>
      <c r="F237" s="77" t="s">
        <v>5504</v>
      </c>
      <c r="G237" s="22"/>
      <c r="H237" s="22"/>
    </row>
    <row r="238" spans="1:8" ht="13.35" customHeight="1">
      <c r="A238" s="82">
        <v>1</v>
      </c>
      <c r="B238" s="84" t="s">
        <v>4641</v>
      </c>
      <c r="C238" s="71" t="s">
        <v>4642</v>
      </c>
      <c r="D238" s="92">
        <v>633297200</v>
      </c>
      <c r="E238" s="76">
        <v>24834585</v>
      </c>
      <c r="F238" s="77" t="s">
        <v>5504</v>
      </c>
      <c r="G238" s="22"/>
      <c r="H238" s="22"/>
    </row>
    <row r="239" spans="1:8" ht="13.35" customHeight="1">
      <c r="A239" s="82">
        <v>1</v>
      </c>
      <c r="B239" s="84" t="s">
        <v>4639</v>
      </c>
      <c r="C239" s="71" t="s">
        <v>4640</v>
      </c>
      <c r="D239" s="92">
        <v>506542000</v>
      </c>
      <c r="E239" s="76">
        <v>19863912.5</v>
      </c>
      <c r="F239" s="77" t="s">
        <v>5504</v>
      </c>
      <c r="G239" s="22"/>
      <c r="H239" s="22"/>
    </row>
    <row r="240" spans="1:8" ht="13.35" customHeight="1">
      <c r="A240" s="82">
        <v>1</v>
      </c>
      <c r="B240" s="84" t="s">
        <v>3724</v>
      </c>
      <c r="C240" s="71" t="s">
        <v>3725</v>
      </c>
      <c r="D240" s="92">
        <v>337717500</v>
      </c>
      <c r="E240" s="76">
        <v>13243502.500000002</v>
      </c>
      <c r="F240" s="77" t="s">
        <v>5504</v>
      </c>
      <c r="G240" s="22"/>
      <c r="H240" s="22"/>
    </row>
    <row r="241" spans="1:8" ht="13.35" customHeight="1">
      <c r="A241" s="82">
        <v>1</v>
      </c>
      <c r="B241" s="84" t="s">
        <v>4637</v>
      </c>
      <c r="C241" s="71" t="s">
        <v>4638</v>
      </c>
      <c r="D241" s="92">
        <v>211099100</v>
      </c>
      <c r="E241" s="76">
        <v>8278195.0000000009</v>
      </c>
      <c r="F241" s="77" t="s">
        <v>5504</v>
      </c>
      <c r="G241" s="22"/>
      <c r="H241" s="22"/>
    </row>
    <row r="242" spans="1:8" ht="13.35" customHeight="1">
      <c r="A242" s="82">
        <v>1</v>
      </c>
      <c r="B242" s="83" t="s">
        <v>2202</v>
      </c>
      <c r="C242" s="67" t="s">
        <v>2203</v>
      </c>
      <c r="D242" s="91">
        <v>127015100</v>
      </c>
      <c r="E242" s="76">
        <v>4980866</v>
      </c>
      <c r="F242" s="77" t="s">
        <v>5504</v>
      </c>
      <c r="G242" s="22"/>
      <c r="H242" s="22"/>
    </row>
    <row r="243" spans="1:8" ht="13.35" customHeight="1">
      <c r="A243" s="82">
        <v>1</v>
      </c>
      <c r="B243" s="83" t="s">
        <v>3266</v>
      </c>
      <c r="C243" s="67" t="s">
        <v>3267</v>
      </c>
      <c r="D243" s="91">
        <v>190577400</v>
      </c>
      <c r="E243" s="76">
        <v>7473445.0000000009</v>
      </c>
      <c r="F243" s="77" t="s">
        <v>5504</v>
      </c>
      <c r="G243" s="22"/>
      <c r="H243" s="22"/>
    </row>
    <row r="244" spans="1:8" ht="13.35" customHeight="1">
      <c r="A244" s="82">
        <v>1</v>
      </c>
      <c r="B244" s="83" t="s">
        <v>3268</v>
      </c>
      <c r="C244" s="67" t="s">
        <v>3269</v>
      </c>
      <c r="D244" s="91">
        <v>119093800</v>
      </c>
      <c r="E244" s="76">
        <v>4670232.5</v>
      </c>
      <c r="F244" s="77" t="s">
        <v>5504</v>
      </c>
      <c r="G244" s="22"/>
      <c r="H244" s="22"/>
    </row>
    <row r="245" spans="1:8" ht="13.35" customHeight="1">
      <c r="A245" s="82">
        <v>1</v>
      </c>
      <c r="B245" s="83" t="s">
        <v>5228</v>
      </c>
      <c r="C245" s="67" t="s">
        <v>5229</v>
      </c>
      <c r="D245" s="91">
        <v>591022700</v>
      </c>
      <c r="E245" s="76">
        <v>23176800</v>
      </c>
      <c r="F245" s="77" t="s">
        <v>5504</v>
      </c>
      <c r="G245" s="22"/>
      <c r="H245" s="22"/>
    </row>
    <row r="246" spans="1:8" ht="13.35" customHeight="1">
      <c r="A246" s="82">
        <v>1</v>
      </c>
      <c r="B246" s="83" t="s">
        <v>4657</v>
      </c>
      <c r="C246" s="67" t="s">
        <v>4658</v>
      </c>
      <c r="D246" s="91">
        <v>67516100</v>
      </c>
      <c r="E246" s="76">
        <v>2647627.5</v>
      </c>
      <c r="F246" s="77" t="s">
        <v>5504</v>
      </c>
      <c r="G246" s="22"/>
      <c r="H246" s="22"/>
    </row>
    <row r="247" spans="1:8" ht="13.35" customHeight="1">
      <c r="A247" s="82">
        <v>1</v>
      </c>
      <c r="B247" s="67" t="s">
        <v>6255</v>
      </c>
      <c r="C247" s="67" t="s">
        <v>6256</v>
      </c>
      <c r="D247" s="91">
        <v>14844000</v>
      </c>
      <c r="E247" s="76">
        <v>582102.5</v>
      </c>
      <c r="F247" s="77" t="s">
        <v>5504</v>
      </c>
      <c r="G247" s="22"/>
      <c r="H247" s="22"/>
    </row>
    <row r="248" spans="1:8" ht="13.35" customHeight="1">
      <c r="A248" s="82">
        <v>1</v>
      </c>
      <c r="B248" s="67" t="s">
        <v>5655</v>
      </c>
      <c r="C248" s="67" t="s">
        <v>7234</v>
      </c>
      <c r="D248" s="91">
        <v>88037700</v>
      </c>
      <c r="E248" s="76">
        <v>3452377.4999999995</v>
      </c>
      <c r="F248" s="77" t="s">
        <v>5504</v>
      </c>
      <c r="G248" s="22"/>
      <c r="H248" s="22"/>
    </row>
    <row r="249" spans="1:8" ht="13.35" customHeight="1">
      <c r="A249" s="82">
        <v>1</v>
      </c>
      <c r="B249" s="67" t="s">
        <v>5654</v>
      </c>
      <c r="C249" s="67" t="s">
        <v>7235</v>
      </c>
      <c r="D249" s="91">
        <v>24831200</v>
      </c>
      <c r="E249" s="76">
        <v>973747.49999999988</v>
      </c>
      <c r="F249" s="77" t="s">
        <v>5504</v>
      </c>
      <c r="G249" s="22"/>
      <c r="H249" s="22"/>
    </row>
    <row r="250" spans="1:8" ht="13.35" customHeight="1">
      <c r="A250" s="82">
        <v>1</v>
      </c>
      <c r="B250" s="67" t="s">
        <v>5653</v>
      </c>
      <c r="C250" s="67" t="s">
        <v>7236</v>
      </c>
      <c r="D250" s="91">
        <v>7661400</v>
      </c>
      <c r="E250" s="76">
        <v>300440</v>
      </c>
      <c r="F250" s="77" t="s">
        <v>5504</v>
      </c>
      <c r="G250" s="22"/>
      <c r="H250" s="22"/>
    </row>
    <row r="251" spans="1:8" ht="13.35" customHeight="1">
      <c r="A251" s="82">
        <v>1</v>
      </c>
      <c r="B251" s="83" t="s">
        <v>3843</v>
      </c>
      <c r="C251" s="67" t="s">
        <v>3844</v>
      </c>
      <c r="D251" s="91">
        <v>2063914000</v>
      </c>
      <c r="E251" s="76">
        <v>80935853.5</v>
      </c>
      <c r="F251" s="77" t="s">
        <v>10170</v>
      </c>
      <c r="G251" s="22"/>
      <c r="H251" s="22"/>
    </row>
    <row r="252" spans="1:8" ht="13.35" customHeight="1">
      <c r="A252" s="82">
        <v>1</v>
      </c>
      <c r="B252" s="85" t="s">
        <v>4231</v>
      </c>
      <c r="C252" s="72" t="s">
        <v>4232</v>
      </c>
      <c r="D252" s="91">
        <v>1125734000</v>
      </c>
      <c r="E252" s="76">
        <v>44145366</v>
      </c>
      <c r="F252" s="77" t="s">
        <v>10170</v>
      </c>
      <c r="G252" s="22"/>
      <c r="H252" s="22"/>
    </row>
    <row r="253" spans="1:8" ht="13.35" customHeight="1">
      <c r="A253" s="82">
        <v>1</v>
      </c>
      <c r="B253" s="83" t="s">
        <v>2398</v>
      </c>
      <c r="C253" s="67" t="s">
        <v>2399</v>
      </c>
      <c r="D253" s="91">
        <v>985051400</v>
      </c>
      <c r="E253" s="76">
        <v>38628536.5</v>
      </c>
      <c r="F253" s="77" t="s">
        <v>10170</v>
      </c>
      <c r="G253" s="22"/>
      <c r="H253" s="22"/>
    </row>
    <row r="254" spans="1:8" ht="13.35" customHeight="1">
      <c r="A254" s="82">
        <v>1</v>
      </c>
      <c r="B254" s="67" t="s">
        <v>6231</v>
      </c>
      <c r="C254" s="67" t="s">
        <v>6232</v>
      </c>
      <c r="D254" s="91">
        <v>5629080400</v>
      </c>
      <c r="E254" s="76">
        <v>220742925</v>
      </c>
      <c r="F254" s="77" t="s">
        <v>10170</v>
      </c>
      <c r="G254" s="22"/>
      <c r="H254" s="22"/>
    </row>
    <row r="255" spans="1:8" ht="13.35" customHeight="1">
      <c r="A255" s="82">
        <v>1</v>
      </c>
      <c r="B255" s="67" t="s">
        <v>6233</v>
      </c>
      <c r="C255" s="67" t="s">
        <v>7238</v>
      </c>
      <c r="D255" s="91">
        <v>5253808300</v>
      </c>
      <c r="E255" s="76">
        <v>206026730</v>
      </c>
      <c r="F255" s="77" t="s">
        <v>10170</v>
      </c>
      <c r="G255" s="22"/>
      <c r="H255" s="22"/>
    </row>
    <row r="256" spans="1:8" ht="13.35" customHeight="1">
      <c r="A256" s="82">
        <v>1</v>
      </c>
      <c r="B256" s="67" t="s">
        <v>6234</v>
      </c>
      <c r="C256" s="67" t="s">
        <v>6235</v>
      </c>
      <c r="D256" s="91">
        <v>3112582500</v>
      </c>
      <c r="E256" s="76">
        <v>122059115</v>
      </c>
      <c r="F256" s="77" t="s">
        <v>10170</v>
      </c>
      <c r="G256" s="22"/>
      <c r="H256" s="22"/>
    </row>
    <row r="257" spans="1:8" ht="13.35" customHeight="1">
      <c r="A257" s="82">
        <v>1</v>
      </c>
      <c r="B257" s="67" t="s">
        <v>6708</v>
      </c>
      <c r="C257" s="67" t="s">
        <v>7239</v>
      </c>
      <c r="D257" s="91">
        <v>1867467400</v>
      </c>
      <c r="E257" s="76">
        <v>73232250</v>
      </c>
      <c r="F257" s="77" t="s">
        <v>10170</v>
      </c>
      <c r="G257" s="22"/>
      <c r="H257" s="22"/>
    </row>
    <row r="258" spans="1:8" ht="13.35" customHeight="1">
      <c r="A258" s="82">
        <v>1</v>
      </c>
      <c r="B258" s="83" t="s">
        <v>4923</v>
      </c>
      <c r="C258" s="67" t="s">
        <v>4924</v>
      </c>
      <c r="D258" s="91">
        <v>956950500</v>
      </c>
      <c r="E258" s="76">
        <v>37526565.5</v>
      </c>
      <c r="F258" s="77" t="s">
        <v>10170</v>
      </c>
      <c r="G258" s="22"/>
      <c r="H258" s="22"/>
    </row>
    <row r="259" spans="1:8" ht="13.35" customHeight="1">
      <c r="A259" s="82">
        <v>1</v>
      </c>
      <c r="B259" s="83" t="s">
        <v>5596</v>
      </c>
      <c r="C259" s="67" t="s">
        <v>7240</v>
      </c>
      <c r="D259" s="91">
        <v>2270402600</v>
      </c>
      <c r="E259" s="76">
        <v>89033248</v>
      </c>
      <c r="F259" s="77" t="s">
        <v>10170</v>
      </c>
      <c r="G259" s="22"/>
      <c r="H259" s="22"/>
    </row>
    <row r="260" spans="1:8" ht="13.35" customHeight="1">
      <c r="A260" s="82">
        <v>1</v>
      </c>
      <c r="B260" s="83" t="s">
        <v>5597</v>
      </c>
      <c r="C260" s="67" t="s">
        <v>7241</v>
      </c>
      <c r="D260" s="91">
        <v>572334300</v>
      </c>
      <c r="E260" s="76">
        <v>22443941</v>
      </c>
      <c r="F260" s="77" t="s">
        <v>10170</v>
      </c>
      <c r="G260" s="22"/>
      <c r="H260" s="22"/>
    </row>
    <row r="261" spans="1:8" ht="13.35" customHeight="1">
      <c r="A261" s="82">
        <v>1</v>
      </c>
      <c r="B261" s="83" t="s">
        <v>5595</v>
      </c>
      <c r="C261" s="67" t="s">
        <v>7242</v>
      </c>
      <c r="D261" s="91">
        <v>572334300</v>
      </c>
      <c r="E261" s="76">
        <v>22443941</v>
      </c>
      <c r="F261" s="77" t="s">
        <v>10170</v>
      </c>
      <c r="G261" s="22"/>
      <c r="H261" s="22"/>
    </row>
    <row r="262" spans="1:8" ht="13.35" customHeight="1">
      <c r="A262" s="82">
        <v>1</v>
      </c>
      <c r="B262" s="83" t="s">
        <v>2746</v>
      </c>
      <c r="C262" s="67" t="s">
        <v>2747</v>
      </c>
      <c r="D262" s="91">
        <v>1292998900</v>
      </c>
      <c r="E262" s="76">
        <v>50704614.999999993</v>
      </c>
      <c r="F262" s="77" t="s">
        <v>10170</v>
      </c>
      <c r="G262" s="22"/>
      <c r="H262" s="22"/>
    </row>
    <row r="263" spans="1:8" ht="13.35" customHeight="1">
      <c r="A263" s="82">
        <v>1</v>
      </c>
      <c r="B263" s="83" t="s">
        <v>4592</v>
      </c>
      <c r="C263" s="67" t="s">
        <v>4593</v>
      </c>
      <c r="D263" s="91">
        <v>2334334300</v>
      </c>
      <c r="E263" s="76">
        <v>91540312.5</v>
      </c>
      <c r="F263" s="77" t="s">
        <v>10170</v>
      </c>
      <c r="G263" s="22"/>
      <c r="H263" s="22"/>
    </row>
    <row r="264" spans="1:8" ht="13.35" customHeight="1">
      <c r="A264" s="82">
        <v>1</v>
      </c>
      <c r="B264" s="83" t="s">
        <v>2751</v>
      </c>
      <c r="C264" s="67" t="s">
        <v>2752</v>
      </c>
      <c r="D264" s="91">
        <v>630492600</v>
      </c>
      <c r="E264" s="76">
        <v>24724602.5</v>
      </c>
      <c r="F264" s="77" t="s">
        <v>10170</v>
      </c>
      <c r="G264" s="22"/>
      <c r="H264" s="22"/>
    </row>
    <row r="265" spans="1:8" ht="13.35" customHeight="1">
      <c r="A265" s="82">
        <v>1</v>
      </c>
      <c r="B265" s="83" t="s">
        <v>2749</v>
      </c>
      <c r="C265" s="67" t="s">
        <v>2750</v>
      </c>
      <c r="D265" s="91">
        <v>529594600</v>
      </c>
      <c r="E265" s="76">
        <v>20767915</v>
      </c>
      <c r="F265" s="77" t="s">
        <v>10170</v>
      </c>
      <c r="G265" s="22"/>
      <c r="H265" s="22"/>
    </row>
    <row r="266" spans="1:8" ht="13.35" customHeight="1">
      <c r="A266" s="82">
        <v>1</v>
      </c>
      <c r="B266" s="83" t="s">
        <v>3930</v>
      </c>
      <c r="C266" s="67" t="s">
        <v>3931</v>
      </c>
      <c r="D266" s="91">
        <v>205353000</v>
      </c>
      <c r="E266" s="76">
        <v>8052865</v>
      </c>
      <c r="F266" s="77" t="s">
        <v>10170</v>
      </c>
      <c r="G266" s="22"/>
      <c r="H266" s="22"/>
    </row>
    <row r="267" spans="1:8" ht="13.35" customHeight="1">
      <c r="A267" s="82">
        <v>1</v>
      </c>
      <c r="B267" s="83" t="s">
        <v>5112</v>
      </c>
      <c r="C267" s="67" t="s">
        <v>5113</v>
      </c>
      <c r="D267" s="91">
        <v>322599900</v>
      </c>
      <c r="E267" s="76">
        <v>12650670</v>
      </c>
      <c r="F267" s="77" t="s">
        <v>10170</v>
      </c>
      <c r="G267" s="22"/>
      <c r="H267" s="22"/>
    </row>
    <row r="268" spans="1:8" ht="13.35" customHeight="1">
      <c r="A268" s="82">
        <v>1</v>
      </c>
      <c r="B268" s="67" t="s">
        <v>6709</v>
      </c>
      <c r="C268" s="67" t="s">
        <v>7243</v>
      </c>
      <c r="D268" s="91">
        <v>25389539800</v>
      </c>
      <c r="E268" s="76">
        <v>995644210.99999988</v>
      </c>
      <c r="F268" s="77" t="s">
        <v>10170</v>
      </c>
      <c r="G268" s="22"/>
      <c r="H268" s="22"/>
    </row>
    <row r="269" spans="1:8" ht="13.35" customHeight="1">
      <c r="A269" s="82">
        <v>1</v>
      </c>
      <c r="B269" s="67" t="s">
        <v>6710</v>
      </c>
      <c r="C269" s="67" t="s">
        <v>7244</v>
      </c>
      <c r="D269" s="91">
        <v>23225466600</v>
      </c>
      <c r="E269" s="76">
        <v>910780640.99999988</v>
      </c>
      <c r="F269" s="77" t="s">
        <v>10170</v>
      </c>
      <c r="G269" s="22"/>
      <c r="H269" s="22"/>
    </row>
    <row r="270" spans="1:8" ht="13.35" customHeight="1">
      <c r="A270" s="82">
        <v>1</v>
      </c>
      <c r="B270" s="67" t="s">
        <v>6711</v>
      </c>
      <c r="C270" s="67" t="s">
        <v>7245</v>
      </c>
      <c r="D270" s="91">
        <v>23050622400</v>
      </c>
      <c r="E270" s="76">
        <v>903924171</v>
      </c>
      <c r="F270" s="77" t="s">
        <v>10170</v>
      </c>
      <c r="G270" s="22"/>
      <c r="H270" s="22"/>
    </row>
    <row r="271" spans="1:8" ht="13.35" customHeight="1">
      <c r="A271" s="82">
        <v>1</v>
      </c>
      <c r="B271" s="67" t="s">
        <v>6712</v>
      </c>
      <c r="C271" s="67" t="s">
        <v>7246</v>
      </c>
      <c r="D271" s="91">
        <v>23050622400</v>
      </c>
      <c r="E271" s="76">
        <v>903924171</v>
      </c>
      <c r="F271" s="77" t="s">
        <v>10170</v>
      </c>
      <c r="G271" s="22"/>
      <c r="H271" s="22"/>
    </row>
    <row r="272" spans="1:8" ht="13.35" customHeight="1">
      <c r="A272" s="82">
        <v>1</v>
      </c>
      <c r="B272" s="67" t="s">
        <v>6713</v>
      </c>
      <c r="C272" s="67" t="s">
        <v>7247</v>
      </c>
      <c r="D272" s="91">
        <v>21802771100</v>
      </c>
      <c r="E272" s="76">
        <v>854990006</v>
      </c>
      <c r="F272" s="77" t="s">
        <v>10170</v>
      </c>
      <c r="G272" s="22"/>
      <c r="H272" s="22"/>
    </row>
    <row r="273" spans="1:8" ht="13.35" customHeight="1">
      <c r="A273" s="82">
        <v>1</v>
      </c>
      <c r="B273" s="67" t="s">
        <v>6714</v>
      </c>
      <c r="C273" s="67" t="s">
        <v>7248</v>
      </c>
      <c r="D273" s="91">
        <v>21802771100</v>
      </c>
      <c r="E273" s="76">
        <v>854990006</v>
      </c>
      <c r="F273" s="77" t="s">
        <v>10170</v>
      </c>
      <c r="G273" s="22"/>
      <c r="H273" s="22"/>
    </row>
    <row r="274" spans="1:8" ht="13.35" customHeight="1">
      <c r="A274" s="82">
        <v>1</v>
      </c>
      <c r="B274" s="67" t="s">
        <v>6715</v>
      </c>
      <c r="C274" s="67" t="s">
        <v>7249</v>
      </c>
      <c r="D274" s="91">
        <v>21627926900</v>
      </c>
      <c r="E274" s="76">
        <v>848133535.99999988</v>
      </c>
      <c r="F274" s="77" t="s">
        <v>10170</v>
      </c>
      <c r="G274" s="22"/>
      <c r="H274" s="22"/>
    </row>
    <row r="275" spans="1:8" ht="13.35" customHeight="1">
      <c r="A275" s="82">
        <v>1</v>
      </c>
      <c r="B275" s="67" t="s">
        <v>6716</v>
      </c>
      <c r="C275" s="67" t="s">
        <v>7250</v>
      </c>
      <c r="D275" s="91">
        <v>21627926900</v>
      </c>
      <c r="E275" s="76">
        <v>848133535.99999988</v>
      </c>
      <c r="F275" s="77" t="s">
        <v>10170</v>
      </c>
      <c r="G275" s="22"/>
      <c r="H275" s="22"/>
    </row>
    <row r="276" spans="1:8" ht="13.35" customHeight="1">
      <c r="A276" s="82">
        <v>1</v>
      </c>
      <c r="B276" s="67" t="s">
        <v>6717</v>
      </c>
      <c r="C276" s="67" t="s">
        <v>7251</v>
      </c>
      <c r="D276" s="91">
        <v>20333368300</v>
      </c>
      <c r="E276" s="76">
        <v>797367760.00000012</v>
      </c>
      <c r="F276" s="77" t="s">
        <v>10170</v>
      </c>
      <c r="G276" s="22"/>
      <c r="H276" s="22"/>
    </row>
    <row r="277" spans="1:8" ht="13.35" customHeight="1">
      <c r="A277" s="82">
        <v>1</v>
      </c>
      <c r="B277" s="67" t="s">
        <v>6718</v>
      </c>
      <c r="C277" s="67" t="s">
        <v>7252</v>
      </c>
      <c r="D277" s="91">
        <v>18636367200</v>
      </c>
      <c r="E277" s="76">
        <v>730820300</v>
      </c>
      <c r="F277" s="77" t="s">
        <v>10170</v>
      </c>
      <c r="G277" s="22"/>
      <c r="H277" s="22"/>
    </row>
    <row r="278" spans="1:8" ht="13.35" customHeight="1">
      <c r="A278" s="82">
        <v>1</v>
      </c>
      <c r="B278" s="67" t="s">
        <v>6719</v>
      </c>
      <c r="C278" s="67" t="s">
        <v>7253</v>
      </c>
      <c r="D278" s="91">
        <v>18490663700</v>
      </c>
      <c r="E278" s="76">
        <v>725106575</v>
      </c>
      <c r="F278" s="77" t="s">
        <v>10170</v>
      </c>
      <c r="G278" s="22"/>
      <c r="H278" s="22"/>
    </row>
    <row r="279" spans="1:8" ht="13.35" customHeight="1">
      <c r="A279" s="82">
        <v>1</v>
      </c>
      <c r="B279" s="67" t="s">
        <v>6720</v>
      </c>
      <c r="C279" s="67" t="s">
        <v>7254</v>
      </c>
      <c r="D279" s="91">
        <v>17213671700</v>
      </c>
      <c r="E279" s="76">
        <v>675029665</v>
      </c>
      <c r="F279" s="77" t="s">
        <v>10170</v>
      </c>
      <c r="G279" s="22"/>
      <c r="H279" s="22"/>
    </row>
    <row r="280" spans="1:8" ht="13.35" customHeight="1">
      <c r="A280" s="82">
        <v>1</v>
      </c>
      <c r="B280" s="67" t="s">
        <v>6721</v>
      </c>
      <c r="C280" s="67" t="s">
        <v>7255</v>
      </c>
      <c r="D280" s="91">
        <v>17067968200</v>
      </c>
      <c r="E280" s="76">
        <v>669315940</v>
      </c>
      <c r="F280" s="77" t="s">
        <v>10170</v>
      </c>
      <c r="G280" s="22"/>
      <c r="H280" s="22"/>
    </row>
    <row r="281" spans="1:8" ht="13.35" customHeight="1">
      <c r="A281" s="82">
        <v>1</v>
      </c>
      <c r="B281" s="67" t="s">
        <v>6722</v>
      </c>
      <c r="C281" s="67" t="s">
        <v>7256</v>
      </c>
      <c r="D281" s="91">
        <v>17213671700</v>
      </c>
      <c r="E281" s="76">
        <v>675029665</v>
      </c>
      <c r="F281" s="77" t="s">
        <v>10170</v>
      </c>
      <c r="G281" s="22"/>
      <c r="H281" s="22"/>
    </row>
    <row r="282" spans="1:8" ht="13.35" customHeight="1">
      <c r="A282" s="82">
        <v>1</v>
      </c>
      <c r="B282" s="67" t="s">
        <v>6723</v>
      </c>
      <c r="C282" s="67" t="s">
        <v>7257</v>
      </c>
      <c r="D282" s="91">
        <v>17067968200</v>
      </c>
      <c r="E282" s="76">
        <v>669315940</v>
      </c>
      <c r="F282" s="77" t="s">
        <v>10170</v>
      </c>
      <c r="G282" s="22"/>
      <c r="H282" s="22"/>
    </row>
    <row r="283" spans="1:8" ht="13.35" customHeight="1">
      <c r="A283" s="82">
        <v>1</v>
      </c>
      <c r="B283" s="67" t="s">
        <v>5534</v>
      </c>
      <c r="C283" s="67" t="s">
        <v>7258</v>
      </c>
      <c r="D283" s="91">
        <v>17131927200</v>
      </c>
      <c r="E283" s="76">
        <v>671824077.5</v>
      </c>
      <c r="F283" s="77" t="s">
        <v>10170</v>
      </c>
      <c r="G283" s="22"/>
      <c r="H283" s="22"/>
    </row>
    <row r="284" spans="1:8" ht="13.35" customHeight="1">
      <c r="A284" s="82">
        <v>1</v>
      </c>
      <c r="B284" s="67" t="s">
        <v>5521</v>
      </c>
      <c r="C284" s="67" t="s">
        <v>7259</v>
      </c>
      <c r="D284" s="91">
        <v>17131927200</v>
      </c>
      <c r="E284" s="76">
        <v>671824077.5</v>
      </c>
      <c r="F284" s="77" t="s">
        <v>10170</v>
      </c>
      <c r="G284" s="22"/>
      <c r="H284" s="22"/>
    </row>
    <row r="285" spans="1:8" ht="13.35" customHeight="1">
      <c r="A285" s="82">
        <v>1</v>
      </c>
      <c r="B285" s="67" t="s">
        <v>6724</v>
      </c>
      <c r="C285" s="67" t="s">
        <v>7260</v>
      </c>
      <c r="D285" s="91">
        <v>13615150900</v>
      </c>
      <c r="E285" s="76">
        <v>533914606.49999994</v>
      </c>
      <c r="F285" s="77" t="s">
        <v>10170</v>
      </c>
      <c r="G285" s="22"/>
      <c r="H285" s="22"/>
    </row>
    <row r="286" spans="1:8" ht="13.35" customHeight="1">
      <c r="A286" s="82">
        <v>1</v>
      </c>
      <c r="B286" s="67" t="s">
        <v>6725</v>
      </c>
      <c r="C286" s="67" t="s">
        <v>7261</v>
      </c>
      <c r="D286" s="91">
        <v>12392335900</v>
      </c>
      <c r="E286" s="76">
        <v>485962236.5</v>
      </c>
      <c r="F286" s="77" t="s">
        <v>10170</v>
      </c>
      <c r="G286" s="22"/>
      <c r="H286" s="22"/>
    </row>
    <row r="287" spans="1:8" ht="13.35" customHeight="1">
      <c r="A287" s="82">
        <v>1</v>
      </c>
      <c r="B287" s="67" t="s">
        <v>6726</v>
      </c>
      <c r="C287" s="67" t="s">
        <v>7262</v>
      </c>
      <c r="D287" s="91">
        <v>12275773100</v>
      </c>
      <c r="E287" s="76">
        <v>481391256.49999994</v>
      </c>
      <c r="F287" s="77" t="s">
        <v>10170</v>
      </c>
      <c r="G287" s="22"/>
      <c r="H287" s="22"/>
    </row>
    <row r="288" spans="1:8" ht="13.35" customHeight="1">
      <c r="A288" s="82">
        <v>1</v>
      </c>
      <c r="B288" s="67" t="s">
        <v>6727</v>
      </c>
      <c r="C288" s="67" t="s">
        <v>7263</v>
      </c>
      <c r="D288" s="91">
        <v>11218636100</v>
      </c>
      <c r="E288" s="76">
        <v>439935901.5</v>
      </c>
      <c r="F288" s="77" t="s">
        <v>10170</v>
      </c>
      <c r="G288" s="22"/>
      <c r="H288" s="22"/>
    </row>
    <row r="289" spans="1:8" ht="13.35" customHeight="1">
      <c r="A289" s="82">
        <v>1</v>
      </c>
      <c r="B289" s="67" t="s">
        <v>6728</v>
      </c>
      <c r="C289" s="67" t="s">
        <v>7264</v>
      </c>
      <c r="D289" s="91">
        <v>11218636100</v>
      </c>
      <c r="E289" s="76">
        <v>439935901.5</v>
      </c>
      <c r="F289" s="77" t="s">
        <v>10170</v>
      </c>
      <c r="G289" s="22"/>
      <c r="H289" s="22"/>
    </row>
    <row r="290" spans="1:8" ht="13.35" customHeight="1">
      <c r="A290" s="82">
        <v>1</v>
      </c>
      <c r="B290" s="67" t="s">
        <v>6729</v>
      </c>
      <c r="C290" s="67" t="s">
        <v>7265</v>
      </c>
      <c r="D290" s="91">
        <v>11102073300</v>
      </c>
      <c r="E290" s="76">
        <v>435364921.5</v>
      </c>
      <c r="F290" s="77" t="s">
        <v>10170</v>
      </c>
      <c r="G290" s="22"/>
      <c r="H290" s="22"/>
    </row>
    <row r="291" spans="1:8" ht="13.35" customHeight="1">
      <c r="A291" s="82">
        <v>1</v>
      </c>
      <c r="B291" s="67" t="s">
        <v>6730</v>
      </c>
      <c r="C291" s="67" t="s">
        <v>7266</v>
      </c>
      <c r="D291" s="91">
        <v>11102073300</v>
      </c>
      <c r="E291" s="76">
        <v>435364921.5</v>
      </c>
      <c r="F291" s="77" t="s">
        <v>10170</v>
      </c>
      <c r="G291" s="22"/>
      <c r="H291" s="22"/>
    </row>
    <row r="292" spans="1:8" ht="13.35" customHeight="1">
      <c r="A292" s="82">
        <v>1</v>
      </c>
      <c r="B292" s="67" t="s">
        <v>5535</v>
      </c>
      <c r="C292" s="67" t="s">
        <v>5995</v>
      </c>
      <c r="D292" s="91">
        <v>11167427800</v>
      </c>
      <c r="E292" s="76">
        <v>437927781.99999994</v>
      </c>
      <c r="F292" s="77" t="s">
        <v>10170</v>
      </c>
      <c r="G292" s="22"/>
      <c r="H292" s="22"/>
    </row>
    <row r="293" spans="1:8" ht="13.35" customHeight="1">
      <c r="A293" s="82">
        <v>1</v>
      </c>
      <c r="B293" s="67" t="s">
        <v>5520</v>
      </c>
      <c r="C293" s="67" t="s">
        <v>7267</v>
      </c>
      <c r="D293" s="91">
        <v>11167427800</v>
      </c>
      <c r="E293" s="76">
        <v>437927781.99999994</v>
      </c>
      <c r="F293" s="77" t="s">
        <v>10170</v>
      </c>
      <c r="G293" s="22"/>
      <c r="H293" s="22"/>
    </row>
    <row r="294" spans="1:8" ht="13.35" customHeight="1">
      <c r="A294" s="82">
        <v>1</v>
      </c>
      <c r="B294" s="67" t="s">
        <v>5994</v>
      </c>
      <c r="C294" s="67" t="s">
        <v>5995</v>
      </c>
      <c r="D294" s="91">
        <v>11167427800</v>
      </c>
      <c r="E294" s="76">
        <v>437927781.99999994</v>
      </c>
      <c r="F294" s="77" t="s">
        <v>10170</v>
      </c>
      <c r="G294" s="22"/>
      <c r="H294" s="22"/>
    </row>
    <row r="295" spans="1:8" ht="13.35" customHeight="1">
      <c r="A295" s="82">
        <v>1</v>
      </c>
      <c r="B295" s="67" t="s">
        <v>5996</v>
      </c>
      <c r="C295" s="67" t="s">
        <v>5997</v>
      </c>
      <c r="D295" s="91">
        <v>7891602700</v>
      </c>
      <c r="E295" s="76">
        <v>309467149</v>
      </c>
      <c r="F295" s="77" t="s">
        <v>10170</v>
      </c>
      <c r="G295" s="22"/>
      <c r="H295" s="22"/>
    </row>
    <row r="296" spans="1:8" ht="13.35" customHeight="1">
      <c r="A296" s="82">
        <v>1</v>
      </c>
      <c r="B296" s="67" t="s">
        <v>5519</v>
      </c>
      <c r="C296" s="67" t="s">
        <v>7268</v>
      </c>
      <c r="D296" s="91">
        <v>7891602700</v>
      </c>
      <c r="E296" s="76">
        <v>309467149</v>
      </c>
      <c r="F296" s="77" t="s">
        <v>10170</v>
      </c>
      <c r="G296" s="22"/>
      <c r="H296" s="22"/>
    </row>
    <row r="297" spans="1:8" ht="13.35" customHeight="1">
      <c r="A297" s="82">
        <v>1</v>
      </c>
      <c r="B297" s="67" t="s">
        <v>6731</v>
      </c>
      <c r="C297" s="67" t="s">
        <v>7269</v>
      </c>
      <c r="D297" s="91">
        <v>9457552700</v>
      </c>
      <c r="E297" s="76">
        <v>370875475.5</v>
      </c>
      <c r="F297" s="77" t="s">
        <v>10170</v>
      </c>
      <c r="G297" s="22"/>
      <c r="H297" s="22"/>
    </row>
    <row r="298" spans="1:8" ht="13.35" customHeight="1">
      <c r="A298" s="82">
        <v>1</v>
      </c>
      <c r="B298" s="67" t="s">
        <v>6732</v>
      </c>
      <c r="C298" s="67" t="s">
        <v>7270</v>
      </c>
      <c r="D298" s="91">
        <v>9085974600</v>
      </c>
      <c r="E298" s="76">
        <v>356304135.5</v>
      </c>
      <c r="F298" s="77" t="s">
        <v>10170</v>
      </c>
      <c r="G298" s="22"/>
      <c r="H298" s="22"/>
    </row>
    <row r="299" spans="1:8" ht="13.35" customHeight="1">
      <c r="A299" s="82">
        <v>1</v>
      </c>
      <c r="B299" s="67" t="s">
        <v>6733</v>
      </c>
      <c r="C299" s="67" t="s">
        <v>7271</v>
      </c>
      <c r="D299" s="91">
        <v>8998552500</v>
      </c>
      <c r="E299" s="76">
        <v>352875900.5</v>
      </c>
      <c r="F299" s="77" t="s">
        <v>10170</v>
      </c>
      <c r="G299" s="22"/>
      <c r="H299" s="22"/>
    </row>
    <row r="300" spans="1:8" ht="13.35" customHeight="1">
      <c r="A300" s="82">
        <v>1</v>
      </c>
      <c r="B300" s="67" t="s">
        <v>6734</v>
      </c>
      <c r="C300" s="67" t="s">
        <v>7272</v>
      </c>
      <c r="D300" s="91">
        <v>7912274800</v>
      </c>
      <c r="E300" s="76">
        <v>310277800.5</v>
      </c>
      <c r="F300" s="77" t="s">
        <v>10170</v>
      </c>
      <c r="G300" s="22"/>
      <c r="H300" s="22"/>
    </row>
    <row r="301" spans="1:8" ht="13.35" customHeight="1">
      <c r="A301" s="82">
        <v>1</v>
      </c>
      <c r="B301" s="67" t="s">
        <v>6735</v>
      </c>
      <c r="C301" s="67" t="s">
        <v>7273</v>
      </c>
      <c r="D301" s="91">
        <v>7824852700</v>
      </c>
      <c r="E301" s="76">
        <v>306849565.5</v>
      </c>
      <c r="F301" s="77" t="s">
        <v>10170</v>
      </c>
      <c r="G301" s="22"/>
      <c r="H301" s="22"/>
    </row>
    <row r="302" spans="1:8" ht="13.35" customHeight="1">
      <c r="A302" s="82">
        <v>1</v>
      </c>
      <c r="B302" s="67" t="s">
        <v>6736</v>
      </c>
      <c r="C302" s="67" t="s">
        <v>7274</v>
      </c>
      <c r="D302" s="91">
        <v>7912274800</v>
      </c>
      <c r="E302" s="76">
        <v>310277800.5</v>
      </c>
      <c r="F302" s="77" t="s">
        <v>10170</v>
      </c>
      <c r="G302" s="22"/>
      <c r="H302" s="22"/>
    </row>
    <row r="303" spans="1:8" ht="13.35" customHeight="1">
      <c r="A303" s="82">
        <v>1</v>
      </c>
      <c r="B303" s="67" t="s">
        <v>6737</v>
      </c>
      <c r="C303" s="67" t="s">
        <v>7275</v>
      </c>
      <c r="D303" s="91">
        <v>7824852700</v>
      </c>
      <c r="E303" s="76">
        <v>306849565.5</v>
      </c>
      <c r="F303" s="77" t="s">
        <v>10170</v>
      </c>
      <c r="G303" s="22"/>
      <c r="H303" s="22"/>
    </row>
    <row r="304" spans="1:8" ht="13.35" customHeight="1">
      <c r="A304" s="82">
        <v>1</v>
      </c>
      <c r="B304" s="67" t="s">
        <v>5998</v>
      </c>
      <c r="C304" s="67" t="s">
        <v>5999</v>
      </c>
      <c r="D304" s="91">
        <v>7126474600</v>
      </c>
      <c r="E304" s="76">
        <v>279462850</v>
      </c>
      <c r="F304" s="77" t="s">
        <v>10170</v>
      </c>
      <c r="G304" s="22"/>
      <c r="H304" s="22"/>
    </row>
    <row r="305" spans="1:8" ht="13.35" customHeight="1">
      <c r="A305" s="82">
        <v>1</v>
      </c>
      <c r="B305" s="67" t="s">
        <v>6000</v>
      </c>
      <c r="C305" s="67" t="s">
        <v>6001</v>
      </c>
      <c r="D305" s="91">
        <v>7126474600</v>
      </c>
      <c r="E305" s="76">
        <v>279462850</v>
      </c>
      <c r="F305" s="77" t="s">
        <v>10170</v>
      </c>
      <c r="G305" s="22"/>
      <c r="H305" s="22"/>
    </row>
    <row r="306" spans="1:8" ht="13.35" customHeight="1">
      <c r="A306" s="82">
        <v>1</v>
      </c>
      <c r="B306" s="67" t="s">
        <v>6002</v>
      </c>
      <c r="C306" s="67" t="s">
        <v>6003</v>
      </c>
      <c r="D306" s="91">
        <v>5546309800</v>
      </c>
      <c r="E306" s="76">
        <v>217497100</v>
      </c>
      <c r="F306" s="77" t="s">
        <v>10170</v>
      </c>
      <c r="G306" s="22"/>
      <c r="H306" s="22"/>
    </row>
    <row r="307" spans="1:8" ht="13.35" customHeight="1">
      <c r="A307" s="82">
        <v>1</v>
      </c>
      <c r="B307" s="67" t="s">
        <v>6004</v>
      </c>
      <c r="C307" s="67" t="s">
        <v>6005</v>
      </c>
      <c r="D307" s="91">
        <v>5546309800</v>
      </c>
      <c r="E307" s="76">
        <v>217497100</v>
      </c>
      <c r="F307" s="77" t="s">
        <v>10170</v>
      </c>
      <c r="G307" s="22"/>
      <c r="H307" s="22"/>
    </row>
    <row r="308" spans="1:8" ht="13.35" customHeight="1">
      <c r="A308" s="82">
        <v>1</v>
      </c>
      <c r="B308" s="67" t="s">
        <v>5532</v>
      </c>
      <c r="C308" s="67" t="s">
        <v>7276</v>
      </c>
      <c r="D308" s="91">
        <v>4835235700</v>
      </c>
      <c r="E308" s="76">
        <v>189612512.5</v>
      </c>
      <c r="F308" s="77" t="s">
        <v>10170</v>
      </c>
      <c r="G308" s="22"/>
      <c r="H308" s="22"/>
    </row>
    <row r="309" spans="1:8" ht="13.35" customHeight="1">
      <c r="A309" s="82">
        <v>1</v>
      </c>
      <c r="B309" s="67" t="s">
        <v>5533</v>
      </c>
      <c r="C309" s="67" t="s">
        <v>7277</v>
      </c>
      <c r="D309" s="91">
        <v>4835235700</v>
      </c>
      <c r="E309" s="76">
        <v>189612512.5</v>
      </c>
      <c r="F309" s="77" t="s">
        <v>10170</v>
      </c>
      <c r="G309" s="22"/>
      <c r="H309" s="22"/>
    </row>
    <row r="310" spans="1:8" ht="13.35" customHeight="1">
      <c r="A310" s="82">
        <v>1</v>
      </c>
      <c r="B310" s="67" t="s">
        <v>6738</v>
      </c>
      <c r="C310" s="67" t="s">
        <v>7278</v>
      </c>
      <c r="D310" s="91">
        <v>1173699900</v>
      </c>
      <c r="E310" s="76">
        <v>46026335</v>
      </c>
      <c r="F310" s="77" t="s">
        <v>10170</v>
      </c>
      <c r="G310" s="22"/>
      <c r="H310" s="22"/>
    </row>
    <row r="311" spans="1:8" ht="13.35" customHeight="1">
      <c r="A311" s="82">
        <v>1</v>
      </c>
      <c r="B311" s="67" t="s">
        <v>6739</v>
      </c>
      <c r="C311" s="67" t="s">
        <v>7279</v>
      </c>
      <c r="D311" s="91">
        <v>1173699900</v>
      </c>
      <c r="E311" s="76">
        <v>46026335</v>
      </c>
      <c r="F311" s="77" t="s">
        <v>10170</v>
      </c>
      <c r="G311" s="22"/>
      <c r="H311" s="22"/>
    </row>
    <row r="312" spans="1:8" ht="13.35" customHeight="1">
      <c r="A312" s="82">
        <v>1</v>
      </c>
      <c r="B312" s="67" t="s">
        <v>6740</v>
      </c>
      <c r="C312" s="67" t="s">
        <v>7280</v>
      </c>
      <c r="D312" s="91">
        <v>1173699900</v>
      </c>
      <c r="E312" s="76">
        <v>46026335</v>
      </c>
      <c r="F312" s="77" t="s">
        <v>10170</v>
      </c>
      <c r="G312" s="22"/>
      <c r="H312" s="22"/>
    </row>
    <row r="313" spans="1:8" ht="13.35" customHeight="1">
      <c r="A313" s="82">
        <v>1</v>
      </c>
      <c r="B313" s="67" t="s">
        <v>6741</v>
      </c>
      <c r="C313" s="67" t="s">
        <v>7281</v>
      </c>
      <c r="D313" s="91">
        <v>1173699900</v>
      </c>
      <c r="E313" s="76">
        <v>46026335</v>
      </c>
      <c r="F313" s="77" t="s">
        <v>10170</v>
      </c>
      <c r="G313" s="22"/>
      <c r="H313" s="22"/>
    </row>
    <row r="314" spans="1:8" ht="13.35" customHeight="1">
      <c r="A314" s="82">
        <v>1</v>
      </c>
      <c r="B314" s="67" t="s">
        <v>6742</v>
      </c>
      <c r="C314" s="67" t="s">
        <v>7282</v>
      </c>
      <c r="D314" s="91">
        <v>1422695500</v>
      </c>
      <c r="E314" s="76">
        <v>55790635.000000007</v>
      </c>
      <c r="F314" s="77" t="s">
        <v>10170</v>
      </c>
      <c r="G314" s="22"/>
      <c r="H314" s="22"/>
    </row>
    <row r="315" spans="1:8" ht="13.35" customHeight="1">
      <c r="A315" s="82">
        <v>1</v>
      </c>
      <c r="B315" s="67" t="s">
        <v>6743</v>
      </c>
      <c r="C315" s="67" t="s">
        <v>7283</v>
      </c>
      <c r="D315" s="91">
        <v>1422695500</v>
      </c>
      <c r="E315" s="76">
        <v>55790635.000000007</v>
      </c>
      <c r="F315" s="77" t="s">
        <v>10170</v>
      </c>
      <c r="G315" s="22"/>
      <c r="H315" s="22"/>
    </row>
    <row r="316" spans="1:8" ht="13.35" customHeight="1">
      <c r="A316" s="82">
        <v>1</v>
      </c>
      <c r="B316" s="67" t="s">
        <v>6744</v>
      </c>
      <c r="C316" s="67" t="s">
        <v>7284</v>
      </c>
      <c r="D316" s="91">
        <v>1422695500</v>
      </c>
      <c r="E316" s="76">
        <v>55790635.000000007</v>
      </c>
      <c r="F316" s="77" t="s">
        <v>10170</v>
      </c>
      <c r="G316" s="22"/>
      <c r="H316" s="22"/>
    </row>
    <row r="317" spans="1:8" ht="13.35" customHeight="1">
      <c r="A317" s="82">
        <v>1</v>
      </c>
      <c r="B317" s="67" t="s">
        <v>6745</v>
      </c>
      <c r="C317" s="67" t="s">
        <v>7285</v>
      </c>
      <c r="D317" s="91">
        <v>1422695500</v>
      </c>
      <c r="E317" s="76">
        <v>55790635.000000007</v>
      </c>
      <c r="F317" s="77" t="s">
        <v>10170</v>
      </c>
      <c r="G317" s="22"/>
      <c r="H317" s="22"/>
    </row>
    <row r="318" spans="1:8" ht="13.35" customHeight="1">
      <c r="A318" s="82">
        <v>1</v>
      </c>
      <c r="B318" s="67" t="s">
        <v>6746</v>
      </c>
      <c r="C318" s="67" t="s">
        <v>7286</v>
      </c>
      <c r="D318" s="91">
        <v>3413087400</v>
      </c>
      <c r="E318" s="76">
        <v>133843337.5</v>
      </c>
      <c r="F318" s="77" t="s">
        <v>10170</v>
      </c>
      <c r="G318" s="22"/>
      <c r="H318" s="22"/>
    </row>
    <row r="319" spans="1:8" ht="13.35" customHeight="1">
      <c r="A319" s="82">
        <v>1</v>
      </c>
      <c r="B319" s="67" t="s">
        <v>6747</v>
      </c>
      <c r="C319" s="67" t="s">
        <v>7287</v>
      </c>
      <c r="D319" s="91">
        <v>314596400</v>
      </c>
      <c r="E319" s="76">
        <v>12336817.5</v>
      </c>
      <c r="F319" s="77" t="s">
        <v>10170</v>
      </c>
      <c r="G319" s="22"/>
      <c r="H319" s="22"/>
    </row>
    <row r="320" spans="1:8" ht="13.35" customHeight="1">
      <c r="A320" s="82">
        <v>1</v>
      </c>
      <c r="B320" s="83" t="s">
        <v>2169</v>
      </c>
      <c r="C320" s="67" t="s">
        <v>7288</v>
      </c>
      <c r="D320" s="91">
        <v>6452216200</v>
      </c>
      <c r="E320" s="76">
        <v>253021983.99999997</v>
      </c>
      <c r="F320" s="77" t="s">
        <v>10170</v>
      </c>
      <c r="G320" s="22"/>
      <c r="H320" s="22"/>
    </row>
    <row r="321" spans="1:8" ht="13.35" customHeight="1">
      <c r="A321" s="82">
        <v>1</v>
      </c>
      <c r="B321" s="83" t="s">
        <v>2168</v>
      </c>
      <c r="C321" s="67" t="s">
        <v>7289</v>
      </c>
      <c r="D321" s="91">
        <v>6581037300</v>
      </c>
      <c r="E321" s="76">
        <v>258073668</v>
      </c>
      <c r="F321" s="77" t="s">
        <v>10170</v>
      </c>
      <c r="G321" s="22"/>
      <c r="H321" s="22"/>
    </row>
    <row r="322" spans="1:8" ht="13.35" customHeight="1">
      <c r="A322" s="82">
        <v>1</v>
      </c>
      <c r="B322" s="83" t="s">
        <v>2167</v>
      </c>
      <c r="C322" s="67" t="s">
        <v>7290</v>
      </c>
      <c r="D322" s="91">
        <v>6489428800</v>
      </c>
      <c r="E322" s="76">
        <v>254481264</v>
      </c>
      <c r="F322" s="77" t="s">
        <v>10170</v>
      </c>
      <c r="G322" s="22"/>
      <c r="H322" s="22"/>
    </row>
    <row r="323" spans="1:8" ht="13.35" customHeight="1">
      <c r="A323" s="82">
        <v>1</v>
      </c>
      <c r="B323" s="83" t="s">
        <v>2166</v>
      </c>
      <c r="C323" s="67" t="s">
        <v>7291</v>
      </c>
      <c r="D323" s="91">
        <v>5336401000</v>
      </c>
      <c r="E323" s="76">
        <v>209265580.5</v>
      </c>
      <c r="F323" s="77" t="s">
        <v>10170</v>
      </c>
      <c r="G323" s="22"/>
      <c r="H323" s="22"/>
    </row>
    <row r="324" spans="1:8" ht="13.35" customHeight="1">
      <c r="A324" s="82">
        <v>1</v>
      </c>
      <c r="B324" s="83" t="s">
        <v>2165</v>
      </c>
      <c r="C324" s="67" t="s">
        <v>7292</v>
      </c>
      <c r="D324" s="91">
        <v>5244792500</v>
      </c>
      <c r="E324" s="76">
        <v>205673176.5</v>
      </c>
      <c r="F324" s="77" t="s">
        <v>10170</v>
      </c>
      <c r="G324" s="22"/>
      <c r="H324" s="22"/>
    </row>
    <row r="325" spans="1:8" ht="13.35" customHeight="1">
      <c r="A325" s="82">
        <v>1</v>
      </c>
      <c r="B325" s="83" t="s">
        <v>3636</v>
      </c>
      <c r="C325" s="67" t="s">
        <v>7293</v>
      </c>
      <c r="D325" s="91">
        <v>5336401000</v>
      </c>
      <c r="E325" s="76">
        <v>209265580.5</v>
      </c>
      <c r="F325" s="77" t="s">
        <v>10170</v>
      </c>
      <c r="G325" s="22"/>
      <c r="H325" s="22"/>
    </row>
    <row r="326" spans="1:8" ht="13.35" customHeight="1">
      <c r="A326" s="82">
        <v>1</v>
      </c>
      <c r="B326" s="83" t="s">
        <v>3709</v>
      </c>
      <c r="C326" s="67" t="s">
        <v>7294</v>
      </c>
      <c r="D326" s="91">
        <v>5244792500</v>
      </c>
      <c r="E326" s="76">
        <v>205673176.5</v>
      </c>
      <c r="F326" s="77" t="s">
        <v>10170</v>
      </c>
      <c r="G326" s="22"/>
      <c r="H326" s="22"/>
    </row>
    <row r="327" spans="1:8" ht="13.35" customHeight="1">
      <c r="A327" s="82">
        <v>1</v>
      </c>
      <c r="B327" s="83" t="s">
        <v>2039</v>
      </c>
      <c r="C327" s="67" t="s">
        <v>7295</v>
      </c>
      <c r="D327" s="91">
        <v>9055958300</v>
      </c>
      <c r="E327" s="76">
        <v>355127054.5</v>
      </c>
      <c r="F327" s="77" t="s">
        <v>10170</v>
      </c>
      <c r="G327" s="22"/>
      <c r="H327" s="22"/>
    </row>
    <row r="328" spans="1:8" ht="13.35" customHeight="1">
      <c r="A328" s="82">
        <v>1</v>
      </c>
      <c r="B328" s="83" t="s">
        <v>2038</v>
      </c>
      <c r="C328" s="67" t="s">
        <v>7296</v>
      </c>
      <c r="D328" s="91">
        <v>8565190600</v>
      </c>
      <c r="E328" s="76">
        <v>335881726.5</v>
      </c>
      <c r="F328" s="77" t="s">
        <v>10170</v>
      </c>
      <c r="G328" s="22"/>
      <c r="H328" s="22"/>
    </row>
    <row r="329" spans="1:8" ht="13.35" customHeight="1">
      <c r="A329" s="82">
        <v>1</v>
      </c>
      <c r="B329" s="83" t="s">
        <v>2037</v>
      </c>
      <c r="C329" s="67" t="s">
        <v>7297</v>
      </c>
      <c r="D329" s="91">
        <v>8443045900</v>
      </c>
      <c r="E329" s="76">
        <v>331091854.5</v>
      </c>
      <c r="F329" s="77" t="s">
        <v>10170</v>
      </c>
      <c r="G329" s="22"/>
      <c r="H329" s="22"/>
    </row>
    <row r="330" spans="1:8" ht="13.35" customHeight="1">
      <c r="A330" s="82">
        <v>1</v>
      </c>
      <c r="B330" s="83" t="s">
        <v>2036</v>
      </c>
      <c r="C330" s="67" t="s">
        <v>7298</v>
      </c>
      <c r="D330" s="91">
        <v>7320554400</v>
      </c>
      <c r="E330" s="76">
        <v>287073639</v>
      </c>
      <c r="F330" s="77" t="s">
        <v>10170</v>
      </c>
      <c r="G330" s="22"/>
      <c r="H330" s="22"/>
    </row>
    <row r="331" spans="1:8" ht="13.35" customHeight="1">
      <c r="A331" s="82">
        <v>1</v>
      </c>
      <c r="B331" s="83" t="s">
        <v>2035</v>
      </c>
      <c r="C331" s="67" t="s">
        <v>7299</v>
      </c>
      <c r="D331" s="91">
        <v>7198409700</v>
      </c>
      <c r="E331" s="76">
        <v>282283767</v>
      </c>
      <c r="F331" s="77" t="s">
        <v>10170</v>
      </c>
      <c r="G331" s="22"/>
      <c r="H331" s="22"/>
    </row>
    <row r="332" spans="1:8" ht="13.35" customHeight="1">
      <c r="A332" s="82">
        <v>1</v>
      </c>
      <c r="B332" s="83" t="s">
        <v>2614</v>
      </c>
      <c r="C332" s="67" t="s">
        <v>7300</v>
      </c>
      <c r="D332" s="91">
        <v>6902050100</v>
      </c>
      <c r="E332" s="76">
        <v>270662104</v>
      </c>
      <c r="F332" s="77" t="s">
        <v>10170</v>
      </c>
      <c r="G332" s="22"/>
      <c r="H332" s="22"/>
    </row>
    <row r="333" spans="1:8" ht="13.35" customHeight="1">
      <c r="A333" s="82">
        <v>1</v>
      </c>
      <c r="B333" s="83" t="s">
        <v>5215</v>
      </c>
      <c r="C333" s="67" t="s">
        <v>7301</v>
      </c>
      <c r="D333" s="91">
        <v>8443045900</v>
      </c>
      <c r="E333" s="76">
        <v>331091854.5</v>
      </c>
      <c r="F333" s="77" t="s">
        <v>10170</v>
      </c>
      <c r="G333" s="22"/>
      <c r="H333" s="22"/>
    </row>
    <row r="334" spans="1:8" ht="13.35" customHeight="1">
      <c r="A334" s="82">
        <v>1</v>
      </c>
      <c r="B334" s="83" t="s">
        <v>3710</v>
      </c>
      <c r="C334" s="67" t="s">
        <v>7302</v>
      </c>
      <c r="D334" s="91">
        <v>7320554400</v>
      </c>
      <c r="E334" s="76">
        <v>287073639</v>
      </c>
      <c r="F334" s="77" t="s">
        <v>10170</v>
      </c>
      <c r="G334" s="22"/>
      <c r="H334" s="22"/>
    </row>
    <row r="335" spans="1:8" ht="13.35" customHeight="1">
      <c r="A335" s="82">
        <v>1</v>
      </c>
      <c r="B335" s="83" t="s">
        <v>3711</v>
      </c>
      <c r="C335" s="67" t="s">
        <v>7303</v>
      </c>
      <c r="D335" s="91">
        <v>7198409700</v>
      </c>
      <c r="E335" s="76">
        <v>282283767</v>
      </c>
      <c r="F335" s="77" t="s">
        <v>10170</v>
      </c>
      <c r="G335" s="22"/>
      <c r="H335" s="22"/>
    </row>
    <row r="336" spans="1:8" ht="13.35" customHeight="1">
      <c r="A336" s="82">
        <v>1</v>
      </c>
      <c r="B336" s="83" t="s">
        <v>3450</v>
      </c>
      <c r="C336" s="67" t="s">
        <v>7305</v>
      </c>
      <c r="D336" s="91">
        <v>11944540500</v>
      </c>
      <c r="E336" s="76">
        <v>468402055.00000006</v>
      </c>
      <c r="F336" s="77" t="s">
        <v>10170</v>
      </c>
      <c r="G336" s="22"/>
      <c r="H336" s="22"/>
    </row>
    <row r="337" spans="1:8" ht="13.35" customHeight="1">
      <c r="A337" s="82">
        <v>1</v>
      </c>
      <c r="B337" s="83" t="s">
        <v>3449</v>
      </c>
      <c r="C337" s="67" t="s">
        <v>7306</v>
      </c>
      <c r="D337" s="91">
        <v>11791859700</v>
      </c>
      <c r="E337" s="76">
        <v>462414715</v>
      </c>
      <c r="F337" s="77" t="s">
        <v>10170</v>
      </c>
      <c r="G337" s="22"/>
      <c r="H337" s="22"/>
    </row>
    <row r="338" spans="1:8" ht="13.35" customHeight="1">
      <c r="A338" s="82">
        <v>1</v>
      </c>
      <c r="B338" s="83" t="s">
        <v>3448</v>
      </c>
      <c r="C338" s="67" t="s">
        <v>7307</v>
      </c>
      <c r="D338" s="91">
        <v>10450908600</v>
      </c>
      <c r="E338" s="76">
        <v>409829667.50000006</v>
      </c>
      <c r="F338" s="77" t="s">
        <v>10170</v>
      </c>
      <c r="G338" s="22"/>
      <c r="H338" s="22"/>
    </row>
    <row r="339" spans="1:8" ht="13.35" customHeight="1">
      <c r="A339" s="82">
        <v>1</v>
      </c>
      <c r="B339" s="83" t="s">
        <v>3712</v>
      </c>
      <c r="C339" s="67" t="s">
        <v>7308</v>
      </c>
      <c r="D339" s="91">
        <v>10450908600</v>
      </c>
      <c r="E339" s="76">
        <v>409829667.50000006</v>
      </c>
      <c r="F339" s="77" t="s">
        <v>10170</v>
      </c>
      <c r="G339" s="22"/>
      <c r="H339" s="22"/>
    </row>
    <row r="340" spans="1:8" ht="13.35" customHeight="1">
      <c r="A340" s="82">
        <v>1</v>
      </c>
      <c r="B340" s="83" t="s">
        <v>3447</v>
      </c>
      <c r="C340" s="67" t="s">
        <v>7307</v>
      </c>
      <c r="D340" s="91">
        <v>10298227800</v>
      </c>
      <c r="E340" s="76">
        <v>403842327.5</v>
      </c>
      <c r="F340" s="77" t="s">
        <v>10170</v>
      </c>
      <c r="G340" s="22"/>
      <c r="H340" s="22"/>
    </row>
    <row r="341" spans="1:8" ht="13.35" customHeight="1">
      <c r="A341" s="82">
        <v>1</v>
      </c>
      <c r="B341" s="83" t="s">
        <v>3713</v>
      </c>
      <c r="C341" s="67" t="s">
        <v>7309</v>
      </c>
      <c r="D341" s="91">
        <v>10298227800</v>
      </c>
      <c r="E341" s="76">
        <v>403842327.5</v>
      </c>
      <c r="F341" s="77" t="s">
        <v>10170</v>
      </c>
      <c r="G341" s="22"/>
      <c r="H341" s="22"/>
    </row>
    <row r="342" spans="1:8" ht="13.35" customHeight="1">
      <c r="A342" s="82">
        <v>1</v>
      </c>
      <c r="B342" s="83" t="s">
        <v>4929</v>
      </c>
      <c r="C342" s="67" t="s">
        <v>7310</v>
      </c>
      <c r="D342" s="91">
        <v>16007711800</v>
      </c>
      <c r="E342" s="76">
        <v>627738263</v>
      </c>
      <c r="F342" s="77" t="s">
        <v>10170</v>
      </c>
      <c r="G342" s="22"/>
      <c r="H342" s="22"/>
    </row>
    <row r="343" spans="1:8" ht="13.35" customHeight="1">
      <c r="A343" s="82">
        <v>1</v>
      </c>
      <c r="B343" s="83" t="s">
        <v>4928</v>
      </c>
      <c r="C343" s="67" t="s">
        <v>7311</v>
      </c>
      <c r="D343" s="91">
        <v>14898203600</v>
      </c>
      <c r="E343" s="76">
        <v>584229186</v>
      </c>
      <c r="F343" s="77" t="s">
        <v>10170</v>
      </c>
      <c r="G343" s="22"/>
      <c r="H343" s="22"/>
    </row>
    <row r="344" spans="1:8" ht="13.35" customHeight="1">
      <c r="A344" s="82">
        <v>1</v>
      </c>
      <c r="B344" s="83" t="s">
        <v>4931</v>
      </c>
      <c r="C344" s="67" t="s">
        <v>7312</v>
      </c>
      <c r="D344" s="91">
        <v>14714986600</v>
      </c>
      <c r="E344" s="76">
        <v>577044378</v>
      </c>
      <c r="F344" s="77" t="s">
        <v>10170</v>
      </c>
      <c r="G344" s="22"/>
      <c r="H344" s="22"/>
    </row>
    <row r="345" spans="1:8" ht="13.35" customHeight="1">
      <c r="A345" s="82">
        <v>1</v>
      </c>
      <c r="B345" s="83" t="s">
        <v>4927</v>
      </c>
      <c r="C345" s="67" t="s">
        <v>7313</v>
      </c>
      <c r="D345" s="91">
        <v>13404571700</v>
      </c>
      <c r="E345" s="76">
        <v>525656798.5</v>
      </c>
      <c r="F345" s="77" t="s">
        <v>10170</v>
      </c>
      <c r="G345" s="22"/>
      <c r="H345" s="22"/>
    </row>
    <row r="346" spans="1:8" ht="13.35" customHeight="1">
      <c r="A346" s="82">
        <v>1</v>
      </c>
      <c r="B346" s="83" t="s">
        <v>4932</v>
      </c>
      <c r="C346" s="67" t="s">
        <v>7314</v>
      </c>
      <c r="D346" s="91">
        <v>13404571700</v>
      </c>
      <c r="E346" s="76">
        <v>525656798.5</v>
      </c>
      <c r="F346" s="77" t="s">
        <v>10170</v>
      </c>
      <c r="G346" s="22"/>
      <c r="H346" s="22"/>
    </row>
    <row r="347" spans="1:8" ht="13.35" customHeight="1">
      <c r="A347" s="82">
        <v>1</v>
      </c>
      <c r="B347" s="83" t="s">
        <v>4926</v>
      </c>
      <c r="C347" s="67" t="s">
        <v>7315</v>
      </c>
      <c r="D347" s="91">
        <v>13221354700</v>
      </c>
      <c r="E347" s="76">
        <v>518471990.5</v>
      </c>
      <c r="F347" s="77" t="s">
        <v>10170</v>
      </c>
      <c r="G347" s="22"/>
      <c r="H347" s="22"/>
    </row>
    <row r="348" spans="1:8" ht="13.35" customHeight="1">
      <c r="A348" s="82">
        <v>1</v>
      </c>
      <c r="B348" s="83" t="s">
        <v>5216</v>
      </c>
      <c r="C348" s="67" t="s">
        <v>7316</v>
      </c>
      <c r="D348" s="91">
        <v>14714986600</v>
      </c>
      <c r="E348" s="76">
        <v>577044378</v>
      </c>
      <c r="F348" s="77" t="s">
        <v>10170</v>
      </c>
      <c r="G348" s="22"/>
      <c r="H348" s="22"/>
    </row>
    <row r="349" spans="1:8" ht="13.35" customHeight="1">
      <c r="A349" s="82">
        <v>1</v>
      </c>
      <c r="B349" s="83" t="s">
        <v>4930</v>
      </c>
      <c r="C349" s="67" t="s">
        <v>7317</v>
      </c>
      <c r="D349" s="91">
        <v>13221354700</v>
      </c>
      <c r="E349" s="76">
        <v>518471990.5</v>
      </c>
      <c r="F349" s="77" t="s">
        <v>10170</v>
      </c>
      <c r="G349" s="22"/>
      <c r="H349" s="22"/>
    </row>
    <row r="350" spans="1:8" ht="13.35" customHeight="1">
      <c r="A350" s="82">
        <v>1</v>
      </c>
      <c r="B350" s="83" t="s">
        <v>2800</v>
      </c>
      <c r="C350" s="67" t="s">
        <v>7318</v>
      </c>
      <c r="D350" s="91">
        <v>20807855600</v>
      </c>
      <c r="E350" s="76">
        <v>815974653</v>
      </c>
      <c r="F350" s="77" t="s">
        <v>10170</v>
      </c>
      <c r="G350" s="22"/>
      <c r="H350" s="22"/>
    </row>
    <row r="351" spans="1:8" ht="13.35" customHeight="1">
      <c r="A351" s="82">
        <v>1</v>
      </c>
      <c r="B351" s="83" t="s">
        <v>2799</v>
      </c>
      <c r="C351" s="67" t="s">
        <v>7319</v>
      </c>
      <c r="D351" s="91">
        <v>19698347300</v>
      </c>
      <c r="E351" s="76">
        <v>772465576</v>
      </c>
      <c r="F351" s="77" t="s">
        <v>10170</v>
      </c>
      <c r="G351" s="22"/>
      <c r="H351" s="22"/>
    </row>
    <row r="352" spans="1:8" ht="13.35" customHeight="1">
      <c r="A352" s="82">
        <v>1</v>
      </c>
      <c r="B352" s="83" t="s">
        <v>2801</v>
      </c>
      <c r="C352" s="67" t="s">
        <v>7320</v>
      </c>
      <c r="D352" s="91">
        <v>19515130300</v>
      </c>
      <c r="E352" s="76">
        <v>765280768</v>
      </c>
      <c r="F352" s="77" t="s">
        <v>10170</v>
      </c>
      <c r="G352" s="22"/>
      <c r="H352" s="22"/>
    </row>
    <row r="353" spans="1:8" ht="13.35" customHeight="1">
      <c r="A353" s="82">
        <v>1</v>
      </c>
      <c r="B353" s="83" t="s">
        <v>2798</v>
      </c>
      <c r="C353" s="67" t="s">
        <v>7321</v>
      </c>
      <c r="D353" s="91">
        <v>18204715400</v>
      </c>
      <c r="E353" s="76">
        <v>713893188.5</v>
      </c>
      <c r="F353" s="77" t="s">
        <v>10170</v>
      </c>
      <c r="G353" s="22"/>
      <c r="H353" s="22"/>
    </row>
    <row r="354" spans="1:8" ht="13.35" customHeight="1">
      <c r="A354" s="82">
        <v>1</v>
      </c>
      <c r="B354" s="83" t="s">
        <v>2797</v>
      </c>
      <c r="C354" s="67" t="s">
        <v>7322</v>
      </c>
      <c r="D354" s="91">
        <v>18021498400</v>
      </c>
      <c r="E354" s="76">
        <v>706708380.5</v>
      </c>
      <c r="F354" s="77" t="s">
        <v>10170</v>
      </c>
      <c r="G354" s="22"/>
      <c r="H354" s="22"/>
    </row>
    <row r="355" spans="1:8" ht="13.35" customHeight="1">
      <c r="A355" s="82">
        <v>1</v>
      </c>
      <c r="B355" s="83" t="s">
        <v>3714</v>
      </c>
      <c r="C355" s="67" t="s">
        <v>7323</v>
      </c>
      <c r="D355" s="91">
        <v>18204715400</v>
      </c>
      <c r="E355" s="76">
        <v>713893188.5</v>
      </c>
      <c r="F355" s="77" t="s">
        <v>10170</v>
      </c>
      <c r="G355" s="22"/>
      <c r="H355" s="22"/>
    </row>
    <row r="356" spans="1:8" ht="13.35" customHeight="1">
      <c r="A356" s="82">
        <v>1</v>
      </c>
      <c r="B356" s="83" t="s">
        <v>3715</v>
      </c>
      <c r="C356" s="67" t="s">
        <v>7324</v>
      </c>
      <c r="D356" s="91">
        <v>18021498400</v>
      </c>
      <c r="E356" s="76">
        <v>706708380.5</v>
      </c>
      <c r="F356" s="77" t="s">
        <v>10170</v>
      </c>
      <c r="G356" s="22"/>
      <c r="H356" s="22"/>
    </row>
    <row r="357" spans="1:8" ht="13.35" customHeight="1">
      <c r="A357" s="82">
        <v>1</v>
      </c>
      <c r="B357" s="83" t="s">
        <v>2363</v>
      </c>
      <c r="C357" s="67" t="s">
        <v>2364</v>
      </c>
      <c r="D357" s="91">
        <v>1901054500</v>
      </c>
      <c r="E357" s="76">
        <v>74549357.5</v>
      </c>
      <c r="F357" s="77" t="s">
        <v>10170</v>
      </c>
      <c r="G357" s="22"/>
      <c r="H357" s="22"/>
    </row>
    <row r="358" spans="1:8" ht="13.35" customHeight="1">
      <c r="A358" s="82">
        <v>1</v>
      </c>
      <c r="B358" s="83" t="s">
        <v>2042</v>
      </c>
      <c r="C358" s="67" t="s">
        <v>2043</v>
      </c>
      <c r="D358" s="91">
        <v>1901054500</v>
      </c>
      <c r="E358" s="76">
        <v>74549357.5</v>
      </c>
      <c r="F358" s="77" t="s">
        <v>10170</v>
      </c>
      <c r="G358" s="22"/>
      <c r="H358" s="22"/>
    </row>
    <row r="359" spans="1:8" ht="13.35" customHeight="1">
      <c r="A359" s="82">
        <v>1</v>
      </c>
      <c r="B359" s="83" t="s">
        <v>2830</v>
      </c>
      <c r="C359" s="67" t="s">
        <v>2831</v>
      </c>
      <c r="D359" s="91">
        <v>950493000</v>
      </c>
      <c r="E359" s="76">
        <v>37273337.5</v>
      </c>
      <c r="F359" s="77" t="s">
        <v>10170</v>
      </c>
      <c r="G359" s="22"/>
      <c r="H359" s="22"/>
    </row>
    <row r="360" spans="1:8" ht="13.35" customHeight="1">
      <c r="A360" s="82">
        <v>1</v>
      </c>
      <c r="B360" s="83" t="s">
        <v>2832</v>
      </c>
      <c r="C360" s="67" t="s">
        <v>2833</v>
      </c>
      <c r="D360" s="91">
        <v>950493000</v>
      </c>
      <c r="E360" s="76">
        <v>37273337.5</v>
      </c>
      <c r="F360" s="77" t="s">
        <v>10170</v>
      </c>
      <c r="G360" s="22"/>
      <c r="H360" s="22"/>
    </row>
    <row r="361" spans="1:8" ht="13.35" customHeight="1">
      <c r="A361" s="82">
        <v>1</v>
      </c>
      <c r="B361" s="83" t="s">
        <v>2826</v>
      </c>
      <c r="C361" s="67" t="s">
        <v>2827</v>
      </c>
      <c r="D361" s="91">
        <v>3612010300</v>
      </c>
      <c r="E361" s="76">
        <v>141644047.5</v>
      </c>
      <c r="F361" s="77" t="s">
        <v>10170</v>
      </c>
      <c r="G361" s="22"/>
      <c r="H361" s="22"/>
    </row>
    <row r="362" spans="1:8" ht="13.35" customHeight="1">
      <c r="A362" s="82">
        <v>1</v>
      </c>
      <c r="B362" s="83" t="s">
        <v>2828</v>
      </c>
      <c r="C362" s="67" t="s">
        <v>2829</v>
      </c>
      <c r="D362" s="91">
        <v>3612010300</v>
      </c>
      <c r="E362" s="76">
        <v>141644047.5</v>
      </c>
      <c r="F362" s="77" t="s">
        <v>10170</v>
      </c>
      <c r="G362" s="22"/>
      <c r="H362" s="22"/>
    </row>
    <row r="363" spans="1:8" ht="13.35" customHeight="1">
      <c r="A363" s="82">
        <v>1</v>
      </c>
      <c r="B363" s="83" t="s">
        <v>2200</v>
      </c>
      <c r="C363" s="67" t="s">
        <v>2201</v>
      </c>
      <c r="D363" s="91">
        <v>2851615900</v>
      </c>
      <c r="E363" s="76">
        <v>111825377.5</v>
      </c>
      <c r="F363" s="77" t="s">
        <v>10170</v>
      </c>
      <c r="G363" s="22"/>
      <c r="H363" s="22"/>
    </row>
    <row r="364" spans="1:8" ht="13.35" customHeight="1">
      <c r="A364" s="82">
        <v>1</v>
      </c>
      <c r="B364" s="83" t="s">
        <v>2170</v>
      </c>
      <c r="C364" s="67" t="s">
        <v>2171</v>
      </c>
      <c r="D364" s="91">
        <v>2851615900</v>
      </c>
      <c r="E364" s="76">
        <v>111825377.5</v>
      </c>
      <c r="F364" s="77" t="s">
        <v>10170</v>
      </c>
      <c r="G364" s="22"/>
      <c r="H364" s="22"/>
    </row>
    <row r="365" spans="1:8" ht="13.35" customHeight="1">
      <c r="A365" s="82">
        <v>1</v>
      </c>
      <c r="B365" s="83" t="s">
        <v>2365</v>
      </c>
      <c r="C365" s="67" t="s">
        <v>2366</v>
      </c>
      <c r="D365" s="91">
        <v>1901054500</v>
      </c>
      <c r="E365" s="76">
        <v>74549357.5</v>
      </c>
      <c r="F365" s="77" t="s">
        <v>10170</v>
      </c>
      <c r="G365" s="22"/>
      <c r="H365" s="22"/>
    </row>
    <row r="366" spans="1:8" ht="13.35" customHeight="1">
      <c r="A366" s="82">
        <v>1</v>
      </c>
      <c r="B366" s="83" t="s">
        <v>2044</v>
      </c>
      <c r="C366" s="67" t="s">
        <v>2045</v>
      </c>
      <c r="D366" s="91">
        <v>1901054500</v>
      </c>
      <c r="E366" s="76">
        <v>74549357.5</v>
      </c>
      <c r="F366" s="77" t="s">
        <v>10170</v>
      </c>
      <c r="G366" s="22"/>
      <c r="H366" s="22"/>
    </row>
    <row r="367" spans="1:8" ht="13.35" customHeight="1">
      <c r="A367" s="82">
        <v>1</v>
      </c>
      <c r="B367" s="83" t="s">
        <v>3829</v>
      </c>
      <c r="C367" s="67" t="s">
        <v>3830</v>
      </c>
      <c r="D367" s="91">
        <v>1901054500</v>
      </c>
      <c r="E367" s="76">
        <v>74549357.5</v>
      </c>
      <c r="F367" s="77" t="s">
        <v>10170</v>
      </c>
      <c r="G367" s="22"/>
      <c r="H367" s="22"/>
    </row>
    <row r="368" spans="1:8" ht="13.35" customHeight="1">
      <c r="A368" s="82">
        <v>1</v>
      </c>
      <c r="B368" s="83" t="s">
        <v>3831</v>
      </c>
      <c r="C368" s="67" t="s">
        <v>3832</v>
      </c>
      <c r="D368" s="91">
        <v>1901054500</v>
      </c>
      <c r="E368" s="76">
        <v>74549357.5</v>
      </c>
      <c r="F368" s="77" t="s">
        <v>10170</v>
      </c>
      <c r="G368" s="22"/>
      <c r="H368" s="22"/>
    </row>
    <row r="369" spans="1:8" ht="13.35" customHeight="1">
      <c r="A369" s="82">
        <v>1</v>
      </c>
      <c r="B369" s="83" t="s">
        <v>2367</v>
      </c>
      <c r="C369" s="67" t="s">
        <v>2368</v>
      </c>
      <c r="D369" s="91">
        <v>1425773800</v>
      </c>
      <c r="E369" s="76">
        <v>55911347.500000007</v>
      </c>
      <c r="F369" s="77" t="s">
        <v>10170</v>
      </c>
      <c r="G369" s="22"/>
      <c r="H369" s="22"/>
    </row>
    <row r="370" spans="1:8" ht="13.35" customHeight="1">
      <c r="A370" s="82">
        <v>1</v>
      </c>
      <c r="B370" s="83" t="s">
        <v>2040</v>
      </c>
      <c r="C370" s="67" t="s">
        <v>2041</v>
      </c>
      <c r="D370" s="91">
        <v>1425773800</v>
      </c>
      <c r="E370" s="76">
        <v>55911347.500000007</v>
      </c>
      <c r="F370" s="77" t="s">
        <v>10170</v>
      </c>
      <c r="G370" s="22"/>
      <c r="H370" s="22"/>
    </row>
    <row r="371" spans="1:8" ht="13.35" customHeight="1">
      <c r="A371" s="82">
        <v>1</v>
      </c>
      <c r="B371" s="83" t="s">
        <v>2822</v>
      </c>
      <c r="C371" s="67" t="s">
        <v>2823</v>
      </c>
      <c r="D371" s="91">
        <v>4372404800</v>
      </c>
      <c r="E371" s="76">
        <v>171462717.5</v>
      </c>
      <c r="F371" s="77" t="s">
        <v>10170</v>
      </c>
      <c r="G371" s="22"/>
      <c r="H371" s="22"/>
    </row>
    <row r="372" spans="1:8" ht="13.35" customHeight="1">
      <c r="A372" s="82">
        <v>1</v>
      </c>
      <c r="B372" s="83" t="s">
        <v>2824</v>
      </c>
      <c r="C372" s="67" t="s">
        <v>2825</v>
      </c>
      <c r="D372" s="91">
        <v>4372404800</v>
      </c>
      <c r="E372" s="76">
        <v>171462717.5</v>
      </c>
      <c r="F372" s="77" t="s">
        <v>10170</v>
      </c>
      <c r="G372" s="22"/>
      <c r="H372" s="22"/>
    </row>
    <row r="373" spans="1:8" ht="13.35" customHeight="1">
      <c r="A373" s="82">
        <v>1</v>
      </c>
      <c r="B373" s="83" t="s">
        <v>2810</v>
      </c>
      <c r="C373" s="67" t="s">
        <v>2811</v>
      </c>
      <c r="D373" s="91">
        <v>4372404800</v>
      </c>
      <c r="E373" s="76">
        <v>171462717.5</v>
      </c>
      <c r="F373" s="77" t="s">
        <v>10170</v>
      </c>
      <c r="G373" s="22"/>
      <c r="H373" s="22"/>
    </row>
    <row r="374" spans="1:8" ht="13.35" customHeight="1">
      <c r="A374" s="82">
        <v>1</v>
      </c>
      <c r="B374" s="83" t="s">
        <v>2812</v>
      </c>
      <c r="C374" s="67" t="s">
        <v>2813</v>
      </c>
      <c r="D374" s="91">
        <v>4372404800</v>
      </c>
      <c r="E374" s="76">
        <v>171462717.5</v>
      </c>
      <c r="F374" s="77" t="s">
        <v>10170</v>
      </c>
      <c r="G374" s="22"/>
      <c r="H374" s="22"/>
    </row>
    <row r="375" spans="1:8" ht="13.35" customHeight="1">
      <c r="A375" s="82">
        <v>1</v>
      </c>
      <c r="B375" s="83" t="s">
        <v>2806</v>
      </c>
      <c r="C375" s="67" t="s">
        <v>2807</v>
      </c>
      <c r="D375" s="91">
        <v>3421980100</v>
      </c>
      <c r="E375" s="76">
        <v>134192062.5</v>
      </c>
      <c r="F375" s="77" t="s">
        <v>10170</v>
      </c>
      <c r="G375" s="22"/>
      <c r="H375" s="22"/>
    </row>
    <row r="376" spans="1:8" ht="13.35" customHeight="1">
      <c r="A376" s="82">
        <v>1</v>
      </c>
      <c r="B376" s="83" t="s">
        <v>2808</v>
      </c>
      <c r="C376" s="67" t="s">
        <v>2809</v>
      </c>
      <c r="D376" s="91">
        <v>3421980100</v>
      </c>
      <c r="E376" s="76">
        <v>134192062.5</v>
      </c>
      <c r="F376" s="77" t="s">
        <v>10170</v>
      </c>
      <c r="G376" s="22"/>
      <c r="H376" s="22"/>
    </row>
    <row r="377" spans="1:8" ht="13.35" customHeight="1">
      <c r="A377" s="82">
        <v>1</v>
      </c>
      <c r="B377" s="83" t="s">
        <v>2818</v>
      </c>
      <c r="C377" s="67" t="s">
        <v>2819</v>
      </c>
      <c r="D377" s="91">
        <v>3421980100</v>
      </c>
      <c r="E377" s="76">
        <v>134192062.5</v>
      </c>
      <c r="F377" s="77" t="s">
        <v>10170</v>
      </c>
      <c r="G377" s="22"/>
      <c r="H377" s="22"/>
    </row>
    <row r="378" spans="1:8" ht="13.35" customHeight="1">
      <c r="A378" s="82">
        <v>1</v>
      </c>
      <c r="B378" s="83" t="s">
        <v>2820</v>
      </c>
      <c r="C378" s="67" t="s">
        <v>2821</v>
      </c>
      <c r="D378" s="91">
        <v>3421980100</v>
      </c>
      <c r="E378" s="76">
        <v>134192062.5</v>
      </c>
      <c r="F378" s="77" t="s">
        <v>10170</v>
      </c>
      <c r="G378" s="22"/>
      <c r="H378" s="22"/>
    </row>
    <row r="379" spans="1:8" ht="13.35" customHeight="1">
      <c r="A379" s="82">
        <v>1</v>
      </c>
      <c r="B379" s="83" t="s">
        <v>2814</v>
      </c>
      <c r="C379" s="67" t="s">
        <v>2815</v>
      </c>
      <c r="D379" s="91">
        <v>2851615900</v>
      </c>
      <c r="E379" s="76">
        <v>111825377.5</v>
      </c>
      <c r="F379" s="77" t="s">
        <v>10170</v>
      </c>
      <c r="G379" s="22"/>
      <c r="H379" s="22"/>
    </row>
    <row r="380" spans="1:8" ht="13.35" customHeight="1">
      <c r="A380" s="82">
        <v>1</v>
      </c>
      <c r="B380" s="83" t="s">
        <v>2816</v>
      </c>
      <c r="C380" s="67" t="s">
        <v>2817</v>
      </c>
      <c r="D380" s="91">
        <v>2851615900</v>
      </c>
      <c r="E380" s="76">
        <v>111825377.5</v>
      </c>
      <c r="F380" s="77" t="s">
        <v>10170</v>
      </c>
      <c r="G380" s="22"/>
      <c r="H380" s="22"/>
    </row>
    <row r="381" spans="1:8" ht="13.35" customHeight="1">
      <c r="A381" s="82">
        <v>1</v>
      </c>
      <c r="B381" s="83" t="s">
        <v>2802</v>
      </c>
      <c r="C381" s="67" t="s">
        <v>2803</v>
      </c>
      <c r="D381" s="91">
        <v>2851615900</v>
      </c>
      <c r="E381" s="76">
        <v>111825377.5</v>
      </c>
      <c r="F381" s="77" t="s">
        <v>10170</v>
      </c>
      <c r="G381" s="22"/>
      <c r="H381" s="22"/>
    </row>
    <row r="382" spans="1:8" ht="13.35" customHeight="1">
      <c r="A382" s="82">
        <v>1</v>
      </c>
      <c r="B382" s="83" t="s">
        <v>2804</v>
      </c>
      <c r="C382" s="67" t="s">
        <v>2805</v>
      </c>
      <c r="D382" s="91">
        <v>2851615900</v>
      </c>
      <c r="E382" s="76">
        <v>111825377.5</v>
      </c>
      <c r="F382" s="77" t="s">
        <v>10170</v>
      </c>
      <c r="G382" s="22"/>
      <c r="H382" s="22"/>
    </row>
    <row r="383" spans="1:8" ht="13.35" customHeight="1">
      <c r="A383" s="82">
        <v>1</v>
      </c>
      <c r="B383" s="83" t="s">
        <v>4925</v>
      </c>
      <c r="C383" s="67" t="s">
        <v>7325</v>
      </c>
      <c r="D383" s="91">
        <v>2063927700</v>
      </c>
      <c r="E383" s="76">
        <v>80936390</v>
      </c>
      <c r="F383" s="77" t="s">
        <v>10170</v>
      </c>
      <c r="G383" s="22"/>
      <c r="H383" s="22"/>
    </row>
    <row r="384" spans="1:8" ht="13.35" customHeight="1">
      <c r="A384" s="82">
        <v>1</v>
      </c>
      <c r="B384" s="83" t="s">
        <v>2845</v>
      </c>
      <c r="C384" s="67" t="s">
        <v>7326</v>
      </c>
      <c r="D384" s="91">
        <v>2658367200</v>
      </c>
      <c r="E384" s="76">
        <v>104247180.875</v>
      </c>
      <c r="F384" s="77" t="s">
        <v>10170</v>
      </c>
      <c r="G384" s="22"/>
      <c r="H384" s="22"/>
    </row>
    <row r="385" spans="1:8" ht="13.35" customHeight="1">
      <c r="A385" s="82">
        <v>1</v>
      </c>
      <c r="B385" s="83" t="s">
        <v>3452</v>
      </c>
      <c r="C385" s="67" t="s">
        <v>7327</v>
      </c>
      <c r="D385" s="91">
        <v>1333631700</v>
      </c>
      <c r="E385" s="76">
        <v>52298020</v>
      </c>
      <c r="F385" s="77" t="s">
        <v>10170</v>
      </c>
      <c r="G385" s="22"/>
      <c r="H385" s="22"/>
    </row>
    <row r="386" spans="1:8" ht="13.35" customHeight="1">
      <c r="A386" s="82">
        <v>1</v>
      </c>
      <c r="B386" s="83" t="s">
        <v>2046</v>
      </c>
      <c r="C386" s="67" t="s">
        <v>7328</v>
      </c>
      <c r="D386" s="91">
        <v>889065000</v>
      </c>
      <c r="E386" s="76">
        <v>34864452.5</v>
      </c>
      <c r="F386" s="77" t="s">
        <v>10170</v>
      </c>
      <c r="G386" s="22"/>
      <c r="H386" s="22"/>
    </row>
    <row r="387" spans="1:8" ht="13.35" customHeight="1">
      <c r="A387" s="82">
        <v>1</v>
      </c>
      <c r="B387" s="83" t="s">
        <v>2172</v>
      </c>
      <c r="C387" s="67" t="s">
        <v>7329</v>
      </c>
      <c r="D387" s="91">
        <v>657923100</v>
      </c>
      <c r="E387" s="76">
        <v>25800285</v>
      </c>
      <c r="F387" s="77" t="s">
        <v>10170</v>
      </c>
      <c r="G387" s="22"/>
      <c r="H387" s="22"/>
    </row>
    <row r="388" spans="1:8" ht="13.35" customHeight="1">
      <c r="A388" s="82">
        <v>1</v>
      </c>
      <c r="B388" s="83" t="s">
        <v>6006</v>
      </c>
      <c r="C388" s="67" t="s">
        <v>6007</v>
      </c>
      <c r="D388" s="91">
        <v>88858600</v>
      </c>
      <c r="E388" s="76">
        <v>3484567.5</v>
      </c>
      <c r="F388" s="77" t="s">
        <v>10170</v>
      </c>
      <c r="G388" s="22"/>
      <c r="H388" s="22"/>
    </row>
    <row r="389" spans="1:8" ht="13.35" customHeight="1">
      <c r="A389" s="82">
        <v>1</v>
      </c>
      <c r="B389" s="83" t="s">
        <v>2370</v>
      </c>
      <c r="C389" s="67" t="s">
        <v>2173</v>
      </c>
      <c r="D389" s="91">
        <v>494297400</v>
      </c>
      <c r="E389" s="76">
        <v>19383745</v>
      </c>
      <c r="F389" s="77" t="s">
        <v>10170</v>
      </c>
      <c r="G389" s="22"/>
      <c r="H389" s="22"/>
    </row>
    <row r="390" spans="1:8" ht="13.35" customHeight="1">
      <c r="A390" s="82">
        <v>1</v>
      </c>
      <c r="B390" s="83" t="s">
        <v>6008</v>
      </c>
      <c r="C390" s="67" t="s">
        <v>6009</v>
      </c>
      <c r="D390" s="91">
        <v>1106115300</v>
      </c>
      <c r="E390" s="76">
        <v>43376025</v>
      </c>
      <c r="F390" s="77" t="s">
        <v>10170</v>
      </c>
      <c r="G390" s="22"/>
      <c r="H390" s="22"/>
    </row>
    <row r="391" spans="1:8" ht="13.35" customHeight="1">
      <c r="A391" s="82">
        <v>1</v>
      </c>
      <c r="B391" s="67" t="s">
        <v>5536</v>
      </c>
      <c r="C391" s="67" t="s">
        <v>7330</v>
      </c>
      <c r="D391" s="91">
        <v>157264000</v>
      </c>
      <c r="E391" s="76">
        <v>6167067.4999999991</v>
      </c>
      <c r="F391" s="77" t="s">
        <v>10170</v>
      </c>
      <c r="G391" s="22"/>
      <c r="H391" s="22"/>
    </row>
    <row r="392" spans="1:8" ht="13.35" customHeight="1">
      <c r="A392" s="82">
        <v>1</v>
      </c>
      <c r="B392" s="83" t="s">
        <v>2369</v>
      </c>
      <c r="C392" s="67" t="s">
        <v>2047</v>
      </c>
      <c r="D392" s="91">
        <v>760462800</v>
      </c>
      <c r="E392" s="76">
        <v>29821352.5</v>
      </c>
      <c r="F392" s="77" t="s">
        <v>10170</v>
      </c>
      <c r="G392" s="22"/>
      <c r="H392" s="22"/>
    </row>
    <row r="393" spans="1:8" ht="13.35" customHeight="1">
      <c r="A393" s="82">
        <v>1</v>
      </c>
      <c r="B393" s="83" t="s">
        <v>2696</v>
      </c>
      <c r="C393" s="67" t="s">
        <v>2697</v>
      </c>
      <c r="D393" s="91">
        <v>760462800</v>
      </c>
      <c r="E393" s="76">
        <v>29821352.5</v>
      </c>
      <c r="F393" s="77" t="s">
        <v>10170</v>
      </c>
      <c r="G393" s="22"/>
      <c r="H393" s="22"/>
    </row>
    <row r="394" spans="1:8" ht="13.35" customHeight="1">
      <c r="A394" s="82">
        <v>1</v>
      </c>
      <c r="B394" s="67" t="s">
        <v>5538</v>
      </c>
      <c r="C394" s="67" t="s">
        <v>7331</v>
      </c>
      <c r="D394" s="91">
        <v>1674906200</v>
      </c>
      <c r="E394" s="76">
        <v>65681012.5</v>
      </c>
      <c r="F394" s="77" t="s">
        <v>10170</v>
      </c>
      <c r="G394" s="22"/>
      <c r="H394" s="22"/>
    </row>
    <row r="395" spans="1:8" ht="13.35" customHeight="1">
      <c r="A395" s="82">
        <v>1</v>
      </c>
      <c r="B395" s="67" t="s">
        <v>5537</v>
      </c>
      <c r="C395" s="67" t="s">
        <v>7332</v>
      </c>
      <c r="D395" s="91">
        <v>246191000</v>
      </c>
      <c r="E395" s="76">
        <v>9654317.5</v>
      </c>
      <c r="F395" s="77" t="s">
        <v>10170</v>
      </c>
      <c r="G395" s="22"/>
      <c r="H395" s="22"/>
    </row>
    <row r="396" spans="1:8" ht="13.35" customHeight="1">
      <c r="A396" s="82">
        <v>1</v>
      </c>
      <c r="B396" s="83" t="s">
        <v>3453</v>
      </c>
      <c r="C396" s="67" t="s">
        <v>3454</v>
      </c>
      <c r="D396" s="91">
        <v>1140591600</v>
      </c>
      <c r="E396" s="76">
        <v>44728005</v>
      </c>
      <c r="F396" s="77" t="s">
        <v>10170</v>
      </c>
      <c r="G396" s="22"/>
      <c r="H396" s="22"/>
    </row>
    <row r="397" spans="1:8" ht="13.35" customHeight="1">
      <c r="A397" s="82">
        <v>1</v>
      </c>
      <c r="B397" s="67" t="s">
        <v>5539</v>
      </c>
      <c r="C397" s="67" t="s">
        <v>7333</v>
      </c>
      <c r="D397" s="91">
        <v>2686211700</v>
      </c>
      <c r="E397" s="76">
        <v>105339092.49999999</v>
      </c>
      <c r="F397" s="77" t="s">
        <v>10170</v>
      </c>
      <c r="G397" s="22"/>
      <c r="H397" s="22"/>
    </row>
    <row r="398" spans="1:8" ht="13.35" customHeight="1">
      <c r="A398" s="82">
        <v>1</v>
      </c>
      <c r="B398" s="83" t="s">
        <v>4933</v>
      </c>
      <c r="C398" s="67" t="s">
        <v>4934</v>
      </c>
      <c r="D398" s="91">
        <v>1485149600</v>
      </c>
      <c r="E398" s="76">
        <v>58239757.5</v>
      </c>
      <c r="F398" s="77" t="s">
        <v>10170</v>
      </c>
      <c r="G398" s="22"/>
      <c r="H398" s="22"/>
    </row>
    <row r="399" spans="1:8" ht="13.35" customHeight="1">
      <c r="A399" s="82">
        <v>1</v>
      </c>
      <c r="B399" s="83" t="s">
        <v>2842</v>
      </c>
      <c r="C399" s="67" t="s">
        <v>2843</v>
      </c>
      <c r="D399" s="91">
        <v>1093049900</v>
      </c>
      <c r="E399" s="76">
        <v>42863667.5</v>
      </c>
      <c r="F399" s="77" t="s">
        <v>10170</v>
      </c>
      <c r="G399" s="22"/>
      <c r="H399" s="22"/>
    </row>
    <row r="400" spans="1:8" ht="13.35" customHeight="1">
      <c r="A400" s="82">
        <v>1</v>
      </c>
      <c r="B400" s="83" t="s">
        <v>2844</v>
      </c>
      <c r="C400" s="67" t="s">
        <v>5404</v>
      </c>
      <c r="D400" s="91">
        <v>1493631900</v>
      </c>
      <c r="E400" s="76">
        <v>58572387.5</v>
      </c>
      <c r="F400" s="77" t="s">
        <v>10170</v>
      </c>
      <c r="G400" s="22"/>
      <c r="H400" s="22"/>
    </row>
    <row r="401" spans="1:8" ht="13.35" customHeight="1">
      <c r="A401" s="82">
        <v>1</v>
      </c>
      <c r="B401" s="83" t="s">
        <v>3156</v>
      </c>
      <c r="C401" s="67" t="s">
        <v>3157</v>
      </c>
      <c r="D401" s="91">
        <v>1493631900</v>
      </c>
      <c r="E401" s="76">
        <v>58572387.5</v>
      </c>
      <c r="F401" s="77" t="s">
        <v>10170</v>
      </c>
      <c r="G401" s="22"/>
      <c r="H401" s="22"/>
    </row>
    <row r="402" spans="1:8" ht="13.35" customHeight="1">
      <c r="A402" s="82">
        <v>1</v>
      </c>
      <c r="B402" s="83" t="s">
        <v>3722</v>
      </c>
      <c r="C402" s="67" t="s">
        <v>3721</v>
      </c>
      <c r="D402" s="91">
        <v>1493631900</v>
      </c>
      <c r="E402" s="76">
        <v>58572387.5</v>
      </c>
      <c r="F402" s="77" t="s">
        <v>10170</v>
      </c>
      <c r="G402" s="22"/>
      <c r="H402" s="22"/>
    </row>
    <row r="403" spans="1:8" ht="13.35" customHeight="1">
      <c r="A403" s="82">
        <v>1</v>
      </c>
      <c r="B403" s="83" t="s">
        <v>3720</v>
      </c>
      <c r="C403" s="67" t="s">
        <v>3723</v>
      </c>
      <c r="D403" s="91">
        <v>1493631900</v>
      </c>
      <c r="E403" s="76">
        <v>58572387.5</v>
      </c>
      <c r="F403" s="77" t="s">
        <v>10170</v>
      </c>
      <c r="G403" s="22"/>
      <c r="H403" s="22"/>
    </row>
    <row r="404" spans="1:8" ht="13.35" customHeight="1">
      <c r="A404" s="82">
        <v>1</v>
      </c>
      <c r="B404" s="83" t="s">
        <v>2615</v>
      </c>
      <c r="C404" s="67" t="s">
        <v>5405</v>
      </c>
      <c r="D404" s="91">
        <v>1244636300</v>
      </c>
      <c r="E404" s="76">
        <v>48808087.5</v>
      </c>
      <c r="F404" s="77" t="s">
        <v>10170</v>
      </c>
      <c r="G404" s="22"/>
      <c r="H404" s="22"/>
    </row>
    <row r="405" spans="1:8" ht="13.35" customHeight="1">
      <c r="A405" s="82">
        <v>1</v>
      </c>
      <c r="B405" s="83" t="s">
        <v>3716</v>
      </c>
      <c r="C405" s="67" t="s">
        <v>3717</v>
      </c>
      <c r="D405" s="91">
        <v>1244636300</v>
      </c>
      <c r="E405" s="76">
        <v>48808087.5</v>
      </c>
      <c r="F405" s="77" t="s">
        <v>10170</v>
      </c>
      <c r="G405" s="22"/>
      <c r="H405" s="22"/>
    </row>
    <row r="406" spans="1:8" ht="13.35" customHeight="1">
      <c r="A406" s="82">
        <v>1</v>
      </c>
      <c r="B406" s="83" t="s">
        <v>3718</v>
      </c>
      <c r="C406" s="67" t="s">
        <v>3719</v>
      </c>
      <c r="D406" s="91">
        <v>1244636300</v>
      </c>
      <c r="E406" s="76">
        <v>48808087.5</v>
      </c>
      <c r="F406" s="77" t="s">
        <v>10170</v>
      </c>
      <c r="G406" s="22"/>
      <c r="H406" s="22"/>
    </row>
    <row r="407" spans="1:8" ht="13.35" customHeight="1">
      <c r="A407" s="82">
        <v>1</v>
      </c>
      <c r="B407" s="83" t="s">
        <v>3637</v>
      </c>
      <c r="C407" s="67" t="s">
        <v>3638</v>
      </c>
      <c r="D407" s="91">
        <v>23257800</v>
      </c>
      <c r="E407" s="76">
        <v>912050</v>
      </c>
      <c r="F407" s="77" t="s">
        <v>10170</v>
      </c>
      <c r="G407" s="22"/>
      <c r="H407" s="22"/>
    </row>
    <row r="408" spans="1:8" ht="13.35" customHeight="1">
      <c r="A408" s="82">
        <v>1</v>
      </c>
      <c r="B408" s="83" t="s">
        <v>2054</v>
      </c>
      <c r="C408" s="67" t="s">
        <v>2055</v>
      </c>
      <c r="D408" s="91">
        <v>2736200</v>
      </c>
      <c r="E408" s="76">
        <v>107300</v>
      </c>
      <c r="F408" s="77" t="s">
        <v>10170</v>
      </c>
      <c r="G408" s="22"/>
      <c r="H408" s="22"/>
    </row>
    <row r="409" spans="1:8" ht="13.35" customHeight="1">
      <c r="A409" s="82">
        <v>1</v>
      </c>
      <c r="B409" s="83" t="s">
        <v>2052</v>
      </c>
      <c r="C409" s="67" t="s">
        <v>2053</v>
      </c>
      <c r="D409" s="91">
        <v>2394200</v>
      </c>
      <c r="E409" s="76">
        <v>93887.5</v>
      </c>
      <c r="F409" s="77" t="s">
        <v>10170</v>
      </c>
      <c r="G409" s="22"/>
      <c r="H409" s="22"/>
    </row>
    <row r="410" spans="1:8" ht="13.35" customHeight="1">
      <c r="A410" s="82">
        <v>1</v>
      </c>
      <c r="B410" s="83" t="s">
        <v>2056</v>
      </c>
      <c r="C410" s="67" t="s">
        <v>2057</v>
      </c>
      <c r="D410" s="91">
        <v>410400</v>
      </c>
      <c r="E410" s="76">
        <v>16095</v>
      </c>
      <c r="F410" s="77" t="s">
        <v>10170</v>
      </c>
      <c r="G410" s="22"/>
      <c r="H410" s="22"/>
    </row>
    <row r="411" spans="1:8" ht="13.35" customHeight="1">
      <c r="A411" s="82">
        <v>1</v>
      </c>
      <c r="B411" s="83" t="s">
        <v>4483</v>
      </c>
      <c r="C411" s="67" t="s">
        <v>4484</v>
      </c>
      <c r="D411" s="91">
        <v>63439200</v>
      </c>
      <c r="E411" s="76">
        <v>2487750.5</v>
      </c>
      <c r="F411" s="77" t="s">
        <v>10170</v>
      </c>
      <c r="G411" s="22"/>
      <c r="H411" s="22"/>
    </row>
    <row r="412" spans="1:8" ht="13.35" customHeight="1">
      <c r="A412" s="82">
        <v>1</v>
      </c>
      <c r="B412" s="83" t="s">
        <v>6010</v>
      </c>
      <c r="C412" s="67" t="s">
        <v>6011</v>
      </c>
      <c r="D412" s="91">
        <v>63439200</v>
      </c>
      <c r="E412" s="76">
        <v>2487750.5</v>
      </c>
      <c r="F412" s="77" t="s">
        <v>10170</v>
      </c>
      <c r="G412" s="22"/>
      <c r="H412" s="22"/>
    </row>
    <row r="413" spans="1:8" ht="13.35" customHeight="1">
      <c r="A413" s="82">
        <v>1</v>
      </c>
      <c r="B413" s="83" t="s">
        <v>2048</v>
      </c>
      <c r="C413" s="67" t="s">
        <v>2049</v>
      </c>
      <c r="D413" s="91">
        <v>62741400</v>
      </c>
      <c r="E413" s="76">
        <v>2460389</v>
      </c>
      <c r="F413" s="77" t="s">
        <v>10170</v>
      </c>
      <c r="G413" s="22"/>
      <c r="H413" s="22"/>
    </row>
    <row r="414" spans="1:8" ht="13.35" customHeight="1">
      <c r="A414" s="82">
        <v>1</v>
      </c>
      <c r="B414" s="83" t="s">
        <v>2050</v>
      </c>
      <c r="C414" s="67" t="s">
        <v>2051</v>
      </c>
      <c r="D414" s="91">
        <v>78009500</v>
      </c>
      <c r="E414" s="76">
        <v>3059122.9999999995</v>
      </c>
      <c r="F414" s="77" t="s">
        <v>10170</v>
      </c>
      <c r="G414" s="22"/>
      <c r="H414" s="22"/>
    </row>
    <row r="415" spans="1:8" ht="13.35" customHeight="1">
      <c r="A415" s="82">
        <v>1</v>
      </c>
      <c r="B415" s="83" t="s">
        <v>287</v>
      </c>
      <c r="C415" s="67" t="s">
        <v>288</v>
      </c>
      <c r="D415" s="91">
        <v>45393800</v>
      </c>
      <c r="E415" s="76">
        <v>1780107.0000000002</v>
      </c>
      <c r="F415" s="77" t="s">
        <v>10170</v>
      </c>
      <c r="G415" s="22"/>
      <c r="H415" s="22"/>
    </row>
    <row r="416" spans="1:8" ht="13.35" customHeight="1">
      <c r="A416" s="82">
        <v>1</v>
      </c>
      <c r="B416" s="83" t="s">
        <v>289</v>
      </c>
      <c r="C416" s="67" t="s">
        <v>290</v>
      </c>
      <c r="D416" s="91">
        <v>45393800</v>
      </c>
      <c r="E416" s="76">
        <v>1780107.0000000002</v>
      </c>
      <c r="F416" s="77" t="s">
        <v>10170</v>
      </c>
      <c r="G416" s="22"/>
      <c r="H416" s="22"/>
    </row>
    <row r="417" spans="1:8" ht="13.35" customHeight="1">
      <c r="A417" s="82">
        <v>1</v>
      </c>
      <c r="B417" s="83" t="s">
        <v>2104</v>
      </c>
      <c r="C417" s="67" t="s">
        <v>2105</v>
      </c>
      <c r="D417" s="91">
        <v>87832500</v>
      </c>
      <c r="E417" s="76">
        <v>3444330</v>
      </c>
      <c r="F417" s="77" t="s">
        <v>10170</v>
      </c>
      <c r="G417" s="22"/>
      <c r="H417" s="22"/>
    </row>
    <row r="418" spans="1:8" ht="13.35" customHeight="1">
      <c r="A418" s="82">
        <v>1</v>
      </c>
      <c r="B418" s="83" t="s">
        <v>2106</v>
      </c>
      <c r="C418" s="67" t="s">
        <v>2107</v>
      </c>
      <c r="D418" s="91">
        <v>87832500</v>
      </c>
      <c r="E418" s="76">
        <v>3444330</v>
      </c>
      <c r="F418" s="77" t="s">
        <v>10170</v>
      </c>
      <c r="G418" s="22"/>
      <c r="H418" s="22"/>
    </row>
    <row r="419" spans="1:8" ht="13.35" customHeight="1">
      <c r="A419" s="82">
        <v>1</v>
      </c>
      <c r="B419" s="83" t="s">
        <v>2730</v>
      </c>
      <c r="C419" s="67" t="s">
        <v>2731</v>
      </c>
      <c r="D419" s="91">
        <v>45393800</v>
      </c>
      <c r="E419" s="76">
        <v>1780107.0000000002</v>
      </c>
      <c r="F419" s="77" t="s">
        <v>10170</v>
      </c>
      <c r="G419" s="22"/>
      <c r="H419" s="22"/>
    </row>
    <row r="420" spans="1:8" ht="13.35" customHeight="1">
      <c r="A420" s="82">
        <v>1</v>
      </c>
      <c r="B420" s="83" t="s">
        <v>2732</v>
      </c>
      <c r="C420" s="67" t="s">
        <v>2733</v>
      </c>
      <c r="D420" s="91">
        <v>45393800</v>
      </c>
      <c r="E420" s="76">
        <v>1780107.0000000002</v>
      </c>
      <c r="F420" s="77" t="s">
        <v>10170</v>
      </c>
      <c r="G420" s="22"/>
      <c r="H420" s="22"/>
    </row>
    <row r="421" spans="1:8" ht="13.35" customHeight="1">
      <c r="A421" s="82">
        <v>1</v>
      </c>
      <c r="B421" s="83" t="s">
        <v>2108</v>
      </c>
      <c r="C421" s="67" t="s">
        <v>2109</v>
      </c>
      <c r="D421" s="91">
        <v>87832500</v>
      </c>
      <c r="E421" s="76">
        <v>3444330</v>
      </c>
      <c r="F421" s="77" t="s">
        <v>10170</v>
      </c>
      <c r="G421" s="22"/>
      <c r="H421" s="22"/>
    </row>
    <row r="422" spans="1:8" ht="13.35" customHeight="1">
      <c r="A422" s="82">
        <v>1</v>
      </c>
      <c r="B422" s="83" t="s">
        <v>2110</v>
      </c>
      <c r="C422" s="67" t="s">
        <v>2111</v>
      </c>
      <c r="D422" s="91">
        <v>87832500</v>
      </c>
      <c r="E422" s="76">
        <v>3444330</v>
      </c>
      <c r="F422" s="77" t="s">
        <v>10170</v>
      </c>
      <c r="G422" s="22"/>
      <c r="H422" s="22"/>
    </row>
    <row r="423" spans="1:8" ht="13.35" customHeight="1">
      <c r="A423" s="82">
        <v>1</v>
      </c>
      <c r="B423" s="83" t="s">
        <v>258</v>
      </c>
      <c r="C423" s="67" t="s">
        <v>259</v>
      </c>
      <c r="D423" s="91">
        <v>45393800</v>
      </c>
      <c r="E423" s="76">
        <v>1780107.0000000002</v>
      </c>
      <c r="F423" s="77" t="s">
        <v>10170</v>
      </c>
      <c r="G423" s="22"/>
      <c r="H423" s="22"/>
    </row>
    <row r="424" spans="1:8" ht="13.35" customHeight="1">
      <c r="A424" s="82">
        <v>1</v>
      </c>
      <c r="B424" s="83" t="s">
        <v>260</v>
      </c>
      <c r="C424" s="67" t="s">
        <v>261</v>
      </c>
      <c r="D424" s="91">
        <v>45393800</v>
      </c>
      <c r="E424" s="76">
        <v>1780107.0000000002</v>
      </c>
      <c r="F424" s="77" t="s">
        <v>10170</v>
      </c>
      <c r="G424" s="22"/>
      <c r="H424" s="22"/>
    </row>
    <row r="425" spans="1:8" ht="13.35" customHeight="1">
      <c r="A425" s="82">
        <v>1</v>
      </c>
      <c r="B425" s="83" t="s">
        <v>287</v>
      </c>
      <c r="C425" s="67" t="s">
        <v>288</v>
      </c>
      <c r="D425" s="91">
        <v>45393800</v>
      </c>
      <c r="E425" s="76">
        <v>1780107.0000000002</v>
      </c>
      <c r="F425" s="77" t="s">
        <v>10170</v>
      </c>
      <c r="G425" s="22"/>
      <c r="H425" s="22"/>
    </row>
    <row r="426" spans="1:8" ht="13.35" customHeight="1">
      <c r="A426" s="82">
        <v>1</v>
      </c>
      <c r="B426" s="83" t="s">
        <v>289</v>
      </c>
      <c r="C426" s="67" t="s">
        <v>290</v>
      </c>
      <c r="D426" s="91">
        <v>45393800</v>
      </c>
      <c r="E426" s="76">
        <v>1780107.0000000002</v>
      </c>
      <c r="F426" s="77" t="s">
        <v>10170</v>
      </c>
      <c r="G426" s="22"/>
      <c r="H426" s="22"/>
    </row>
    <row r="427" spans="1:8" ht="13.35" customHeight="1">
      <c r="A427" s="82">
        <v>1</v>
      </c>
      <c r="B427" s="83" t="s">
        <v>5640</v>
      </c>
      <c r="C427" s="67" t="s">
        <v>7334</v>
      </c>
      <c r="D427" s="91">
        <v>54655900</v>
      </c>
      <c r="E427" s="76">
        <v>2143317.5</v>
      </c>
      <c r="F427" s="77" t="s">
        <v>10170</v>
      </c>
      <c r="G427" s="22"/>
      <c r="H427" s="22"/>
    </row>
    <row r="428" spans="1:8" ht="13.35" customHeight="1">
      <c r="A428" s="82">
        <v>1</v>
      </c>
      <c r="B428" s="83" t="s">
        <v>2764</v>
      </c>
      <c r="C428" s="67" t="s">
        <v>2765</v>
      </c>
      <c r="D428" s="91">
        <v>36022300</v>
      </c>
      <c r="E428" s="76">
        <v>1412604.5</v>
      </c>
      <c r="F428" s="77" t="s">
        <v>10170</v>
      </c>
      <c r="G428" s="22"/>
      <c r="H428" s="22"/>
    </row>
    <row r="429" spans="1:8" ht="13.35" customHeight="1">
      <c r="A429" s="82">
        <v>1</v>
      </c>
      <c r="B429" s="83" t="s">
        <v>4606</v>
      </c>
      <c r="C429" s="67" t="s">
        <v>4607</v>
      </c>
      <c r="D429" s="91">
        <v>36022300</v>
      </c>
      <c r="E429" s="76">
        <v>1412604.5</v>
      </c>
      <c r="F429" s="77" t="s">
        <v>10170</v>
      </c>
      <c r="G429" s="22"/>
      <c r="H429" s="22"/>
    </row>
    <row r="430" spans="1:8" ht="13.35" customHeight="1">
      <c r="A430" s="82">
        <v>1</v>
      </c>
      <c r="B430" s="83" t="s">
        <v>3423</v>
      </c>
      <c r="C430" s="67" t="s">
        <v>3424</v>
      </c>
      <c r="D430" s="91">
        <v>7155200</v>
      </c>
      <c r="E430" s="76">
        <v>280589.5</v>
      </c>
      <c r="F430" s="77" t="s">
        <v>10170</v>
      </c>
      <c r="G430" s="22"/>
      <c r="H430" s="22"/>
    </row>
    <row r="431" spans="1:8" ht="13.35" customHeight="1">
      <c r="A431" s="82">
        <v>1</v>
      </c>
      <c r="B431" s="83" t="s">
        <v>3425</v>
      </c>
      <c r="C431" s="67" t="s">
        <v>3426</v>
      </c>
      <c r="D431" s="91">
        <v>7155200</v>
      </c>
      <c r="E431" s="76">
        <v>280589.5</v>
      </c>
      <c r="F431" s="77" t="s">
        <v>10170</v>
      </c>
      <c r="G431" s="22"/>
      <c r="H431" s="22"/>
    </row>
    <row r="432" spans="1:8" ht="13.35" customHeight="1">
      <c r="A432" s="82">
        <v>1</v>
      </c>
      <c r="B432" s="83" t="s">
        <v>3419</v>
      </c>
      <c r="C432" s="67" t="s">
        <v>3420</v>
      </c>
      <c r="D432" s="91">
        <v>2818300</v>
      </c>
      <c r="E432" s="76">
        <v>110519</v>
      </c>
      <c r="F432" s="77" t="s">
        <v>10170</v>
      </c>
      <c r="G432" s="22"/>
      <c r="H432" s="22"/>
    </row>
    <row r="433" spans="1:8" ht="13.35" customHeight="1">
      <c r="A433" s="82">
        <v>1</v>
      </c>
      <c r="B433" s="83" t="s">
        <v>3421</v>
      </c>
      <c r="C433" s="67" t="s">
        <v>3422</v>
      </c>
      <c r="D433" s="91">
        <v>2818300</v>
      </c>
      <c r="E433" s="76">
        <v>110519</v>
      </c>
      <c r="F433" s="77" t="s">
        <v>10170</v>
      </c>
      <c r="G433" s="22"/>
      <c r="H433" s="22"/>
    </row>
    <row r="434" spans="1:8" ht="13.35" customHeight="1">
      <c r="A434" s="82">
        <v>1</v>
      </c>
      <c r="B434" s="67" t="s">
        <v>6158</v>
      </c>
      <c r="C434" s="67" t="s">
        <v>6159</v>
      </c>
      <c r="D434" s="91">
        <v>15391200</v>
      </c>
      <c r="E434" s="76">
        <v>603562.5</v>
      </c>
      <c r="F434" s="77" t="s">
        <v>10170</v>
      </c>
      <c r="G434" s="22"/>
      <c r="H434" s="22"/>
    </row>
    <row r="435" spans="1:8" ht="13.35" customHeight="1">
      <c r="A435" s="82">
        <v>1</v>
      </c>
      <c r="B435" s="67" t="s">
        <v>6160</v>
      </c>
      <c r="C435" s="67" t="s">
        <v>6161</v>
      </c>
      <c r="D435" s="91">
        <v>15391200</v>
      </c>
      <c r="E435" s="76">
        <v>603562.5</v>
      </c>
      <c r="F435" s="77" t="s">
        <v>10170</v>
      </c>
      <c r="G435" s="22"/>
      <c r="H435" s="22"/>
    </row>
    <row r="436" spans="1:8" ht="13.35" customHeight="1">
      <c r="A436" s="82">
        <v>1</v>
      </c>
      <c r="B436" s="67" t="s">
        <v>6162</v>
      </c>
      <c r="C436" s="67" t="s">
        <v>6163</v>
      </c>
      <c r="D436" s="91">
        <v>17443400</v>
      </c>
      <c r="E436" s="76">
        <v>684037.5</v>
      </c>
      <c r="F436" s="77" t="s">
        <v>10170</v>
      </c>
      <c r="G436" s="22"/>
      <c r="H436" s="22"/>
    </row>
    <row r="437" spans="1:8" ht="13.35" customHeight="1">
      <c r="A437" s="82">
        <v>1</v>
      </c>
      <c r="B437" s="67" t="s">
        <v>6164</v>
      </c>
      <c r="C437" s="67" t="s">
        <v>6165</v>
      </c>
      <c r="D437" s="91">
        <v>17443400</v>
      </c>
      <c r="E437" s="76">
        <v>684037.5</v>
      </c>
      <c r="F437" s="77" t="s">
        <v>10170</v>
      </c>
      <c r="G437" s="22"/>
      <c r="H437" s="22"/>
    </row>
    <row r="438" spans="1:8" ht="13.35" customHeight="1">
      <c r="A438" s="82">
        <v>1</v>
      </c>
      <c r="B438" s="83" t="s">
        <v>4229</v>
      </c>
      <c r="C438" s="67" t="s">
        <v>4230</v>
      </c>
      <c r="D438" s="91">
        <v>28798700</v>
      </c>
      <c r="E438" s="76">
        <v>1129332.5</v>
      </c>
      <c r="F438" s="77" t="s">
        <v>10170</v>
      </c>
      <c r="G438" s="22"/>
      <c r="H438" s="22"/>
    </row>
    <row r="439" spans="1:8" ht="13.35" customHeight="1">
      <c r="A439" s="82">
        <v>1</v>
      </c>
      <c r="B439" s="83" t="s">
        <v>2385</v>
      </c>
      <c r="C439" s="67" t="s">
        <v>2386</v>
      </c>
      <c r="D439" s="91">
        <v>37828200</v>
      </c>
      <c r="E439" s="76">
        <v>1483422.5</v>
      </c>
      <c r="F439" s="77" t="s">
        <v>10170</v>
      </c>
      <c r="G439" s="22"/>
      <c r="H439" s="22"/>
    </row>
    <row r="440" spans="1:8" ht="13.35" customHeight="1">
      <c r="A440" s="82">
        <v>1</v>
      </c>
      <c r="B440" s="83" t="s">
        <v>3932</v>
      </c>
      <c r="C440" s="67" t="s">
        <v>4740</v>
      </c>
      <c r="D440" s="91">
        <v>33204000</v>
      </c>
      <c r="E440" s="76">
        <v>1302085.5</v>
      </c>
      <c r="F440" s="77" t="s">
        <v>10170</v>
      </c>
      <c r="G440" s="22"/>
      <c r="H440" s="22"/>
    </row>
    <row r="441" spans="1:8" ht="13.35" customHeight="1">
      <c r="A441" s="82">
        <v>1</v>
      </c>
      <c r="B441" s="83" t="s">
        <v>4741</v>
      </c>
      <c r="C441" s="67" t="s">
        <v>4742</v>
      </c>
      <c r="D441" s="91">
        <v>33204000</v>
      </c>
      <c r="E441" s="76">
        <v>1302085.5</v>
      </c>
      <c r="F441" s="77" t="s">
        <v>10170</v>
      </c>
      <c r="G441" s="22"/>
      <c r="H441" s="22"/>
    </row>
    <row r="442" spans="1:8" ht="13.35" customHeight="1">
      <c r="A442" s="82">
        <v>1</v>
      </c>
      <c r="B442" s="83" t="s">
        <v>1293</v>
      </c>
      <c r="C442" s="67" t="s">
        <v>1294</v>
      </c>
      <c r="D442" s="91">
        <v>16608800</v>
      </c>
      <c r="E442" s="76">
        <v>651311</v>
      </c>
      <c r="F442" s="77" t="s">
        <v>10170</v>
      </c>
      <c r="G442" s="22"/>
      <c r="H442" s="22"/>
    </row>
    <row r="443" spans="1:8" ht="13.35" customHeight="1">
      <c r="A443" s="82">
        <v>1</v>
      </c>
      <c r="B443" s="83" t="s">
        <v>1291</v>
      </c>
      <c r="C443" s="67" t="s">
        <v>1292</v>
      </c>
      <c r="D443" s="91">
        <v>16608800</v>
      </c>
      <c r="E443" s="76">
        <v>651311</v>
      </c>
      <c r="F443" s="77" t="s">
        <v>10170</v>
      </c>
      <c r="G443" s="22"/>
      <c r="H443" s="22"/>
    </row>
    <row r="444" spans="1:8" ht="13.35" customHeight="1">
      <c r="A444" s="82">
        <v>1</v>
      </c>
      <c r="B444" s="67" t="s">
        <v>6166</v>
      </c>
      <c r="C444" s="67" t="s">
        <v>6167</v>
      </c>
      <c r="D444" s="91">
        <v>24557500</v>
      </c>
      <c r="E444" s="76">
        <v>963017.5</v>
      </c>
      <c r="F444" s="77" t="s">
        <v>10170</v>
      </c>
      <c r="G444" s="22"/>
      <c r="H444" s="22"/>
    </row>
    <row r="445" spans="1:8" ht="13.35" customHeight="1">
      <c r="A445" s="82">
        <v>1</v>
      </c>
      <c r="B445" s="67" t="s">
        <v>6168</v>
      </c>
      <c r="C445" s="67" t="s">
        <v>6169</v>
      </c>
      <c r="D445" s="91">
        <v>24557500</v>
      </c>
      <c r="E445" s="76">
        <v>963017.5</v>
      </c>
      <c r="F445" s="77" t="s">
        <v>10170</v>
      </c>
      <c r="G445" s="22"/>
      <c r="H445" s="22"/>
    </row>
    <row r="446" spans="1:8" ht="13.35" customHeight="1">
      <c r="A446" s="82">
        <v>1</v>
      </c>
      <c r="B446" s="67" t="s">
        <v>6170</v>
      </c>
      <c r="C446" s="67" t="s">
        <v>6171</v>
      </c>
      <c r="D446" s="91">
        <v>24557500</v>
      </c>
      <c r="E446" s="76">
        <v>963017.5</v>
      </c>
      <c r="F446" s="77" t="s">
        <v>10170</v>
      </c>
      <c r="G446" s="22"/>
      <c r="H446" s="22"/>
    </row>
    <row r="447" spans="1:8" ht="13.35" customHeight="1">
      <c r="A447" s="82">
        <v>1</v>
      </c>
      <c r="B447" s="67" t="s">
        <v>6172</v>
      </c>
      <c r="C447" s="67" t="s">
        <v>6173</v>
      </c>
      <c r="D447" s="91">
        <v>34134300</v>
      </c>
      <c r="E447" s="76">
        <v>1338567.5</v>
      </c>
      <c r="F447" s="77" t="s">
        <v>10170</v>
      </c>
      <c r="G447" s="22"/>
      <c r="H447" s="22"/>
    </row>
    <row r="448" spans="1:8" ht="13.35" customHeight="1">
      <c r="A448" s="82">
        <v>1</v>
      </c>
      <c r="B448" s="67" t="s">
        <v>6748</v>
      </c>
      <c r="C448" s="67" t="s">
        <v>7335</v>
      </c>
      <c r="D448" s="91">
        <v>41043200</v>
      </c>
      <c r="E448" s="76">
        <v>1609500</v>
      </c>
      <c r="F448" s="77" t="s">
        <v>10170</v>
      </c>
      <c r="G448" s="22"/>
      <c r="H448" s="22"/>
    </row>
    <row r="449" spans="1:8" ht="13.35" customHeight="1">
      <c r="A449" s="82">
        <v>1</v>
      </c>
      <c r="B449" s="67" t="s">
        <v>6749</v>
      </c>
      <c r="C449" s="67" t="s">
        <v>7336</v>
      </c>
      <c r="D449" s="91">
        <v>41043200</v>
      </c>
      <c r="E449" s="76">
        <v>1609500</v>
      </c>
      <c r="F449" s="77" t="s">
        <v>10170</v>
      </c>
      <c r="G449" s="22"/>
      <c r="H449" s="22"/>
    </row>
    <row r="450" spans="1:8" ht="13.35" customHeight="1">
      <c r="A450" s="82">
        <v>1</v>
      </c>
      <c r="B450" s="67" t="s">
        <v>6750</v>
      </c>
      <c r="C450" s="67" t="s">
        <v>7337</v>
      </c>
      <c r="D450" s="91">
        <v>41043200</v>
      </c>
      <c r="E450" s="76">
        <v>1609500</v>
      </c>
      <c r="F450" s="77" t="s">
        <v>10170</v>
      </c>
      <c r="G450" s="22"/>
      <c r="H450" s="22"/>
    </row>
    <row r="451" spans="1:8" ht="13.35" customHeight="1">
      <c r="A451" s="82">
        <v>1</v>
      </c>
      <c r="B451" s="83" t="s">
        <v>1296</v>
      </c>
      <c r="C451" s="67" t="s">
        <v>2274</v>
      </c>
      <c r="D451" s="91">
        <v>10548100</v>
      </c>
      <c r="E451" s="76">
        <v>413641.5</v>
      </c>
      <c r="F451" s="77" t="s">
        <v>10170</v>
      </c>
      <c r="G451" s="22"/>
      <c r="H451" s="22"/>
    </row>
    <row r="452" spans="1:8" ht="13.35" customHeight="1">
      <c r="A452" s="82">
        <v>1</v>
      </c>
      <c r="B452" s="83" t="s">
        <v>1295</v>
      </c>
      <c r="C452" s="67" t="s">
        <v>2275</v>
      </c>
      <c r="D452" s="91">
        <v>10548100</v>
      </c>
      <c r="E452" s="76">
        <v>413641.5</v>
      </c>
      <c r="F452" s="77" t="s">
        <v>10170</v>
      </c>
      <c r="G452" s="22"/>
      <c r="H452" s="22"/>
    </row>
    <row r="453" spans="1:8" ht="13.35" customHeight="1">
      <c r="A453" s="82">
        <v>1</v>
      </c>
      <c r="B453" s="83" t="s">
        <v>2084</v>
      </c>
      <c r="C453" s="67" t="s">
        <v>2276</v>
      </c>
      <c r="D453" s="91">
        <v>10548100</v>
      </c>
      <c r="E453" s="76">
        <v>413641.5</v>
      </c>
      <c r="F453" s="77" t="s">
        <v>10170</v>
      </c>
      <c r="G453" s="22"/>
      <c r="H453" s="22"/>
    </row>
    <row r="454" spans="1:8" ht="13.35" customHeight="1">
      <c r="A454" s="82">
        <v>1</v>
      </c>
      <c r="B454" s="83" t="s">
        <v>2085</v>
      </c>
      <c r="C454" s="67" t="s">
        <v>2277</v>
      </c>
      <c r="D454" s="91">
        <v>10548100</v>
      </c>
      <c r="E454" s="76">
        <v>413641.5</v>
      </c>
      <c r="F454" s="77" t="s">
        <v>10170</v>
      </c>
      <c r="G454" s="22"/>
      <c r="H454" s="22"/>
    </row>
    <row r="455" spans="1:8" ht="13.35" customHeight="1">
      <c r="A455" s="82">
        <v>1</v>
      </c>
      <c r="B455" s="83" t="s">
        <v>2432</v>
      </c>
      <c r="C455" s="67" t="s">
        <v>2433</v>
      </c>
      <c r="D455" s="91">
        <v>33354500</v>
      </c>
      <c r="E455" s="76">
        <v>1307987</v>
      </c>
      <c r="F455" s="77" t="s">
        <v>10170</v>
      </c>
      <c r="G455" s="22"/>
      <c r="H455" s="22"/>
    </row>
    <row r="456" spans="1:8" ht="13.35" customHeight="1">
      <c r="A456" s="82">
        <v>1</v>
      </c>
      <c r="B456" s="83" t="s">
        <v>3806</v>
      </c>
      <c r="C456" s="67" t="s">
        <v>3807</v>
      </c>
      <c r="D456" s="91">
        <v>506200</v>
      </c>
      <c r="E456" s="76">
        <v>19850.5</v>
      </c>
      <c r="F456" s="77" t="s">
        <v>10170</v>
      </c>
      <c r="G456" s="22"/>
      <c r="H456" s="22"/>
    </row>
    <row r="457" spans="1:8" ht="13.35" customHeight="1">
      <c r="A457" s="82">
        <v>1</v>
      </c>
      <c r="B457" s="83" t="s">
        <v>138</v>
      </c>
      <c r="C457" s="67" t="s">
        <v>5433</v>
      </c>
      <c r="D457" s="91">
        <v>11054300</v>
      </c>
      <c r="E457" s="76">
        <v>433491.99999999994</v>
      </c>
      <c r="F457" s="77" t="s">
        <v>10170</v>
      </c>
      <c r="G457" s="22"/>
      <c r="H457" s="22"/>
    </row>
    <row r="458" spans="1:8" ht="13.35" customHeight="1">
      <c r="A458" s="82">
        <v>1</v>
      </c>
      <c r="B458" s="83" t="s">
        <v>139</v>
      </c>
      <c r="C458" s="67" t="s">
        <v>5434</v>
      </c>
      <c r="D458" s="91">
        <v>11054300</v>
      </c>
      <c r="E458" s="76">
        <v>433491.99999999994</v>
      </c>
      <c r="F458" s="77" t="s">
        <v>10170</v>
      </c>
      <c r="G458" s="22"/>
      <c r="H458" s="22"/>
    </row>
    <row r="459" spans="1:8" ht="13.35" customHeight="1">
      <c r="A459" s="82">
        <v>1</v>
      </c>
      <c r="B459" s="83" t="s">
        <v>140</v>
      </c>
      <c r="C459" s="67" t="s">
        <v>5435</v>
      </c>
      <c r="D459" s="91">
        <v>11054300</v>
      </c>
      <c r="E459" s="76">
        <v>433491.99999999994</v>
      </c>
      <c r="F459" s="77" t="s">
        <v>10170</v>
      </c>
      <c r="G459" s="22"/>
      <c r="H459" s="22"/>
    </row>
    <row r="460" spans="1:8" ht="13.35" customHeight="1">
      <c r="A460" s="82">
        <v>1</v>
      </c>
      <c r="B460" s="83" t="s">
        <v>141</v>
      </c>
      <c r="C460" s="67" t="s">
        <v>5436</v>
      </c>
      <c r="D460" s="91">
        <v>11054300</v>
      </c>
      <c r="E460" s="76">
        <v>433491.99999999994</v>
      </c>
      <c r="F460" s="77" t="s">
        <v>10170</v>
      </c>
      <c r="G460" s="22"/>
      <c r="H460" s="22"/>
    </row>
    <row r="461" spans="1:8" ht="13.35" customHeight="1">
      <c r="A461" s="82">
        <v>1</v>
      </c>
      <c r="B461" s="83" t="s">
        <v>198</v>
      </c>
      <c r="C461" s="67" t="s">
        <v>5437</v>
      </c>
      <c r="D461" s="91">
        <v>18127400</v>
      </c>
      <c r="E461" s="76">
        <v>710862.5</v>
      </c>
      <c r="F461" s="77" t="s">
        <v>10170</v>
      </c>
      <c r="G461" s="22"/>
      <c r="H461" s="22"/>
    </row>
    <row r="462" spans="1:8" ht="13.35" customHeight="1">
      <c r="A462" s="82">
        <v>1</v>
      </c>
      <c r="B462" s="83" t="s">
        <v>199</v>
      </c>
      <c r="C462" s="67" t="s">
        <v>5438</v>
      </c>
      <c r="D462" s="91">
        <v>18127400</v>
      </c>
      <c r="E462" s="76">
        <v>710862.5</v>
      </c>
      <c r="F462" s="77" t="s">
        <v>10170</v>
      </c>
      <c r="G462" s="22"/>
      <c r="H462" s="22"/>
    </row>
    <row r="463" spans="1:8" ht="13.35" customHeight="1">
      <c r="A463" s="82">
        <v>1</v>
      </c>
      <c r="B463" s="83" t="s">
        <v>200</v>
      </c>
      <c r="C463" s="67" t="s">
        <v>5439</v>
      </c>
      <c r="D463" s="91">
        <v>18127400</v>
      </c>
      <c r="E463" s="76">
        <v>710862.5</v>
      </c>
      <c r="F463" s="77" t="s">
        <v>10170</v>
      </c>
      <c r="G463" s="22"/>
      <c r="H463" s="22"/>
    </row>
    <row r="464" spans="1:8" ht="13.35" customHeight="1">
      <c r="A464" s="82">
        <v>1</v>
      </c>
      <c r="B464" s="83" t="s">
        <v>201</v>
      </c>
      <c r="C464" s="67" t="s">
        <v>5440</v>
      </c>
      <c r="D464" s="91">
        <v>18127400</v>
      </c>
      <c r="E464" s="76">
        <v>710862.5</v>
      </c>
      <c r="F464" s="77" t="s">
        <v>10170</v>
      </c>
      <c r="G464" s="22"/>
      <c r="H464" s="22"/>
    </row>
    <row r="465" spans="1:8" ht="13.35" customHeight="1">
      <c r="A465" s="82">
        <v>1</v>
      </c>
      <c r="B465" s="83" t="s">
        <v>2722</v>
      </c>
      <c r="C465" s="67" t="s">
        <v>2723</v>
      </c>
      <c r="D465" s="91">
        <v>11054300</v>
      </c>
      <c r="E465" s="76">
        <v>433491.99999999994</v>
      </c>
      <c r="F465" s="77" t="s">
        <v>10170</v>
      </c>
      <c r="G465" s="22"/>
      <c r="H465" s="22"/>
    </row>
    <row r="466" spans="1:8" ht="13.35" customHeight="1">
      <c r="A466" s="82">
        <v>1</v>
      </c>
      <c r="B466" s="83" t="s">
        <v>2724</v>
      </c>
      <c r="C466" s="67" t="s">
        <v>2725</v>
      </c>
      <c r="D466" s="91">
        <v>11054300</v>
      </c>
      <c r="E466" s="76">
        <v>433491.99999999994</v>
      </c>
      <c r="F466" s="77" t="s">
        <v>10170</v>
      </c>
      <c r="G466" s="22"/>
      <c r="H466" s="22"/>
    </row>
    <row r="467" spans="1:8" ht="13.35" customHeight="1">
      <c r="A467" s="82">
        <v>1</v>
      </c>
      <c r="B467" s="83" t="s">
        <v>2726</v>
      </c>
      <c r="C467" s="67" t="s">
        <v>2727</v>
      </c>
      <c r="D467" s="91">
        <v>11054300</v>
      </c>
      <c r="E467" s="76">
        <v>433491.99999999994</v>
      </c>
      <c r="F467" s="77" t="s">
        <v>10170</v>
      </c>
      <c r="G467" s="22"/>
      <c r="H467" s="22"/>
    </row>
    <row r="468" spans="1:8" ht="13.35" customHeight="1">
      <c r="A468" s="82">
        <v>1</v>
      </c>
      <c r="B468" s="83" t="s">
        <v>2728</v>
      </c>
      <c r="C468" s="67" t="s">
        <v>2729</v>
      </c>
      <c r="D468" s="91">
        <v>11054300</v>
      </c>
      <c r="E468" s="76">
        <v>433491.99999999994</v>
      </c>
      <c r="F468" s="77" t="s">
        <v>10170</v>
      </c>
      <c r="G468" s="22"/>
      <c r="H468" s="22"/>
    </row>
    <row r="469" spans="1:8" ht="13.35" customHeight="1">
      <c r="A469" s="82">
        <v>1</v>
      </c>
      <c r="B469" s="83" t="s">
        <v>1178</v>
      </c>
      <c r="C469" s="67" t="s">
        <v>1179</v>
      </c>
      <c r="D469" s="91">
        <v>11054300</v>
      </c>
      <c r="E469" s="76">
        <v>433491.99999999994</v>
      </c>
      <c r="F469" s="77" t="s">
        <v>10170</v>
      </c>
      <c r="G469" s="22"/>
      <c r="H469" s="22"/>
    </row>
    <row r="470" spans="1:8" ht="13.35" customHeight="1">
      <c r="A470" s="82">
        <v>1</v>
      </c>
      <c r="B470" s="83" t="s">
        <v>2886</v>
      </c>
      <c r="C470" s="67" t="s">
        <v>2887</v>
      </c>
      <c r="D470" s="91">
        <v>11054300</v>
      </c>
      <c r="E470" s="76">
        <v>433491.99999999994</v>
      </c>
      <c r="F470" s="77" t="s">
        <v>10170</v>
      </c>
      <c r="G470" s="22"/>
      <c r="H470" s="22"/>
    </row>
    <row r="471" spans="1:8" ht="13.35" customHeight="1">
      <c r="A471" s="82">
        <v>1</v>
      </c>
      <c r="B471" s="83" t="s">
        <v>1176</v>
      </c>
      <c r="C471" s="67" t="s">
        <v>1177</v>
      </c>
      <c r="D471" s="91">
        <v>11054300</v>
      </c>
      <c r="E471" s="76">
        <v>433491.99999999994</v>
      </c>
      <c r="F471" s="77" t="s">
        <v>10170</v>
      </c>
      <c r="G471" s="22"/>
      <c r="H471" s="22"/>
    </row>
    <row r="472" spans="1:8" ht="13.35" customHeight="1">
      <c r="A472" s="82">
        <v>1</v>
      </c>
      <c r="B472" s="83" t="s">
        <v>2884</v>
      </c>
      <c r="C472" s="67" t="s">
        <v>2885</v>
      </c>
      <c r="D472" s="91">
        <v>11054300</v>
      </c>
      <c r="E472" s="76">
        <v>433491.99999999994</v>
      </c>
      <c r="F472" s="77" t="s">
        <v>10170</v>
      </c>
      <c r="G472" s="22"/>
      <c r="H472" s="22"/>
    </row>
    <row r="473" spans="1:8" ht="13.35" customHeight="1">
      <c r="A473" s="82">
        <v>1</v>
      </c>
      <c r="B473" s="83" t="s">
        <v>2208</v>
      </c>
      <c r="C473" s="67" t="s">
        <v>2209</v>
      </c>
      <c r="D473" s="91">
        <v>15199700</v>
      </c>
      <c r="E473" s="76">
        <v>596051.5</v>
      </c>
      <c r="F473" s="77" t="s">
        <v>10170</v>
      </c>
      <c r="G473" s="22"/>
      <c r="H473" s="22"/>
    </row>
    <row r="474" spans="1:8" ht="13.35" customHeight="1">
      <c r="A474" s="82">
        <v>1</v>
      </c>
      <c r="B474" s="83" t="s">
        <v>2890</v>
      </c>
      <c r="C474" s="67" t="s">
        <v>2891</v>
      </c>
      <c r="D474" s="91">
        <v>15199700</v>
      </c>
      <c r="E474" s="76">
        <v>596051.5</v>
      </c>
      <c r="F474" s="77" t="s">
        <v>10170</v>
      </c>
      <c r="G474" s="22"/>
      <c r="H474" s="22"/>
    </row>
    <row r="475" spans="1:8" ht="13.35" customHeight="1">
      <c r="A475" s="82">
        <v>1</v>
      </c>
      <c r="B475" s="83" t="s">
        <v>2210</v>
      </c>
      <c r="C475" s="67" t="s">
        <v>2211</v>
      </c>
      <c r="D475" s="91">
        <v>15199700</v>
      </c>
      <c r="E475" s="76">
        <v>596051.5</v>
      </c>
      <c r="F475" s="77" t="s">
        <v>10170</v>
      </c>
      <c r="G475" s="22"/>
      <c r="H475" s="22"/>
    </row>
    <row r="476" spans="1:8" ht="13.35" customHeight="1">
      <c r="A476" s="82">
        <v>1</v>
      </c>
      <c r="B476" s="83" t="s">
        <v>2888</v>
      </c>
      <c r="C476" s="67" t="s">
        <v>2889</v>
      </c>
      <c r="D476" s="91">
        <v>15199700</v>
      </c>
      <c r="E476" s="76">
        <v>596051.5</v>
      </c>
      <c r="F476" s="77" t="s">
        <v>10170</v>
      </c>
      <c r="G476" s="22"/>
      <c r="H476" s="22"/>
    </row>
    <row r="477" spans="1:8" ht="13.35" customHeight="1">
      <c r="A477" s="82">
        <v>1</v>
      </c>
      <c r="B477" s="83" t="s">
        <v>5641</v>
      </c>
      <c r="C477" s="67" t="s">
        <v>7338</v>
      </c>
      <c r="D477" s="91">
        <v>9385200</v>
      </c>
      <c r="E477" s="76">
        <v>368039</v>
      </c>
      <c r="F477" s="77" t="s">
        <v>10170</v>
      </c>
      <c r="G477" s="22"/>
      <c r="H477" s="22"/>
    </row>
    <row r="478" spans="1:8" ht="13.35" customHeight="1">
      <c r="A478" s="82">
        <v>1</v>
      </c>
      <c r="B478" s="83" t="s">
        <v>171</v>
      </c>
      <c r="C478" s="67" t="s">
        <v>5441</v>
      </c>
      <c r="D478" s="91">
        <v>11232200</v>
      </c>
      <c r="E478" s="76">
        <v>440466.5</v>
      </c>
      <c r="F478" s="77" t="s">
        <v>10170</v>
      </c>
      <c r="G478" s="22"/>
      <c r="H478" s="22"/>
    </row>
    <row r="479" spans="1:8" ht="13.35" customHeight="1">
      <c r="A479" s="82">
        <v>1</v>
      </c>
      <c r="B479" s="83" t="s">
        <v>173</v>
      </c>
      <c r="C479" s="67" t="s">
        <v>5442</v>
      </c>
      <c r="D479" s="91">
        <v>11232200</v>
      </c>
      <c r="E479" s="76">
        <v>440466.5</v>
      </c>
      <c r="F479" s="77" t="s">
        <v>10170</v>
      </c>
      <c r="G479" s="22"/>
      <c r="H479" s="22"/>
    </row>
    <row r="480" spans="1:8" ht="13.35" customHeight="1">
      <c r="A480" s="82">
        <v>1</v>
      </c>
      <c r="B480" s="83" t="s">
        <v>172</v>
      </c>
      <c r="C480" s="67" t="s">
        <v>5443</v>
      </c>
      <c r="D480" s="91">
        <v>11232200</v>
      </c>
      <c r="E480" s="76">
        <v>440466.5</v>
      </c>
      <c r="F480" s="77" t="s">
        <v>10170</v>
      </c>
      <c r="G480" s="22"/>
      <c r="H480" s="22"/>
    </row>
    <row r="481" spans="1:8" ht="13.35" customHeight="1">
      <c r="A481" s="82">
        <v>1</v>
      </c>
      <c r="B481" s="83" t="s">
        <v>174</v>
      </c>
      <c r="C481" s="67" t="s">
        <v>5444</v>
      </c>
      <c r="D481" s="91">
        <v>11232200</v>
      </c>
      <c r="E481" s="76">
        <v>440466.5</v>
      </c>
      <c r="F481" s="77" t="s">
        <v>10170</v>
      </c>
      <c r="G481" s="22"/>
      <c r="H481" s="22"/>
    </row>
    <row r="482" spans="1:8" ht="13.35" customHeight="1">
      <c r="A482" s="82">
        <v>1</v>
      </c>
      <c r="B482" s="83" t="s">
        <v>681</v>
      </c>
      <c r="C482" s="67" t="s">
        <v>682</v>
      </c>
      <c r="D482" s="91">
        <v>11382700</v>
      </c>
      <c r="E482" s="76">
        <v>446367.99999999994</v>
      </c>
      <c r="F482" s="77" t="s">
        <v>10170</v>
      </c>
      <c r="G482" s="22"/>
      <c r="H482" s="22"/>
    </row>
    <row r="483" spans="1:8" ht="13.35" customHeight="1">
      <c r="A483" s="82">
        <v>1</v>
      </c>
      <c r="B483" s="83" t="s">
        <v>685</v>
      </c>
      <c r="C483" s="67" t="s">
        <v>686</v>
      </c>
      <c r="D483" s="91">
        <v>11382700</v>
      </c>
      <c r="E483" s="76">
        <v>446367.99999999994</v>
      </c>
      <c r="F483" s="77" t="s">
        <v>10170</v>
      </c>
      <c r="G483" s="22"/>
      <c r="H483" s="22"/>
    </row>
    <row r="484" spans="1:8" ht="13.35" customHeight="1">
      <c r="A484" s="82">
        <v>1</v>
      </c>
      <c r="B484" s="83" t="s">
        <v>679</v>
      </c>
      <c r="C484" s="67" t="s">
        <v>680</v>
      </c>
      <c r="D484" s="91">
        <v>11382700</v>
      </c>
      <c r="E484" s="76">
        <v>446367.99999999994</v>
      </c>
      <c r="F484" s="77" t="s">
        <v>10170</v>
      </c>
      <c r="G484" s="22"/>
      <c r="H484" s="22"/>
    </row>
    <row r="485" spans="1:8" ht="13.35" customHeight="1">
      <c r="A485" s="82">
        <v>1</v>
      </c>
      <c r="B485" s="83" t="s">
        <v>683</v>
      </c>
      <c r="C485" s="67" t="s">
        <v>684</v>
      </c>
      <c r="D485" s="91">
        <v>11382700</v>
      </c>
      <c r="E485" s="76">
        <v>446367.99999999994</v>
      </c>
      <c r="F485" s="77" t="s">
        <v>10170</v>
      </c>
      <c r="G485" s="22"/>
      <c r="H485" s="22"/>
    </row>
    <row r="486" spans="1:8" ht="13.35" customHeight="1">
      <c r="A486" s="82">
        <v>1</v>
      </c>
      <c r="B486" s="83" t="s">
        <v>5642</v>
      </c>
      <c r="C486" s="67" t="s">
        <v>7339</v>
      </c>
      <c r="D486" s="91">
        <v>11478400</v>
      </c>
      <c r="E486" s="76">
        <v>450123.5</v>
      </c>
      <c r="F486" s="77" t="s">
        <v>10170</v>
      </c>
      <c r="G486" s="22"/>
      <c r="H486" s="22"/>
    </row>
    <row r="487" spans="1:8" ht="13.35" customHeight="1">
      <c r="A487" s="82">
        <v>1</v>
      </c>
      <c r="B487" s="83" t="s">
        <v>1823</v>
      </c>
      <c r="C487" s="67" t="s">
        <v>1824</v>
      </c>
      <c r="D487" s="91">
        <v>20302700</v>
      </c>
      <c r="E487" s="76">
        <v>796166.00000000012</v>
      </c>
      <c r="F487" s="77" t="s">
        <v>10170</v>
      </c>
      <c r="G487" s="22"/>
      <c r="H487" s="22"/>
    </row>
    <row r="488" spans="1:8" ht="13.35" customHeight="1">
      <c r="A488" s="82">
        <v>1</v>
      </c>
      <c r="B488" s="83" t="s">
        <v>2894</v>
      </c>
      <c r="C488" s="67" t="s">
        <v>2895</v>
      </c>
      <c r="D488" s="91">
        <v>20302700</v>
      </c>
      <c r="E488" s="76">
        <v>796166.00000000012</v>
      </c>
      <c r="F488" s="77" t="s">
        <v>10170</v>
      </c>
      <c r="G488" s="22"/>
      <c r="H488" s="22"/>
    </row>
    <row r="489" spans="1:8" ht="13.35" customHeight="1">
      <c r="A489" s="82">
        <v>1</v>
      </c>
      <c r="B489" s="83" t="s">
        <v>1878</v>
      </c>
      <c r="C489" s="67" t="s">
        <v>1879</v>
      </c>
      <c r="D489" s="91">
        <v>20302700</v>
      </c>
      <c r="E489" s="76">
        <v>796166.00000000012</v>
      </c>
      <c r="F489" s="77" t="s">
        <v>10170</v>
      </c>
      <c r="G489" s="22"/>
      <c r="H489" s="22"/>
    </row>
    <row r="490" spans="1:8" ht="13.35" customHeight="1">
      <c r="A490" s="82">
        <v>1</v>
      </c>
      <c r="B490" s="83" t="s">
        <v>2892</v>
      </c>
      <c r="C490" s="67" t="s">
        <v>2893</v>
      </c>
      <c r="D490" s="91">
        <v>20302700</v>
      </c>
      <c r="E490" s="76">
        <v>796166.00000000012</v>
      </c>
      <c r="F490" s="77" t="s">
        <v>10170</v>
      </c>
      <c r="G490" s="22"/>
      <c r="H490" s="22"/>
    </row>
    <row r="491" spans="1:8" ht="13.35" customHeight="1">
      <c r="A491" s="82">
        <v>1</v>
      </c>
      <c r="B491" s="83" t="s">
        <v>1597</v>
      </c>
      <c r="C491" s="67" t="s">
        <v>1598</v>
      </c>
      <c r="D491" s="91">
        <v>20302700</v>
      </c>
      <c r="E491" s="76">
        <v>796166.00000000012</v>
      </c>
      <c r="F491" s="77" t="s">
        <v>10170</v>
      </c>
      <c r="G491" s="22"/>
      <c r="H491" s="22"/>
    </row>
    <row r="492" spans="1:8" ht="13.35" customHeight="1">
      <c r="A492" s="82">
        <v>1</v>
      </c>
      <c r="B492" s="83" t="s">
        <v>2898</v>
      </c>
      <c r="C492" s="67" t="s">
        <v>2899</v>
      </c>
      <c r="D492" s="91">
        <v>20302700</v>
      </c>
      <c r="E492" s="76">
        <v>796166.00000000012</v>
      </c>
      <c r="F492" s="77" t="s">
        <v>10170</v>
      </c>
      <c r="G492" s="22"/>
      <c r="H492" s="22"/>
    </row>
    <row r="493" spans="1:8" ht="13.35" customHeight="1">
      <c r="A493" s="82">
        <v>1</v>
      </c>
      <c r="B493" s="83" t="s">
        <v>1595</v>
      </c>
      <c r="C493" s="67" t="s">
        <v>1596</v>
      </c>
      <c r="D493" s="91">
        <v>20302700</v>
      </c>
      <c r="E493" s="76">
        <v>796166.00000000012</v>
      </c>
      <c r="F493" s="77" t="s">
        <v>10170</v>
      </c>
      <c r="G493" s="22"/>
      <c r="H493" s="22"/>
    </row>
    <row r="494" spans="1:8" ht="13.35" customHeight="1">
      <c r="A494" s="82">
        <v>1</v>
      </c>
      <c r="B494" s="83" t="s">
        <v>2896</v>
      </c>
      <c r="C494" s="67" t="s">
        <v>2897</v>
      </c>
      <c r="D494" s="91">
        <v>20302700</v>
      </c>
      <c r="E494" s="76">
        <v>796166.00000000012</v>
      </c>
      <c r="F494" s="77" t="s">
        <v>10170</v>
      </c>
      <c r="G494" s="22"/>
      <c r="H494" s="22"/>
    </row>
    <row r="495" spans="1:8" ht="13.35" customHeight="1">
      <c r="A495" s="82">
        <v>1</v>
      </c>
      <c r="B495" s="83" t="s">
        <v>850</v>
      </c>
      <c r="C495" s="67" t="s">
        <v>851</v>
      </c>
      <c r="D495" s="91">
        <v>23695600</v>
      </c>
      <c r="E495" s="76">
        <v>929218</v>
      </c>
      <c r="F495" s="77" t="s">
        <v>10170</v>
      </c>
      <c r="G495" s="22"/>
      <c r="H495" s="22"/>
    </row>
    <row r="496" spans="1:8" ht="13.35" customHeight="1">
      <c r="A496" s="82">
        <v>1</v>
      </c>
      <c r="B496" s="83" t="s">
        <v>852</v>
      </c>
      <c r="C496" s="67" t="s">
        <v>853</v>
      </c>
      <c r="D496" s="91">
        <v>23695600</v>
      </c>
      <c r="E496" s="76">
        <v>929218</v>
      </c>
      <c r="F496" s="77" t="s">
        <v>10170</v>
      </c>
      <c r="G496" s="22"/>
      <c r="H496" s="22"/>
    </row>
    <row r="497" spans="1:8" ht="13.35" customHeight="1">
      <c r="A497" s="82">
        <v>1</v>
      </c>
      <c r="B497" s="83" t="s">
        <v>244</v>
      </c>
      <c r="C497" s="67" t="s">
        <v>245</v>
      </c>
      <c r="D497" s="91">
        <v>49812800</v>
      </c>
      <c r="E497" s="76">
        <v>1953396.5</v>
      </c>
      <c r="F497" s="77" t="s">
        <v>10170</v>
      </c>
      <c r="G497" s="22"/>
      <c r="H497" s="22"/>
    </row>
    <row r="498" spans="1:8" ht="13.35" customHeight="1">
      <c r="A498" s="82">
        <v>1</v>
      </c>
      <c r="B498" s="83" t="s">
        <v>246</v>
      </c>
      <c r="C498" s="67" t="s">
        <v>247</v>
      </c>
      <c r="D498" s="91">
        <v>49812800</v>
      </c>
      <c r="E498" s="76">
        <v>1953396.5</v>
      </c>
      <c r="F498" s="77" t="s">
        <v>10170</v>
      </c>
      <c r="G498" s="22"/>
      <c r="H498" s="22"/>
    </row>
    <row r="499" spans="1:8" ht="13.35" customHeight="1">
      <c r="A499" s="82">
        <v>1</v>
      </c>
      <c r="B499" s="83" t="s">
        <v>248</v>
      </c>
      <c r="C499" s="67" t="s">
        <v>249</v>
      </c>
      <c r="D499" s="91">
        <v>49812800</v>
      </c>
      <c r="E499" s="76">
        <v>1953396.5</v>
      </c>
      <c r="F499" s="77" t="s">
        <v>10170</v>
      </c>
      <c r="G499" s="22"/>
      <c r="H499" s="22"/>
    </row>
    <row r="500" spans="1:8" ht="13.35" customHeight="1">
      <c r="A500" s="82">
        <v>1</v>
      </c>
      <c r="B500" s="83" t="s">
        <v>250</v>
      </c>
      <c r="C500" s="67" t="s">
        <v>251</v>
      </c>
      <c r="D500" s="91">
        <v>49812800</v>
      </c>
      <c r="E500" s="76">
        <v>1953396.5</v>
      </c>
      <c r="F500" s="77" t="s">
        <v>10170</v>
      </c>
      <c r="G500" s="22"/>
      <c r="H500" s="22"/>
    </row>
    <row r="501" spans="1:8" ht="13.35" customHeight="1">
      <c r="A501" s="82">
        <v>1</v>
      </c>
      <c r="B501" s="83" t="s">
        <v>299</v>
      </c>
      <c r="C501" s="67" t="s">
        <v>300</v>
      </c>
      <c r="D501" s="91">
        <v>98134400</v>
      </c>
      <c r="E501" s="76">
        <v>3848314.4999999995</v>
      </c>
      <c r="F501" s="77" t="s">
        <v>10170</v>
      </c>
      <c r="G501" s="22"/>
      <c r="H501" s="22"/>
    </row>
    <row r="502" spans="1:8" ht="13.35" customHeight="1">
      <c r="A502" s="82">
        <v>1</v>
      </c>
      <c r="B502" s="83" t="s">
        <v>301</v>
      </c>
      <c r="C502" s="67" t="s">
        <v>302</v>
      </c>
      <c r="D502" s="91">
        <v>98134400</v>
      </c>
      <c r="E502" s="76">
        <v>3848314.4999999995</v>
      </c>
      <c r="F502" s="77" t="s">
        <v>10170</v>
      </c>
      <c r="G502" s="22"/>
      <c r="H502" s="22"/>
    </row>
    <row r="503" spans="1:8" ht="13.35" customHeight="1">
      <c r="A503" s="82">
        <v>1</v>
      </c>
      <c r="B503" s="83" t="s">
        <v>557</v>
      </c>
      <c r="C503" s="67" t="s">
        <v>5445</v>
      </c>
      <c r="D503" s="91">
        <v>98134400</v>
      </c>
      <c r="E503" s="76">
        <v>3848314.4999999995</v>
      </c>
      <c r="F503" s="77" t="s">
        <v>10170</v>
      </c>
      <c r="G503" s="22"/>
      <c r="H503" s="22"/>
    </row>
    <row r="504" spans="1:8" ht="13.35" customHeight="1">
      <c r="A504" s="82">
        <v>1</v>
      </c>
      <c r="B504" s="83" t="s">
        <v>558</v>
      </c>
      <c r="C504" s="67" t="s">
        <v>5446</v>
      </c>
      <c r="D504" s="91">
        <v>98134400</v>
      </c>
      <c r="E504" s="76">
        <v>3848314.4999999995</v>
      </c>
      <c r="F504" s="77" t="s">
        <v>10170</v>
      </c>
      <c r="G504" s="22"/>
      <c r="H504" s="22"/>
    </row>
    <row r="505" spans="1:8" ht="13.35" customHeight="1">
      <c r="A505" s="82">
        <v>1</v>
      </c>
      <c r="B505" s="83" t="s">
        <v>1491</v>
      </c>
      <c r="C505" s="67" t="s">
        <v>1492</v>
      </c>
      <c r="D505" s="91">
        <v>15528000</v>
      </c>
      <c r="E505" s="76">
        <v>608927.5</v>
      </c>
      <c r="F505" s="77" t="s">
        <v>10170</v>
      </c>
      <c r="G505" s="22"/>
      <c r="H505" s="22"/>
    </row>
    <row r="506" spans="1:8" ht="13.35" customHeight="1">
      <c r="A506" s="82">
        <v>1</v>
      </c>
      <c r="B506" s="83" t="s">
        <v>1487</v>
      </c>
      <c r="C506" s="67" t="s">
        <v>1488</v>
      </c>
      <c r="D506" s="91">
        <v>15528000</v>
      </c>
      <c r="E506" s="76">
        <v>608927.5</v>
      </c>
      <c r="F506" s="77" t="s">
        <v>10170</v>
      </c>
      <c r="G506" s="22"/>
      <c r="H506" s="22"/>
    </row>
    <row r="507" spans="1:8" ht="13.35" customHeight="1">
      <c r="A507" s="82">
        <v>1</v>
      </c>
      <c r="B507" s="83" t="s">
        <v>1493</v>
      </c>
      <c r="C507" s="67" t="s">
        <v>1494</v>
      </c>
      <c r="D507" s="91">
        <v>15528000</v>
      </c>
      <c r="E507" s="76">
        <v>608927.5</v>
      </c>
      <c r="F507" s="77" t="s">
        <v>10170</v>
      </c>
      <c r="G507" s="22"/>
      <c r="H507" s="22"/>
    </row>
    <row r="508" spans="1:8" ht="13.35" customHeight="1">
      <c r="A508" s="82">
        <v>1</v>
      </c>
      <c r="B508" s="83" t="s">
        <v>1489</v>
      </c>
      <c r="C508" s="67" t="s">
        <v>1490</v>
      </c>
      <c r="D508" s="91">
        <v>15528000</v>
      </c>
      <c r="E508" s="76">
        <v>608927.5</v>
      </c>
      <c r="F508" s="77" t="s">
        <v>10170</v>
      </c>
      <c r="G508" s="22"/>
      <c r="H508" s="22"/>
    </row>
    <row r="509" spans="1:8" ht="13.35" customHeight="1">
      <c r="A509" s="82">
        <v>1</v>
      </c>
      <c r="B509" s="83" t="s">
        <v>1355</v>
      </c>
      <c r="C509" s="67" t="s">
        <v>1356</v>
      </c>
      <c r="D509" s="91">
        <v>7729800</v>
      </c>
      <c r="E509" s="76">
        <v>303122.5</v>
      </c>
      <c r="F509" s="77" t="s">
        <v>10170</v>
      </c>
      <c r="G509" s="22"/>
      <c r="H509" s="22"/>
    </row>
    <row r="510" spans="1:8" ht="13.35" customHeight="1">
      <c r="A510" s="82">
        <v>1</v>
      </c>
      <c r="B510" s="83" t="s">
        <v>1359</v>
      </c>
      <c r="C510" s="67" t="s">
        <v>1360</v>
      </c>
      <c r="D510" s="91">
        <v>7729800</v>
      </c>
      <c r="E510" s="76">
        <v>303122.5</v>
      </c>
      <c r="F510" s="77" t="s">
        <v>10170</v>
      </c>
      <c r="G510" s="22"/>
      <c r="H510" s="22"/>
    </row>
    <row r="511" spans="1:8" ht="13.35" customHeight="1">
      <c r="A511" s="82">
        <v>1</v>
      </c>
      <c r="B511" s="83" t="s">
        <v>1357</v>
      </c>
      <c r="C511" s="67" t="s">
        <v>1358</v>
      </c>
      <c r="D511" s="91">
        <v>7729800</v>
      </c>
      <c r="E511" s="76">
        <v>303122.5</v>
      </c>
      <c r="F511" s="77" t="s">
        <v>10170</v>
      </c>
      <c r="G511" s="22"/>
      <c r="H511" s="22"/>
    </row>
    <row r="512" spans="1:8" ht="13.35" customHeight="1">
      <c r="A512" s="82">
        <v>1</v>
      </c>
      <c r="B512" s="83" t="s">
        <v>1361</v>
      </c>
      <c r="C512" s="67" t="s">
        <v>1362</v>
      </c>
      <c r="D512" s="91">
        <v>7744300</v>
      </c>
      <c r="E512" s="76">
        <v>303122.5</v>
      </c>
      <c r="F512" s="77" t="s">
        <v>10170</v>
      </c>
      <c r="G512" s="22"/>
      <c r="H512" s="22"/>
    </row>
    <row r="513" spans="1:8" ht="13.35" customHeight="1">
      <c r="A513" s="82">
        <v>1</v>
      </c>
      <c r="B513" s="83" t="s">
        <v>1599</v>
      </c>
      <c r="C513" s="67" t="s">
        <v>1600</v>
      </c>
      <c r="D513" s="91">
        <v>22712000</v>
      </c>
      <c r="E513" s="76">
        <v>888980.5</v>
      </c>
      <c r="F513" s="77" t="s">
        <v>10170</v>
      </c>
      <c r="G513" s="22"/>
      <c r="H513" s="22"/>
    </row>
    <row r="514" spans="1:8" ht="13.35" customHeight="1">
      <c r="A514" s="82">
        <v>1</v>
      </c>
      <c r="B514" s="83" t="s">
        <v>2900</v>
      </c>
      <c r="C514" s="67" t="s">
        <v>2901</v>
      </c>
      <c r="D514" s="91">
        <v>22712000</v>
      </c>
      <c r="E514" s="76">
        <v>888980.5</v>
      </c>
      <c r="F514" s="77" t="s">
        <v>10170</v>
      </c>
      <c r="G514" s="22"/>
      <c r="H514" s="22"/>
    </row>
    <row r="515" spans="1:8" ht="13.35" customHeight="1">
      <c r="A515" s="82">
        <v>1</v>
      </c>
      <c r="B515" s="83" t="s">
        <v>1601</v>
      </c>
      <c r="C515" s="67" t="s">
        <v>1602</v>
      </c>
      <c r="D515" s="91">
        <v>22669500</v>
      </c>
      <c r="E515" s="76">
        <v>888980.5</v>
      </c>
      <c r="F515" s="77" t="s">
        <v>10170</v>
      </c>
      <c r="G515" s="22"/>
      <c r="H515" s="22"/>
    </row>
    <row r="516" spans="1:8" ht="13.35" customHeight="1">
      <c r="A516" s="82">
        <v>1</v>
      </c>
      <c r="B516" s="83" t="s">
        <v>3836</v>
      </c>
      <c r="C516" s="67" t="s">
        <v>5447</v>
      </c>
      <c r="D516" s="91">
        <v>22712000</v>
      </c>
      <c r="E516" s="76">
        <v>888980.5</v>
      </c>
      <c r="F516" s="77" t="s">
        <v>10170</v>
      </c>
      <c r="G516" s="22"/>
      <c r="H516" s="22"/>
    </row>
    <row r="517" spans="1:8" ht="13.35" customHeight="1">
      <c r="A517" s="82">
        <v>1</v>
      </c>
      <c r="B517" s="83" t="s">
        <v>1591</v>
      </c>
      <c r="C517" s="67" t="s">
        <v>1592</v>
      </c>
      <c r="D517" s="91">
        <v>39333100</v>
      </c>
      <c r="E517" s="76">
        <v>1542437.5</v>
      </c>
      <c r="F517" s="77" t="s">
        <v>10170</v>
      </c>
      <c r="G517" s="22"/>
      <c r="H517" s="22"/>
    </row>
    <row r="518" spans="1:8" ht="13.35" customHeight="1">
      <c r="A518" s="82">
        <v>1</v>
      </c>
      <c r="B518" s="83" t="s">
        <v>3838</v>
      </c>
      <c r="C518" s="67" t="s">
        <v>5448</v>
      </c>
      <c r="D518" s="91">
        <v>39333100</v>
      </c>
      <c r="E518" s="76">
        <v>1542437.5</v>
      </c>
      <c r="F518" s="77" t="s">
        <v>10170</v>
      </c>
      <c r="G518" s="22"/>
      <c r="H518" s="22"/>
    </row>
    <row r="519" spans="1:8" ht="13.35" customHeight="1">
      <c r="A519" s="82">
        <v>1</v>
      </c>
      <c r="B519" s="83" t="s">
        <v>1593</v>
      </c>
      <c r="C519" s="67" t="s">
        <v>1594</v>
      </c>
      <c r="D519" s="91">
        <v>39333100</v>
      </c>
      <c r="E519" s="76">
        <v>1542437.5</v>
      </c>
      <c r="F519" s="77" t="s">
        <v>10170</v>
      </c>
      <c r="G519" s="22"/>
      <c r="H519" s="22"/>
    </row>
    <row r="520" spans="1:8" ht="13.35" customHeight="1">
      <c r="A520" s="82">
        <v>1</v>
      </c>
      <c r="B520" s="83" t="s">
        <v>3837</v>
      </c>
      <c r="C520" s="67" t="s">
        <v>5449</v>
      </c>
      <c r="D520" s="91">
        <v>39333100</v>
      </c>
      <c r="E520" s="76">
        <v>1542437.5</v>
      </c>
      <c r="F520" s="77" t="s">
        <v>10170</v>
      </c>
      <c r="G520" s="22"/>
      <c r="H520" s="22"/>
    </row>
    <row r="521" spans="1:8" ht="13.35" customHeight="1">
      <c r="A521" s="82">
        <v>1</v>
      </c>
      <c r="B521" s="83" t="s">
        <v>5275</v>
      </c>
      <c r="C521" s="67" t="s">
        <v>5276</v>
      </c>
      <c r="D521" s="91">
        <v>22669500</v>
      </c>
      <c r="E521" s="76">
        <v>888980.5</v>
      </c>
      <c r="F521" s="77" t="s">
        <v>10170</v>
      </c>
      <c r="G521" s="22"/>
      <c r="H521" s="22"/>
    </row>
    <row r="522" spans="1:8" ht="13.35" customHeight="1">
      <c r="A522" s="82">
        <v>1</v>
      </c>
      <c r="B522" s="83" t="s">
        <v>5279</v>
      </c>
      <c r="C522" s="67" t="s">
        <v>5280</v>
      </c>
      <c r="D522" s="91">
        <v>22669500</v>
      </c>
      <c r="E522" s="76">
        <v>888980.5</v>
      </c>
      <c r="F522" s="77" t="s">
        <v>10170</v>
      </c>
      <c r="G522" s="22"/>
      <c r="H522" s="22"/>
    </row>
    <row r="523" spans="1:8" ht="13.35" customHeight="1">
      <c r="A523" s="82">
        <v>1</v>
      </c>
      <c r="B523" s="83" t="s">
        <v>5273</v>
      </c>
      <c r="C523" s="67" t="s">
        <v>5274</v>
      </c>
      <c r="D523" s="91">
        <v>22669500</v>
      </c>
      <c r="E523" s="76">
        <v>888980.5</v>
      </c>
      <c r="F523" s="77" t="s">
        <v>10170</v>
      </c>
      <c r="G523" s="22"/>
      <c r="H523" s="22"/>
    </row>
    <row r="524" spans="1:8" ht="13.35" customHeight="1">
      <c r="A524" s="82">
        <v>1</v>
      </c>
      <c r="B524" s="83" t="s">
        <v>5277</v>
      </c>
      <c r="C524" s="67" t="s">
        <v>5278</v>
      </c>
      <c r="D524" s="91">
        <v>22669500</v>
      </c>
      <c r="E524" s="76">
        <v>888980.5</v>
      </c>
      <c r="F524" s="77" t="s">
        <v>10170</v>
      </c>
      <c r="G524" s="22"/>
      <c r="H524" s="22"/>
    </row>
    <row r="525" spans="1:8" ht="13.35" customHeight="1">
      <c r="A525" s="82">
        <v>1</v>
      </c>
      <c r="B525" s="83" t="s">
        <v>6192</v>
      </c>
      <c r="C525" s="67" t="s">
        <v>6193</v>
      </c>
      <c r="D525" s="91">
        <v>21519500</v>
      </c>
      <c r="E525" s="76">
        <v>842305</v>
      </c>
      <c r="F525" s="77" t="s">
        <v>10170</v>
      </c>
      <c r="G525" s="22"/>
      <c r="H525" s="22"/>
    </row>
    <row r="526" spans="1:8" ht="13.35" customHeight="1">
      <c r="A526" s="82">
        <v>1</v>
      </c>
      <c r="B526" s="83" t="s">
        <v>6194</v>
      </c>
      <c r="C526" s="67" t="s">
        <v>6195</v>
      </c>
      <c r="D526" s="91">
        <v>21519500</v>
      </c>
      <c r="E526" s="76">
        <v>842305</v>
      </c>
      <c r="F526" s="77" t="s">
        <v>10170</v>
      </c>
      <c r="G526" s="22"/>
      <c r="H526" s="22"/>
    </row>
    <row r="527" spans="1:8" ht="13.35" customHeight="1">
      <c r="A527" s="82">
        <v>1</v>
      </c>
      <c r="B527" s="83" t="s">
        <v>6196</v>
      </c>
      <c r="C527" s="67" t="s">
        <v>6197</v>
      </c>
      <c r="D527" s="91">
        <v>21519500</v>
      </c>
      <c r="E527" s="76">
        <v>842305</v>
      </c>
      <c r="F527" s="77" t="s">
        <v>10170</v>
      </c>
      <c r="G527" s="22"/>
      <c r="H527" s="22"/>
    </row>
    <row r="528" spans="1:8" ht="13.35" customHeight="1">
      <c r="A528" s="82">
        <v>1</v>
      </c>
      <c r="B528" s="83" t="s">
        <v>6198</v>
      </c>
      <c r="C528" s="67" t="s">
        <v>6199</v>
      </c>
      <c r="D528" s="91">
        <v>21519500</v>
      </c>
      <c r="E528" s="76">
        <v>842305</v>
      </c>
      <c r="F528" s="77" t="s">
        <v>10170</v>
      </c>
      <c r="G528" s="22"/>
      <c r="H528" s="22"/>
    </row>
    <row r="529" spans="1:8" ht="13.35" customHeight="1">
      <c r="A529" s="82">
        <v>1</v>
      </c>
      <c r="B529" s="83" t="s">
        <v>1160</v>
      </c>
      <c r="C529" s="67" t="s">
        <v>1161</v>
      </c>
      <c r="D529" s="91">
        <v>23740000</v>
      </c>
      <c r="E529" s="76">
        <v>929218</v>
      </c>
      <c r="F529" s="77" t="s">
        <v>10170</v>
      </c>
      <c r="G529" s="22"/>
      <c r="H529" s="22"/>
    </row>
    <row r="530" spans="1:8" ht="13.35" customHeight="1">
      <c r="A530" s="82">
        <v>1</v>
      </c>
      <c r="B530" s="83" t="s">
        <v>1162</v>
      </c>
      <c r="C530" s="67" t="s">
        <v>1163</v>
      </c>
      <c r="D530" s="91">
        <v>23740000</v>
      </c>
      <c r="E530" s="76">
        <v>929218</v>
      </c>
      <c r="F530" s="77" t="s">
        <v>10170</v>
      </c>
      <c r="G530" s="22"/>
      <c r="H530" s="22"/>
    </row>
    <row r="531" spans="1:8" ht="13.35" customHeight="1">
      <c r="A531" s="82">
        <v>1</v>
      </c>
      <c r="B531" s="83" t="s">
        <v>1371</v>
      </c>
      <c r="C531" s="67" t="s">
        <v>1372</v>
      </c>
      <c r="D531" s="91">
        <v>47548500</v>
      </c>
      <c r="E531" s="76">
        <v>1861118.5</v>
      </c>
      <c r="F531" s="77" t="s">
        <v>10170</v>
      </c>
      <c r="G531" s="22"/>
      <c r="H531" s="22"/>
    </row>
    <row r="532" spans="1:8" ht="13.35" customHeight="1">
      <c r="A532" s="82">
        <v>1</v>
      </c>
      <c r="B532" s="83" t="s">
        <v>1373</v>
      </c>
      <c r="C532" s="67" t="s">
        <v>1374</v>
      </c>
      <c r="D532" s="91">
        <v>47548500</v>
      </c>
      <c r="E532" s="76">
        <v>1861118.5</v>
      </c>
      <c r="F532" s="77" t="s">
        <v>10170</v>
      </c>
      <c r="G532" s="22"/>
      <c r="H532" s="22"/>
    </row>
    <row r="533" spans="1:8" ht="13.35" customHeight="1">
      <c r="A533" s="82">
        <v>1</v>
      </c>
      <c r="B533" s="83" t="s">
        <v>2114</v>
      </c>
      <c r="C533" s="67" t="s">
        <v>2115</v>
      </c>
      <c r="D533" s="91">
        <v>42449600</v>
      </c>
      <c r="E533" s="76">
        <v>1661540.4999999998</v>
      </c>
      <c r="F533" s="77" t="s">
        <v>10170</v>
      </c>
      <c r="G533" s="22"/>
      <c r="H533" s="22"/>
    </row>
    <row r="534" spans="1:8" ht="13.35" customHeight="1">
      <c r="A534" s="82">
        <v>1</v>
      </c>
      <c r="B534" s="83" t="s">
        <v>4019</v>
      </c>
      <c r="C534" s="67" t="s">
        <v>4056</v>
      </c>
      <c r="D534" s="91">
        <v>42449600</v>
      </c>
      <c r="E534" s="76">
        <v>1661540.4999999998</v>
      </c>
      <c r="F534" s="77" t="s">
        <v>10170</v>
      </c>
      <c r="G534" s="22"/>
      <c r="H534" s="22"/>
    </row>
    <row r="535" spans="1:8" ht="13.35" customHeight="1">
      <c r="A535" s="82">
        <v>1</v>
      </c>
      <c r="B535" s="83" t="s">
        <v>2118</v>
      </c>
      <c r="C535" s="67" t="s">
        <v>2119</v>
      </c>
      <c r="D535" s="91">
        <v>59459700</v>
      </c>
      <c r="E535" s="76">
        <v>2327337</v>
      </c>
      <c r="F535" s="77" t="s">
        <v>10170</v>
      </c>
      <c r="G535" s="22"/>
      <c r="H535" s="22"/>
    </row>
    <row r="536" spans="1:8" ht="13.35" customHeight="1">
      <c r="A536" s="82">
        <v>1</v>
      </c>
      <c r="B536" s="83" t="s">
        <v>4020</v>
      </c>
      <c r="C536" s="67" t="s">
        <v>4057</v>
      </c>
      <c r="D536" s="91">
        <v>59459700</v>
      </c>
      <c r="E536" s="76">
        <v>2327337</v>
      </c>
      <c r="F536" s="77" t="s">
        <v>10170</v>
      </c>
      <c r="G536" s="22"/>
      <c r="H536" s="22"/>
    </row>
    <row r="537" spans="1:8" ht="13.35" customHeight="1">
      <c r="A537" s="82">
        <v>1</v>
      </c>
      <c r="B537" s="83" t="s">
        <v>4021</v>
      </c>
      <c r="C537" s="67" t="s">
        <v>4053</v>
      </c>
      <c r="D537" s="91">
        <v>46781000</v>
      </c>
      <c r="E537" s="76">
        <v>1831074.5</v>
      </c>
      <c r="F537" s="77" t="s">
        <v>10170</v>
      </c>
      <c r="G537" s="22"/>
      <c r="H537" s="22"/>
    </row>
    <row r="538" spans="1:8" ht="13.35" customHeight="1">
      <c r="A538" s="82">
        <v>1</v>
      </c>
      <c r="B538" s="83" t="s">
        <v>4022</v>
      </c>
      <c r="C538" s="67" t="s">
        <v>4054</v>
      </c>
      <c r="D538" s="91">
        <v>90519000</v>
      </c>
      <c r="E538" s="76">
        <v>3543046</v>
      </c>
      <c r="F538" s="77" t="s">
        <v>10170</v>
      </c>
      <c r="G538" s="22"/>
      <c r="H538" s="22"/>
    </row>
    <row r="539" spans="1:8" ht="13.35" customHeight="1">
      <c r="A539" s="82">
        <v>1</v>
      </c>
      <c r="B539" s="83" t="s">
        <v>6200</v>
      </c>
      <c r="C539" s="67" t="s">
        <v>7340</v>
      </c>
      <c r="D539" s="91">
        <v>57499600</v>
      </c>
      <c r="E539" s="76">
        <v>2250617.5</v>
      </c>
      <c r="F539" s="77" t="s">
        <v>10170</v>
      </c>
      <c r="G539" s="22"/>
      <c r="H539" s="22"/>
    </row>
    <row r="540" spans="1:8" ht="13.35" customHeight="1">
      <c r="A540" s="82">
        <v>1</v>
      </c>
      <c r="B540" s="83" t="s">
        <v>6201</v>
      </c>
      <c r="C540" s="67" t="s">
        <v>7341</v>
      </c>
      <c r="D540" s="91">
        <v>57499600</v>
      </c>
      <c r="E540" s="76">
        <v>2250617.5</v>
      </c>
      <c r="F540" s="77" t="s">
        <v>10170</v>
      </c>
      <c r="G540" s="22"/>
      <c r="H540" s="22"/>
    </row>
    <row r="541" spans="1:8" ht="13.35" customHeight="1">
      <c r="A541" s="82">
        <v>1</v>
      </c>
      <c r="B541" s="83" t="s">
        <v>6202</v>
      </c>
      <c r="C541" s="67" t="s">
        <v>6203</v>
      </c>
      <c r="D541" s="91">
        <v>57392100</v>
      </c>
      <c r="E541" s="76">
        <v>2250617.5</v>
      </c>
      <c r="F541" s="77" t="s">
        <v>10170</v>
      </c>
      <c r="G541" s="22"/>
      <c r="H541" s="22"/>
    </row>
    <row r="542" spans="1:8" ht="13.35" customHeight="1">
      <c r="A542" s="82">
        <v>1</v>
      </c>
      <c r="B542" s="83" t="s">
        <v>6204</v>
      </c>
      <c r="C542" s="67" t="s">
        <v>6205</v>
      </c>
      <c r="D542" s="91">
        <v>57499600</v>
      </c>
      <c r="E542" s="76">
        <v>2250617.5</v>
      </c>
      <c r="F542" s="77" t="s">
        <v>10170</v>
      </c>
      <c r="G542" s="22"/>
      <c r="H542" s="22"/>
    </row>
    <row r="543" spans="1:8" ht="13.35" customHeight="1">
      <c r="A543" s="82">
        <v>1</v>
      </c>
      <c r="B543" s="67" t="s">
        <v>5598</v>
      </c>
      <c r="C543" s="67" t="s">
        <v>7342</v>
      </c>
      <c r="D543" s="91">
        <v>31525400</v>
      </c>
      <c r="E543" s="76">
        <v>1233950</v>
      </c>
      <c r="F543" s="77" t="s">
        <v>10170</v>
      </c>
      <c r="G543" s="22"/>
      <c r="H543" s="22"/>
    </row>
    <row r="544" spans="1:8" ht="13.35" customHeight="1">
      <c r="A544" s="82">
        <v>3</v>
      </c>
      <c r="B544" s="83" t="s">
        <v>2189</v>
      </c>
      <c r="C544" s="67" t="s">
        <v>5406</v>
      </c>
      <c r="D544" s="91">
        <v>2083400</v>
      </c>
      <c r="E544" s="76">
        <v>81548</v>
      </c>
      <c r="F544" s="77" t="s">
        <v>10171</v>
      </c>
      <c r="G544" s="22"/>
      <c r="H544" s="22"/>
    </row>
    <row r="545" spans="1:8" ht="13.35" customHeight="1">
      <c r="A545" s="82">
        <v>3</v>
      </c>
      <c r="B545" s="83" t="s">
        <v>5217</v>
      </c>
      <c r="C545" s="67" t="s">
        <v>5218</v>
      </c>
      <c r="D545" s="91">
        <v>2083400</v>
      </c>
      <c r="E545" s="76">
        <v>81548</v>
      </c>
      <c r="F545" s="77" t="s">
        <v>10171</v>
      </c>
      <c r="G545" s="22"/>
      <c r="H545" s="22"/>
    </row>
    <row r="546" spans="1:8" ht="13.35" customHeight="1">
      <c r="A546" s="82">
        <v>3</v>
      </c>
      <c r="B546" s="83" t="s">
        <v>2190</v>
      </c>
      <c r="C546" s="67" t="s">
        <v>5407</v>
      </c>
      <c r="D546" s="91">
        <v>2083400</v>
      </c>
      <c r="E546" s="76">
        <v>81548</v>
      </c>
      <c r="F546" s="77" t="s">
        <v>10171</v>
      </c>
      <c r="G546" s="22"/>
      <c r="H546" s="22"/>
    </row>
    <row r="547" spans="1:8" ht="13.35" customHeight="1">
      <c r="A547" s="82">
        <v>3</v>
      </c>
      <c r="B547" s="83" t="s">
        <v>2191</v>
      </c>
      <c r="C547" s="67" t="s">
        <v>5408</v>
      </c>
      <c r="D547" s="91">
        <v>2079500</v>
      </c>
      <c r="E547" s="76">
        <v>81548</v>
      </c>
      <c r="F547" s="77" t="s">
        <v>10171</v>
      </c>
      <c r="G547" s="22"/>
      <c r="H547" s="22"/>
    </row>
    <row r="548" spans="1:8" ht="13.35" customHeight="1">
      <c r="A548" s="82">
        <v>3</v>
      </c>
      <c r="B548" s="83" t="s">
        <v>6751</v>
      </c>
      <c r="C548" s="67" t="s">
        <v>7343</v>
      </c>
      <c r="D548" s="91">
        <v>10602800</v>
      </c>
      <c r="E548" s="76">
        <v>415787.5</v>
      </c>
      <c r="F548" s="77" t="s">
        <v>10171</v>
      </c>
      <c r="G548" s="22"/>
      <c r="H548" s="22"/>
    </row>
    <row r="549" spans="1:8" ht="13.35" customHeight="1">
      <c r="A549" s="82">
        <v>3</v>
      </c>
      <c r="B549" s="83" t="s">
        <v>1073</v>
      </c>
      <c r="C549" s="67" t="s">
        <v>612</v>
      </c>
      <c r="D549" s="91">
        <v>807200</v>
      </c>
      <c r="E549" s="76">
        <v>31653.499999999996</v>
      </c>
      <c r="F549" s="77" t="s">
        <v>10171</v>
      </c>
      <c r="G549" s="22"/>
      <c r="H549" s="22"/>
    </row>
    <row r="550" spans="1:8" ht="13.35" customHeight="1">
      <c r="A550" s="82">
        <v>3</v>
      </c>
      <c r="B550" s="83" t="s">
        <v>1074</v>
      </c>
      <c r="C550" s="67" t="s">
        <v>3162</v>
      </c>
      <c r="D550" s="91">
        <v>807200</v>
      </c>
      <c r="E550" s="76">
        <v>31653.499999999996</v>
      </c>
      <c r="F550" s="77" t="s">
        <v>10171</v>
      </c>
      <c r="G550" s="22"/>
      <c r="H550" s="22"/>
    </row>
    <row r="551" spans="1:8" ht="13.35" customHeight="1">
      <c r="A551" s="82">
        <v>3</v>
      </c>
      <c r="B551" s="83" t="s">
        <v>1283</v>
      </c>
      <c r="C551" s="67" t="s">
        <v>1284</v>
      </c>
      <c r="D551" s="91">
        <v>807200</v>
      </c>
      <c r="E551" s="76">
        <v>31653.499999999996</v>
      </c>
      <c r="F551" s="77" t="s">
        <v>10171</v>
      </c>
      <c r="G551" s="22"/>
      <c r="H551" s="22"/>
    </row>
    <row r="552" spans="1:8" ht="13.35" customHeight="1">
      <c r="A552" s="82">
        <v>3</v>
      </c>
      <c r="B552" s="83" t="s">
        <v>1300</v>
      </c>
      <c r="C552" s="67" t="s">
        <v>2278</v>
      </c>
      <c r="D552" s="91">
        <v>547200</v>
      </c>
      <c r="E552" s="76">
        <v>21460</v>
      </c>
      <c r="F552" s="77" t="s">
        <v>10171</v>
      </c>
      <c r="G552" s="22"/>
      <c r="H552" s="22"/>
    </row>
    <row r="553" spans="1:8" ht="13.35" customHeight="1">
      <c r="A553" s="82">
        <v>3</v>
      </c>
      <c r="B553" s="83" t="s">
        <v>5241</v>
      </c>
      <c r="C553" s="67" t="s">
        <v>7344</v>
      </c>
      <c r="D553" s="91">
        <v>547200</v>
      </c>
      <c r="E553" s="76">
        <v>21460</v>
      </c>
      <c r="F553" s="77" t="s">
        <v>10171</v>
      </c>
      <c r="G553" s="22"/>
      <c r="H553" s="22"/>
    </row>
    <row r="554" spans="1:8" ht="13.35" customHeight="1">
      <c r="A554" s="82">
        <v>3</v>
      </c>
      <c r="B554" s="83" t="s">
        <v>1471</v>
      </c>
      <c r="C554" s="67" t="s">
        <v>1472</v>
      </c>
      <c r="D554" s="91">
        <v>548300</v>
      </c>
      <c r="E554" s="76">
        <v>21460</v>
      </c>
      <c r="F554" s="77" t="s">
        <v>10171</v>
      </c>
      <c r="G554" s="22"/>
      <c r="H554" s="22"/>
    </row>
    <row r="555" spans="1:8" ht="13.35" customHeight="1">
      <c r="A555" s="82">
        <v>3</v>
      </c>
      <c r="B555" s="83" t="s">
        <v>1663</v>
      </c>
      <c r="C555" s="67" t="s">
        <v>2279</v>
      </c>
      <c r="D555" s="91">
        <v>548300</v>
      </c>
      <c r="E555" s="76">
        <v>21460</v>
      </c>
      <c r="F555" s="77" t="s">
        <v>10171</v>
      </c>
      <c r="G555" s="22"/>
      <c r="H555" s="22"/>
    </row>
    <row r="556" spans="1:8" ht="13.35" customHeight="1">
      <c r="A556" s="82">
        <v>3</v>
      </c>
      <c r="B556" s="83" t="s">
        <v>1467</v>
      </c>
      <c r="C556" s="67" t="s">
        <v>1468</v>
      </c>
      <c r="D556" s="91">
        <v>548300</v>
      </c>
      <c r="E556" s="76">
        <v>21460</v>
      </c>
      <c r="F556" s="77" t="s">
        <v>10171</v>
      </c>
      <c r="G556" s="22"/>
      <c r="H556" s="22"/>
    </row>
    <row r="557" spans="1:8" ht="13.35" customHeight="1">
      <c r="A557" s="82">
        <v>3</v>
      </c>
      <c r="B557" s="83" t="s">
        <v>1465</v>
      </c>
      <c r="C557" s="67" t="s">
        <v>1466</v>
      </c>
      <c r="D557" s="91">
        <v>548300</v>
      </c>
      <c r="E557" s="76">
        <v>21460</v>
      </c>
      <c r="F557" s="77" t="s">
        <v>10171</v>
      </c>
      <c r="G557" s="22"/>
      <c r="H557" s="22"/>
    </row>
    <row r="558" spans="1:8" ht="13.35" customHeight="1">
      <c r="A558" s="82">
        <v>3</v>
      </c>
      <c r="B558" s="83" t="s">
        <v>1299</v>
      </c>
      <c r="C558" s="67" t="s">
        <v>2280</v>
      </c>
      <c r="D558" s="91">
        <v>548300</v>
      </c>
      <c r="E558" s="76">
        <v>21460</v>
      </c>
      <c r="F558" s="77" t="s">
        <v>10171</v>
      </c>
      <c r="G558" s="22"/>
      <c r="H558" s="22"/>
    </row>
    <row r="559" spans="1:8" ht="13.35" customHeight="1">
      <c r="A559" s="82">
        <v>3</v>
      </c>
      <c r="B559" s="83" t="s">
        <v>1662</v>
      </c>
      <c r="C559" s="67" t="s">
        <v>2281</v>
      </c>
      <c r="D559" s="91">
        <v>548300</v>
      </c>
      <c r="E559" s="76">
        <v>21460</v>
      </c>
      <c r="F559" s="77" t="s">
        <v>10171</v>
      </c>
      <c r="G559" s="22"/>
      <c r="H559" s="22"/>
    </row>
    <row r="560" spans="1:8" ht="13.35" customHeight="1">
      <c r="A560" s="82">
        <v>3</v>
      </c>
      <c r="B560" s="83" t="s">
        <v>1463</v>
      </c>
      <c r="C560" s="67" t="s">
        <v>1464</v>
      </c>
      <c r="D560" s="91">
        <v>548300</v>
      </c>
      <c r="E560" s="76">
        <v>21460</v>
      </c>
      <c r="F560" s="77" t="s">
        <v>10171</v>
      </c>
      <c r="G560" s="22"/>
      <c r="H560" s="22"/>
    </row>
    <row r="561" spans="1:8" ht="13.35" customHeight="1">
      <c r="A561" s="82">
        <v>3</v>
      </c>
      <c r="B561" s="83" t="s">
        <v>1301</v>
      </c>
      <c r="C561" s="67" t="s">
        <v>1657</v>
      </c>
      <c r="D561" s="91">
        <v>548300</v>
      </c>
      <c r="E561" s="76">
        <v>21460</v>
      </c>
      <c r="F561" s="77" t="s">
        <v>10171</v>
      </c>
      <c r="G561" s="22"/>
      <c r="H561" s="22"/>
    </row>
    <row r="562" spans="1:8" ht="13.35" customHeight="1">
      <c r="A562" s="82">
        <v>3</v>
      </c>
      <c r="B562" s="83" t="s">
        <v>1297</v>
      </c>
      <c r="C562" s="67" t="s">
        <v>2282</v>
      </c>
      <c r="D562" s="91">
        <v>548300</v>
      </c>
      <c r="E562" s="76">
        <v>21460</v>
      </c>
      <c r="F562" s="77" t="s">
        <v>10171</v>
      </c>
      <c r="G562" s="22"/>
      <c r="H562" s="22"/>
    </row>
    <row r="563" spans="1:8" ht="13.35" customHeight="1">
      <c r="A563" s="82">
        <v>3</v>
      </c>
      <c r="B563" s="83" t="s">
        <v>1469</v>
      </c>
      <c r="C563" s="67" t="s">
        <v>1470</v>
      </c>
      <c r="D563" s="91">
        <v>548300</v>
      </c>
      <c r="E563" s="76">
        <v>21460</v>
      </c>
      <c r="F563" s="77" t="s">
        <v>10171</v>
      </c>
      <c r="G563" s="22"/>
      <c r="H563" s="22"/>
    </row>
    <row r="564" spans="1:8" ht="13.35" customHeight="1">
      <c r="A564" s="82">
        <v>3</v>
      </c>
      <c r="B564" s="83" t="s">
        <v>1298</v>
      </c>
      <c r="C564" s="67" t="s">
        <v>2283</v>
      </c>
      <c r="D564" s="91">
        <v>547200</v>
      </c>
      <c r="E564" s="76">
        <v>21460</v>
      </c>
      <c r="F564" s="77" t="s">
        <v>10171</v>
      </c>
      <c r="G564" s="22"/>
      <c r="H564" s="22"/>
    </row>
    <row r="565" spans="1:8" ht="13.35" customHeight="1">
      <c r="A565" s="82">
        <v>3</v>
      </c>
      <c r="B565" s="83" t="s">
        <v>2855</v>
      </c>
      <c r="C565" s="67" t="s">
        <v>2856</v>
      </c>
      <c r="D565" s="91">
        <v>807200</v>
      </c>
      <c r="E565" s="76">
        <v>31653.499999999996</v>
      </c>
      <c r="F565" s="77" t="s">
        <v>10171</v>
      </c>
      <c r="G565" s="22"/>
      <c r="H565" s="22"/>
    </row>
    <row r="566" spans="1:8" ht="13.35" customHeight="1">
      <c r="A566" s="82">
        <v>3</v>
      </c>
      <c r="B566" s="83" t="s">
        <v>3116</v>
      </c>
      <c r="C566" s="67" t="s">
        <v>3117</v>
      </c>
      <c r="D566" s="91">
        <v>807200</v>
      </c>
      <c r="E566" s="76">
        <v>31653.499999999996</v>
      </c>
      <c r="F566" s="77" t="s">
        <v>10171</v>
      </c>
      <c r="G566" s="22"/>
      <c r="H566" s="66"/>
    </row>
    <row r="567" spans="1:8" ht="13.35" customHeight="1">
      <c r="A567" s="82">
        <v>3</v>
      </c>
      <c r="B567" s="83" t="s">
        <v>2442</v>
      </c>
      <c r="C567" s="67" t="s">
        <v>2443</v>
      </c>
      <c r="D567" s="91">
        <v>807200</v>
      </c>
      <c r="E567" s="76">
        <v>31653.499999999996</v>
      </c>
      <c r="F567" s="77" t="s">
        <v>10171</v>
      </c>
      <c r="G567" s="22"/>
      <c r="H567" s="22"/>
    </row>
    <row r="568" spans="1:8" ht="13.35" customHeight="1">
      <c r="A568" s="82">
        <v>3</v>
      </c>
      <c r="B568" s="83" t="s">
        <v>2444</v>
      </c>
      <c r="C568" s="67" t="s">
        <v>2445</v>
      </c>
      <c r="D568" s="91">
        <v>807200</v>
      </c>
      <c r="E568" s="76">
        <v>31653.499999999996</v>
      </c>
      <c r="F568" s="77" t="s">
        <v>10171</v>
      </c>
      <c r="G568" s="22"/>
      <c r="H568" s="22"/>
    </row>
    <row r="569" spans="1:8" ht="13.35" customHeight="1">
      <c r="A569" s="82">
        <v>3</v>
      </c>
      <c r="B569" s="83" t="s">
        <v>2446</v>
      </c>
      <c r="C569" s="67" t="s">
        <v>2447</v>
      </c>
      <c r="D569" s="91">
        <v>807200</v>
      </c>
      <c r="E569" s="76">
        <v>31653.499999999996</v>
      </c>
      <c r="F569" s="77" t="s">
        <v>10171</v>
      </c>
      <c r="G569" s="22"/>
      <c r="H569" s="22"/>
    </row>
    <row r="570" spans="1:8" ht="13.35" customHeight="1">
      <c r="A570" s="82">
        <v>3</v>
      </c>
      <c r="B570" s="83" t="s">
        <v>2448</v>
      </c>
      <c r="C570" s="67" t="s">
        <v>4134</v>
      </c>
      <c r="D570" s="91">
        <v>807200</v>
      </c>
      <c r="E570" s="76">
        <v>31653.499999999996</v>
      </c>
      <c r="F570" s="77" t="s">
        <v>10171</v>
      </c>
      <c r="G570" s="22"/>
      <c r="H570" s="22"/>
    </row>
    <row r="571" spans="1:8" ht="13.35" customHeight="1">
      <c r="A571" s="82">
        <v>3</v>
      </c>
      <c r="B571" s="83" t="s">
        <v>2449</v>
      </c>
      <c r="C571" s="67" t="s">
        <v>2450</v>
      </c>
      <c r="D571" s="91">
        <v>807200</v>
      </c>
      <c r="E571" s="76">
        <v>31653.499999999996</v>
      </c>
      <c r="F571" s="77" t="s">
        <v>10171</v>
      </c>
      <c r="G571" s="22"/>
      <c r="H571" s="22"/>
    </row>
    <row r="572" spans="1:8" ht="13.35" customHeight="1">
      <c r="A572" s="82">
        <v>3</v>
      </c>
      <c r="B572" s="83" t="s">
        <v>2451</v>
      </c>
      <c r="C572" s="67" t="s">
        <v>2452</v>
      </c>
      <c r="D572" s="91">
        <v>807200</v>
      </c>
      <c r="E572" s="76">
        <v>31653.499999999996</v>
      </c>
      <c r="F572" s="77" t="s">
        <v>10171</v>
      </c>
      <c r="G572" s="22"/>
      <c r="H572" s="22"/>
    </row>
    <row r="573" spans="1:8" ht="13.35" customHeight="1">
      <c r="A573" s="82">
        <v>3</v>
      </c>
      <c r="B573" s="83" t="s">
        <v>2453</v>
      </c>
      <c r="C573" s="67" t="s">
        <v>2454</v>
      </c>
      <c r="D573" s="91">
        <v>807200</v>
      </c>
      <c r="E573" s="76">
        <v>31653.499999999996</v>
      </c>
      <c r="F573" s="77" t="s">
        <v>10171</v>
      </c>
      <c r="G573" s="22"/>
      <c r="H573" s="22"/>
    </row>
    <row r="574" spans="1:8" ht="13.35" customHeight="1">
      <c r="A574" s="82">
        <v>3</v>
      </c>
      <c r="B574" s="83" t="s">
        <v>2455</v>
      </c>
      <c r="C574" s="67" t="s">
        <v>2456</v>
      </c>
      <c r="D574" s="91">
        <v>807200</v>
      </c>
      <c r="E574" s="76">
        <v>31653.499999999996</v>
      </c>
      <c r="F574" s="77" t="s">
        <v>10171</v>
      </c>
      <c r="G574" s="22"/>
      <c r="H574" s="22"/>
    </row>
    <row r="575" spans="1:8" ht="13.35" customHeight="1">
      <c r="A575" s="82">
        <v>3</v>
      </c>
      <c r="B575" s="83" t="s">
        <v>1419</v>
      </c>
      <c r="C575" s="67" t="s">
        <v>1420</v>
      </c>
      <c r="D575" s="91">
        <v>807200</v>
      </c>
      <c r="E575" s="76">
        <v>31653.499999999996</v>
      </c>
      <c r="F575" s="77" t="s">
        <v>10171</v>
      </c>
      <c r="G575" s="22"/>
      <c r="H575" s="22"/>
    </row>
    <row r="576" spans="1:8" ht="13.35" customHeight="1">
      <c r="A576" s="82">
        <v>3</v>
      </c>
      <c r="B576" s="83" t="s">
        <v>1417</v>
      </c>
      <c r="C576" s="67" t="s">
        <v>1418</v>
      </c>
      <c r="D576" s="91">
        <v>547200</v>
      </c>
      <c r="E576" s="76">
        <v>21460</v>
      </c>
      <c r="F576" s="77" t="s">
        <v>10171</v>
      </c>
      <c r="G576" s="22"/>
      <c r="H576" s="22"/>
    </row>
    <row r="577" spans="1:8" ht="13.35" customHeight="1">
      <c r="A577" s="82">
        <v>3</v>
      </c>
      <c r="B577" s="67" t="s">
        <v>6209</v>
      </c>
      <c r="C577" s="67" t="s">
        <v>6210</v>
      </c>
      <c r="D577" s="91">
        <v>547200</v>
      </c>
      <c r="E577" s="76">
        <v>21460</v>
      </c>
      <c r="F577" s="77" t="s">
        <v>10171</v>
      </c>
      <c r="G577" s="22"/>
      <c r="H577" s="22"/>
    </row>
    <row r="578" spans="1:8" ht="13.35" customHeight="1">
      <c r="A578" s="82">
        <v>3</v>
      </c>
      <c r="B578" s="83" t="s">
        <v>1478</v>
      </c>
      <c r="C578" s="67" t="s">
        <v>1479</v>
      </c>
      <c r="D578" s="91">
        <v>547200</v>
      </c>
      <c r="E578" s="76">
        <v>21460</v>
      </c>
      <c r="F578" s="77" t="s">
        <v>10171</v>
      </c>
      <c r="G578" s="22"/>
      <c r="H578" s="22"/>
    </row>
    <row r="579" spans="1:8" ht="13.35" customHeight="1">
      <c r="A579" s="82">
        <v>3</v>
      </c>
      <c r="B579" s="83" t="s">
        <v>31</v>
      </c>
      <c r="C579" s="67" t="s">
        <v>7345</v>
      </c>
      <c r="D579" s="91">
        <v>547200</v>
      </c>
      <c r="E579" s="76">
        <v>21460</v>
      </c>
      <c r="F579" s="77" t="s">
        <v>10171</v>
      </c>
      <c r="G579" s="22"/>
      <c r="H579" s="22"/>
    </row>
    <row r="580" spans="1:8" ht="13.35" customHeight="1">
      <c r="A580" s="82">
        <v>3</v>
      </c>
      <c r="B580" s="83" t="s">
        <v>7</v>
      </c>
      <c r="C580" s="67" t="s">
        <v>7346</v>
      </c>
      <c r="D580" s="91">
        <v>547200</v>
      </c>
      <c r="E580" s="76">
        <v>21460</v>
      </c>
      <c r="F580" s="77" t="s">
        <v>10171</v>
      </c>
      <c r="G580" s="22"/>
      <c r="H580" s="22"/>
    </row>
    <row r="581" spans="1:8" ht="13.35" customHeight="1">
      <c r="A581" s="82">
        <v>3</v>
      </c>
      <c r="B581" s="83" t="s">
        <v>10</v>
      </c>
      <c r="C581" s="67" t="s">
        <v>7347</v>
      </c>
      <c r="D581" s="91">
        <v>547200</v>
      </c>
      <c r="E581" s="76">
        <v>21460</v>
      </c>
      <c r="F581" s="77" t="s">
        <v>10171</v>
      </c>
      <c r="G581" s="22"/>
      <c r="H581" s="22"/>
    </row>
    <row r="582" spans="1:8" ht="13.35" customHeight="1">
      <c r="A582" s="82">
        <v>3</v>
      </c>
      <c r="B582" s="83" t="s">
        <v>11</v>
      </c>
      <c r="C582" s="67" t="s">
        <v>7348</v>
      </c>
      <c r="D582" s="91">
        <v>547200</v>
      </c>
      <c r="E582" s="76">
        <v>21460</v>
      </c>
      <c r="F582" s="77" t="s">
        <v>10171</v>
      </c>
      <c r="G582" s="22"/>
      <c r="H582" s="22"/>
    </row>
    <row r="583" spans="1:8" ht="13.35" customHeight="1">
      <c r="A583" s="82">
        <v>3</v>
      </c>
      <c r="B583" s="83" t="s">
        <v>12</v>
      </c>
      <c r="C583" s="67" t="s">
        <v>7349</v>
      </c>
      <c r="D583" s="91">
        <v>547200</v>
      </c>
      <c r="E583" s="76">
        <v>21460</v>
      </c>
      <c r="F583" s="77" t="s">
        <v>10171</v>
      </c>
      <c r="G583" s="22"/>
      <c r="H583" s="22"/>
    </row>
    <row r="584" spans="1:8" ht="13.35" customHeight="1">
      <c r="A584" s="82">
        <v>3</v>
      </c>
      <c r="B584" s="83" t="s">
        <v>13</v>
      </c>
      <c r="C584" s="67" t="s">
        <v>7350</v>
      </c>
      <c r="D584" s="91">
        <v>547200</v>
      </c>
      <c r="E584" s="76">
        <v>21460</v>
      </c>
      <c r="F584" s="77" t="s">
        <v>10171</v>
      </c>
      <c r="G584" s="22"/>
      <c r="H584" s="22"/>
    </row>
    <row r="585" spans="1:8" ht="13.35" customHeight="1">
      <c r="A585" s="82">
        <v>3</v>
      </c>
      <c r="B585" s="83" t="s">
        <v>3957</v>
      </c>
      <c r="C585" s="67" t="s">
        <v>4055</v>
      </c>
      <c r="D585" s="91">
        <v>1696500</v>
      </c>
      <c r="E585" s="76">
        <v>66526</v>
      </c>
      <c r="F585" s="77" t="s">
        <v>10171</v>
      </c>
      <c r="G585" s="22"/>
      <c r="H585" s="22"/>
    </row>
    <row r="586" spans="1:8" ht="13.35" customHeight="1">
      <c r="A586" s="82">
        <v>3</v>
      </c>
      <c r="B586" s="67" t="s">
        <v>6752</v>
      </c>
      <c r="C586" s="67" t="s">
        <v>7351</v>
      </c>
      <c r="D586" s="91">
        <v>54655900</v>
      </c>
      <c r="E586" s="76">
        <v>2143317.5</v>
      </c>
      <c r="F586" s="77" t="s">
        <v>10171</v>
      </c>
      <c r="G586" s="22"/>
      <c r="H586" s="22"/>
    </row>
    <row r="587" spans="1:8" ht="13.35" customHeight="1">
      <c r="A587" s="82">
        <v>3</v>
      </c>
      <c r="B587" s="83" t="s">
        <v>3112</v>
      </c>
      <c r="C587" s="67" t="s">
        <v>3113</v>
      </c>
      <c r="D587" s="91">
        <v>28661900</v>
      </c>
      <c r="E587" s="76">
        <v>1123967.5</v>
      </c>
      <c r="F587" s="77" t="s">
        <v>10171</v>
      </c>
      <c r="G587" s="22"/>
      <c r="H587" s="22"/>
    </row>
    <row r="588" spans="1:8" ht="13.35" customHeight="1">
      <c r="A588" s="82">
        <v>3</v>
      </c>
      <c r="B588" s="83" t="s">
        <v>1531</v>
      </c>
      <c r="C588" s="67" t="s">
        <v>1532</v>
      </c>
      <c r="D588" s="91">
        <v>17717000</v>
      </c>
      <c r="E588" s="76">
        <v>694767.5</v>
      </c>
      <c r="F588" s="77" t="s">
        <v>10171</v>
      </c>
      <c r="G588" s="22"/>
      <c r="H588" s="22"/>
    </row>
    <row r="589" spans="1:8" ht="13.35" customHeight="1">
      <c r="A589" s="82">
        <v>3</v>
      </c>
      <c r="B589" s="83" t="s">
        <v>1529</v>
      </c>
      <c r="C589" s="67" t="s">
        <v>1530</v>
      </c>
      <c r="D589" s="91">
        <v>11560500</v>
      </c>
      <c r="E589" s="76">
        <v>453342.49999999994</v>
      </c>
      <c r="F589" s="77" t="s">
        <v>10171</v>
      </c>
      <c r="G589" s="22"/>
      <c r="H589" s="22"/>
    </row>
    <row r="590" spans="1:8" ht="13.35" customHeight="1">
      <c r="A590" s="82">
        <v>3</v>
      </c>
      <c r="B590" s="83" t="s">
        <v>1527</v>
      </c>
      <c r="C590" s="67" t="s">
        <v>1528</v>
      </c>
      <c r="D590" s="91">
        <v>8824300</v>
      </c>
      <c r="E590" s="76">
        <v>346042.5</v>
      </c>
      <c r="F590" s="77" t="s">
        <v>10171</v>
      </c>
      <c r="G590" s="22"/>
      <c r="H590" s="22"/>
    </row>
    <row r="591" spans="1:8" ht="13.35" customHeight="1">
      <c r="A591" s="82">
        <v>3</v>
      </c>
      <c r="B591" s="83" t="s">
        <v>1541</v>
      </c>
      <c r="C591" s="67" t="s">
        <v>5465</v>
      </c>
      <c r="D591" s="91">
        <v>23189400</v>
      </c>
      <c r="E591" s="76">
        <v>909367.5</v>
      </c>
      <c r="F591" s="77" t="s">
        <v>10171</v>
      </c>
      <c r="G591" s="22"/>
      <c r="H591" s="22"/>
    </row>
    <row r="592" spans="1:8" ht="13.35" customHeight="1">
      <c r="A592" s="82">
        <v>3</v>
      </c>
      <c r="B592" s="83" t="s">
        <v>1540</v>
      </c>
      <c r="C592" s="67" t="s">
        <v>5466</v>
      </c>
      <c r="D592" s="91">
        <v>16348900</v>
      </c>
      <c r="E592" s="76">
        <v>641117.5</v>
      </c>
      <c r="F592" s="77" t="s">
        <v>10171</v>
      </c>
      <c r="G592" s="22"/>
      <c r="H592" s="22"/>
    </row>
    <row r="593" spans="1:8" ht="13.35" customHeight="1">
      <c r="A593" s="82">
        <v>3</v>
      </c>
      <c r="B593" s="83" t="s">
        <v>1539</v>
      </c>
      <c r="C593" s="67" t="s">
        <v>5467</v>
      </c>
      <c r="D593" s="91">
        <v>13612700</v>
      </c>
      <c r="E593" s="76">
        <v>533817.5</v>
      </c>
      <c r="F593" s="77" t="s">
        <v>10171</v>
      </c>
      <c r="G593" s="22"/>
      <c r="H593" s="22"/>
    </row>
    <row r="594" spans="1:8" ht="13.35" customHeight="1">
      <c r="A594" s="82">
        <v>3</v>
      </c>
      <c r="B594" s="83" t="s">
        <v>1535</v>
      </c>
      <c r="C594" s="67" t="s">
        <v>2244</v>
      </c>
      <c r="D594" s="91">
        <v>23189400</v>
      </c>
      <c r="E594" s="76">
        <v>909367.5</v>
      </c>
      <c r="F594" s="77" t="s">
        <v>10171</v>
      </c>
      <c r="G594" s="22"/>
      <c r="H594" s="22"/>
    </row>
    <row r="595" spans="1:8" ht="13.35" customHeight="1">
      <c r="A595" s="82">
        <v>3</v>
      </c>
      <c r="B595" s="83" t="s">
        <v>1534</v>
      </c>
      <c r="C595" s="67" t="s">
        <v>2243</v>
      </c>
      <c r="D595" s="91">
        <v>17717000</v>
      </c>
      <c r="E595" s="76">
        <v>694767.5</v>
      </c>
      <c r="F595" s="77" t="s">
        <v>10171</v>
      </c>
      <c r="G595" s="22"/>
      <c r="H595" s="22"/>
    </row>
    <row r="596" spans="1:8" ht="13.35" customHeight="1">
      <c r="A596" s="82">
        <v>3</v>
      </c>
      <c r="B596" s="83" t="s">
        <v>1533</v>
      </c>
      <c r="C596" s="67" t="s">
        <v>2242</v>
      </c>
      <c r="D596" s="91">
        <v>13612700</v>
      </c>
      <c r="E596" s="76">
        <v>533817.5</v>
      </c>
      <c r="F596" s="77" t="s">
        <v>10171</v>
      </c>
      <c r="G596" s="22"/>
      <c r="H596" s="22"/>
    </row>
    <row r="597" spans="1:8" ht="13.35" customHeight="1">
      <c r="A597" s="82">
        <v>3</v>
      </c>
      <c r="B597" s="83" t="s">
        <v>3194</v>
      </c>
      <c r="C597" s="67" t="s">
        <v>3195</v>
      </c>
      <c r="D597" s="91">
        <v>34134300</v>
      </c>
      <c r="E597" s="76">
        <v>1338567.5</v>
      </c>
      <c r="F597" s="77" t="s">
        <v>10171</v>
      </c>
      <c r="G597" s="22"/>
      <c r="H597" s="22"/>
    </row>
    <row r="598" spans="1:8" ht="13.35" customHeight="1">
      <c r="A598" s="82">
        <v>3</v>
      </c>
      <c r="B598" s="83" t="s">
        <v>3192</v>
      </c>
      <c r="C598" s="67" t="s">
        <v>3193</v>
      </c>
      <c r="D598" s="91">
        <v>26609700</v>
      </c>
      <c r="E598" s="76">
        <v>1043492.5</v>
      </c>
      <c r="F598" s="77" t="s">
        <v>10171</v>
      </c>
      <c r="G598" s="22"/>
      <c r="H598" s="22"/>
    </row>
    <row r="599" spans="1:8" ht="13.35" customHeight="1">
      <c r="A599" s="82">
        <v>3</v>
      </c>
      <c r="B599" s="83" t="s">
        <v>3190</v>
      </c>
      <c r="C599" s="67" t="s">
        <v>3191</v>
      </c>
      <c r="D599" s="91">
        <v>21821300</v>
      </c>
      <c r="E599" s="76">
        <v>855717.5</v>
      </c>
      <c r="F599" s="77" t="s">
        <v>10171</v>
      </c>
      <c r="G599" s="22"/>
      <c r="H599" s="22"/>
    </row>
    <row r="600" spans="1:8" ht="13.35" customHeight="1">
      <c r="A600" s="82">
        <v>3</v>
      </c>
      <c r="B600" s="83" t="s">
        <v>3184</v>
      </c>
      <c r="C600" s="67" t="s">
        <v>3185</v>
      </c>
      <c r="D600" s="91">
        <v>18401100</v>
      </c>
      <c r="E600" s="76">
        <v>721592.5</v>
      </c>
      <c r="F600" s="77" t="s">
        <v>10171</v>
      </c>
      <c r="G600" s="22"/>
      <c r="H600" s="22"/>
    </row>
    <row r="601" spans="1:8" ht="13.35" customHeight="1">
      <c r="A601" s="82">
        <v>3</v>
      </c>
      <c r="B601" s="83" t="s">
        <v>1643</v>
      </c>
      <c r="C601" s="67" t="s">
        <v>1644</v>
      </c>
      <c r="D601" s="91">
        <v>17717000</v>
      </c>
      <c r="E601" s="76">
        <v>694767.5</v>
      </c>
      <c r="F601" s="77" t="s">
        <v>10171</v>
      </c>
      <c r="G601" s="22"/>
      <c r="H601" s="22"/>
    </row>
    <row r="602" spans="1:8" ht="13.35" customHeight="1">
      <c r="A602" s="82">
        <v>3</v>
      </c>
      <c r="B602" s="83" t="s">
        <v>1641</v>
      </c>
      <c r="C602" s="67" t="s">
        <v>1642</v>
      </c>
      <c r="D602" s="91">
        <v>14980800</v>
      </c>
      <c r="E602" s="76">
        <v>587467.5</v>
      </c>
      <c r="F602" s="77" t="s">
        <v>10171</v>
      </c>
      <c r="G602" s="22"/>
      <c r="H602" s="22"/>
    </row>
    <row r="603" spans="1:8" ht="13.35" customHeight="1">
      <c r="A603" s="82">
        <v>3</v>
      </c>
      <c r="B603" s="83" t="s">
        <v>1639</v>
      </c>
      <c r="C603" s="67" t="s">
        <v>1640</v>
      </c>
      <c r="D603" s="91">
        <v>11560500</v>
      </c>
      <c r="E603" s="76">
        <v>453342.49999999994</v>
      </c>
      <c r="F603" s="77" t="s">
        <v>10171</v>
      </c>
      <c r="G603" s="22"/>
      <c r="H603" s="22"/>
    </row>
    <row r="604" spans="1:8" ht="13.35" customHeight="1">
      <c r="A604" s="82">
        <v>3</v>
      </c>
      <c r="B604" s="83" t="s">
        <v>3186</v>
      </c>
      <c r="C604" s="67" t="s">
        <v>3187</v>
      </c>
      <c r="D604" s="91">
        <v>28661900</v>
      </c>
      <c r="E604" s="76">
        <v>1123967.5</v>
      </c>
      <c r="F604" s="77" t="s">
        <v>10171</v>
      </c>
      <c r="G604" s="22"/>
      <c r="H604" s="22"/>
    </row>
    <row r="605" spans="1:8" ht="13.35" customHeight="1">
      <c r="A605" s="82">
        <v>3</v>
      </c>
      <c r="B605" s="83" t="s">
        <v>1579</v>
      </c>
      <c r="C605" s="67" t="s">
        <v>7352</v>
      </c>
      <c r="D605" s="91">
        <v>27293800</v>
      </c>
      <c r="E605" s="76">
        <v>1070317.5</v>
      </c>
      <c r="F605" s="77" t="s">
        <v>10171</v>
      </c>
      <c r="G605" s="22"/>
      <c r="H605" s="22"/>
    </row>
    <row r="606" spans="1:8" ht="13.35" customHeight="1">
      <c r="A606" s="82">
        <v>3</v>
      </c>
      <c r="B606" s="83" t="s">
        <v>1577</v>
      </c>
      <c r="C606" s="67" t="s">
        <v>1578</v>
      </c>
      <c r="D606" s="91">
        <v>20453200</v>
      </c>
      <c r="E606" s="76">
        <v>802067.5</v>
      </c>
      <c r="F606" s="77" t="s">
        <v>10171</v>
      </c>
      <c r="G606" s="22"/>
      <c r="H606" s="22"/>
    </row>
    <row r="607" spans="1:8" ht="13.35" customHeight="1">
      <c r="A607" s="82">
        <v>3</v>
      </c>
      <c r="B607" s="83" t="s">
        <v>1575</v>
      </c>
      <c r="C607" s="67" t="s">
        <v>1576</v>
      </c>
      <c r="D607" s="91">
        <v>15664800</v>
      </c>
      <c r="E607" s="76">
        <v>614292.5</v>
      </c>
      <c r="F607" s="77" t="s">
        <v>10171</v>
      </c>
      <c r="G607" s="22"/>
      <c r="H607" s="22"/>
    </row>
    <row r="608" spans="1:8" ht="13.35" customHeight="1">
      <c r="A608" s="82">
        <v>3</v>
      </c>
      <c r="B608" s="83" t="s">
        <v>3188</v>
      </c>
      <c r="C608" s="67" t="s">
        <v>3189</v>
      </c>
      <c r="D608" s="91">
        <v>31398100</v>
      </c>
      <c r="E608" s="76">
        <v>1231267.5</v>
      </c>
      <c r="F608" s="77" t="s">
        <v>10171</v>
      </c>
      <c r="G608" s="22"/>
      <c r="H608" s="22"/>
    </row>
    <row r="609" spans="1:8" ht="13.35" customHeight="1">
      <c r="A609" s="82">
        <v>3</v>
      </c>
      <c r="B609" s="83" t="s">
        <v>1571</v>
      </c>
      <c r="C609" s="67" t="s">
        <v>2236</v>
      </c>
      <c r="D609" s="91">
        <v>30030000</v>
      </c>
      <c r="E609" s="76">
        <v>1177617.5</v>
      </c>
      <c r="F609" s="77" t="s">
        <v>10171</v>
      </c>
      <c r="G609" s="22"/>
      <c r="H609" s="22"/>
    </row>
    <row r="610" spans="1:8" ht="13.35" customHeight="1">
      <c r="A610" s="82">
        <v>3</v>
      </c>
      <c r="B610" s="83" t="s">
        <v>1570</v>
      </c>
      <c r="C610" s="67" t="s">
        <v>2238</v>
      </c>
      <c r="D610" s="91">
        <v>20453200</v>
      </c>
      <c r="E610" s="76">
        <v>802067.5</v>
      </c>
      <c r="F610" s="77" t="s">
        <v>10171</v>
      </c>
      <c r="G610" s="22"/>
      <c r="H610" s="22"/>
    </row>
    <row r="611" spans="1:8" ht="13.35" customHeight="1">
      <c r="A611" s="82">
        <v>3</v>
      </c>
      <c r="B611" s="83" t="s">
        <v>1569</v>
      </c>
      <c r="C611" s="67" t="s">
        <v>2237</v>
      </c>
      <c r="D611" s="91">
        <v>17717000</v>
      </c>
      <c r="E611" s="76">
        <v>694767.5</v>
      </c>
      <c r="F611" s="77" t="s">
        <v>10171</v>
      </c>
      <c r="G611" s="22"/>
      <c r="H611" s="22"/>
    </row>
    <row r="612" spans="1:8" ht="13.35" customHeight="1">
      <c r="A612" s="82">
        <v>3</v>
      </c>
      <c r="B612" s="83" t="s">
        <v>3280</v>
      </c>
      <c r="C612" s="67" t="s">
        <v>3281</v>
      </c>
      <c r="D612" s="91">
        <v>34134300</v>
      </c>
      <c r="E612" s="76">
        <v>1338567.5</v>
      </c>
      <c r="F612" s="77" t="s">
        <v>10171</v>
      </c>
      <c r="G612" s="22"/>
      <c r="H612" s="22"/>
    </row>
    <row r="613" spans="1:8" ht="13.35" customHeight="1">
      <c r="A613" s="82">
        <v>3</v>
      </c>
      <c r="B613" s="83" t="s">
        <v>3278</v>
      </c>
      <c r="C613" s="67" t="s">
        <v>3279</v>
      </c>
      <c r="D613" s="91">
        <v>26609700</v>
      </c>
      <c r="E613" s="76">
        <v>1043492.5</v>
      </c>
      <c r="F613" s="77" t="s">
        <v>10171</v>
      </c>
      <c r="G613" s="22"/>
      <c r="H613" s="22"/>
    </row>
    <row r="614" spans="1:8" ht="13.35" customHeight="1">
      <c r="A614" s="82">
        <v>3</v>
      </c>
      <c r="B614" s="83" t="s">
        <v>3276</v>
      </c>
      <c r="C614" s="67" t="s">
        <v>3277</v>
      </c>
      <c r="D614" s="91">
        <v>21821300</v>
      </c>
      <c r="E614" s="76">
        <v>855717.5</v>
      </c>
      <c r="F614" s="77" t="s">
        <v>10171</v>
      </c>
      <c r="G614" s="22"/>
      <c r="H614" s="22"/>
    </row>
    <row r="615" spans="1:8" ht="13.35" customHeight="1">
      <c r="A615" s="82">
        <v>3</v>
      </c>
      <c r="B615" s="83" t="s">
        <v>1590</v>
      </c>
      <c r="C615" s="67" t="s">
        <v>2247</v>
      </c>
      <c r="D615" s="91">
        <v>30030000</v>
      </c>
      <c r="E615" s="76">
        <v>1177617.5</v>
      </c>
      <c r="F615" s="77" t="s">
        <v>10171</v>
      </c>
      <c r="G615" s="22"/>
      <c r="H615" s="22"/>
    </row>
    <row r="616" spans="1:8" ht="13.35" customHeight="1">
      <c r="A616" s="82">
        <v>3</v>
      </c>
      <c r="B616" s="83" t="s">
        <v>1589</v>
      </c>
      <c r="C616" s="67" t="s">
        <v>2246</v>
      </c>
      <c r="D616" s="91">
        <v>20453200</v>
      </c>
      <c r="E616" s="76">
        <v>802067.5</v>
      </c>
      <c r="F616" s="77" t="s">
        <v>10171</v>
      </c>
      <c r="G616" s="22"/>
      <c r="H616" s="22"/>
    </row>
    <row r="617" spans="1:8" ht="13.35" customHeight="1">
      <c r="A617" s="82">
        <v>3</v>
      </c>
      <c r="B617" s="83" t="s">
        <v>1588</v>
      </c>
      <c r="C617" s="67" t="s">
        <v>2245</v>
      </c>
      <c r="D617" s="91">
        <v>16348900</v>
      </c>
      <c r="E617" s="76">
        <v>641117.5</v>
      </c>
      <c r="F617" s="77" t="s">
        <v>10171</v>
      </c>
      <c r="G617" s="22"/>
      <c r="H617" s="22"/>
    </row>
    <row r="618" spans="1:8" ht="13.35" customHeight="1">
      <c r="A618" s="82">
        <v>3</v>
      </c>
      <c r="B618" s="83" t="s">
        <v>1538</v>
      </c>
      <c r="C618" s="67" t="s">
        <v>2241</v>
      </c>
      <c r="D618" s="91">
        <v>21821300</v>
      </c>
      <c r="E618" s="76">
        <v>855717.5</v>
      </c>
      <c r="F618" s="77" t="s">
        <v>10171</v>
      </c>
      <c r="G618" s="22"/>
      <c r="H618" s="22"/>
    </row>
    <row r="619" spans="1:8" ht="13.35" customHeight="1">
      <c r="A619" s="82">
        <v>3</v>
      </c>
      <c r="B619" s="83" t="s">
        <v>1537</v>
      </c>
      <c r="C619" s="67" t="s">
        <v>2240</v>
      </c>
      <c r="D619" s="91">
        <v>16348900</v>
      </c>
      <c r="E619" s="76">
        <v>641117.5</v>
      </c>
      <c r="F619" s="77" t="s">
        <v>10171</v>
      </c>
      <c r="G619" s="22"/>
      <c r="H619" s="22"/>
    </row>
    <row r="620" spans="1:8" ht="13.35" customHeight="1">
      <c r="A620" s="82">
        <v>3</v>
      </c>
      <c r="B620" s="83" t="s">
        <v>1536</v>
      </c>
      <c r="C620" s="67" t="s">
        <v>2239</v>
      </c>
      <c r="D620" s="91">
        <v>12244600</v>
      </c>
      <c r="E620" s="76">
        <v>480167.49999999994</v>
      </c>
      <c r="F620" s="77" t="s">
        <v>10171</v>
      </c>
      <c r="G620" s="22"/>
      <c r="H620" s="22"/>
    </row>
    <row r="621" spans="1:8" ht="13.35" customHeight="1">
      <c r="A621" s="82">
        <v>3</v>
      </c>
      <c r="B621" s="83" t="s">
        <v>1546</v>
      </c>
      <c r="C621" s="67" t="s">
        <v>1547</v>
      </c>
      <c r="D621" s="91">
        <v>20453200</v>
      </c>
      <c r="E621" s="76">
        <v>802067.5</v>
      </c>
      <c r="F621" s="77" t="s">
        <v>10171</v>
      </c>
      <c r="G621" s="22"/>
      <c r="H621" s="22"/>
    </row>
    <row r="622" spans="1:8" ht="13.35" customHeight="1">
      <c r="A622" s="82">
        <v>3</v>
      </c>
      <c r="B622" s="83" t="s">
        <v>1544</v>
      </c>
      <c r="C622" s="67" t="s">
        <v>1545</v>
      </c>
      <c r="D622" s="91">
        <v>13612700</v>
      </c>
      <c r="E622" s="76">
        <v>533817.5</v>
      </c>
      <c r="F622" s="77" t="s">
        <v>10171</v>
      </c>
      <c r="G622" s="22"/>
      <c r="H622" s="22"/>
    </row>
    <row r="623" spans="1:8" ht="13.35" customHeight="1">
      <c r="A623" s="82">
        <v>3</v>
      </c>
      <c r="B623" s="83" t="s">
        <v>1542</v>
      </c>
      <c r="C623" s="67" t="s">
        <v>1543</v>
      </c>
      <c r="D623" s="91">
        <v>10876500</v>
      </c>
      <c r="E623" s="76">
        <v>426517.49999999994</v>
      </c>
      <c r="F623" s="77" t="s">
        <v>10171</v>
      </c>
      <c r="G623" s="22"/>
      <c r="H623" s="22"/>
    </row>
    <row r="624" spans="1:8" ht="13.35" customHeight="1">
      <c r="A624" s="82">
        <v>3</v>
      </c>
      <c r="B624" s="83" t="s">
        <v>1649</v>
      </c>
      <c r="C624" s="67" t="s">
        <v>1650</v>
      </c>
      <c r="D624" s="91">
        <v>20453200</v>
      </c>
      <c r="E624" s="76">
        <v>802067.5</v>
      </c>
      <c r="F624" s="77" t="s">
        <v>10171</v>
      </c>
      <c r="G624" s="22"/>
      <c r="H624" s="22"/>
    </row>
    <row r="625" spans="1:8" ht="13.35" customHeight="1">
      <c r="A625" s="82">
        <v>3</v>
      </c>
      <c r="B625" s="83" t="s">
        <v>1647</v>
      </c>
      <c r="C625" s="67" t="s">
        <v>1648</v>
      </c>
      <c r="D625" s="91">
        <v>17717000</v>
      </c>
      <c r="E625" s="76">
        <v>694767.5</v>
      </c>
      <c r="F625" s="77" t="s">
        <v>10171</v>
      </c>
      <c r="G625" s="22"/>
      <c r="H625" s="22"/>
    </row>
    <row r="626" spans="1:8" ht="13.35" customHeight="1">
      <c r="A626" s="82">
        <v>3</v>
      </c>
      <c r="B626" s="83" t="s">
        <v>1645</v>
      </c>
      <c r="C626" s="67" t="s">
        <v>1646</v>
      </c>
      <c r="D626" s="91">
        <v>13612700</v>
      </c>
      <c r="E626" s="76">
        <v>533817.5</v>
      </c>
      <c r="F626" s="77" t="s">
        <v>10171</v>
      </c>
      <c r="G626" s="22"/>
      <c r="H626" s="22"/>
    </row>
    <row r="627" spans="1:8" ht="13.35" customHeight="1">
      <c r="A627" s="82">
        <v>3</v>
      </c>
      <c r="B627" s="83" t="s">
        <v>1572</v>
      </c>
      <c r="C627" s="67" t="s">
        <v>2234</v>
      </c>
      <c r="D627" s="91">
        <v>17717000</v>
      </c>
      <c r="E627" s="76">
        <v>694767.5</v>
      </c>
      <c r="F627" s="77" t="s">
        <v>10171</v>
      </c>
      <c r="G627" s="22"/>
      <c r="H627" s="22"/>
    </row>
    <row r="628" spans="1:8" ht="13.35" customHeight="1">
      <c r="A628" s="82">
        <v>3</v>
      </c>
      <c r="B628" s="83" t="s">
        <v>1573</v>
      </c>
      <c r="C628" s="67" t="s">
        <v>2235</v>
      </c>
      <c r="D628" s="91">
        <v>20453200</v>
      </c>
      <c r="E628" s="76">
        <v>802067.5</v>
      </c>
      <c r="F628" s="77" t="s">
        <v>10171</v>
      </c>
      <c r="G628" s="22"/>
      <c r="H628" s="22"/>
    </row>
    <row r="629" spans="1:8" ht="13.35" customHeight="1">
      <c r="A629" s="82">
        <v>3</v>
      </c>
      <c r="B629" s="83" t="s">
        <v>1574</v>
      </c>
      <c r="C629" s="67" t="s">
        <v>2233</v>
      </c>
      <c r="D629" s="91">
        <v>28661900</v>
      </c>
      <c r="E629" s="76">
        <v>1123967.5</v>
      </c>
      <c r="F629" s="77" t="s">
        <v>10171</v>
      </c>
      <c r="G629" s="22"/>
      <c r="H629" s="22"/>
    </row>
    <row r="630" spans="1:8" ht="13.35" customHeight="1">
      <c r="A630" s="82">
        <v>3</v>
      </c>
      <c r="B630" s="83" t="s">
        <v>1655</v>
      </c>
      <c r="C630" s="67" t="s">
        <v>1656</v>
      </c>
      <c r="D630" s="91">
        <v>34134300</v>
      </c>
      <c r="E630" s="76">
        <v>1338567.5</v>
      </c>
      <c r="F630" s="77" t="s">
        <v>10171</v>
      </c>
      <c r="G630" s="22"/>
      <c r="H630" s="22"/>
    </row>
    <row r="631" spans="1:8" ht="13.35" customHeight="1">
      <c r="A631" s="82">
        <v>3</v>
      </c>
      <c r="B631" s="83" t="s">
        <v>1653</v>
      </c>
      <c r="C631" s="67" t="s">
        <v>1654</v>
      </c>
      <c r="D631" s="91">
        <v>28661900</v>
      </c>
      <c r="E631" s="76">
        <v>1123967.5</v>
      </c>
      <c r="F631" s="77" t="s">
        <v>10171</v>
      </c>
      <c r="G631" s="22"/>
      <c r="H631" s="22"/>
    </row>
    <row r="632" spans="1:8" ht="13.35" customHeight="1">
      <c r="A632" s="82">
        <v>3</v>
      </c>
      <c r="B632" s="83" t="s">
        <v>1651</v>
      </c>
      <c r="C632" s="67" t="s">
        <v>1652</v>
      </c>
      <c r="D632" s="91">
        <v>21821300</v>
      </c>
      <c r="E632" s="76">
        <v>855717.5</v>
      </c>
      <c r="F632" s="77" t="s">
        <v>10171</v>
      </c>
      <c r="G632" s="22"/>
      <c r="H632" s="22"/>
    </row>
    <row r="633" spans="1:8" ht="13.35" customHeight="1">
      <c r="A633" s="82">
        <v>3</v>
      </c>
      <c r="B633" s="83" t="s">
        <v>4386</v>
      </c>
      <c r="C633" s="67" t="s">
        <v>7353</v>
      </c>
      <c r="D633" s="91">
        <v>2052200</v>
      </c>
      <c r="E633" s="76">
        <v>80475</v>
      </c>
      <c r="F633" s="77" t="s">
        <v>10171</v>
      </c>
      <c r="G633" s="22"/>
      <c r="H633" s="22"/>
    </row>
    <row r="634" spans="1:8" ht="13.35" customHeight="1">
      <c r="A634" s="82">
        <v>3</v>
      </c>
      <c r="B634" s="83" t="s">
        <v>957</v>
      </c>
      <c r="C634" s="67" t="s">
        <v>958</v>
      </c>
      <c r="D634" s="91">
        <v>6088100</v>
      </c>
      <c r="E634" s="76">
        <v>238742.5</v>
      </c>
      <c r="F634" s="77" t="s">
        <v>10171</v>
      </c>
      <c r="G634" s="22"/>
      <c r="H634" s="22"/>
    </row>
    <row r="635" spans="1:8" ht="13.35" customHeight="1">
      <c r="A635" s="82">
        <v>3</v>
      </c>
      <c r="B635" s="83" t="s">
        <v>189</v>
      </c>
      <c r="C635" s="67" t="s">
        <v>190</v>
      </c>
      <c r="D635" s="91">
        <v>6088100</v>
      </c>
      <c r="E635" s="76">
        <v>238742.5</v>
      </c>
      <c r="F635" s="77" t="s">
        <v>10171</v>
      </c>
      <c r="G635" s="22"/>
      <c r="H635" s="22"/>
    </row>
    <row r="636" spans="1:8" ht="13.35" customHeight="1">
      <c r="A636" s="82">
        <v>3</v>
      </c>
      <c r="B636" s="83" t="s">
        <v>959</v>
      </c>
      <c r="C636" s="67" t="s">
        <v>960</v>
      </c>
      <c r="D636" s="91">
        <v>7456200</v>
      </c>
      <c r="E636" s="76">
        <v>292392.5</v>
      </c>
      <c r="F636" s="77" t="s">
        <v>10171</v>
      </c>
      <c r="G636" s="22"/>
      <c r="H636" s="22"/>
    </row>
    <row r="637" spans="1:8" ht="13.35" customHeight="1">
      <c r="A637" s="82">
        <v>3</v>
      </c>
      <c r="B637" s="83" t="s">
        <v>191</v>
      </c>
      <c r="C637" s="67" t="s">
        <v>192</v>
      </c>
      <c r="D637" s="91">
        <v>7456200</v>
      </c>
      <c r="E637" s="76">
        <v>292392.5</v>
      </c>
      <c r="F637" s="77" t="s">
        <v>10171</v>
      </c>
      <c r="G637" s="22"/>
      <c r="H637" s="22"/>
    </row>
    <row r="638" spans="1:8" ht="13.35" customHeight="1">
      <c r="A638" s="82">
        <v>3</v>
      </c>
      <c r="B638" s="83" t="s">
        <v>961</v>
      </c>
      <c r="C638" s="67" t="s">
        <v>962</v>
      </c>
      <c r="D638" s="91">
        <v>8824300</v>
      </c>
      <c r="E638" s="76">
        <v>346042.5</v>
      </c>
      <c r="F638" s="77" t="s">
        <v>10171</v>
      </c>
      <c r="G638" s="22"/>
      <c r="H638" s="22"/>
    </row>
    <row r="639" spans="1:8" ht="13.35" customHeight="1">
      <c r="A639" s="82">
        <v>3</v>
      </c>
      <c r="B639" s="83" t="s">
        <v>193</v>
      </c>
      <c r="C639" s="67" t="s">
        <v>194</v>
      </c>
      <c r="D639" s="91">
        <v>8824300</v>
      </c>
      <c r="E639" s="76">
        <v>346042.5</v>
      </c>
      <c r="F639" s="77" t="s">
        <v>10171</v>
      </c>
      <c r="G639" s="22"/>
      <c r="H639" s="22"/>
    </row>
    <row r="640" spans="1:8" ht="13.35" customHeight="1">
      <c r="A640" s="82">
        <v>3</v>
      </c>
      <c r="B640" s="83" t="s">
        <v>195</v>
      </c>
      <c r="C640" s="67" t="s">
        <v>196</v>
      </c>
      <c r="D640" s="91">
        <v>11560500</v>
      </c>
      <c r="E640" s="76">
        <v>453342.49999999994</v>
      </c>
      <c r="F640" s="77" t="s">
        <v>10171</v>
      </c>
      <c r="G640" s="22"/>
      <c r="H640" s="22"/>
    </row>
    <row r="641" spans="1:8" ht="13.35" customHeight="1">
      <c r="A641" s="82">
        <v>3</v>
      </c>
      <c r="B641" s="83" t="s">
        <v>293</v>
      </c>
      <c r="C641" s="67" t="s">
        <v>294</v>
      </c>
      <c r="D641" s="91">
        <v>8824300</v>
      </c>
      <c r="E641" s="76">
        <v>346042.5</v>
      </c>
      <c r="F641" s="77" t="s">
        <v>10171</v>
      </c>
      <c r="G641" s="22"/>
      <c r="H641" s="22"/>
    </row>
    <row r="642" spans="1:8" ht="13.35" customHeight="1">
      <c r="A642" s="82">
        <v>3</v>
      </c>
      <c r="B642" s="83" t="s">
        <v>295</v>
      </c>
      <c r="C642" s="67" t="s">
        <v>296</v>
      </c>
      <c r="D642" s="91">
        <v>10192400</v>
      </c>
      <c r="E642" s="76">
        <v>399692.49999999994</v>
      </c>
      <c r="F642" s="77" t="s">
        <v>10171</v>
      </c>
      <c r="G642" s="22"/>
      <c r="H642" s="22"/>
    </row>
    <row r="643" spans="1:8" ht="13.35" customHeight="1">
      <c r="A643" s="82">
        <v>3</v>
      </c>
      <c r="B643" s="83" t="s">
        <v>297</v>
      </c>
      <c r="C643" s="67" t="s">
        <v>298</v>
      </c>
      <c r="D643" s="91">
        <v>11560500</v>
      </c>
      <c r="E643" s="76">
        <v>453342.49999999994</v>
      </c>
      <c r="F643" s="77" t="s">
        <v>10171</v>
      </c>
      <c r="G643" s="22"/>
      <c r="H643" s="22"/>
    </row>
    <row r="644" spans="1:8" ht="13.35" customHeight="1">
      <c r="A644" s="82">
        <v>3</v>
      </c>
      <c r="B644" s="83" t="s">
        <v>537</v>
      </c>
      <c r="C644" s="67" t="s">
        <v>538</v>
      </c>
      <c r="D644" s="91">
        <v>15664800</v>
      </c>
      <c r="E644" s="76">
        <v>614292.5</v>
      </c>
      <c r="F644" s="77" t="s">
        <v>10171</v>
      </c>
      <c r="G644" s="22"/>
      <c r="H644" s="22"/>
    </row>
    <row r="645" spans="1:8" ht="13.35" customHeight="1">
      <c r="A645" s="82">
        <v>3</v>
      </c>
      <c r="B645" s="83" t="s">
        <v>2192</v>
      </c>
      <c r="C645" s="67" t="s">
        <v>2193</v>
      </c>
      <c r="D645" s="91">
        <v>6088100</v>
      </c>
      <c r="E645" s="76">
        <v>238742.5</v>
      </c>
      <c r="F645" s="77" t="s">
        <v>10171</v>
      </c>
      <c r="G645" s="22"/>
      <c r="H645" s="22"/>
    </row>
    <row r="646" spans="1:8" ht="13.35" customHeight="1">
      <c r="A646" s="82">
        <v>3</v>
      </c>
      <c r="B646" s="83" t="s">
        <v>2194</v>
      </c>
      <c r="C646" s="67" t="s">
        <v>2195</v>
      </c>
      <c r="D646" s="91">
        <v>8140200</v>
      </c>
      <c r="E646" s="76">
        <v>319217.5</v>
      </c>
      <c r="F646" s="77" t="s">
        <v>10171</v>
      </c>
      <c r="G646" s="22"/>
      <c r="H646" s="22"/>
    </row>
    <row r="647" spans="1:8" ht="13.35" customHeight="1">
      <c r="A647" s="82">
        <v>3</v>
      </c>
      <c r="B647" s="83" t="s">
        <v>2196</v>
      </c>
      <c r="C647" s="67" t="s">
        <v>2197</v>
      </c>
      <c r="D647" s="91">
        <v>11560500</v>
      </c>
      <c r="E647" s="76">
        <v>453342.49999999994</v>
      </c>
      <c r="F647" s="77" t="s">
        <v>10171</v>
      </c>
      <c r="G647" s="22"/>
      <c r="H647" s="22"/>
    </row>
    <row r="648" spans="1:8" ht="13.35" customHeight="1">
      <c r="A648" s="82">
        <v>3</v>
      </c>
      <c r="B648" s="83" t="s">
        <v>2198</v>
      </c>
      <c r="C648" s="67" t="s">
        <v>2199</v>
      </c>
      <c r="D648" s="91">
        <v>17717000</v>
      </c>
      <c r="E648" s="76">
        <v>694767.5</v>
      </c>
      <c r="F648" s="77" t="s">
        <v>10171</v>
      </c>
      <c r="G648" s="22"/>
      <c r="H648" s="22"/>
    </row>
    <row r="649" spans="1:8" ht="13.35" customHeight="1">
      <c r="A649" s="82">
        <v>3</v>
      </c>
      <c r="B649" s="83" t="s">
        <v>1075</v>
      </c>
      <c r="C649" s="67" t="s">
        <v>5470</v>
      </c>
      <c r="D649" s="91">
        <v>2134200</v>
      </c>
      <c r="E649" s="76">
        <v>83694</v>
      </c>
      <c r="F649" s="77" t="s">
        <v>10171</v>
      </c>
      <c r="G649" s="22"/>
      <c r="H649" s="22"/>
    </row>
    <row r="650" spans="1:8" ht="13.35" customHeight="1">
      <c r="A650" s="82">
        <v>3</v>
      </c>
      <c r="B650" s="83" t="s">
        <v>169</v>
      </c>
      <c r="C650" s="67" t="s">
        <v>5471</v>
      </c>
      <c r="D650" s="91">
        <v>2626800</v>
      </c>
      <c r="E650" s="76">
        <v>103007.99999999999</v>
      </c>
      <c r="F650" s="77" t="s">
        <v>10171</v>
      </c>
      <c r="G650" s="22"/>
      <c r="H650" s="22"/>
    </row>
    <row r="651" spans="1:8" ht="13.35" customHeight="1">
      <c r="A651" s="82">
        <v>3</v>
      </c>
      <c r="B651" s="83" t="s">
        <v>1076</v>
      </c>
      <c r="C651" s="67" t="s">
        <v>39</v>
      </c>
      <c r="D651" s="91">
        <v>3119300</v>
      </c>
      <c r="E651" s="76">
        <v>122322</v>
      </c>
      <c r="F651" s="77" t="s">
        <v>10171</v>
      </c>
      <c r="G651" s="22"/>
      <c r="H651" s="22"/>
    </row>
    <row r="652" spans="1:8" ht="13.35" customHeight="1">
      <c r="A652" s="82">
        <v>3</v>
      </c>
      <c r="B652" s="83" t="s">
        <v>1077</v>
      </c>
      <c r="C652" s="67" t="s">
        <v>37</v>
      </c>
      <c r="D652" s="91">
        <v>3776000</v>
      </c>
      <c r="E652" s="76">
        <v>148074</v>
      </c>
      <c r="F652" s="77" t="s">
        <v>10171</v>
      </c>
      <c r="G652" s="22"/>
      <c r="H652" s="22"/>
    </row>
    <row r="653" spans="1:8" ht="13.35" customHeight="1">
      <c r="A653" s="82">
        <v>3</v>
      </c>
      <c r="B653" s="83" t="s">
        <v>1078</v>
      </c>
      <c r="C653" s="67" t="s">
        <v>38</v>
      </c>
      <c r="D653" s="91">
        <v>4761000</v>
      </c>
      <c r="E653" s="76">
        <v>186702</v>
      </c>
      <c r="F653" s="77" t="s">
        <v>10171</v>
      </c>
      <c r="G653" s="22"/>
      <c r="H653" s="22"/>
    </row>
    <row r="654" spans="1:8" ht="13.35" customHeight="1">
      <c r="A654" s="82">
        <v>3</v>
      </c>
      <c r="B654" s="67" t="s">
        <v>5727</v>
      </c>
      <c r="C654" s="67" t="s">
        <v>7354</v>
      </c>
      <c r="D654" s="91">
        <v>2257400</v>
      </c>
      <c r="E654" s="76">
        <v>88522.5</v>
      </c>
      <c r="F654" s="77" t="s">
        <v>10171</v>
      </c>
      <c r="G654" s="22"/>
      <c r="H654" s="22"/>
    </row>
    <row r="655" spans="1:8" ht="13.35" customHeight="1">
      <c r="A655" s="82">
        <v>3</v>
      </c>
      <c r="B655" s="67" t="s">
        <v>5728</v>
      </c>
      <c r="C655" s="67" t="s">
        <v>7355</v>
      </c>
      <c r="D655" s="91">
        <v>2667800</v>
      </c>
      <c r="E655" s="76">
        <v>104617.50000000001</v>
      </c>
      <c r="F655" s="77" t="s">
        <v>10171</v>
      </c>
      <c r="G655" s="22"/>
      <c r="H655" s="22"/>
    </row>
    <row r="656" spans="1:8" ht="13.35" customHeight="1">
      <c r="A656" s="82">
        <v>3</v>
      </c>
      <c r="B656" s="83" t="s">
        <v>510</v>
      </c>
      <c r="C656" s="67" t="s">
        <v>511</v>
      </c>
      <c r="D656" s="91">
        <v>2257400</v>
      </c>
      <c r="E656" s="76">
        <v>88522.5</v>
      </c>
      <c r="F656" s="77" t="s">
        <v>10171</v>
      </c>
      <c r="G656" s="22"/>
      <c r="H656" s="22"/>
    </row>
    <row r="657" spans="1:8" ht="13.35" customHeight="1">
      <c r="A657" s="82">
        <v>3</v>
      </c>
      <c r="B657" s="67" t="s">
        <v>5729</v>
      </c>
      <c r="C657" s="67" t="s">
        <v>7356</v>
      </c>
      <c r="D657" s="91">
        <v>3283500</v>
      </c>
      <c r="E657" s="76">
        <v>128760</v>
      </c>
      <c r="F657" s="77" t="s">
        <v>10171</v>
      </c>
      <c r="G657" s="22"/>
      <c r="H657" s="22"/>
    </row>
    <row r="658" spans="1:8" ht="13.35" customHeight="1">
      <c r="A658" s="82">
        <v>3</v>
      </c>
      <c r="B658" s="83" t="s">
        <v>512</v>
      </c>
      <c r="C658" s="67" t="s">
        <v>513</v>
      </c>
      <c r="D658" s="91">
        <v>2667800</v>
      </c>
      <c r="E658" s="76">
        <v>104617.50000000001</v>
      </c>
      <c r="F658" s="77" t="s">
        <v>10171</v>
      </c>
      <c r="G658" s="22"/>
      <c r="H658" s="22"/>
    </row>
    <row r="659" spans="1:8" ht="13.35" customHeight="1">
      <c r="A659" s="82">
        <v>3</v>
      </c>
      <c r="B659" s="83" t="s">
        <v>514</v>
      </c>
      <c r="C659" s="67" t="s">
        <v>515</v>
      </c>
      <c r="D659" s="91">
        <v>3283500</v>
      </c>
      <c r="E659" s="76">
        <v>128760</v>
      </c>
      <c r="F659" s="77" t="s">
        <v>10171</v>
      </c>
      <c r="G659" s="22"/>
      <c r="H659" s="22"/>
    </row>
    <row r="660" spans="1:8" ht="13.35" customHeight="1">
      <c r="A660" s="82">
        <v>3</v>
      </c>
      <c r="B660" s="83" t="s">
        <v>516</v>
      </c>
      <c r="C660" s="67" t="s">
        <v>517</v>
      </c>
      <c r="D660" s="91">
        <v>5267200</v>
      </c>
      <c r="E660" s="76">
        <v>206552.49999999997</v>
      </c>
      <c r="F660" s="77" t="s">
        <v>10171</v>
      </c>
      <c r="G660" s="22"/>
      <c r="H660" s="22"/>
    </row>
    <row r="661" spans="1:8" ht="13.35" customHeight="1">
      <c r="A661" s="82">
        <v>3</v>
      </c>
      <c r="B661" s="83" t="s">
        <v>4</v>
      </c>
      <c r="C661" s="67" t="s">
        <v>14</v>
      </c>
      <c r="D661" s="91">
        <v>1094500</v>
      </c>
      <c r="E661" s="76">
        <v>42920</v>
      </c>
      <c r="F661" s="77" t="s">
        <v>10171</v>
      </c>
      <c r="G661" s="22"/>
      <c r="H661" s="22"/>
    </row>
    <row r="662" spans="1:8" ht="13.35" customHeight="1">
      <c r="A662" s="82">
        <v>3</v>
      </c>
      <c r="B662" s="83" t="s">
        <v>9</v>
      </c>
      <c r="C662" s="67" t="s">
        <v>6</v>
      </c>
      <c r="D662" s="91">
        <v>1299700</v>
      </c>
      <c r="E662" s="76">
        <v>50967.5</v>
      </c>
      <c r="F662" s="77" t="s">
        <v>10171</v>
      </c>
      <c r="G662" s="22"/>
      <c r="H662" s="22"/>
    </row>
    <row r="663" spans="1:8" ht="13.35" customHeight="1">
      <c r="A663" s="82">
        <v>3</v>
      </c>
      <c r="B663" s="83" t="s">
        <v>41</v>
      </c>
      <c r="C663" s="67" t="s">
        <v>42</v>
      </c>
      <c r="D663" s="91">
        <v>1409200</v>
      </c>
      <c r="E663" s="76">
        <v>55259.5</v>
      </c>
      <c r="F663" s="77" t="s">
        <v>10171</v>
      </c>
      <c r="G663" s="22"/>
      <c r="H663" s="22"/>
    </row>
    <row r="664" spans="1:8" ht="13.35" customHeight="1">
      <c r="A664" s="82">
        <v>3</v>
      </c>
      <c r="B664" s="83" t="s">
        <v>32</v>
      </c>
      <c r="C664" s="67" t="s">
        <v>0</v>
      </c>
      <c r="D664" s="91">
        <v>1504900</v>
      </c>
      <c r="E664" s="76">
        <v>59015.000000000007</v>
      </c>
      <c r="F664" s="77" t="s">
        <v>10171</v>
      </c>
      <c r="G664" s="22"/>
      <c r="H664" s="22"/>
    </row>
    <row r="665" spans="1:8" ht="13.35" customHeight="1">
      <c r="A665" s="82">
        <v>3</v>
      </c>
      <c r="B665" s="83" t="s">
        <v>43</v>
      </c>
      <c r="C665" s="67" t="s">
        <v>44</v>
      </c>
      <c r="D665" s="91">
        <v>1628000</v>
      </c>
      <c r="E665" s="76">
        <v>63843.5</v>
      </c>
      <c r="F665" s="77" t="s">
        <v>10171</v>
      </c>
      <c r="G665" s="22"/>
      <c r="H665" s="22"/>
    </row>
    <row r="666" spans="1:8" ht="13.35" customHeight="1">
      <c r="A666" s="82">
        <v>3</v>
      </c>
      <c r="B666" s="83" t="s">
        <v>8</v>
      </c>
      <c r="C666" s="67" t="s">
        <v>3</v>
      </c>
      <c r="D666" s="91">
        <v>1737500</v>
      </c>
      <c r="E666" s="76">
        <v>68135.5</v>
      </c>
      <c r="F666" s="77" t="s">
        <v>10171</v>
      </c>
      <c r="G666" s="22"/>
      <c r="H666" s="22"/>
    </row>
    <row r="667" spans="1:8" ht="13.35" customHeight="1">
      <c r="A667" s="82">
        <v>3</v>
      </c>
      <c r="B667" s="83" t="s">
        <v>16</v>
      </c>
      <c r="C667" s="67" t="s">
        <v>15</v>
      </c>
      <c r="D667" s="91">
        <v>2161600</v>
      </c>
      <c r="E667" s="76">
        <v>84767</v>
      </c>
      <c r="F667" s="77" t="s">
        <v>10171</v>
      </c>
      <c r="G667" s="22"/>
      <c r="H667" s="22"/>
    </row>
    <row r="668" spans="1:8" ht="13.35" customHeight="1">
      <c r="A668" s="82">
        <v>3</v>
      </c>
      <c r="B668" s="83" t="s">
        <v>1079</v>
      </c>
      <c r="C668" s="67" t="s">
        <v>40</v>
      </c>
      <c r="D668" s="91">
        <v>6156500</v>
      </c>
      <c r="E668" s="76">
        <v>241425</v>
      </c>
      <c r="F668" s="77" t="s">
        <v>10171</v>
      </c>
      <c r="G668" s="22"/>
      <c r="H668" s="22"/>
    </row>
    <row r="669" spans="1:8" ht="13.35" customHeight="1">
      <c r="A669" s="82">
        <v>3</v>
      </c>
      <c r="B669" s="83" t="s">
        <v>1080</v>
      </c>
      <c r="C669" s="67" t="s">
        <v>36</v>
      </c>
      <c r="D669" s="91">
        <v>6484800</v>
      </c>
      <c r="E669" s="76">
        <v>254301</v>
      </c>
      <c r="F669" s="77" t="s">
        <v>10171</v>
      </c>
      <c r="G669" s="22"/>
      <c r="H669" s="22"/>
    </row>
    <row r="670" spans="1:8" ht="13.35" customHeight="1">
      <c r="A670" s="82">
        <v>3</v>
      </c>
      <c r="B670" s="83" t="s">
        <v>1081</v>
      </c>
      <c r="C670" s="67" t="s">
        <v>5477</v>
      </c>
      <c r="D670" s="91">
        <v>7059400</v>
      </c>
      <c r="E670" s="76">
        <v>276834</v>
      </c>
      <c r="F670" s="77" t="s">
        <v>10171</v>
      </c>
      <c r="G670" s="22"/>
      <c r="H670" s="22"/>
    </row>
    <row r="671" spans="1:8" ht="13.35" customHeight="1">
      <c r="A671" s="82">
        <v>3</v>
      </c>
      <c r="B671" s="83" t="s">
        <v>1082</v>
      </c>
      <c r="C671" s="67" t="s">
        <v>5478</v>
      </c>
      <c r="D671" s="91">
        <v>7880300</v>
      </c>
      <c r="E671" s="76">
        <v>309024</v>
      </c>
      <c r="F671" s="77" t="s">
        <v>10171</v>
      </c>
      <c r="G671" s="22"/>
      <c r="H671" s="22"/>
    </row>
    <row r="672" spans="1:8" ht="13.35" customHeight="1">
      <c r="A672" s="82">
        <v>3</v>
      </c>
      <c r="B672" s="83" t="s">
        <v>48</v>
      </c>
      <c r="C672" s="67" t="s">
        <v>49</v>
      </c>
      <c r="D672" s="91">
        <v>8947400</v>
      </c>
      <c r="E672" s="76">
        <v>350871</v>
      </c>
      <c r="F672" s="77" t="s">
        <v>10171</v>
      </c>
      <c r="G672" s="22"/>
      <c r="H672" s="22"/>
    </row>
    <row r="673" spans="1:8" ht="13.35" customHeight="1">
      <c r="A673" s="82">
        <v>3</v>
      </c>
      <c r="B673" s="83" t="s">
        <v>2596</v>
      </c>
      <c r="C673" s="67" t="s">
        <v>2597</v>
      </c>
      <c r="D673" s="91">
        <v>184626200</v>
      </c>
      <c r="E673" s="76">
        <v>7240067.4999999991</v>
      </c>
      <c r="F673" s="77" t="s">
        <v>10171</v>
      </c>
      <c r="G673" s="22"/>
      <c r="H673" s="22"/>
    </row>
    <row r="674" spans="1:8" ht="13.35" customHeight="1">
      <c r="A674" s="82">
        <v>3</v>
      </c>
      <c r="B674" s="83" t="s">
        <v>2598</v>
      </c>
      <c r="C674" s="67" t="s">
        <v>2599</v>
      </c>
      <c r="D674" s="91">
        <v>184626200</v>
      </c>
      <c r="E674" s="76">
        <v>7240067.4999999991</v>
      </c>
      <c r="F674" s="77" t="s">
        <v>10171</v>
      </c>
      <c r="G674" s="22"/>
      <c r="H674" s="22"/>
    </row>
    <row r="675" spans="1:8" ht="13.35" customHeight="1">
      <c r="A675" s="82">
        <v>3</v>
      </c>
      <c r="B675" s="83" t="s">
        <v>2600</v>
      </c>
      <c r="C675" s="67" t="s">
        <v>2601</v>
      </c>
      <c r="D675" s="91">
        <v>184626200</v>
      </c>
      <c r="E675" s="76">
        <v>7240067.4999999991</v>
      </c>
      <c r="F675" s="77" t="s">
        <v>10171</v>
      </c>
      <c r="G675" s="22"/>
      <c r="H675" s="22"/>
    </row>
    <row r="676" spans="1:8" ht="13.35" customHeight="1">
      <c r="A676" s="82">
        <v>3</v>
      </c>
      <c r="B676" s="83" t="s">
        <v>2602</v>
      </c>
      <c r="C676" s="67" t="s">
        <v>2603</v>
      </c>
      <c r="D676" s="91">
        <v>184626200</v>
      </c>
      <c r="E676" s="76">
        <v>7240067.4999999991</v>
      </c>
      <c r="F676" s="77" t="s">
        <v>10171</v>
      </c>
      <c r="G676" s="22"/>
      <c r="H676" s="22"/>
    </row>
    <row r="677" spans="1:8" ht="13.35" customHeight="1">
      <c r="A677" s="82">
        <v>3</v>
      </c>
      <c r="B677" s="83" t="s">
        <v>2604</v>
      </c>
      <c r="C677" s="67" t="s">
        <v>2605</v>
      </c>
      <c r="D677" s="91">
        <v>184626200</v>
      </c>
      <c r="E677" s="76">
        <v>7240067.4999999991</v>
      </c>
      <c r="F677" s="77" t="s">
        <v>10171</v>
      </c>
      <c r="G677" s="22"/>
      <c r="H677" s="22"/>
    </row>
    <row r="678" spans="1:8" ht="13.35" customHeight="1">
      <c r="A678" s="82">
        <v>3</v>
      </c>
      <c r="B678" s="83" t="s">
        <v>2606</v>
      </c>
      <c r="C678" s="67" t="s">
        <v>2607</v>
      </c>
      <c r="D678" s="91">
        <v>184626200</v>
      </c>
      <c r="E678" s="76">
        <v>7240067.4999999991</v>
      </c>
      <c r="F678" s="77" t="s">
        <v>10171</v>
      </c>
      <c r="G678" s="22"/>
      <c r="H678" s="22"/>
    </row>
    <row r="679" spans="1:8" ht="13.35" customHeight="1">
      <c r="A679" s="82">
        <v>3</v>
      </c>
      <c r="B679" s="83" t="s">
        <v>2608</v>
      </c>
      <c r="C679" s="67" t="s">
        <v>2609</v>
      </c>
      <c r="D679" s="91">
        <v>191466700</v>
      </c>
      <c r="E679" s="76">
        <v>7508317.4999999991</v>
      </c>
      <c r="F679" s="77" t="s">
        <v>10171</v>
      </c>
      <c r="G679" s="22"/>
      <c r="H679" s="22"/>
    </row>
    <row r="680" spans="1:8" ht="13.35" customHeight="1">
      <c r="A680" s="82">
        <v>3</v>
      </c>
      <c r="B680" s="83" t="s">
        <v>2610</v>
      </c>
      <c r="C680" s="67" t="s">
        <v>2611</v>
      </c>
      <c r="D680" s="91">
        <v>191466700</v>
      </c>
      <c r="E680" s="76">
        <v>7508317.4999999991</v>
      </c>
      <c r="F680" s="77" t="s">
        <v>10171</v>
      </c>
      <c r="G680" s="22"/>
      <c r="H680" s="22"/>
    </row>
    <row r="681" spans="1:8" ht="13.35" customHeight="1">
      <c r="A681" s="82">
        <v>3</v>
      </c>
      <c r="B681" s="83" t="s">
        <v>2612</v>
      </c>
      <c r="C681" s="67" t="s">
        <v>2613</v>
      </c>
      <c r="D681" s="91">
        <v>191466700</v>
      </c>
      <c r="E681" s="76">
        <v>7508317.4999999991</v>
      </c>
      <c r="F681" s="77" t="s">
        <v>10171</v>
      </c>
      <c r="G681" s="22"/>
      <c r="H681" s="22"/>
    </row>
    <row r="682" spans="1:8" ht="13.35" customHeight="1">
      <c r="A682" s="82">
        <v>3</v>
      </c>
      <c r="B682" s="83" t="s">
        <v>1548</v>
      </c>
      <c r="C682" s="67" t="s">
        <v>1549</v>
      </c>
      <c r="D682" s="91">
        <v>184626200</v>
      </c>
      <c r="E682" s="76">
        <v>7240067.4999999991</v>
      </c>
      <c r="F682" s="77" t="s">
        <v>10171</v>
      </c>
      <c r="G682" s="22"/>
      <c r="H682" s="22"/>
    </row>
    <row r="683" spans="1:8" ht="13.35" customHeight="1">
      <c r="A683" s="82">
        <v>3</v>
      </c>
      <c r="B683" s="83" t="s">
        <v>1550</v>
      </c>
      <c r="C683" s="67" t="s">
        <v>1551</v>
      </c>
      <c r="D683" s="91">
        <v>184626200</v>
      </c>
      <c r="E683" s="76">
        <v>7240067.4999999991</v>
      </c>
      <c r="F683" s="77" t="s">
        <v>10171</v>
      </c>
      <c r="G683" s="22"/>
      <c r="H683" s="22"/>
    </row>
    <row r="684" spans="1:8" ht="13.35" customHeight="1">
      <c r="A684" s="82">
        <v>3</v>
      </c>
      <c r="B684" s="83" t="s">
        <v>1552</v>
      </c>
      <c r="C684" s="67" t="s">
        <v>1553</v>
      </c>
      <c r="D684" s="91">
        <v>184626200</v>
      </c>
      <c r="E684" s="76">
        <v>7240067.4999999991</v>
      </c>
      <c r="F684" s="77" t="s">
        <v>10171</v>
      </c>
      <c r="G684" s="22"/>
      <c r="H684" s="22"/>
    </row>
    <row r="685" spans="1:8" ht="13.35" customHeight="1">
      <c r="A685" s="82">
        <v>3</v>
      </c>
      <c r="B685" s="83" t="s">
        <v>1554</v>
      </c>
      <c r="C685" s="67" t="s">
        <v>1555</v>
      </c>
      <c r="D685" s="91">
        <v>184626200</v>
      </c>
      <c r="E685" s="76">
        <v>7240067.4999999991</v>
      </c>
      <c r="F685" s="77" t="s">
        <v>10171</v>
      </c>
      <c r="G685" s="22"/>
      <c r="H685" s="22"/>
    </row>
    <row r="686" spans="1:8" ht="13.35" customHeight="1">
      <c r="A686" s="82">
        <v>3</v>
      </c>
      <c r="B686" s="83" t="s">
        <v>1556</v>
      </c>
      <c r="C686" s="67" t="s">
        <v>1557</v>
      </c>
      <c r="D686" s="91">
        <v>184626200</v>
      </c>
      <c r="E686" s="76">
        <v>7240067.4999999991</v>
      </c>
      <c r="F686" s="77" t="s">
        <v>10171</v>
      </c>
      <c r="G686" s="22"/>
      <c r="H686" s="22"/>
    </row>
    <row r="687" spans="1:8" ht="13.35" customHeight="1">
      <c r="A687" s="82">
        <v>3</v>
      </c>
      <c r="B687" s="83" t="s">
        <v>1558</v>
      </c>
      <c r="C687" s="67" t="s">
        <v>1559</v>
      </c>
      <c r="D687" s="91">
        <v>184626200</v>
      </c>
      <c r="E687" s="76">
        <v>7240067.4999999991</v>
      </c>
      <c r="F687" s="77" t="s">
        <v>10171</v>
      </c>
      <c r="G687" s="22"/>
      <c r="H687" s="22"/>
    </row>
    <row r="688" spans="1:8" ht="13.35" customHeight="1">
      <c r="A688" s="82">
        <v>3</v>
      </c>
      <c r="B688" s="83" t="s">
        <v>1560</v>
      </c>
      <c r="C688" s="67" t="s">
        <v>1561</v>
      </c>
      <c r="D688" s="91">
        <v>191466700</v>
      </c>
      <c r="E688" s="76">
        <v>7508317.4999999991</v>
      </c>
      <c r="F688" s="77" t="s">
        <v>10171</v>
      </c>
      <c r="G688" s="22"/>
      <c r="H688" s="22"/>
    </row>
    <row r="689" spans="1:8" ht="13.35" customHeight="1">
      <c r="A689" s="82">
        <v>3</v>
      </c>
      <c r="B689" s="83" t="s">
        <v>1562</v>
      </c>
      <c r="C689" s="67" t="s">
        <v>1563</v>
      </c>
      <c r="D689" s="91">
        <v>191466700</v>
      </c>
      <c r="E689" s="76">
        <v>7508317.4999999991</v>
      </c>
      <c r="F689" s="77" t="s">
        <v>10171</v>
      </c>
      <c r="G689" s="22"/>
      <c r="H689" s="22"/>
    </row>
    <row r="690" spans="1:8" ht="13.35" customHeight="1">
      <c r="A690" s="82">
        <v>3</v>
      </c>
      <c r="B690" s="83" t="s">
        <v>1564</v>
      </c>
      <c r="C690" s="67" t="s">
        <v>1565</v>
      </c>
      <c r="D690" s="91">
        <v>191466700</v>
      </c>
      <c r="E690" s="76">
        <v>7508317.4999999991</v>
      </c>
      <c r="F690" s="77" t="s">
        <v>10171</v>
      </c>
      <c r="G690" s="22"/>
      <c r="H690" s="22"/>
    </row>
    <row r="691" spans="1:8" ht="13.35" customHeight="1">
      <c r="A691" s="82">
        <v>3</v>
      </c>
      <c r="B691" s="83" t="s">
        <v>881</v>
      </c>
      <c r="C691" s="67" t="s">
        <v>882</v>
      </c>
      <c r="D691" s="91">
        <v>32766200</v>
      </c>
      <c r="E691" s="76">
        <v>1284917.5</v>
      </c>
      <c r="F691" s="77" t="s">
        <v>10171</v>
      </c>
      <c r="G691" s="22"/>
      <c r="H691" s="22"/>
    </row>
    <row r="692" spans="1:8" ht="13.35" customHeight="1">
      <c r="A692" s="82">
        <v>3</v>
      </c>
      <c r="B692" s="83" t="s">
        <v>224</v>
      </c>
      <c r="C692" s="67" t="s">
        <v>225</v>
      </c>
      <c r="D692" s="91">
        <v>32766200</v>
      </c>
      <c r="E692" s="76">
        <v>1284917.5</v>
      </c>
      <c r="F692" s="77" t="s">
        <v>10171</v>
      </c>
      <c r="G692" s="22"/>
      <c r="H692" s="22"/>
    </row>
    <row r="693" spans="1:8" ht="13.35" customHeight="1">
      <c r="A693" s="82">
        <v>3</v>
      </c>
      <c r="B693" s="83" t="s">
        <v>226</v>
      </c>
      <c r="C693" s="67" t="s">
        <v>227</v>
      </c>
      <c r="D693" s="91">
        <v>32766200</v>
      </c>
      <c r="E693" s="76">
        <v>1284917.5</v>
      </c>
      <c r="F693" s="77" t="s">
        <v>10171</v>
      </c>
      <c r="G693" s="22"/>
      <c r="H693" s="22"/>
    </row>
    <row r="694" spans="1:8" ht="13.35" customHeight="1">
      <c r="A694" s="82">
        <v>3</v>
      </c>
      <c r="B694" s="83" t="s">
        <v>228</v>
      </c>
      <c r="C694" s="67" t="s">
        <v>229</v>
      </c>
      <c r="D694" s="91">
        <v>34134300</v>
      </c>
      <c r="E694" s="76">
        <v>1338567.5</v>
      </c>
      <c r="F694" s="77" t="s">
        <v>10171</v>
      </c>
      <c r="G694" s="22"/>
      <c r="H694" s="22"/>
    </row>
    <row r="695" spans="1:8" ht="13.35" customHeight="1">
      <c r="A695" s="82">
        <v>3</v>
      </c>
      <c r="B695" s="83" t="s">
        <v>230</v>
      </c>
      <c r="C695" s="67" t="s">
        <v>231</v>
      </c>
      <c r="D695" s="91">
        <v>34134300</v>
      </c>
      <c r="E695" s="76">
        <v>1338567.5</v>
      </c>
      <c r="F695" s="77" t="s">
        <v>10171</v>
      </c>
      <c r="G695" s="22"/>
      <c r="H695" s="22"/>
    </row>
    <row r="696" spans="1:8" ht="13.35" customHeight="1">
      <c r="A696" s="82">
        <v>3</v>
      </c>
      <c r="B696" s="83" t="s">
        <v>232</v>
      </c>
      <c r="C696" s="67" t="s">
        <v>233</v>
      </c>
      <c r="D696" s="91">
        <v>36870500</v>
      </c>
      <c r="E696" s="76">
        <v>1445867.5</v>
      </c>
      <c r="F696" s="77" t="s">
        <v>10171</v>
      </c>
      <c r="G696" s="22"/>
      <c r="H696" s="22"/>
    </row>
    <row r="697" spans="1:8" ht="13.35" customHeight="1">
      <c r="A697" s="82">
        <v>3</v>
      </c>
      <c r="B697" s="83" t="s">
        <v>234</v>
      </c>
      <c r="C697" s="67" t="s">
        <v>235</v>
      </c>
      <c r="D697" s="91">
        <v>36870500</v>
      </c>
      <c r="E697" s="76">
        <v>1445867.5</v>
      </c>
      <c r="F697" s="77" t="s">
        <v>10171</v>
      </c>
      <c r="G697" s="22"/>
      <c r="H697" s="22"/>
    </row>
    <row r="698" spans="1:8" ht="13.35" customHeight="1">
      <c r="A698" s="82">
        <v>3</v>
      </c>
      <c r="B698" s="83" t="s">
        <v>236</v>
      </c>
      <c r="C698" s="67" t="s">
        <v>237</v>
      </c>
      <c r="D698" s="91">
        <v>36870500</v>
      </c>
      <c r="E698" s="76">
        <v>1445867.5</v>
      </c>
      <c r="F698" s="77" t="s">
        <v>10171</v>
      </c>
      <c r="G698" s="22"/>
      <c r="H698" s="22"/>
    </row>
    <row r="699" spans="1:8" ht="13.35" customHeight="1">
      <c r="A699" s="82">
        <v>3</v>
      </c>
      <c r="B699" s="83" t="s">
        <v>238</v>
      </c>
      <c r="C699" s="67" t="s">
        <v>239</v>
      </c>
      <c r="D699" s="91">
        <v>36870500</v>
      </c>
      <c r="E699" s="76">
        <v>1445867.5</v>
      </c>
      <c r="F699" s="77" t="s">
        <v>10171</v>
      </c>
      <c r="G699" s="22"/>
      <c r="H699" s="22"/>
    </row>
    <row r="700" spans="1:8" ht="13.35" customHeight="1">
      <c r="A700" s="82">
        <v>3</v>
      </c>
      <c r="B700" s="83" t="s">
        <v>57</v>
      </c>
      <c r="C700" s="67" t="s">
        <v>58</v>
      </c>
      <c r="D700" s="91">
        <v>12244600</v>
      </c>
      <c r="E700" s="76">
        <v>480167.49999999994</v>
      </c>
      <c r="F700" s="77" t="s">
        <v>10171</v>
      </c>
      <c r="G700" s="22"/>
      <c r="H700" s="22"/>
    </row>
    <row r="701" spans="1:8" ht="13.35" customHeight="1">
      <c r="A701" s="82">
        <v>3</v>
      </c>
      <c r="B701" s="83" t="s">
        <v>59</v>
      </c>
      <c r="C701" s="67" t="s">
        <v>60</v>
      </c>
      <c r="D701" s="91">
        <v>13612700</v>
      </c>
      <c r="E701" s="76">
        <v>533817.5</v>
      </c>
      <c r="F701" s="77" t="s">
        <v>10171</v>
      </c>
      <c r="G701" s="22"/>
      <c r="H701" s="22"/>
    </row>
    <row r="702" spans="1:8" ht="13.35" customHeight="1">
      <c r="A702" s="82">
        <v>3</v>
      </c>
      <c r="B702" s="83" t="s">
        <v>61</v>
      </c>
      <c r="C702" s="67" t="s">
        <v>62</v>
      </c>
      <c r="D702" s="91">
        <v>14980800</v>
      </c>
      <c r="E702" s="76">
        <v>587467.5</v>
      </c>
      <c r="F702" s="77" t="s">
        <v>10171</v>
      </c>
      <c r="G702" s="22"/>
      <c r="H702" s="22"/>
    </row>
    <row r="703" spans="1:8" ht="13.35" customHeight="1">
      <c r="A703" s="82">
        <v>3</v>
      </c>
      <c r="B703" s="83" t="s">
        <v>63</v>
      </c>
      <c r="C703" s="67" t="s">
        <v>64</v>
      </c>
      <c r="D703" s="91">
        <v>14980800</v>
      </c>
      <c r="E703" s="76">
        <v>587467.5</v>
      </c>
      <c r="F703" s="77" t="s">
        <v>10171</v>
      </c>
      <c r="G703" s="22"/>
      <c r="H703" s="22"/>
    </row>
    <row r="704" spans="1:8" ht="13.35" customHeight="1">
      <c r="A704" s="82">
        <v>3</v>
      </c>
      <c r="B704" s="83" t="s">
        <v>65</v>
      </c>
      <c r="C704" s="67" t="s">
        <v>66</v>
      </c>
      <c r="D704" s="91">
        <v>16348900</v>
      </c>
      <c r="E704" s="76">
        <v>641117.5</v>
      </c>
      <c r="F704" s="77" t="s">
        <v>10171</v>
      </c>
      <c r="G704" s="22"/>
      <c r="H704" s="22"/>
    </row>
    <row r="705" spans="1:8" ht="13.35" customHeight="1">
      <c r="A705" s="82">
        <v>3</v>
      </c>
      <c r="B705" s="83" t="s">
        <v>67</v>
      </c>
      <c r="C705" s="67" t="s">
        <v>68</v>
      </c>
      <c r="D705" s="91">
        <v>16348900</v>
      </c>
      <c r="E705" s="76">
        <v>641117.5</v>
      </c>
      <c r="F705" s="77" t="s">
        <v>10171</v>
      </c>
      <c r="G705" s="22"/>
      <c r="H705" s="22"/>
    </row>
    <row r="706" spans="1:8" ht="13.35" customHeight="1">
      <c r="A706" s="82">
        <v>3</v>
      </c>
      <c r="B706" s="83" t="s">
        <v>69</v>
      </c>
      <c r="C706" s="67" t="s">
        <v>70</v>
      </c>
      <c r="D706" s="91">
        <v>19085100</v>
      </c>
      <c r="E706" s="76">
        <v>748417.5</v>
      </c>
      <c r="F706" s="77" t="s">
        <v>10171</v>
      </c>
      <c r="G706" s="22"/>
      <c r="H706" s="22"/>
    </row>
    <row r="707" spans="1:8" ht="13.35" customHeight="1">
      <c r="A707" s="82">
        <v>3</v>
      </c>
      <c r="B707" s="83" t="s">
        <v>71</v>
      </c>
      <c r="C707" s="67" t="s">
        <v>72</v>
      </c>
      <c r="D707" s="91">
        <v>19085100</v>
      </c>
      <c r="E707" s="76">
        <v>748417.5</v>
      </c>
      <c r="F707" s="77" t="s">
        <v>10171</v>
      </c>
      <c r="G707" s="22"/>
      <c r="H707" s="22"/>
    </row>
    <row r="708" spans="1:8" ht="13.35" customHeight="1">
      <c r="A708" s="82">
        <v>3</v>
      </c>
      <c r="B708" s="83" t="s">
        <v>126</v>
      </c>
      <c r="C708" s="67" t="s">
        <v>127</v>
      </c>
      <c r="D708" s="91">
        <v>21821300</v>
      </c>
      <c r="E708" s="76">
        <v>855717.5</v>
      </c>
      <c r="F708" s="77" t="s">
        <v>10171</v>
      </c>
      <c r="G708" s="22"/>
      <c r="H708" s="22"/>
    </row>
    <row r="709" spans="1:8" ht="13.35" customHeight="1">
      <c r="A709" s="82">
        <v>3</v>
      </c>
      <c r="B709" s="83" t="s">
        <v>128</v>
      </c>
      <c r="C709" s="67" t="s">
        <v>129</v>
      </c>
      <c r="D709" s="91">
        <v>24557500</v>
      </c>
      <c r="E709" s="76">
        <v>963017.5</v>
      </c>
      <c r="F709" s="77" t="s">
        <v>10171</v>
      </c>
      <c r="G709" s="22"/>
      <c r="H709" s="22"/>
    </row>
    <row r="710" spans="1:8" ht="13.35" customHeight="1">
      <c r="A710" s="82">
        <v>3</v>
      </c>
      <c r="B710" s="83" t="s">
        <v>130</v>
      </c>
      <c r="C710" s="67" t="s">
        <v>131</v>
      </c>
      <c r="D710" s="91">
        <v>27293800</v>
      </c>
      <c r="E710" s="76">
        <v>1070317.5</v>
      </c>
      <c r="F710" s="77" t="s">
        <v>10171</v>
      </c>
      <c r="G710" s="22"/>
      <c r="H710" s="22"/>
    </row>
    <row r="711" spans="1:8" ht="13.35" customHeight="1">
      <c r="A711" s="82">
        <v>3</v>
      </c>
      <c r="B711" s="83" t="s">
        <v>518</v>
      </c>
      <c r="C711" s="67" t="s">
        <v>519</v>
      </c>
      <c r="D711" s="91">
        <v>9508400</v>
      </c>
      <c r="E711" s="76">
        <v>372867.49999999994</v>
      </c>
      <c r="F711" s="77" t="s">
        <v>10171</v>
      </c>
      <c r="G711" s="22"/>
      <c r="H711" s="22"/>
    </row>
    <row r="712" spans="1:8" ht="13.35" customHeight="1">
      <c r="A712" s="82">
        <v>3</v>
      </c>
      <c r="B712" s="83" t="s">
        <v>520</v>
      </c>
      <c r="C712" s="67" t="s">
        <v>521</v>
      </c>
      <c r="D712" s="91">
        <v>9508400</v>
      </c>
      <c r="E712" s="76">
        <v>372867.49999999994</v>
      </c>
      <c r="F712" s="77" t="s">
        <v>10171</v>
      </c>
      <c r="G712" s="22"/>
      <c r="H712" s="22"/>
    </row>
    <row r="713" spans="1:8" ht="13.35" customHeight="1">
      <c r="A713" s="82">
        <v>3</v>
      </c>
      <c r="B713" s="83" t="s">
        <v>522</v>
      </c>
      <c r="C713" s="67" t="s">
        <v>523</v>
      </c>
      <c r="D713" s="91">
        <v>9782000</v>
      </c>
      <c r="E713" s="76">
        <v>383597.5</v>
      </c>
      <c r="F713" s="77" t="s">
        <v>10171</v>
      </c>
      <c r="G713" s="22"/>
      <c r="H713" s="22"/>
    </row>
    <row r="714" spans="1:8" ht="13.35" customHeight="1">
      <c r="A714" s="82">
        <v>3</v>
      </c>
      <c r="B714" s="83" t="s">
        <v>524</v>
      </c>
      <c r="C714" s="67" t="s">
        <v>525</v>
      </c>
      <c r="D714" s="91">
        <v>10055600</v>
      </c>
      <c r="E714" s="76">
        <v>394327.5</v>
      </c>
      <c r="F714" s="77" t="s">
        <v>10171</v>
      </c>
      <c r="G714" s="22"/>
      <c r="H714" s="22"/>
    </row>
    <row r="715" spans="1:8" ht="13.35" customHeight="1">
      <c r="A715" s="82">
        <v>3</v>
      </c>
      <c r="B715" s="83" t="s">
        <v>526</v>
      </c>
      <c r="C715" s="67" t="s">
        <v>527</v>
      </c>
      <c r="D715" s="91">
        <v>10602800</v>
      </c>
      <c r="E715" s="76">
        <v>415787.5</v>
      </c>
      <c r="F715" s="77" t="s">
        <v>10171</v>
      </c>
      <c r="G715" s="22"/>
      <c r="H715" s="22"/>
    </row>
    <row r="716" spans="1:8" ht="13.35" customHeight="1">
      <c r="A716" s="82">
        <v>3</v>
      </c>
      <c r="B716" s="83" t="s">
        <v>528</v>
      </c>
      <c r="C716" s="67" t="s">
        <v>529</v>
      </c>
      <c r="D716" s="91">
        <v>11286900</v>
      </c>
      <c r="E716" s="76">
        <v>442612.5</v>
      </c>
      <c r="F716" s="77" t="s">
        <v>10171</v>
      </c>
      <c r="G716" s="22"/>
      <c r="H716" s="22"/>
    </row>
    <row r="717" spans="1:8" ht="13.35" customHeight="1">
      <c r="A717" s="82">
        <v>3</v>
      </c>
      <c r="B717" s="83" t="s">
        <v>530</v>
      </c>
      <c r="C717" s="67" t="s">
        <v>531</v>
      </c>
      <c r="D717" s="91">
        <v>11834100</v>
      </c>
      <c r="E717" s="76">
        <v>464072.5</v>
      </c>
      <c r="F717" s="77" t="s">
        <v>10171</v>
      </c>
      <c r="G717" s="22"/>
      <c r="H717" s="22"/>
    </row>
    <row r="718" spans="1:8" ht="13.35" customHeight="1">
      <c r="A718" s="82">
        <v>3</v>
      </c>
      <c r="B718" s="83" t="s">
        <v>532</v>
      </c>
      <c r="C718" s="67" t="s">
        <v>533</v>
      </c>
      <c r="D718" s="91">
        <v>12244600</v>
      </c>
      <c r="E718" s="76">
        <v>480167.49999999994</v>
      </c>
      <c r="F718" s="77" t="s">
        <v>10171</v>
      </c>
      <c r="G718" s="22"/>
      <c r="H718" s="22"/>
    </row>
    <row r="719" spans="1:8" ht="13.35" customHeight="1">
      <c r="A719" s="82">
        <v>3</v>
      </c>
      <c r="B719" s="83" t="s">
        <v>143</v>
      </c>
      <c r="C719" s="67" t="s">
        <v>144</v>
      </c>
      <c r="D719" s="91">
        <v>4309500</v>
      </c>
      <c r="E719" s="76">
        <v>168997.5</v>
      </c>
      <c r="F719" s="77" t="s">
        <v>10171</v>
      </c>
      <c r="G719" s="22"/>
      <c r="H719" s="22"/>
    </row>
    <row r="720" spans="1:8" ht="13.35" customHeight="1">
      <c r="A720" s="82">
        <v>3</v>
      </c>
      <c r="B720" s="83" t="s">
        <v>145</v>
      </c>
      <c r="C720" s="67" t="s">
        <v>146</v>
      </c>
      <c r="D720" s="91">
        <v>4446400</v>
      </c>
      <c r="E720" s="76">
        <v>174362.5</v>
      </c>
      <c r="F720" s="77" t="s">
        <v>10171</v>
      </c>
      <c r="G720" s="22"/>
      <c r="H720" s="22"/>
    </row>
    <row r="721" spans="1:8" ht="13.35" customHeight="1">
      <c r="A721" s="82">
        <v>3</v>
      </c>
      <c r="B721" s="83" t="s">
        <v>147</v>
      </c>
      <c r="C721" s="67" t="s">
        <v>148</v>
      </c>
      <c r="D721" s="91">
        <v>4583200</v>
      </c>
      <c r="E721" s="76">
        <v>179727.5</v>
      </c>
      <c r="F721" s="77" t="s">
        <v>10171</v>
      </c>
      <c r="G721" s="22"/>
      <c r="H721" s="22"/>
    </row>
    <row r="722" spans="1:8" ht="13.35" customHeight="1">
      <c r="A722" s="82">
        <v>3</v>
      </c>
      <c r="B722" s="83" t="s">
        <v>149</v>
      </c>
      <c r="C722" s="67" t="s">
        <v>150</v>
      </c>
      <c r="D722" s="91">
        <v>4788400</v>
      </c>
      <c r="E722" s="76">
        <v>187775</v>
      </c>
      <c r="F722" s="77" t="s">
        <v>10171</v>
      </c>
      <c r="G722" s="22"/>
      <c r="H722" s="22"/>
    </row>
    <row r="723" spans="1:8" ht="13.35" customHeight="1">
      <c r="A723" s="82">
        <v>3</v>
      </c>
      <c r="B723" s="83" t="s">
        <v>151</v>
      </c>
      <c r="C723" s="67" t="s">
        <v>152</v>
      </c>
      <c r="D723" s="91">
        <v>5130400</v>
      </c>
      <c r="E723" s="76">
        <v>201187.5</v>
      </c>
      <c r="F723" s="77" t="s">
        <v>10171</v>
      </c>
      <c r="G723" s="22"/>
      <c r="H723" s="22"/>
    </row>
    <row r="724" spans="1:8" ht="13.35" customHeight="1">
      <c r="A724" s="82">
        <v>3</v>
      </c>
      <c r="B724" s="83" t="s">
        <v>153</v>
      </c>
      <c r="C724" s="67" t="s">
        <v>154</v>
      </c>
      <c r="D724" s="91">
        <v>5472400</v>
      </c>
      <c r="E724" s="76">
        <v>214600</v>
      </c>
      <c r="F724" s="77" t="s">
        <v>10171</v>
      </c>
      <c r="G724" s="22"/>
      <c r="H724" s="22"/>
    </row>
    <row r="725" spans="1:8" ht="13.35" customHeight="1">
      <c r="A725" s="82">
        <v>3</v>
      </c>
      <c r="B725" s="83" t="s">
        <v>155</v>
      </c>
      <c r="C725" s="67" t="s">
        <v>156</v>
      </c>
      <c r="D725" s="91">
        <v>6156500</v>
      </c>
      <c r="E725" s="76">
        <v>241425</v>
      </c>
      <c r="F725" s="77" t="s">
        <v>10171</v>
      </c>
      <c r="G725" s="22"/>
      <c r="H725" s="22"/>
    </row>
    <row r="726" spans="1:8" ht="13.35" customHeight="1">
      <c r="A726" s="82">
        <v>3</v>
      </c>
      <c r="B726" s="83" t="s">
        <v>157</v>
      </c>
      <c r="C726" s="67" t="s">
        <v>158</v>
      </c>
      <c r="D726" s="91">
        <v>6840500</v>
      </c>
      <c r="E726" s="76">
        <v>268250</v>
      </c>
      <c r="F726" s="77" t="s">
        <v>10171</v>
      </c>
      <c r="G726" s="22"/>
      <c r="H726" s="22"/>
    </row>
    <row r="727" spans="1:8" ht="13.35" customHeight="1">
      <c r="A727" s="82">
        <v>3</v>
      </c>
      <c r="B727" s="83" t="s">
        <v>4197</v>
      </c>
      <c r="C727" s="67" t="s">
        <v>4198</v>
      </c>
      <c r="D727" s="91">
        <v>3078200</v>
      </c>
      <c r="E727" s="76">
        <v>120712.5</v>
      </c>
      <c r="F727" s="77" t="s">
        <v>10171</v>
      </c>
      <c r="G727" s="22"/>
      <c r="H727" s="22"/>
    </row>
    <row r="728" spans="1:8" ht="13.35" customHeight="1">
      <c r="A728" s="82">
        <v>3</v>
      </c>
      <c r="B728" s="83" t="s">
        <v>4199</v>
      </c>
      <c r="C728" s="67" t="s">
        <v>4200</v>
      </c>
      <c r="D728" s="91">
        <v>3078200</v>
      </c>
      <c r="E728" s="76">
        <v>120712.5</v>
      </c>
      <c r="F728" s="77" t="s">
        <v>10171</v>
      </c>
      <c r="G728" s="22"/>
      <c r="H728" s="22"/>
    </row>
    <row r="729" spans="1:8" ht="13.35" customHeight="1">
      <c r="A729" s="82">
        <v>3</v>
      </c>
      <c r="B729" s="83" t="s">
        <v>4201</v>
      </c>
      <c r="C729" s="67" t="s">
        <v>4202</v>
      </c>
      <c r="D729" s="91">
        <v>3762300</v>
      </c>
      <c r="E729" s="76">
        <v>147537.5</v>
      </c>
      <c r="F729" s="77" t="s">
        <v>10171</v>
      </c>
      <c r="G729" s="22"/>
      <c r="H729" s="22"/>
    </row>
    <row r="730" spans="1:8" ht="13.35" customHeight="1">
      <c r="A730" s="82">
        <v>1</v>
      </c>
      <c r="B730" s="83" t="s">
        <v>3800</v>
      </c>
      <c r="C730" s="67" t="s">
        <v>3928</v>
      </c>
      <c r="D730" s="91">
        <v>65669200</v>
      </c>
      <c r="E730" s="76">
        <v>6264000</v>
      </c>
      <c r="F730" s="77" t="s">
        <v>10176</v>
      </c>
      <c r="G730" s="22"/>
      <c r="H730" s="22"/>
    </row>
    <row r="731" spans="1:8" ht="13.35" customHeight="1">
      <c r="A731" s="82">
        <v>1</v>
      </c>
      <c r="B731" s="83" t="s">
        <v>3798</v>
      </c>
      <c r="C731" s="67" t="s">
        <v>3799</v>
      </c>
      <c r="D731" s="91">
        <v>37458800</v>
      </c>
      <c r="E731" s="76">
        <v>3573090.0000000005</v>
      </c>
      <c r="F731" s="77" t="s">
        <v>10176</v>
      </c>
      <c r="G731" s="22"/>
      <c r="H731" s="22"/>
    </row>
    <row r="732" spans="1:8" ht="13.35" customHeight="1">
      <c r="A732" s="82">
        <v>1</v>
      </c>
      <c r="B732" s="83" t="s">
        <v>3802</v>
      </c>
      <c r="C732" s="67" t="s">
        <v>3803</v>
      </c>
      <c r="D732" s="91">
        <v>18401100</v>
      </c>
      <c r="E732" s="76">
        <v>1755225</v>
      </c>
      <c r="F732" s="77" t="s">
        <v>10176</v>
      </c>
      <c r="G732" s="22"/>
      <c r="H732" s="22"/>
    </row>
    <row r="733" spans="1:8" ht="13.35" customHeight="1">
      <c r="A733" s="82">
        <v>1</v>
      </c>
      <c r="B733" s="83" t="s">
        <v>3801</v>
      </c>
      <c r="C733" s="67" t="s">
        <v>3929</v>
      </c>
      <c r="D733" s="91">
        <v>17238200</v>
      </c>
      <c r="E733" s="76">
        <v>1644300</v>
      </c>
      <c r="F733" s="77" t="s">
        <v>10176</v>
      </c>
      <c r="G733" s="22"/>
      <c r="H733" s="22"/>
    </row>
    <row r="734" spans="1:8" ht="13.35" customHeight="1">
      <c r="A734" s="82">
        <v>1</v>
      </c>
      <c r="B734" s="83" t="s">
        <v>4588</v>
      </c>
      <c r="C734" s="67" t="s">
        <v>4589</v>
      </c>
      <c r="D734" s="91">
        <v>8605400</v>
      </c>
      <c r="E734" s="76">
        <v>820845</v>
      </c>
      <c r="F734" s="77" t="s">
        <v>10176</v>
      </c>
      <c r="G734" s="22"/>
      <c r="H734" s="22"/>
    </row>
    <row r="735" spans="1:8" ht="13.35" customHeight="1">
      <c r="A735" s="82">
        <v>1</v>
      </c>
      <c r="B735" s="83" t="s">
        <v>3796</v>
      </c>
      <c r="C735" s="67" t="s">
        <v>3797</v>
      </c>
      <c r="D735" s="91">
        <v>1135500</v>
      </c>
      <c r="E735" s="76">
        <v>44529.5</v>
      </c>
      <c r="F735" s="77" t="s">
        <v>10170</v>
      </c>
      <c r="G735" s="22"/>
      <c r="H735" s="22"/>
    </row>
    <row r="736" spans="1:8" ht="13.35" customHeight="1">
      <c r="A736" s="82">
        <v>1</v>
      </c>
      <c r="B736" s="83" t="s">
        <v>5156</v>
      </c>
      <c r="C736" s="67" t="s">
        <v>3795</v>
      </c>
      <c r="D736" s="91">
        <v>711400</v>
      </c>
      <c r="E736" s="76">
        <v>27897.999999999996</v>
      </c>
      <c r="F736" s="77" t="s">
        <v>10170</v>
      </c>
      <c r="G736" s="22"/>
      <c r="H736" s="22"/>
    </row>
    <row r="737" spans="1:8" ht="13.35" customHeight="1">
      <c r="A737" s="82">
        <v>1</v>
      </c>
      <c r="B737" s="83" t="s">
        <v>5198</v>
      </c>
      <c r="C737" s="67" t="s">
        <v>5199</v>
      </c>
      <c r="D737" s="91">
        <v>9535700</v>
      </c>
      <c r="E737" s="76">
        <v>373940.5</v>
      </c>
      <c r="F737" s="77" t="s">
        <v>10170</v>
      </c>
      <c r="G737" s="22"/>
      <c r="H737" s="22"/>
    </row>
    <row r="738" spans="1:8" ht="13.35" customHeight="1">
      <c r="A738" s="82">
        <v>1</v>
      </c>
      <c r="B738" s="83" t="s">
        <v>5599</v>
      </c>
      <c r="C738" s="67" t="s">
        <v>7357</v>
      </c>
      <c r="D738" s="91">
        <v>9535700</v>
      </c>
      <c r="E738" s="76">
        <v>373940.5</v>
      </c>
      <c r="F738" s="77" t="s">
        <v>10170</v>
      </c>
      <c r="G738" s="22"/>
      <c r="H738" s="22"/>
    </row>
    <row r="739" spans="1:8" ht="13.35" customHeight="1">
      <c r="A739" s="82">
        <v>1</v>
      </c>
      <c r="B739" s="67" t="s">
        <v>6012</v>
      </c>
      <c r="C739" s="67" t="s">
        <v>6013</v>
      </c>
      <c r="D739" s="91">
        <v>64985100</v>
      </c>
      <c r="E739" s="76">
        <v>2548375</v>
      </c>
      <c r="F739" s="77" t="s">
        <v>10170</v>
      </c>
      <c r="G739" s="22"/>
      <c r="H739" s="22"/>
    </row>
    <row r="740" spans="1:8" ht="13.35" customHeight="1">
      <c r="A740" s="82">
        <v>1</v>
      </c>
      <c r="B740" s="67" t="s">
        <v>5600</v>
      </c>
      <c r="C740" s="67" t="s">
        <v>7358</v>
      </c>
      <c r="D740" s="91">
        <v>57802600</v>
      </c>
      <c r="E740" s="76">
        <v>2266712.5</v>
      </c>
      <c r="F740" s="77" t="s">
        <v>10170</v>
      </c>
      <c r="G740" s="22"/>
      <c r="H740" s="22"/>
    </row>
    <row r="741" spans="1:8" ht="13.35" customHeight="1">
      <c r="A741" s="82">
        <v>1</v>
      </c>
      <c r="B741" s="83" t="s">
        <v>2846</v>
      </c>
      <c r="C741" s="67" t="s">
        <v>7359</v>
      </c>
      <c r="D741" s="91">
        <v>53561400</v>
      </c>
      <c r="E741" s="76">
        <v>2100397.5</v>
      </c>
      <c r="F741" s="77" t="s">
        <v>10170</v>
      </c>
      <c r="G741" s="22"/>
      <c r="H741" s="22"/>
    </row>
    <row r="742" spans="1:8" ht="13.35" customHeight="1">
      <c r="A742" s="82">
        <v>1</v>
      </c>
      <c r="B742" s="83" t="s">
        <v>3833</v>
      </c>
      <c r="C742" s="67" t="s">
        <v>7360</v>
      </c>
      <c r="D742" s="91">
        <v>40974800</v>
      </c>
      <c r="E742" s="76">
        <v>1606817.5000000002</v>
      </c>
      <c r="F742" s="77" t="s">
        <v>10170</v>
      </c>
      <c r="G742" s="22"/>
      <c r="H742" s="22"/>
    </row>
    <row r="743" spans="1:8" ht="13.35" customHeight="1">
      <c r="A743" s="82">
        <v>1</v>
      </c>
      <c r="B743" s="83" t="s">
        <v>6753</v>
      </c>
      <c r="C743" s="67" t="s">
        <v>7361</v>
      </c>
      <c r="D743" s="91">
        <v>40974800</v>
      </c>
      <c r="E743" s="76">
        <v>1606817.5000000002</v>
      </c>
      <c r="F743" s="77" t="s">
        <v>10170</v>
      </c>
      <c r="G743" s="22"/>
      <c r="H743" s="22"/>
    </row>
    <row r="744" spans="1:8" ht="13.35" customHeight="1">
      <c r="A744" s="82">
        <v>1</v>
      </c>
      <c r="B744" s="83" t="s">
        <v>2058</v>
      </c>
      <c r="C744" s="67" t="s">
        <v>7362</v>
      </c>
      <c r="D744" s="91">
        <v>33641800</v>
      </c>
      <c r="E744" s="76">
        <v>1319253.5</v>
      </c>
      <c r="F744" s="77" t="s">
        <v>10170</v>
      </c>
      <c r="G744" s="22"/>
      <c r="H744" s="22"/>
    </row>
    <row r="745" spans="1:8" ht="13.35" customHeight="1">
      <c r="A745" s="82">
        <v>1</v>
      </c>
      <c r="B745" s="83" t="s">
        <v>2174</v>
      </c>
      <c r="C745" s="67" t="s">
        <v>7363</v>
      </c>
      <c r="D745" s="91">
        <v>30577200</v>
      </c>
      <c r="E745" s="76">
        <v>1199077.5</v>
      </c>
      <c r="F745" s="77" t="s">
        <v>10170</v>
      </c>
      <c r="G745" s="22"/>
      <c r="H745" s="22"/>
    </row>
    <row r="746" spans="1:8" ht="13.35" customHeight="1">
      <c r="A746" s="82">
        <v>1</v>
      </c>
      <c r="B746" s="83" t="s">
        <v>4609</v>
      </c>
      <c r="C746" s="67" t="s">
        <v>7364</v>
      </c>
      <c r="D746" s="91">
        <v>20521600</v>
      </c>
      <c r="E746" s="76">
        <v>804750</v>
      </c>
      <c r="F746" s="77" t="s">
        <v>10170</v>
      </c>
      <c r="G746" s="22"/>
      <c r="H746" s="22"/>
    </row>
    <row r="747" spans="1:8" ht="13.35" customHeight="1">
      <c r="A747" s="82">
        <v>1</v>
      </c>
      <c r="B747" s="83" t="s">
        <v>5643</v>
      </c>
      <c r="C747" s="67" t="s">
        <v>7365</v>
      </c>
      <c r="D747" s="91">
        <v>20521600</v>
      </c>
      <c r="E747" s="76">
        <v>804750</v>
      </c>
      <c r="F747" s="77" t="s">
        <v>10170</v>
      </c>
      <c r="G747" s="22"/>
      <c r="H747" s="22"/>
    </row>
    <row r="748" spans="1:8" ht="13.35" customHeight="1">
      <c r="A748" s="82">
        <v>1</v>
      </c>
      <c r="B748" s="83" t="s">
        <v>4610</v>
      </c>
      <c r="C748" s="67" t="s">
        <v>7366</v>
      </c>
      <c r="D748" s="91">
        <v>20521600</v>
      </c>
      <c r="E748" s="76">
        <v>804750</v>
      </c>
      <c r="F748" s="77" t="s">
        <v>10170</v>
      </c>
      <c r="G748" s="22"/>
      <c r="H748" s="22"/>
    </row>
    <row r="749" spans="1:8" ht="13.35" customHeight="1">
      <c r="A749" s="82">
        <v>1</v>
      </c>
      <c r="B749" s="83" t="s">
        <v>5644</v>
      </c>
      <c r="C749" s="67" t="s">
        <v>7367</v>
      </c>
      <c r="D749" s="91">
        <v>1039693700</v>
      </c>
      <c r="E749" s="76">
        <v>40771317.5</v>
      </c>
      <c r="F749" s="77" t="s">
        <v>10170</v>
      </c>
      <c r="G749" s="22"/>
      <c r="H749" s="22"/>
    </row>
    <row r="750" spans="1:8" ht="13.35" customHeight="1">
      <c r="A750" s="82">
        <v>1</v>
      </c>
      <c r="B750" s="83" t="s">
        <v>5645</v>
      </c>
      <c r="C750" s="67" t="s">
        <v>7368</v>
      </c>
      <c r="D750" s="91">
        <v>84754300</v>
      </c>
      <c r="E750" s="76">
        <v>3323617.5</v>
      </c>
      <c r="F750" s="77" t="s">
        <v>10170</v>
      </c>
      <c r="G750" s="22"/>
      <c r="H750" s="22"/>
    </row>
    <row r="751" spans="1:8" ht="13.35" customHeight="1">
      <c r="A751" s="82">
        <v>1</v>
      </c>
      <c r="B751" s="83" t="s">
        <v>5646</v>
      </c>
      <c r="C751" s="67" t="s">
        <v>7369</v>
      </c>
      <c r="D751" s="91">
        <v>84754300</v>
      </c>
      <c r="E751" s="76">
        <v>3323617.5</v>
      </c>
      <c r="F751" s="77" t="s">
        <v>10170</v>
      </c>
      <c r="G751" s="22"/>
      <c r="H751" s="22"/>
    </row>
    <row r="752" spans="1:8" ht="13.35" customHeight="1">
      <c r="A752" s="82">
        <v>1</v>
      </c>
      <c r="B752" s="83" t="s">
        <v>5647</v>
      </c>
      <c r="C752" s="67" t="s">
        <v>7370</v>
      </c>
      <c r="D752" s="91">
        <v>84754300</v>
      </c>
      <c r="E752" s="76">
        <v>3323617.5</v>
      </c>
      <c r="F752" s="77" t="s">
        <v>10170</v>
      </c>
      <c r="G752" s="22"/>
      <c r="H752" s="22"/>
    </row>
    <row r="753" spans="1:8" ht="13.35" customHeight="1">
      <c r="A753" s="82">
        <v>1</v>
      </c>
      <c r="B753" s="83" t="s">
        <v>2387</v>
      </c>
      <c r="C753" s="67" t="s">
        <v>2388</v>
      </c>
      <c r="D753" s="91">
        <v>4797065500</v>
      </c>
      <c r="E753" s="76">
        <v>188115677.5</v>
      </c>
      <c r="F753" s="77" t="s">
        <v>10170</v>
      </c>
      <c r="G753" s="22"/>
      <c r="H753" s="22"/>
    </row>
    <row r="754" spans="1:8" ht="13.35" customHeight="1">
      <c r="A754" s="82">
        <v>1</v>
      </c>
      <c r="B754" s="83" t="s">
        <v>1737</v>
      </c>
      <c r="C754" s="67" t="s">
        <v>1738</v>
      </c>
      <c r="D754" s="91">
        <v>4371132400</v>
      </c>
      <c r="E754" s="76">
        <v>171412823</v>
      </c>
      <c r="F754" s="77" t="s">
        <v>10170</v>
      </c>
      <c r="G754" s="22"/>
      <c r="H754" s="22"/>
    </row>
    <row r="755" spans="1:8" ht="13.35" customHeight="1">
      <c r="A755" s="82">
        <v>1</v>
      </c>
      <c r="B755" s="83" t="s">
        <v>1735</v>
      </c>
      <c r="C755" s="67" t="s">
        <v>1736</v>
      </c>
      <c r="D755" s="91">
        <v>4492593100</v>
      </c>
      <c r="E755" s="76">
        <v>176175870</v>
      </c>
      <c r="F755" s="77" t="s">
        <v>10170</v>
      </c>
      <c r="G755" s="22"/>
      <c r="H755" s="22"/>
    </row>
    <row r="756" spans="1:8" ht="13.35" customHeight="1">
      <c r="A756" s="82">
        <v>1</v>
      </c>
      <c r="B756" s="83" t="s">
        <v>1733</v>
      </c>
      <c r="C756" s="67" t="s">
        <v>1734</v>
      </c>
      <c r="D756" s="91">
        <v>4066660000</v>
      </c>
      <c r="E756" s="76">
        <v>159473015.5</v>
      </c>
      <c r="F756" s="77" t="s">
        <v>10170</v>
      </c>
      <c r="G756" s="22"/>
      <c r="H756" s="22"/>
    </row>
    <row r="757" spans="1:8" ht="13.35" customHeight="1">
      <c r="A757" s="82">
        <v>1</v>
      </c>
      <c r="B757" s="83" t="s">
        <v>1731</v>
      </c>
      <c r="C757" s="67" t="s">
        <v>1732</v>
      </c>
      <c r="D757" s="91">
        <v>3464569300</v>
      </c>
      <c r="E757" s="76">
        <v>135862187</v>
      </c>
      <c r="F757" s="77" t="s">
        <v>10170</v>
      </c>
      <c r="G757" s="22"/>
      <c r="H757" s="22"/>
    </row>
    <row r="758" spans="1:8" ht="13.35" customHeight="1">
      <c r="A758" s="82">
        <v>1</v>
      </c>
      <c r="B758" s="83" t="s">
        <v>1729</v>
      </c>
      <c r="C758" s="67" t="s">
        <v>1730</v>
      </c>
      <c r="D758" s="91">
        <v>3589641800</v>
      </c>
      <c r="E758" s="76">
        <v>140766870</v>
      </c>
      <c r="F758" s="77" t="s">
        <v>10170</v>
      </c>
      <c r="G758" s="22"/>
      <c r="H758" s="22"/>
    </row>
    <row r="759" spans="1:8" ht="13.35" customHeight="1">
      <c r="A759" s="82">
        <v>1</v>
      </c>
      <c r="B759" s="83" t="s">
        <v>1727</v>
      </c>
      <c r="C759" s="67" t="s">
        <v>1728</v>
      </c>
      <c r="D759" s="91">
        <v>3038636300</v>
      </c>
      <c r="E759" s="76">
        <v>119159332.50000001</v>
      </c>
      <c r="F759" s="77" t="s">
        <v>10170</v>
      </c>
      <c r="G759" s="22"/>
      <c r="H759" s="22"/>
    </row>
    <row r="760" spans="1:8" ht="13.35" customHeight="1">
      <c r="A760" s="82">
        <v>1</v>
      </c>
      <c r="B760" s="83" t="s">
        <v>1725</v>
      </c>
      <c r="C760" s="67" t="s">
        <v>1726</v>
      </c>
      <c r="D760" s="91">
        <v>3163708700</v>
      </c>
      <c r="E760" s="76">
        <v>124064015.5</v>
      </c>
      <c r="F760" s="77" t="s">
        <v>10170</v>
      </c>
      <c r="G760" s="22"/>
      <c r="H760" s="22"/>
    </row>
    <row r="761" spans="1:8" ht="13.35" customHeight="1">
      <c r="A761" s="82">
        <v>1</v>
      </c>
      <c r="B761" s="86" t="s">
        <v>2389</v>
      </c>
      <c r="C761" s="67" t="s">
        <v>2390</v>
      </c>
      <c r="D761" s="91">
        <v>6818992300</v>
      </c>
      <c r="E761" s="76">
        <v>267405012.5</v>
      </c>
      <c r="F761" s="77" t="s">
        <v>10170</v>
      </c>
      <c r="G761" s="22"/>
      <c r="H761" s="22"/>
    </row>
    <row r="762" spans="1:8" ht="13.35" customHeight="1">
      <c r="A762" s="82">
        <v>1</v>
      </c>
      <c r="B762" s="83" t="s">
        <v>1763</v>
      </c>
      <c r="C762" s="67" t="s">
        <v>1764</v>
      </c>
      <c r="D762" s="91">
        <v>6407971600</v>
      </c>
      <c r="E762" s="76">
        <v>251286943</v>
      </c>
      <c r="F762" s="77" t="s">
        <v>10170</v>
      </c>
      <c r="G762" s="22"/>
      <c r="H762" s="22"/>
    </row>
    <row r="763" spans="1:8" ht="13.35" customHeight="1">
      <c r="A763" s="82">
        <v>1</v>
      </c>
      <c r="B763" s="83" t="s">
        <v>1761</v>
      </c>
      <c r="C763" s="67" t="s">
        <v>1762</v>
      </c>
      <c r="D763" s="91">
        <v>6040060000</v>
      </c>
      <c r="E763" s="76">
        <v>236859384.99999997</v>
      </c>
      <c r="F763" s="77" t="s">
        <v>10170</v>
      </c>
      <c r="G763" s="22"/>
      <c r="H763" s="22"/>
    </row>
    <row r="764" spans="1:8" ht="13.35" customHeight="1">
      <c r="A764" s="82">
        <v>1</v>
      </c>
      <c r="B764" s="83" t="s">
        <v>1759</v>
      </c>
      <c r="C764" s="67" t="s">
        <v>1760</v>
      </c>
      <c r="D764" s="91">
        <v>5545776300</v>
      </c>
      <c r="E764" s="76">
        <v>217476176.5</v>
      </c>
      <c r="F764" s="77" t="s">
        <v>10170</v>
      </c>
      <c r="G764" s="22"/>
      <c r="H764" s="22"/>
    </row>
    <row r="765" spans="1:8" ht="13.35" customHeight="1">
      <c r="A765" s="82">
        <v>1</v>
      </c>
      <c r="B765" s="83" t="s">
        <v>1757</v>
      </c>
      <c r="C765" s="67" t="s">
        <v>1758</v>
      </c>
      <c r="D765" s="91">
        <v>4836371200</v>
      </c>
      <c r="E765" s="76">
        <v>189657042</v>
      </c>
      <c r="F765" s="77" t="s">
        <v>10170</v>
      </c>
      <c r="G765" s="22"/>
      <c r="H765" s="22"/>
    </row>
    <row r="766" spans="1:8" ht="13.35" customHeight="1">
      <c r="A766" s="82">
        <v>1</v>
      </c>
      <c r="B766" s="83" t="s">
        <v>1755</v>
      </c>
      <c r="C766" s="67" t="s">
        <v>1756</v>
      </c>
      <c r="D766" s="91">
        <v>4961443700</v>
      </c>
      <c r="E766" s="76">
        <v>194561725</v>
      </c>
      <c r="F766" s="77" t="s">
        <v>10170</v>
      </c>
      <c r="G766" s="22"/>
      <c r="H766" s="22"/>
    </row>
    <row r="767" spans="1:8" ht="13.35" customHeight="1">
      <c r="A767" s="82">
        <v>1</v>
      </c>
      <c r="B767" s="83" t="s">
        <v>1753</v>
      </c>
      <c r="C767" s="67" t="s">
        <v>1754</v>
      </c>
      <c r="D767" s="91">
        <v>4425350500</v>
      </c>
      <c r="E767" s="76">
        <v>173538972.5</v>
      </c>
      <c r="F767" s="77" t="s">
        <v>10170</v>
      </c>
      <c r="G767" s="22"/>
      <c r="H767" s="22"/>
    </row>
    <row r="768" spans="1:8" ht="13.35" customHeight="1">
      <c r="A768" s="82">
        <v>1</v>
      </c>
      <c r="B768" s="83" t="s">
        <v>1751</v>
      </c>
      <c r="C768" s="67" t="s">
        <v>1752</v>
      </c>
      <c r="D768" s="91">
        <v>4550423000</v>
      </c>
      <c r="E768" s="76">
        <v>178443655.5</v>
      </c>
      <c r="F768" s="77" t="s">
        <v>10170</v>
      </c>
      <c r="G768" s="22"/>
      <c r="H768" s="22"/>
    </row>
    <row r="769" spans="1:8" ht="13.35" customHeight="1">
      <c r="A769" s="82">
        <v>1</v>
      </c>
      <c r="B769" s="86" t="s">
        <v>2391</v>
      </c>
      <c r="C769" s="67" t="s">
        <v>2392</v>
      </c>
      <c r="D769" s="91">
        <v>9842579400</v>
      </c>
      <c r="E769" s="76">
        <v>385974194.99999994</v>
      </c>
      <c r="F769" s="77" t="s">
        <v>10170</v>
      </c>
      <c r="G769" s="22"/>
      <c r="H769" s="22"/>
    </row>
    <row r="770" spans="1:8" ht="13.35" customHeight="1">
      <c r="A770" s="82">
        <v>1</v>
      </c>
      <c r="B770" s="86" t="s">
        <v>2554</v>
      </c>
      <c r="C770" s="67" t="s">
        <v>2555</v>
      </c>
      <c r="D770" s="91">
        <v>9533044900</v>
      </c>
      <c r="E770" s="76">
        <v>373835882.5</v>
      </c>
      <c r="F770" s="77" t="s">
        <v>10170</v>
      </c>
      <c r="G770" s="22"/>
      <c r="H770" s="22"/>
    </row>
    <row r="771" spans="1:8" ht="13.35" customHeight="1">
      <c r="A771" s="82">
        <v>1</v>
      </c>
      <c r="B771" s="86" t="s">
        <v>2552</v>
      </c>
      <c r="C771" s="67" t="s">
        <v>2553</v>
      </c>
      <c r="D771" s="91">
        <v>8682013400</v>
      </c>
      <c r="E771" s="76">
        <v>340462900</v>
      </c>
      <c r="F771" s="77" t="s">
        <v>10170</v>
      </c>
      <c r="G771" s="22"/>
      <c r="H771" s="22"/>
    </row>
    <row r="772" spans="1:8" ht="13.35" customHeight="1">
      <c r="A772" s="82">
        <v>1</v>
      </c>
      <c r="B772" s="86" t="s">
        <v>2548</v>
      </c>
      <c r="C772" s="67" t="s">
        <v>2549</v>
      </c>
      <c r="D772" s="91">
        <v>7302659500</v>
      </c>
      <c r="E772" s="76">
        <v>286371897</v>
      </c>
      <c r="F772" s="77" t="s">
        <v>10170</v>
      </c>
      <c r="G772" s="22"/>
      <c r="H772" s="22"/>
    </row>
    <row r="773" spans="1:8" ht="13.35" customHeight="1">
      <c r="A773" s="82">
        <v>1</v>
      </c>
      <c r="B773" s="86" t="s">
        <v>2546</v>
      </c>
      <c r="C773" s="67" t="s">
        <v>2547</v>
      </c>
      <c r="D773" s="91">
        <v>7427732000</v>
      </c>
      <c r="E773" s="76">
        <v>291276580</v>
      </c>
      <c r="F773" s="77" t="s">
        <v>10170</v>
      </c>
      <c r="G773" s="22"/>
      <c r="H773" s="22"/>
    </row>
    <row r="774" spans="1:8" ht="13.35" customHeight="1">
      <c r="A774" s="82">
        <v>1</v>
      </c>
      <c r="B774" s="86" t="s">
        <v>2550</v>
      </c>
      <c r="C774" s="67" t="s">
        <v>2551</v>
      </c>
      <c r="D774" s="91">
        <v>8021148800</v>
      </c>
      <c r="E774" s="76">
        <v>314547267.5</v>
      </c>
      <c r="F774" s="77" t="s">
        <v>10170</v>
      </c>
      <c r="G774" s="22"/>
      <c r="H774" s="22"/>
    </row>
    <row r="775" spans="1:8" ht="13.35" customHeight="1">
      <c r="A775" s="82">
        <v>1</v>
      </c>
      <c r="B775" s="86" t="s">
        <v>2544</v>
      </c>
      <c r="C775" s="67" t="s">
        <v>2545</v>
      </c>
      <c r="D775" s="91">
        <v>6808321100</v>
      </c>
      <c r="E775" s="76">
        <v>266986542.5</v>
      </c>
      <c r="F775" s="77" t="s">
        <v>10170</v>
      </c>
      <c r="G775" s="22"/>
      <c r="H775" s="22"/>
    </row>
    <row r="776" spans="1:8" ht="13.35" customHeight="1">
      <c r="A776" s="82">
        <v>1</v>
      </c>
      <c r="B776" s="86" t="s">
        <v>2542</v>
      </c>
      <c r="C776" s="67" t="s">
        <v>2543</v>
      </c>
      <c r="D776" s="91">
        <v>6933393500</v>
      </c>
      <c r="E776" s="76">
        <v>271891225.5</v>
      </c>
      <c r="F776" s="77" t="s">
        <v>10170</v>
      </c>
      <c r="G776" s="22"/>
      <c r="H776" s="22"/>
    </row>
    <row r="777" spans="1:8" ht="13.35" customHeight="1">
      <c r="A777" s="82">
        <v>1</v>
      </c>
      <c r="B777" s="83" t="s">
        <v>1777</v>
      </c>
      <c r="C777" s="67" t="s">
        <v>1778</v>
      </c>
      <c r="D777" s="91">
        <v>331013700</v>
      </c>
      <c r="E777" s="76">
        <v>12980617.5</v>
      </c>
      <c r="F777" s="77" t="s">
        <v>10170</v>
      </c>
      <c r="G777" s="22"/>
      <c r="H777" s="22"/>
    </row>
    <row r="778" spans="1:8" ht="13.35" customHeight="1">
      <c r="A778" s="82">
        <v>1</v>
      </c>
      <c r="B778" s="83" t="s">
        <v>1779</v>
      </c>
      <c r="C778" s="67" t="s">
        <v>1780</v>
      </c>
      <c r="D778" s="91">
        <v>509209800</v>
      </c>
      <c r="E778" s="76">
        <v>19968530</v>
      </c>
      <c r="F778" s="77" t="s">
        <v>10170</v>
      </c>
      <c r="G778" s="22"/>
      <c r="H778" s="22"/>
    </row>
    <row r="779" spans="1:8" ht="13.35" customHeight="1">
      <c r="A779" s="82">
        <v>1</v>
      </c>
      <c r="B779" s="83" t="s">
        <v>2556</v>
      </c>
      <c r="C779" s="67" t="s">
        <v>2557</v>
      </c>
      <c r="D779" s="91">
        <v>848637400</v>
      </c>
      <c r="E779" s="76">
        <v>33279094.999999996</v>
      </c>
      <c r="F779" s="77" t="s">
        <v>10170</v>
      </c>
      <c r="G779" s="22"/>
      <c r="H779" s="22"/>
    </row>
    <row r="780" spans="1:8" ht="13.35" customHeight="1">
      <c r="A780" s="82">
        <v>1</v>
      </c>
      <c r="B780" s="83" t="s">
        <v>1790</v>
      </c>
      <c r="C780" s="67" t="s">
        <v>1791</v>
      </c>
      <c r="D780" s="91">
        <v>2376335200</v>
      </c>
      <c r="E780" s="76">
        <v>93187367.5</v>
      </c>
      <c r="F780" s="77" t="s">
        <v>10170</v>
      </c>
      <c r="G780" s="22"/>
      <c r="H780" s="22"/>
    </row>
    <row r="781" spans="1:8" ht="13.35" customHeight="1">
      <c r="A781" s="82">
        <v>1</v>
      </c>
      <c r="B781" s="83" t="s">
        <v>1792</v>
      </c>
      <c r="C781" s="67" t="s">
        <v>1793</v>
      </c>
      <c r="D781" s="91">
        <v>2376335200</v>
      </c>
      <c r="E781" s="76">
        <v>93187367.5</v>
      </c>
      <c r="F781" s="77" t="s">
        <v>10170</v>
      </c>
      <c r="G781" s="22"/>
      <c r="H781" s="22"/>
    </row>
    <row r="782" spans="1:8" ht="13.35" customHeight="1">
      <c r="A782" s="82">
        <v>1</v>
      </c>
      <c r="B782" s="83" t="s">
        <v>2270</v>
      </c>
      <c r="C782" s="67" t="s">
        <v>2271</v>
      </c>
      <c r="D782" s="91">
        <v>2546049000</v>
      </c>
      <c r="E782" s="76">
        <v>99842650</v>
      </c>
      <c r="F782" s="77" t="s">
        <v>10170</v>
      </c>
      <c r="G782" s="22"/>
      <c r="H782" s="22"/>
    </row>
    <row r="783" spans="1:8" ht="13.35" customHeight="1">
      <c r="A783" s="82">
        <v>1</v>
      </c>
      <c r="B783" s="83" t="s">
        <v>2272</v>
      </c>
      <c r="C783" s="67" t="s">
        <v>2273</v>
      </c>
      <c r="D783" s="91">
        <v>2546049000</v>
      </c>
      <c r="E783" s="76">
        <v>99842650</v>
      </c>
      <c r="F783" s="77" t="s">
        <v>10170</v>
      </c>
      <c r="G783" s="22"/>
      <c r="H783" s="22"/>
    </row>
    <row r="784" spans="1:8" ht="13.35" customHeight="1">
      <c r="A784" s="82">
        <v>1</v>
      </c>
      <c r="B784" s="83" t="s">
        <v>1782</v>
      </c>
      <c r="C784" s="67" t="s">
        <v>1783</v>
      </c>
      <c r="D784" s="91">
        <v>1273024500</v>
      </c>
      <c r="E784" s="76">
        <v>49921325</v>
      </c>
      <c r="F784" s="77" t="s">
        <v>10170</v>
      </c>
      <c r="G784" s="22"/>
      <c r="H784" s="22"/>
    </row>
    <row r="785" spans="1:8" ht="13.35" customHeight="1">
      <c r="A785" s="82">
        <v>1</v>
      </c>
      <c r="B785" s="83" t="s">
        <v>1784</v>
      </c>
      <c r="C785" s="67" t="s">
        <v>1785</v>
      </c>
      <c r="D785" s="91">
        <v>1273024500</v>
      </c>
      <c r="E785" s="76">
        <v>49921325</v>
      </c>
      <c r="F785" s="77" t="s">
        <v>10170</v>
      </c>
      <c r="G785" s="22"/>
      <c r="H785" s="22"/>
    </row>
    <row r="786" spans="1:8" ht="13.35" customHeight="1">
      <c r="A786" s="82">
        <v>1</v>
      </c>
      <c r="B786" s="83" t="s">
        <v>1786</v>
      </c>
      <c r="C786" s="67" t="s">
        <v>1787</v>
      </c>
      <c r="D786" s="91">
        <v>933528500</v>
      </c>
      <c r="E786" s="76">
        <v>36608077.5</v>
      </c>
      <c r="F786" s="77" t="s">
        <v>10170</v>
      </c>
      <c r="G786" s="22"/>
      <c r="H786" s="22"/>
    </row>
    <row r="787" spans="1:8" ht="13.35" customHeight="1">
      <c r="A787" s="82">
        <v>1</v>
      </c>
      <c r="B787" s="83" t="s">
        <v>1788</v>
      </c>
      <c r="C787" s="67" t="s">
        <v>1789</v>
      </c>
      <c r="D787" s="91">
        <v>933528500</v>
      </c>
      <c r="E787" s="76">
        <v>36608077.5</v>
      </c>
      <c r="F787" s="77" t="s">
        <v>10170</v>
      </c>
      <c r="G787" s="22"/>
      <c r="H787" s="22"/>
    </row>
    <row r="788" spans="1:8" ht="13.35" customHeight="1">
      <c r="A788" s="82">
        <v>1</v>
      </c>
      <c r="B788" s="83" t="s">
        <v>2838</v>
      </c>
      <c r="C788" s="67" t="s">
        <v>2839</v>
      </c>
      <c r="D788" s="91">
        <v>848637400</v>
      </c>
      <c r="E788" s="76">
        <v>33279094.999999996</v>
      </c>
      <c r="F788" s="77" t="s">
        <v>10170</v>
      </c>
      <c r="G788" s="22"/>
      <c r="H788" s="22"/>
    </row>
    <row r="789" spans="1:8" ht="13.35" customHeight="1">
      <c r="A789" s="82">
        <v>1</v>
      </c>
      <c r="B789" s="83" t="s">
        <v>2840</v>
      </c>
      <c r="C789" s="67" t="s">
        <v>2841</v>
      </c>
      <c r="D789" s="91">
        <v>848637400</v>
      </c>
      <c r="E789" s="76">
        <v>33279094.999999996</v>
      </c>
      <c r="F789" s="77" t="s">
        <v>10170</v>
      </c>
      <c r="G789" s="22"/>
      <c r="H789" s="22"/>
    </row>
    <row r="790" spans="1:8" ht="13.35" customHeight="1">
      <c r="A790" s="82">
        <v>1</v>
      </c>
      <c r="B790" s="83" t="s">
        <v>283</v>
      </c>
      <c r="C790" s="67" t="s">
        <v>284</v>
      </c>
      <c r="D790" s="91">
        <v>902951300</v>
      </c>
      <c r="E790" s="76">
        <v>35409000</v>
      </c>
      <c r="F790" s="77" t="s">
        <v>10170</v>
      </c>
      <c r="G790" s="22"/>
      <c r="H790" s="22"/>
    </row>
    <row r="791" spans="1:8" ht="13.35" customHeight="1">
      <c r="A791" s="82">
        <v>1</v>
      </c>
      <c r="B791" s="83" t="s">
        <v>285</v>
      </c>
      <c r="C791" s="67" t="s">
        <v>286</v>
      </c>
      <c r="D791" s="91">
        <v>902951300</v>
      </c>
      <c r="E791" s="76">
        <v>35409000</v>
      </c>
      <c r="F791" s="77" t="s">
        <v>10170</v>
      </c>
      <c r="G791" s="22"/>
      <c r="H791" s="22"/>
    </row>
    <row r="792" spans="1:8" ht="13.35" customHeight="1">
      <c r="A792" s="82">
        <v>1</v>
      </c>
      <c r="B792" s="83" t="s">
        <v>559</v>
      </c>
      <c r="C792" s="67" t="s">
        <v>560</v>
      </c>
      <c r="D792" s="91">
        <v>1011305400</v>
      </c>
      <c r="E792" s="76">
        <v>39658080</v>
      </c>
      <c r="F792" s="77" t="s">
        <v>10170</v>
      </c>
      <c r="G792" s="22"/>
      <c r="H792" s="22"/>
    </row>
    <row r="793" spans="1:8" ht="13.35" customHeight="1">
      <c r="A793" s="82">
        <v>1</v>
      </c>
      <c r="B793" s="83" t="s">
        <v>561</v>
      </c>
      <c r="C793" s="67" t="s">
        <v>5409</v>
      </c>
      <c r="D793" s="91">
        <v>1011305400</v>
      </c>
      <c r="E793" s="76">
        <v>39658080</v>
      </c>
      <c r="F793" s="77" t="s">
        <v>10170</v>
      </c>
      <c r="G793" s="22"/>
      <c r="H793" s="22"/>
    </row>
    <row r="794" spans="1:8" ht="13.35" customHeight="1">
      <c r="A794" s="82">
        <v>1</v>
      </c>
      <c r="B794" s="83" t="s">
        <v>197</v>
      </c>
      <c r="C794" s="67" t="s">
        <v>5410</v>
      </c>
      <c r="D794" s="91">
        <v>349278000</v>
      </c>
      <c r="E794" s="76">
        <v>13696845</v>
      </c>
      <c r="F794" s="77" t="s">
        <v>10170</v>
      </c>
      <c r="G794" s="22"/>
      <c r="H794" s="22"/>
    </row>
    <row r="795" spans="1:8" ht="13.35" customHeight="1">
      <c r="A795" s="82">
        <v>1</v>
      </c>
      <c r="B795" s="83" t="s">
        <v>1473</v>
      </c>
      <c r="C795" s="67" t="s">
        <v>282</v>
      </c>
      <c r="D795" s="91">
        <v>476238400</v>
      </c>
      <c r="E795" s="76">
        <v>18675565</v>
      </c>
      <c r="F795" s="77" t="s">
        <v>10170</v>
      </c>
      <c r="G795" s="22"/>
      <c r="H795" s="22"/>
    </row>
    <row r="796" spans="1:8" ht="13.35" customHeight="1">
      <c r="A796" s="82">
        <v>1</v>
      </c>
      <c r="B796" s="83" t="s">
        <v>1474</v>
      </c>
      <c r="C796" s="67" t="s">
        <v>5411</v>
      </c>
      <c r="D796" s="91">
        <v>730296100</v>
      </c>
      <c r="E796" s="76">
        <v>28638369.999999996</v>
      </c>
      <c r="F796" s="77" t="s">
        <v>10170</v>
      </c>
      <c r="G796" s="22"/>
      <c r="H796" s="22"/>
    </row>
    <row r="797" spans="1:8" ht="13.35" customHeight="1">
      <c r="A797" s="82">
        <v>1</v>
      </c>
      <c r="B797" s="83" t="s">
        <v>1083</v>
      </c>
      <c r="C797" s="67" t="s">
        <v>27</v>
      </c>
      <c r="D797" s="91">
        <v>5294600</v>
      </c>
      <c r="E797" s="76">
        <v>207625.5</v>
      </c>
      <c r="F797" s="77" t="s">
        <v>10170</v>
      </c>
      <c r="G797" s="22"/>
      <c r="H797" s="22"/>
    </row>
    <row r="798" spans="1:8" ht="13.35" customHeight="1">
      <c r="A798" s="82">
        <v>1</v>
      </c>
      <c r="B798" s="83" t="s">
        <v>1084</v>
      </c>
      <c r="C798" s="67" t="s">
        <v>29</v>
      </c>
      <c r="D798" s="91">
        <v>2996200</v>
      </c>
      <c r="E798" s="76">
        <v>117493.5</v>
      </c>
      <c r="F798" s="77" t="s">
        <v>10170</v>
      </c>
      <c r="G798" s="22"/>
      <c r="H798" s="22"/>
    </row>
    <row r="799" spans="1:8" ht="13.35" customHeight="1">
      <c r="A799" s="82">
        <v>1</v>
      </c>
      <c r="B799" s="83" t="s">
        <v>3477</v>
      </c>
      <c r="C799" s="67" t="s">
        <v>5414</v>
      </c>
      <c r="D799" s="91">
        <v>2941705800</v>
      </c>
      <c r="E799" s="76">
        <v>115358229.99999999</v>
      </c>
      <c r="F799" s="77" t="s">
        <v>10170</v>
      </c>
      <c r="G799" s="22"/>
      <c r="H799" s="22"/>
    </row>
    <row r="800" spans="1:8" ht="13.35" customHeight="1">
      <c r="A800" s="82">
        <v>1</v>
      </c>
      <c r="B800" s="83" t="s">
        <v>3998</v>
      </c>
      <c r="C800" s="67" t="s">
        <v>4041</v>
      </c>
      <c r="D800" s="91">
        <v>2190942900</v>
      </c>
      <c r="E800" s="76">
        <v>85917256</v>
      </c>
      <c r="F800" s="77" t="s">
        <v>10170</v>
      </c>
      <c r="G800" s="22"/>
      <c r="H800" s="22"/>
    </row>
    <row r="801" spans="1:8" ht="13.35" customHeight="1">
      <c r="A801" s="82">
        <v>1</v>
      </c>
      <c r="B801" s="83" t="s">
        <v>3996</v>
      </c>
      <c r="C801" s="67" t="s">
        <v>4038</v>
      </c>
      <c r="D801" s="91">
        <v>2190942900</v>
      </c>
      <c r="E801" s="76">
        <v>85917256</v>
      </c>
      <c r="F801" s="77" t="s">
        <v>10170</v>
      </c>
      <c r="G801" s="22"/>
      <c r="H801" s="22"/>
    </row>
    <row r="802" spans="1:8" ht="13.35" customHeight="1">
      <c r="A802" s="82">
        <v>1</v>
      </c>
      <c r="B802" s="83" t="s">
        <v>3999</v>
      </c>
      <c r="C802" s="67" t="s">
        <v>4039</v>
      </c>
      <c r="D802" s="91">
        <v>2190942900</v>
      </c>
      <c r="E802" s="76">
        <v>85917256</v>
      </c>
      <c r="F802" s="77" t="s">
        <v>10170</v>
      </c>
      <c r="G802" s="22"/>
      <c r="H802" s="22"/>
    </row>
    <row r="803" spans="1:8" ht="13.35" customHeight="1">
      <c r="A803" s="82">
        <v>1</v>
      </c>
      <c r="B803" s="83" t="s">
        <v>3997</v>
      </c>
      <c r="C803" s="67" t="s">
        <v>4040</v>
      </c>
      <c r="D803" s="91">
        <v>2190942900</v>
      </c>
      <c r="E803" s="76">
        <v>85917256</v>
      </c>
      <c r="F803" s="77" t="s">
        <v>10170</v>
      </c>
      <c r="G803" s="22"/>
      <c r="H803" s="22"/>
    </row>
    <row r="804" spans="1:8" ht="13.35" customHeight="1">
      <c r="A804" s="82">
        <v>1</v>
      </c>
      <c r="B804" s="83" t="s">
        <v>4000</v>
      </c>
      <c r="C804" s="67" t="s">
        <v>4037</v>
      </c>
      <c r="D804" s="91">
        <v>1682882300</v>
      </c>
      <c r="E804" s="76">
        <v>65993792</v>
      </c>
      <c r="F804" s="77" t="s">
        <v>10170</v>
      </c>
      <c r="G804" s="22"/>
      <c r="H804" s="22"/>
    </row>
    <row r="805" spans="1:8" ht="13.35" customHeight="1">
      <c r="A805" s="82">
        <v>1</v>
      </c>
      <c r="B805" s="83" t="s">
        <v>3478</v>
      </c>
      <c r="C805" s="67" t="s">
        <v>2848</v>
      </c>
      <c r="D805" s="91">
        <v>69499900</v>
      </c>
      <c r="E805" s="76">
        <v>2725420</v>
      </c>
      <c r="F805" s="77" t="s">
        <v>10170</v>
      </c>
      <c r="G805" s="22"/>
      <c r="H805" s="22"/>
    </row>
    <row r="806" spans="1:8" ht="13.35" customHeight="1">
      <c r="A806" s="82">
        <v>1</v>
      </c>
      <c r="B806" s="83" t="s">
        <v>1228</v>
      </c>
      <c r="C806" s="67" t="s">
        <v>1229</v>
      </c>
      <c r="D806" s="91">
        <v>1764312100</v>
      </c>
      <c r="E806" s="76">
        <v>69187040</v>
      </c>
      <c r="F806" s="77" t="s">
        <v>10170</v>
      </c>
      <c r="G806" s="22"/>
      <c r="H806" s="22"/>
    </row>
    <row r="807" spans="1:8" ht="13.35" customHeight="1">
      <c r="A807" s="82">
        <v>1</v>
      </c>
      <c r="B807" s="83" t="s">
        <v>1226</v>
      </c>
      <c r="C807" s="67" t="s">
        <v>1227</v>
      </c>
      <c r="D807" s="91">
        <v>1692076000</v>
      </c>
      <c r="E807" s="76">
        <v>66354320</v>
      </c>
      <c r="F807" s="77" t="s">
        <v>10170</v>
      </c>
      <c r="G807" s="22"/>
      <c r="H807" s="22"/>
    </row>
    <row r="808" spans="1:8" ht="13.35" customHeight="1">
      <c r="A808" s="82">
        <v>1</v>
      </c>
      <c r="B808" s="83" t="s">
        <v>1224</v>
      </c>
      <c r="C808" s="67" t="s">
        <v>1225</v>
      </c>
      <c r="D808" s="91">
        <v>1185328800</v>
      </c>
      <c r="E808" s="76">
        <v>46482360</v>
      </c>
      <c r="F808" s="77" t="s">
        <v>10170</v>
      </c>
      <c r="G808" s="22"/>
      <c r="H808" s="22"/>
    </row>
    <row r="809" spans="1:8" ht="13.35" customHeight="1">
      <c r="A809" s="82">
        <v>1</v>
      </c>
      <c r="B809" s="83" t="s">
        <v>1222</v>
      </c>
      <c r="C809" s="67" t="s">
        <v>1223</v>
      </c>
      <c r="D809" s="91">
        <v>1113092700</v>
      </c>
      <c r="E809" s="76">
        <v>43649640</v>
      </c>
      <c r="F809" s="77" t="s">
        <v>10170</v>
      </c>
      <c r="G809" s="22"/>
      <c r="H809" s="22"/>
    </row>
    <row r="810" spans="1:8" ht="13.35" customHeight="1">
      <c r="A810" s="82">
        <v>1</v>
      </c>
      <c r="B810" s="83" t="s">
        <v>1234</v>
      </c>
      <c r="C810" s="67" t="s">
        <v>1235</v>
      </c>
      <c r="D810" s="91">
        <v>398256200</v>
      </c>
      <c r="E810" s="76">
        <v>15617515.000000002</v>
      </c>
      <c r="F810" s="77" t="s">
        <v>10170</v>
      </c>
      <c r="G810" s="22"/>
      <c r="H810" s="22"/>
    </row>
    <row r="811" spans="1:8" ht="13.35" customHeight="1">
      <c r="A811" s="82">
        <v>1</v>
      </c>
      <c r="B811" s="83" t="s">
        <v>1238</v>
      </c>
      <c r="C811" s="67" t="s">
        <v>1239</v>
      </c>
      <c r="D811" s="91">
        <v>90500300</v>
      </c>
      <c r="E811" s="76">
        <v>3548947.5000000005</v>
      </c>
      <c r="F811" s="77" t="s">
        <v>10170</v>
      </c>
      <c r="G811" s="22"/>
      <c r="H811" s="22"/>
    </row>
    <row r="812" spans="1:8" ht="13.35" customHeight="1">
      <c r="A812" s="82">
        <v>1</v>
      </c>
      <c r="B812" s="83" t="s">
        <v>1888</v>
      </c>
      <c r="C812" s="67" t="s">
        <v>1889</v>
      </c>
      <c r="D812" s="91">
        <v>1764312100</v>
      </c>
      <c r="E812" s="76">
        <v>69187040</v>
      </c>
      <c r="F812" s="77" t="s">
        <v>10170</v>
      </c>
      <c r="G812" s="22"/>
      <c r="H812" s="22"/>
    </row>
    <row r="813" spans="1:8" ht="13.35" customHeight="1">
      <c r="A813" s="82">
        <v>1</v>
      </c>
      <c r="B813" s="83" t="s">
        <v>1886</v>
      </c>
      <c r="C813" s="67" t="s">
        <v>1887</v>
      </c>
      <c r="D813" s="91">
        <v>1692076000</v>
      </c>
      <c r="E813" s="76">
        <v>66354320</v>
      </c>
      <c r="F813" s="77" t="s">
        <v>10170</v>
      </c>
      <c r="G813" s="22"/>
      <c r="H813" s="22"/>
    </row>
    <row r="814" spans="1:8" ht="13.35" customHeight="1">
      <c r="A814" s="82">
        <v>1</v>
      </c>
      <c r="B814" s="83" t="s">
        <v>1884</v>
      </c>
      <c r="C814" s="67" t="s">
        <v>1885</v>
      </c>
      <c r="D814" s="91">
        <v>1185328800</v>
      </c>
      <c r="E814" s="76">
        <v>46482360</v>
      </c>
      <c r="F814" s="77" t="s">
        <v>10170</v>
      </c>
      <c r="G814" s="22"/>
      <c r="H814" s="22"/>
    </row>
    <row r="815" spans="1:8" ht="13.35" customHeight="1">
      <c r="A815" s="82">
        <v>1</v>
      </c>
      <c r="B815" s="83" t="s">
        <v>1882</v>
      </c>
      <c r="C815" s="67" t="s">
        <v>1883</v>
      </c>
      <c r="D815" s="91">
        <v>1113092700</v>
      </c>
      <c r="E815" s="76">
        <v>43649640</v>
      </c>
      <c r="F815" s="77" t="s">
        <v>10170</v>
      </c>
      <c r="G815" s="22"/>
      <c r="H815" s="22"/>
    </row>
    <row r="816" spans="1:8" ht="13.35" customHeight="1">
      <c r="A816" s="82">
        <v>1</v>
      </c>
      <c r="B816" s="83" t="s">
        <v>1890</v>
      </c>
      <c r="C816" s="67" t="s">
        <v>1891</v>
      </c>
      <c r="D816" s="91">
        <v>398256200</v>
      </c>
      <c r="E816" s="76">
        <v>15617515.000000002</v>
      </c>
      <c r="F816" s="77" t="s">
        <v>10170</v>
      </c>
      <c r="G816" s="22"/>
      <c r="H816" s="22"/>
    </row>
    <row r="817" spans="1:8" ht="13.35" customHeight="1">
      <c r="A817" s="82">
        <v>1</v>
      </c>
      <c r="B817" s="83" t="s">
        <v>3459</v>
      </c>
      <c r="C817" s="67" t="s">
        <v>3460</v>
      </c>
      <c r="D817" s="91">
        <v>1944628700</v>
      </c>
      <c r="E817" s="76">
        <v>76258110</v>
      </c>
      <c r="F817" s="77" t="s">
        <v>10170</v>
      </c>
      <c r="G817" s="22"/>
      <c r="H817" s="22"/>
    </row>
    <row r="818" spans="1:8" ht="13.35" customHeight="1">
      <c r="A818" s="82">
        <v>1</v>
      </c>
      <c r="B818" s="83" t="s">
        <v>3457</v>
      </c>
      <c r="C818" s="67" t="s">
        <v>3458</v>
      </c>
      <c r="D818" s="91">
        <v>1872392600</v>
      </c>
      <c r="E818" s="76">
        <v>73425390</v>
      </c>
      <c r="F818" s="77" t="s">
        <v>10170</v>
      </c>
      <c r="G818" s="22"/>
      <c r="H818" s="22"/>
    </row>
    <row r="819" spans="1:8" ht="13.35" customHeight="1">
      <c r="A819" s="82">
        <v>1</v>
      </c>
      <c r="B819" s="83" t="s">
        <v>3456</v>
      </c>
      <c r="C819" s="67" t="s">
        <v>7371</v>
      </c>
      <c r="D819" s="91">
        <v>1365645400</v>
      </c>
      <c r="E819" s="76">
        <v>53553430</v>
      </c>
      <c r="F819" s="77" t="s">
        <v>10170</v>
      </c>
      <c r="G819" s="22"/>
      <c r="H819" s="22"/>
    </row>
    <row r="820" spans="1:8" ht="13.35" customHeight="1">
      <c r="A820" s="82">
        <v>1</v>
      </c>
      <c r="B820" s="83" t="s">
        <v>3455</v>
      </c>
      <c r="C820" s="67" t="s">
        <v>7372</v>
      </c>
      <c r="D820" s="91">
        <v>1293409300</v>
      </c>
      <c r="E820" s="76">
        <v>50720710.000000007</v>
      </c>
      <c r="F820" s="77" t="s">
        <v>10170</v>
      </c>
      <c r="G820" s="22"/>
      <c r="H820" s="22"/>
    </row>
    <row r="821" spans="1:8" ht="13.35" customHeight="1">
      <c r="A821" s="82">
        <v>1</v>
      </c>
      <c r="B821" s="83" t="s">
        <v>3467</v>
      </c>
      <c r="C821" s="67" t="s">
        <v>3468</v>
      </c>
      <c r="D821" s="91">
        <v>578572900</v>
      </c>
      <c r="E821" s="76">
        <v>22688585</v>
      </c>
      <c r="F821" s="77" t="s">
        <v>10170</v>
      </c>
      <c r="G821" s="22"/>
      <c r="H821" s="22"/>
    </row>
    <row r="822" spans="1:8" ht="13.35" customHeight="1">
      <c r="A822" s="82">
        <v>1</v>
      </c>
      <c r="B822" s="83" t="s">
        <v>3471</v>
      </c>
      <c r="C822" s="67" t="s">
        <v>3472</v>
      </c>
      <c r="D822" s="91">
        <v>578572900</v>
      </c>
      <c r="E822" s="76">
        <v>22688585</v>
      </c>
      <c r="F822" s="77" t="s">
        <v>10170</v>
      </c>
      <c r="G822" s="22"/>
      <c r="H822" s="22"/>
    </row>
    <row r="823" spans="1:8" ht="13.35" customHeight="1">
      <c r="A823" s="82">
        <v>1</v>
      </c>
      <c r="B823" s="83" t="s">
        <v>3465</v>
      </c>
      <c r="C823" s="67" t="s">
        <v>3466</v>
      </c>
      <c r="D823" s="91">
        <v>1944628700</v>
      </c>
      <c r="E823" s="76">
        <v>76258110</v>
      </c>
      <c r="F823" s="77" t="s">
        <v>10170</v>
      </c>
      <c r="G823" s="22"/>
      <c r="H823" s="22"/>
    </row>
    <row r="824" spans="1:8" ht="13.35" customHeight="1">
      <c r="A824" s="82">
        <v>1</v>
      </c>
      <c r="B824" s="83" t="s">
        <v>3463</v>
      </c>
      <c r="C824" s="67" t="s">
        <v>3464</v>
      </c>
      <c r="D824" s="91">
        <v>1872392600</v>
      </c>
      <c r="E824" s="76">
        <v>73425390</v>
      </c>
      <c r="F824" s="77" t="s">
        <v>10170</v>
      </c>
      <c r="G824" s="22"/>
      <c r="H824" s="22"/>
    </row>
    <row r="825" spans="1:8" ht="13.35" customHeight="1">
      <c r="A825" s="82">
        <v>1</v>
      </c>
      <c r="B825" s="83" t="s">
        <v>3462</v>
      </c>
      <c r="C825" s="67" t="s">
        <v>7373</v>
      </c>
      <c r="D825" s="91">
        <v>1365645400</v>
      </c>
      <c r="E825" s="76">
        <v>53553430</v>
      </c>
      <c r="F825" s="77" t="s">
        <v>10170</v>
      </c>
      <c r="G825" s="22"/>
      <c r="H825" s="22"/>
    </row>
    <row r="826" spans="1:8" ht="13.35" customHeight="1">
      <c r="A826" s="82">
        <v>1</v>
      </c>
      <c r="B826" s="83" t="s">
        <v>3461</v>
      </c>
      <c r="C826" s="67" t="s">
        <v>7374</v>
      </c>
      <c r="D826" s="91">
        <v>1293409300</v>
      </c>
      <c r="E826" s="76">
        <v>50720710.000000007</v>
      </c>
      <c r="F826" s="77" t="s">
        <v>10170</v>
      </c>
      <c r="G826" s="22"/>
      <c r="H826" s="22"/>
    </row>
    <row r="827" spans="1:8" ht="13.35" customHeight="1">
      <c r="A827" s="82">
        <v>1</v>
      </c>
      <c r="B827" s="83" t="s">
        <v>3469</v>
      </c>
      <c r="C827" s="67" t="s">
        <v>3470</v>
      </c>
      <c r="D827" s="91">
        <v>578572900</v>
      </c>
      <c r="E827" s="76">
        <v>22688585</v>
      </c>
      <c r="F827" s="77" t="s">
        <v>10170</v>
      </c>
      <c r="G827" s="22"/>
      <c r="H827" s="22"/>
    </row>
    <row r="828" spans="1:8" ht="13.35" customHeight="1">
      <c r="A828" s="82">
        <v>1</v>
      </c>
      <c r="B828" s="83" t="s">
        <v>3473</v>
      </c>
      <c r="C828" s="67" t="s">
        <v>3474</v>
      </c>
      <c r="D828" s="91">
        <v>578572900</v>
      </c>
      <c r="E828" s="76">
        <v>22688585</v>
      </c>
      <c r="F828" s="77" t="s">
        <v>10170</v>
      </c>
      <c r="G828" s="22"/>
      <c r="H828" s="22"/>
    </row>
    <row r="829" spans="1:8" ht="13.35" customHeight="1">
      <c r="A829" s="82">
        <v>1</v>
      </c>
      <c r="B829" s="83" t="s">
        <v>3939</v>
      </c>
      <c r="C829" s="67" t="s">
        <v>3940</v>
      </c>
      <c r="D829" s="91">
        <v>1762054700</v>
      </c>
      <c r="E829" s="76">
        <v>69098517.5</v>
      </c>
      <c r="F829" s="77" t="s">
        <v>10170</v>
      </c>
      <c r="G829" s="22"/>
      <c r="H829" s="22"/>
    </row>
    <row r="830" spans="1:8" ht="13.35" customHeight="1">
      <c r="A830" s="82">
        <v>1</v>
      </c>
      <c r="B830" s="83" t="s">
        <v>3937</v>
      </c>
      <c r="C830" s="67" t="s">
        <v>3938</v>
      </c>
      <c r="D830" s="91">
        <v>1620797500</v>
      </c>
      <c r="E830" s="76">
        <v>63559155</v>
      </c>
      <c r="F830" s="77" t="s">
        <v>10170</v>
      </c>
      <c r="G830" s="22"/>
      <c r="H830" s="22"/>
    </row>
    <row r="831" spans="1:8" ht="13.35" customHeight="1">
      <c r="A831" s="82">
        <v>1</v>
      </c>
      <c r="B831" s="83" t="s">
        <v>3935</v>
      </c>
      <c r="C831" s="67" t="s">
        <v>3936</v>
      </c>
      <c r="D831" s="91">
        <v>2508289200</v>
      </c>
      <c r="E831" s="76">
        <v>98361910</v>
      </c>
      <c r="F831" s="77" t="s">
        <v>10170</v>
      </c>
      <c r="G831" s="22"/>
      <c r="H831" s="22"/>
    </row>
    <row r="832" spans="1:8" ht="13.35" customHeight="1">
      <c r="A832" s="82">
        <v>1</v>
      </c>
      <c r="B832" s="83" t="s">
        <v>3933</v>
      </c>
      <c r="C832" s="67" t="s">
        <v>3934</v>
      </c>
      <c r="D832" s="91">
        <v>2311705800</v>
      </c>
      <c r="E832" s="76">
        <v>90652941.5</v>
      </c>
      <c r="F832" s="77" t="s">
        <v>10170</v>
      </c>
      <c r="G832" s="22"/>
      <c r="H832" s="22"/>
    </row>
    <row r="833" spans="1:8" ht="13.35" customHeight="1">
      <c r="A833" s="82">
        <v>1</v>
      </c>
      <c r="B833" s="83" t="s">
        <v>3995</v>
      </c>
      <c r="C833" s="67" t="s">
        <v>4042</v>
      </c>
      <c r="D833" s="91">
        <v>486978000</v>
      </c>
      <c r="E833" s="76">
        <v>19096717.5</v>
      </c>
      <c r="F833" s="77" t="s">
        <v>10170</v>
      </c>
      <c r="G833" s="22"/>
      <c r="H833" s="22"/>
    </row>
    <row r="834" spans="1:8" ht="13.35" customHeight="1">
      <c r="A834" s="82">
        <v>1</v>
      </c>
      <c r="B834" s="83" t="s">
        <v>4001</v>
      </c>
      <c r="C834" s="67" t="s">
        <v>4043</v>
      </c>
      <c r="D834" s="91">
        <v>1212348900</v>
      </c>
      <c r="E834" s="76">
        <v>47541947.500000007</v>
      </c>
      <c r="F834" s="77" t="s">
        <v>10170</v>
      </c>
      <c r="G834" s="22"/>
      <c r="H834" s="22"/>
    </row>
    <row r="835" spans="1:8" ht="13.35" customHeight="1">
      <c r="A835" s="82">
        <v>1</v>
      </c>
      <c r="B835" s="83" t="s">
        <v>4002</v>
      </c>
      <c r="C835" s="67" t="s">
        <v>4047</v>
      </c>
      <c r="D835" s="91">
        <v>1212348900</v>
      </c>
      <c r="E835" s="76">
        <v>47541947.500000007</v>
      </c>
      <c r="F835" s="77" t="s">
        <v>10170</v>
      </c>
      <c r="G835" s="22"/>
      <c r="H835" s="22"/>
    </row>
    <row r="836" spans="1:8" ht="13.35" customHeight="1">
      <c r="A836" s="82">
        <v>1</v>
      </c>
      <c r="B836" s="83" t="s">
        <v>4003</v>
      </c>
      <c r="C836" s="67" t="s">
        <v>4044</v>
      </c>
      <c r="D836" s="91">
        <v>1120890900</v>
      </c>
      <c r="E836" s="76">
        <v>43955445</v>
      </c>
      <c r="F836" s="77" t="s">
        <v>10170</v>
      </c>
      <c r="G836" s="22"/>
      <c r="H836" s="22"/>
    </row>
    <row r="837" spans="1:8" ht="13.35" customHeight="1">
      <c r="A837" s="82">
        <v>1</v>
      </c>
      <c r="B837" s="83" t="s">
        <v>3479</v>
      </c>
      <c r="C837" s="67" t="s">
        <v>2847</v>
      </c>
      <c r="D837" s="91">
        <v>137084400</v>
      </c>
      <c r="E837" s="76">
        <v>5375730</v>
      </c>
      <c r="F837" s="77" t="s">
        <v>10170</v>
      </c>
      <c r="G837" s="22"/>
      <c r="H837" s="22"/>
    </row>
    <row r="838" spans="1:8" ht="13.35" customHeight="1">
      <c r="A838" s="82">
        <v>1</v>
      </c>
      <c r="B838" s="83" t="s">
        <v>3992</v>
      </c>
      <c r="C838" s="67" t="s">
        <v>4050</v>
      </c>
      <c r="D838" s="91">
        <v>137084400</v>
      </c>
      <c r="E838" s="76">
        <v>5375730</v>
      </c>
      <c r="F838" s="77" t="s">
        <v>10170</v>
      </c>
      <c r="G838" s="22"/>
      <c r="H838" s="22"/>
    </row>
    <row r="839" spans="1:8" ht="13.35" customHeight="1">
      <c r="A839" s="82">
        <v>1</v>
      </c>
      <c r="B839" s="83" t="s">
        <v>3993</v>
      </c>
      <c r="C839" s="67" t="s">
        <v>4046</v>
      </c>
      <c r="D839" s="91">
        <v>57665800</v>
      </c>
      <c r="E839" s="76">
        <v>2261347.5</v>
      </c>
      <c r="F839" s="77" t="s">
        <v>10170</v>
      </c>
      <c r="G839" s="22"/>
      <c r="H839" s="22"/>
    </row>
    <row r="840" spans="1:8" ht="13.35" customHeight="1">
      <c r="A840" s="82">
        <v>1</v>
      </c>
      <c r="B840" s="83" t="s">
        <v>3994</v>
      </c>
      <c r="C840" s="67" t="s">
        <v>4049</v>
      </c>
      <c r="D840" s="91">
        <v>57665800</v>
      </c>
      <c r="E840" s="76">
        <v>2261347.5</v>
      </c>
      <c r="F840" s="77" t="s">
        <v>10170</v>
      </c>
      <c r="G840" s="22"/>
      <c r="H840" s="22"/>
    </row>
    <row r="841" spans="1:8" ht="13.35" customHeight="1">
      <c r="A841" s="82">
        <v>1</v>
      </c>
      <c r="B841" s="83" t="s">
        <v>3990</v>
      </c>
      <c r="C841" s="67" t="s">
        <v>4045</v>
      </c>
      <c r="D841" s="91">
        <v>57665800</v>
      </c>
      <c r="E841" s="76">
        <v>2261347.5</v>
      </c>
      <c r="F841" s="77" t="s">
        <v>10170</v>
      </c>
      <c r="G841" s="22"/>
      <c r="H841" s="22"/>
    </row>
    <row r="842" spans="1:8" ht="13.35" customHeight="1">
      <c r="A842" s="82">
        <v>1</v>
      </c>
      <c r="B842" s="83" t="s">
        <v>3991</v>
      </c>
      <c r="C842" s="67" t="s">
        <v>4048</v>
      </c>
      <c r="D842" s="91">
        <v>57665800</v>
      </c>
      <c r="E842" s="76">
        <v>2261347.5</v>
      </c>
      <c r="F842" s="77" t="s">
        <v>10170</v>
      </c>
      <c r="G842" s="22"/>
      <c r="H842" s="22"/>
    </row>
    <row r="843" spans="1:8" ht="13.35" customHeight="1">
      <c r="A843" s="82">
        <v>1</v>
      </c>
      <c r="B843" s="83" t="s">
        <v>3475</v>
      </c>
      <c r="C843" s="67" t="s">
        <v>4624</v>
      </c>
      <c r="D843" s="91">
        <v>72372900</v>
      </c>
      <c r="E843" s="76">
        <v>2838085</v>
      </c>
      <c r="F843" s="77" t="s">
        <v>10170</v>
      </c>
      <c r="G843" s="22"/>
      <c r="H843" s="22"/>
    </row>
    <row r="844" spans="1:8" ht="13.35" customHeight="1">
      <c r="A844" s="82">
        <v>1</v>
      </c>
      <c r="B844" s="83" t="s">
        <v>3476</v>
      </c>
      <c r="C844" s="67" t="s">
        <v>4625</v>
      </c>
      <c r="D844" s="91">
        <v>72372900</v>
      </c>
      <c r="E844" s="76">
        <v>2838085</v>
      </c>
      <c r="F844" s="77" t="s">
        <v>10170</v>
      </c>
      <c r="G844" s="22"/>
      <c r="H844" s="22"/>
    </row>
    <row r="845" spans="1:8" ht="13.35" customHeight="1">
      <c r="A845" s="82">
        <v>1</v>
      </c>
      <c r="B845" s="83" t="s">
        <v>1236</v>
      </c>
      <c r="C845" s="67" t="s">
        <v>4630</v>
      </c>
      <c r="D845" s="91">
        <v>72372900</v>
      </c>
      <c r="E845" s="76">
        <v>2838085</v>
      </c>
      <c r="F845" s="77" t="s">
        <v>10170</v>
      </c>
      <c r="G845" s="22"/>
      <c r="H845" s="22"/>
    </row>
    <row r="846" spans="1:8" ht="13.35" customHeight="1">
      <c r="A846" s="82">
        <v>1</v>
      </c>
      <c r="B846" s="83" t="s">
        <v>1237</v>
      </c>
      <c r="C846" s="67" t="s">
        <v>4631</v>
      </c>
      <c r="D846" s="91">
        <v>72372900</v>
      </c>
      <c r="E846" s="76">
        <v>2838085</v>
      </c>
      <c r="F846" s="77" t="s">
        <v>10170</v>
      </c>
      <c r="G846" s="22"/>
      <c r="H846" s="22"/>
    </row>
    <row r="847" spans="1:8" ht="13.35" customHeight="1">
      <c r="A847" s="82">
        <v>1</v>
      </c>
      <c r="B847" s="83" t="s">
        <v>2717</v>
      </c>
      <c r="C847" s="67" t="s">
        <v>4628</v>
      </c>
      <c r="D847" s="91">
        <v>54245500</v>
      </c>
      <c r="E847" s="76">
        <v>2127222.5</v>
      </c>
      <c r="F847" s="77" t="s">
        <v>10170</v>
      </c>
      <c r="G847" s="22"/>
      <c r="H847" s="22"/>
    </row>
    <row r="848" spans="1:8" ht="13.35" customHeight="1">
      <c r="A848" s="82">
        <v>1</v>
      </c>
      <c r="B848" s="83" t="s">
        <v>2716</v>
      </c>
      <c r="C848" s="67" t="s">
        <v>4629</v>
      </c>
      <c r="D848" s="91">
        <v>54245500</v>
      </c>
      <c r="E848" s="76">
        <v>2127222.5</v>
      </c>
      <c r="F848" s="77" t="s">
        <v>10170</v>
      </c>
      <c r="G848" s="22"/>
      <c r="H848" s="22"/>
    </row>
    <row r="849" spans="1:8" ht="13.35" customHeight="1">
      <c r="A849" s="82">
        <v>1</v>
      </c>
      <c r="B849" s="83" t="s">
        <v>1635</v>
      </c>
      <c r="C849" s="67" t="s">
        <v>4632</v>
      </c>
      <c r="D849" s="91">
        <v>65121900</v>
      </c>
      <c r="E849" s="76">
        <v>2553740</v>
      </c>
      <c r="F849" s="77" t="s">
        <v>10170</v>
      </c>
      <c r="G849" s="22"/>
      <c r="H849" s="22"/>
    </row>
    <row r="850" spans="1:8" ht="13.35" customHeight="1">
      <c r="A850" s="82">
        <v>1</v>
      </c>
      <c r="B850" s="83" t="s">
        <v>1636</v>
      </c>
      <c r="C850" s="67" t="s">
        <v>4633</v>
      </c>
      <c r="D850" s="91">
        <v>65121900</v>
      </c>
      <c r="E850" s="76">
        <v>2553740</v>
      </c>
      <c r="F850" s="77" t="s">
        <v>10170</v>
      </c>
      <c r="G850" s="22"/>
      <c r="H850" s="22"/>
    </row>
    <row r="851" spans="1:8" ht="13.35" customHeight="1">
      <c r="A851" s="82">
        <v>1</v>
      </c>
      <c r="B851" s="83" t="s">
        <v>2849</v>
      </c>
      <c r="C851" s="67" t="s">
        <v>4626</v>
      </c>
      <c r="D851" s="91">
        <v>59717900</v>
      </c>
      <c r="E851" s="76">
        <v>2341822.5</v>
      </c>
      <c r="F851" s="77" t="s">
        <v>10170</v>
      </c>
      <c r="G851" s="22"/>
      <c r="H851" s="22"/>
    </row>
    <row r="852" spans="1:8" ht="13.35" customHeight="1">
      <c r="A852" s="82">
        <v>1</v>
      </c>
      <c r="B852" s="83" t="s">
        <v>2850</v>
      </c>
      <c r="C852" s="67" t="s">
        <v>4627</v>
      </c>
      <c r="D852" s="91">
        <v>59717900</v>
      </c>
      <c r="E852" s="76">
        <v>2341822.5</v>
      </c>
      <c r="F852" s="77" t="s">
        <v>10170</v>
      </c>
      <c r="G852" s="22"/>
      <c r="H852" s="22"/>
    </row>
    <row r="853" spans="1:8" ht="13.35" customHeight="1">
      <c r="A853" s="82">
        <v>1</v>
      </c>
      <c r="B853" s="83" t="s">
        <v>1014</v>
      </c>
      <c r="C853" s="67" t="s">
        <v>1015</v>
      </c>
      <c r="D853" s="91">
        <v>646567800</v>
      </c>
      <c r="E853" s="76">
        <v>25354990</v>
      </c>
      <c r="F853" s="77" t="s">
        <v>10170</v>
      </c>
      <c r="G853" s="22"/>
      <c r="H853" s="22"/>
    </row>
    <row r="854" spans="1:8" ht="13.35" customHeight="1">
      <c r="A854" s="82">
        <v>1</v>
      </c>
      <c r="B854" s="83" t="s">
        <v>1016</v>
      </c>
      <c r="C854" s="67" t="s">
        <v>1017</v>
      </c>
      <c r="D854" s="91">
        <v>646567800</v>
      </c>
      <c r="E854" s="76">
        <v>25354990</v>
      </c>
      <c r="F854" s="77" t="s">
        <v>10170</v>
      </c>
      <c r="G854" s="22"/>
      <c r="H854" s="22"/>
    </row>
    <row r="855" spans="1:8" ht="13.35" customHeight="1">
      <c r="A855" s="82">
        <v>1</v>
      </c>
      <c r="B855" s="83" t="s">
        <v>3988</v>
      </c>
      <c r="C855" s="67" t="s">
        <v>4051</v>
      </c>
      <c r="D855" s="91">
        <v>505105500</v>
      </c>
      <c r="E855" s="76">
        <v>19807580</v>
      </c>
      <c r="F855" s="77" t="s">
        <v>10170</v>
      </c>
      <c r="G855" s="22"/>
      <c r="H855" s="22"/>
    </row>
    <row r="856" spans="1:8" ht="13.35" customHeight="1">
      <c r="A856" s="82">
        <v>1</v>
      </c>
      <c r="B856" s="83" t="s">
        <v>3989</v>
      </c>
      <c r="C856" s="67" t="s">
        <v>4052</v>
      </c>
      <c r="D856" s="91">
        <v>505105500</v>
      </c>
      <c r="E856" s="76">
        <v>19807580</v>
      </c>
      <c r="F856" s="77" t="s">
        <v>10170</v>
      </c>
      <c r="G856" s="22"/>
      <c r="H856" s="22"/>
    </row>
    <row r="857" spans="1:8" ht="13.35" customHeight="1">
      <c r="A857" s="82">
        <v>1</v>
      </c>
      <c r="B857" s="83" t="s">
        <v>1096</v>
      </c>
      <c r="C857" s="67" t="s">
        <v>1097</v>
      </c>
      <c r="D857" s="91">
        <v>404070700</v>
      </c>
      <c r="E857" s="76">
        <v>15845527.500000002</v>
      </c>
      <c r="F857" s="77" t="s">
        <v>10170</v>
      </c>
      <c r="G857" s="22"/>
      <c r="H857" s="22"/>
    </row>
    <row r="858" spans="1:8" ht="13.35" customHeight="1">
      <c r="A858" s="82">
        <v>1</v>
      </c>
      <c r="B858" s="83" t="s">
        <v>1098</v>
      </c>
      <c r="C858" s="67" t="s">
        <v>1099</v>
      </c>
      <c r="D858" s="91">
        <v>404070700</v>
      </c>
      <c r="E858" s="76">
        <v>15845527.500000002</v>
      </c>
      <c r="F858" s="77" t="s">
        <v>10170</v>
      </c>
      <c r="G858" s="22"/>
      <c r="H858" s="22"/>
    </row>
    <row r="859" spans="1:8" ht="13.35" customHeight="1">
      <c r="A859" s="82">
        <v>1</v>
      </c>
      <c r="B859" s="83" t="s">
        <v>1240</v>
      </c>
      <c r="C859" s="67" t="s">
        <v>1241</v>
      </c>
      <c r="D859" s="91">
        <v>579325300</v>
      </c>
      <c r="E859" s="76">
        <v>22718092.5</v>
      </c>
      <c r="F859" s="77" t="s">
        <v>10170</v>
      </c>
      <c r="G859" s="22"/>
      <c r="H859" s="22"/>
    </row>
    <row r="860" spans="1:8" ht="13.35" customHeight="1">
      <c r="A860" s="82">
        <v>1</v>
      </c>
      <c r="B860" s="83" t="s">
        <v>1242</v>
      </c>
      <c r="C860" s="67" t="s">
        <v>1243</v>
      </c>
      <c r="D860" s="91">
        <v>651561400</v>
      </c>
      <c r="E860" s="76">
        <v>25550812.5</v>
      </c>
      <c r="F860" s="77" t="s">
        <v>10170</v>
      </c>
      <c r="G860" s="22"/>
      <c r="H860" s="22"/>
    </row>
    <row r="861" spans="1:8" ht="13.35" customHeight="1">
      <c r="A861" s="82">
        <v>1</v>
      </c>
      <c r="B861" s="83" t="s">
        <v>3941</v>
      </c>
      <c r="C861" s="67" t="s">
        <v>3942</v>
      </c>
      <c r="D861" s="91">
        <v>692673100</v>
      </c>
      <c r="E861" s="76">
        <v>27162994.999999996</v>
      </c>
      <c r="F861" s="77" t="s">
        <v>10170</v>
      </c>
      <c r="G861" s="22"/>
      <c r="H861" s="22"/>
    </row>
    <row r="862" spans="1:8" ht="13.35" customHeight="1">
      <c r="A862" s="82">
        <v>1</v>
      </c>
      <c r="B862" s="83" t="s">
        <v>80</v>
      </c>
      <c r="C862" s="67" t="s">
        <v>81</v>
      </c>
      <c r="D862" s="91">
        <v>365148000</v>
      </c>
      <c r="E862" s="76">
        <v>14319184.999999998</v>
      </c>
      <c r="F862" s="77" t="s">
        <v>10170</v>
      </c>
      <c r="G862" s="22"/>
      <c r="H862" s="22"/>
    </row>
    <row r="863" spans="1:8" ht="13.35" customHeight="1">
      <c r="A863" s="82">
        <v>1</v>
      </c>
      <c r="B863" s="83" t="s">
        <v>78</v>
      </c>
      <c r="C863" s="67" t="s">
        <v>79</v>
      </c>
      <c r="D863" s="91">
        <v>182574000</v>
      </c>
      <c r="E863" s="76">
        <v>7159592.4999999991</v>
      </c>
      <c r="F863" s="77" t="s">
        <v>10170</v>
      </c>
      <c r="G863" s="22"/>
      <c r="H863" s="22"/>
    </row>
    <row r="864" spans="1:8" ht="13.35" customHeight="1">
      <c r="A864" s="82">
        <v>1</v>
      </c>
      <c r="B864" s="83" t="s">
        <v>1018</v>
      </c>
      <c r="C864" s="67" t="s">
        <v>1019</v>
      </c>
      <c r="D864" s="91">
        <v>274784500</v>
      </c>
      <c r="E864" s="76">
        <v>10775602.5</v>
      </c>
      <c r="F864" s="77" t="s">
        <v>10170</v>
      </c>
      <c r="G864" s="22"/>
      <c r="H864" s="22"/>
    </row>
    <row r="865" spans="1:8" ht="13.35" customHeight="1">
      <c r="A865" s="82">
        <v>1</v>
      </c>
      <c r="B865" s="83" t="s">
        <v>1020</v>
      </c>
      <c r="C865" s="67" t="s">
        <v>1021</v>
      </c>
      <c r="D865" s="91">
        <v>274784500</v>
      </c>
      <c r="E865" s="76">
        <v>10775602.5</v>
      </c>
      <c r="F865" s="77" t="s">
        <v>10170</v>
      </c>
      <c r="G865" s="22"/>
      <c r="H865" s="22"/>
    </row>
    <row r="866" spans="1:8" ht="13.35" customHeight="1">
      <c r="A866" s="82">
        <v>1</v>
      </c>
      <c r="B866" s="83" t="s">
        <v>1022</v>
      </c>
      <c r="C866" s="67" t="s">
        <v>1023</v>
      </c>
      <c r="D866" s="91">
        <v>177785600</v>
      </c>
      <c r="E866" s="76">
        <v>6971817.4999999991</v>
      </c>
      <c r="F866" s="77" t="s">
        <v>10170</v>
      </c>
      <c r="G866" s="22"/>
      <c r="H866" s="22"/>
    </row>
    <row r="867" spans="1:8" ht="13.35" customHeight="1">
      <c r="A867" s="82">
        <v>1</v>
      </c>
      <c r="B867" s="83" t="s">
        <v>1024</v>
      </c>
      <c r="C867" s="67" t="s">
        <v>1025</v>
      </c>
      <c r="D867" s="91">
        <v>177785600</v>
      </c>
      <c r="E867" s="76">
        <v>6971817.4999999991</v>
      </c>
      <c r="F867" s="77" t="s">
        <v>10170</v>
      </c>
      <c r="G867" s="22"/>
      <c r="H867" s="22"/>
    </row>
    <row r="868" spans="1:8" ht="13.35" customHeight="1">
      <c r="A868" s="82">
        <v>1</v>
      </c>
      <c r="B868" s="83" t="s">
        <v>92</v>
      </c>
      <c r="C868" s="67" t="s">
        <v>93</v>
      </c>
      <c r="D868" s="91">
        <v>5431400</v>
      </c>
      <c r="E868" s="76">
        <v>212990.49999999997</v>
      </c>
      <c r="F868" s="77" t="s">
        <v>10170</v>
      </c>
      <c r="G868" s="22"/>
      <c r="H868" s="22"/>
    </row>
    <row r="869" spans="1:8" ht="13.35" customHeight="1">
      <c r="A869" s="82">
        <v>1</v>
      </c>
      <c r="B869" s="83" t="s">
        <v>94</v>
      </c>
      <c r="C869" s="67" t="s">
        <v>95</v>
      </c>
      <c r="D869" s="91">
        <v>3078200</v>
      </c>
      <c r="E869" s="76">
        <v>120712.5</v>
      </c>
      <c r="F869" s="77" t="s">
        <v>10170</v>
      </c>
      <c r="G869" s="22"/>
      <c r="H869" s="22"/>
    </row>
    <row r="870" spans="1:8" ht="13.35" customHeight="1">
      <c r="A870" s="82">
        <v>1</v>
      </c>
      <c r="B870" s="83" t="s">
        <v>96</v>
      </c>
      <c r="C870" s="67" t="s">
        <v>97</v>
      </c>
      <c r="D870" s="91">
        <v>1573300</v>
      </c>
      <c r="E870" s="76">
        <v>61697.499999999993</v>
      </c>
      <c r="F870" s="77" t="s">
        <v>10170</v>
      </c>
      <c r="G870" s="22"/>
      <c r="H870" s="22"/>
    </row>
    <row r="871" spans="1:8" ht="13.35" customHeight="1">
      <c r="A871" s="82">
        <v>1</v>
      </c>
      <c r="B871" s="83" t="s">
        <v>1230</v>
      </c>
      <c r="C871" s="67" t="s">
        <v>1231</v>
      </c>
      <c r="D871" s="91">
        <v>1819600</v>
      </c>
      <c r="E871" s="76">
        <v>71354.5</v>
      </c>
      <c r="F871" s="77" t="s">
        <v>10170</v>
      </c>
      <c r="G871" s="22"/>
      <c r="H871" s="22"/>
    </row>
    <row r="872" spans="1:8" ht="13.35" customHeight="1">
      <c r="A872" s="82">
        <v>1</v>
      </c>
      <c r="B872" s="83" t="s">
        <v>1232</v>
      </c>
      <c r="C872" s="67" t="s">
        <v>1233</v>
      </c>
      <c r="D872" s="91">
        <v>1819600</v>
      </c>
      <c r="E872" s="76">
        <v>71354.5</v>
      </c>
      <c r="F872" s="77" t="s">
        <v>10170</v>
      </c>
      <c r="G872" s="22"/>
      <c r="H872" s="22"/>
    </row>
    <row r="873" spans="1:8" ht="13.35" customHeight="1">
      <c r="A873" s="82">
        <v>1</v>
      </c>
      <c r="B873" s="83" t="s">
        <v>5108</v>
      </c>
      <c r="C873" s="67" t="s">
        <v>5109</v>
      </c>
      <c r="D873" s="91">
        <v>3611800</v>
      </c>
      <c r="E873" s="76">
        <v>141636</v>
      </c>
      <c r="F873" s="77" t="s">
        <v>10170</v>
      </c>
      <c r="G873" s="22"/>
      <c r="H873" s="22"/>
    </row>
    <row r="874" spans="1:8" ht="13.35" customHeight="1">
      <c r="A874" s="82">
        <v>1</v>
      </c>
      <c r="B874" s="67" t="s">
        <v>6042</v>
      </c>
      <c r="C874" s="67" t="s">
        <v>6043</v>
      </c>
      <c r="D874" s="91">
        <v>5345403200</v>
      </c>
      <c r="E874" s="76">
        <v>209618597.49999997</v>
      </c>
      <c r="F874" s="77" t="s">
        <v>10170</v>
      </c>
      <c r="G874" s="22"/>
      <c r="H874" s="22"/>
    </row>
    <row r="875" spans="1:8" ht="13.35" customHeight="1">
      <c r="A875" s="82">
        <v>1</v>
      </c>
      <c r="B875" s="67" t="s">
        <v>6044</v>
      </c>
      <c r="C875" s="67" t="s">
        <v>6045</v>
      </c>
      <c r="D875" s="91">
        <v>3792327000</v>
      </c>
      <c r="E875" s="76">
        <v>148715117.5</v>
      </c>
      <c r="F875" s="77" t="s">
        <v>10170</v>
      </c>
      <c r="G875" s="22"/>
      <c r="H875" s="22"/>
    </row>
    <row r="876" spans="1:8" ht="13.35" customHeight="1">
      <c r="A876" s="82">
        <v>1</v>
      </c>
      <c r="B876" s="67" t="s">
        <v>6046</v>
      </c>
      <c r="C876" s="67" t="s">
        <v>6047</v>
      </c>
      <c r="D876" s="91">
        <v>3792327000</v>
      </c>
      <c r="E876" s="76">
        <v>148715117.5</v>
      </c>
      <c r="F876" s="77" t="s">
        <v>10170</v>
      </c>
      <c r="G876" s="22"/>
      <c r="H876" s="22"/>
    </row>
    <row r="877" spans="1:8" ht="13.35" customHeight="1">
      <c r="A877" s="82">
        <v>1</v>
      </c>
      <c r="B877" s="67" t="s">
        <v>6048</v>
      </c>
      <c r="C877" s="67" t="s">
        <v>6049</v>
      </c>
      <c r="D877" s="91">
        <v>3672343900</v>
      </c>
      <c r="E877" s="76">
        <v>144010012.5</v>
      </c>
      <c r="F877" s="77" t="s">
        <v>10170</v>
      </c>
      <c r="G877" s="22"/>
      <c r="H877" s="22"/>
    </row>
    <row r="878" spans="1:8" ht="13.35" customHeight="1">
      <c r="A878" s="82">
        <v>1</v>
      </c>
      <c r="B878" s="67" t="s">
        <v>6754</v>
      </c>
      <c r="C878" s="67" t="s">
        <v>7375</v>
      </c>
      <c r="D878" s="91">
        <v>4575295200</v>
      </c>
      <c r="E878" s="76">
        <v>179419012.5</v>
      </c>
      <c r="F878" s="77" t="s">
        <v>10170</v>
      </c>
      <c r="G878" s="22"/>
      <c r="H878" s="22"/>
    </row>
    <row r="879" spans="1:8" ht="13.35" customHeight="1">
      <c r="A879" s="82">
        <v>1</v>
      </c>
      <c r="B879" s="67" t="s">
        <v>6755</v>
      </c>
      <c r="C879" s="67" t="s">
        <v>7376</v>
      </c>
      <c r="D879" s="91">
        <v>4695278300</v>
      </c>
      <c r="E879" s="76">
        <v>184124117.5</v>
      </c>
      <c r="F879" s="77" t="s">
        <v>10170</v>
      </c>
      <c r="G879" s="22"/>
      <c r="H879" s="22"/>
    </row>
    <row r="880" spans="1:8" ht="13.35" customHeight="1">
      <c r="A880" s="82">
        <v>1</v>
      </c>
      <c r="B880" s="67" t="s">
        <v>6050</v>
      </c>
      <c r="C880" s="67" t="s">
        <v>6051</v>
      </c>
      <c r="D880" s="91">
        <v>7289279400</v>
      </c>
      <c r="E880" s="76">
        <v>285847200</v>
      </c>
      <c r="F880" s="77" t="s">
        <v>10170</v>
      </c>
      <c r="G880" s="22"/>
      <c r="H880" s="22"/>
    </row>
    <row r="881" spans="1:8" ht="13.35" customHeight="1">
      <c r="A881" s="82">
        <v>1</v>
      </c>
      <c r="B881" s="67" t="s">
        <v>6052</v>
      </c>
      <c r="C881" s="67" t="s">
        <v>6053</v>
      </c>
      <c r="D881" s="91">
        <v>7289279400</v>
      </c>
      <c r="E881" s="76">
        <v>285847200</v>
      </c>
      <c r="F881" s="77" t="s">
        <v>10170</v>
      </c>
      <c r="G881" s="22"/>
      <c r="H881" s="22"/>
    </row>
    <row r="882" spans="1:8" ht="13.35" customHeight="1">
      <c r="A882" s="82">
        <v>1</v>
      </c>
      <c r="B882" s="67" t="s">
        <v>6054</v>
      </c>
      <c r="C882" s="67" t="s">
        <v>6055</v>
      </c>
      <c r="D882" s="91">
        <v>5994502000</v>
      </c>
      <c r="E882" s="76">
        <v>235072840.00000003</v>
      </c>
      <c r="F882" s="77" t="s">
        <v>10170</v>
      </c>
      <c r="G882" s="22"/>
      <c r="H882" s="22"/>
    </row>
    <row r="883" spans="1:8" ht="13.35" customHeight="1">
      <c r="A883" s="82">
        <v>1</v>
      </c>
      <c r="B883" s="67" t="s">
        <v>6056</v>
      </c>
      <c r="C883" s="67" t="s">
        <v>6057</v>
      </c>
      <c r="D883" s="91">
        <v>5959410000</v>
      </c>
      <c r="E883" s="76">
        <v>233696717.5</v>
      </c>
      <c r="F883" s="77" t="s">
        <v>10170</v>
      </c>
      <c r="G883" s="22"/>
      <c r="H883" s="22"/>
    </row>
    <row r="884" spans="1:8" ht="13.35" customHeight="1">
      <c r="A884" s="82">
        <v>1</v>
      </c>
      <c r="B884" s="67" t="s">
        <v>6058</v>
      </c>
      <c r="C884" s="67" t="s">
        <v>6059</v>
      </c>
      <c r="D884" s="91">
        <v>5417639300</v>
      </c>
      <c r="E884" s="76">
        <v>212451317.5</v>
      </c>
      <c r="F884" s="77" t="s">
        <v>10170</v>
      </c>
      <c r="G884" s="22"/>
      <c r="H884" s="22"/>
    </row>
    <row r="885" spans="1:8" ht="13.35" customHeight="1">
      <c r="A885" s="82">
        <v>1</v>
      </c>
      <c r="B885" s="67" t="s">
        <v>6060</v>
      </c>
      <c r="C885" s="67" t="s">
        <v>6061</v>
      </c>
      <c r="D885" s="91">
        <v>5959410000</v>
      </c>
      <c r="E885" s="76">
        <v>233696717.5</v>
      </c>
      <c r="F885" s="77" t="s">
        <v>10170</v>
      </c>
      <c r="G885" s="22"/>
      <c r="H885" s="22"/>
    </row>
    <row r="886" spans="1:8" ht="13.35" customHeight="1">
      <c r="A886" s="82">
        <v>1</v>
      </c>
      <c r="B886" s="67" t="s">
        <v>6062</v>
      </c>
      <c r="C886" s="67" t="s">
        <v>6063</v>
      </c>
      <c r="D886" s="91">
        <v>5803377300</v>
      </c>
      <c r="E886" s="76">
        <v>227577934.99999997</v>
      </c>
      <c r="F886" s="77" t="s">
        <v>10170</v>
      </c>
      <c r="G886" s="22"/>
      <c r="H886" s="22"/>
    </row>
    <row r="887" spans="1:8" ht="13.35" customHeight="1">
      <c r="A887" s="82">
        <v>1</v>
      </c>
      <c r="B887" s="67" t="s">
        <v>6064</v>
      </c>
      <c r="C887" s="67" t="s">
        <v>6065</v>
      </c>
      <c r="D887" s="91">
        <v>5803377300</v>
      </c>
      <c r="E887" s="76">
        <v>227577934.99999997</v>
      </c>
      <c r="F887" s="77" t="s">
        <v>10170</v>
      </c>
      <c r="G887" s="22"/>
      <c r="H887" s="22"/>
    </row>
    <row r="888" spans="1:8" ht="13.35" customHeight="1">
      <c r="A888" s="82">
        <v>1</v>
      </c>
      <c r="B888" s="67" t="s">
        <v>6066</v>
      </c>
      <c r="C888" s="67" t="s">
        <v>6067</v>
      </c>
      <c r="D888" s="91">
        <v>8547391500</v>
      </c>
      <c r="E888" s="76">
        <v>335183740</v>
      </c>
      <c r="F888" s="77" t="s">
        <v>10170</v>
      </c>
      <c r="G888" s="22"/>
      <c r="H888" s="22"/>
    </row>
    <row r="889" spans="1:8" ht="13.35" customHeight="1">
      <c r="A889" s="82">
        <v>1</v>
      </c>
      <c r="B889" s="67" t="s">
        <v>6068</v>
      </c>
      <c r="C889" s="67" t="s">
        <v>6069</v>
      </c>
      <c r="D889" s="91">
        <v>8547391500</v>
      </c>
      <c r="E889" s="76">
        <v>335183740</v>
      </c>
      <c r="F889" s="77" t="s">
        <v>10170</v>
      </c>
      <c r="G889" s="22"/>
      <c r="H889" s="22"/>
    </row>
    <row r="890" spans="1:8" ht="13.35" customHeight="1">
      <c r="A890" s="82">
        <v>1</v>
      </c>
      <c r="B890" s="67" t="s">
        <v>6070</v>
      </c>
      <c r="C890" s="67" t="s">
        <v>6071</v>
      </c>
      <c r="D890" s="91">
        <v>7252614100</v>
      </c>
      <c r="E890" s="76">
        <v>284409380</v>
      </c>
      <c r="F890" s="77" t="s">
        <v>10170</v>
      </c>
      <c r="G890" s="22"/>
      <c r="H890" s="22"/>
    </row>
    <row r="891" spans="1:8" ht="13.35" customHeight="1">
      <c r="A891" s="82">
        <v>1</v>
      </c>
      <c r="B891" s="67" t="s">
        <v>6072</v>
      </c>
      <c r="C891" s="67" t="s">
        <v>6073</v>
      </c>
      <c r="D891" s="91">
        <v>7217522200</v>
      </c>
      <c r="E891" s="76">
        <v>283033257.5</v>
      </c>
      <c r="F891" s="77" t="s">
        <v>10170</v>
      </c>
      <c r="G891" s="22"/>
      <c r="H891" s="22"/>
    </row>
    <row r="892" spans="1:8" ht="13.35" customHeight="1">
      <c r="A892" s="82">
        <v>1</v>
      </c>
      <c r="B892" s="67" t="s">
        <v>6074</v>
      </c>
      <c r="C892" s="67" t="s">
        <v>6075</v>
      </c>
      <c r="D892" s="91">
        <v>6561377600</v>
      </c>
      <c r="E892" s="76">
        <v>257302717.5</v>
      </c>
      <c r="F892" s="77" t="s">
        <v>10170</v>
      </c>
      <c r="G892" s="22"/>
      <c r="H892" s="22"/>
    </row>
    <row r="893" spans="1:8" ht="13.35" customHeight="1">
      <c r="A893" s="82">
        <v>1</v>
      </c>
      <c r="B893" s="67" t="s">
        <v>6076</v>
      </c>
      <c r="C893" s="67" t="s">
        <v>6077</v>
      </c>
      <c r="D893" s="91">
        <v>7217522200</v>
      </c>
      <c r="E893" s="76">
        <v>283033257.5</v>
      </c>
      <c r="F893" s="77" t="s">
        <v>10170</v>
      </c>
      <c r="G893" s="22"/>
      <c r="H893" s="22"/>
    </row>
    <row r="894" spans="1:8" ht="13.35" customHeight="1">
      <c r="A894" s="82">
        <v>1</v>
      </c>
      <c r="B894" s="67" t="s">
        <v>6078</v>
      </c>
      <c r="C894" s="67" t="s">
        <v>6079</v>
      </c>
      <c r="D894" s="91">
        <v>7061489400</v>
      </c>
      <c r="E894" s="76">
        <v>276914475</v>
      </c>
      <c r="F894" s="77" t="s">
        <v>10170</v>
      </c>
      <c r="G894" s="22"/>
      <c r="H894" s="22"/>
    </row>
    <row r="895" spans="1:8" ht="13.35" customHeight="1">
      <c r="A895" s="82">
        <v>1</v>
      </c>
      <c r="B895" s="67" t="s">
        <v>6080</v>
      </c>
      <c r="C895" s="67" t="s">
        <v>6081</v>
      </c>
      <c r="D895" s="91">
        <v>7061489400</v>
      </c>
      <c r="E895" s="76">
        <v>276914475</v>
      </c>
      <c r="F895" s="77" t="s">
        <v>10170</v>
      </c>
      <c r="G895" s="22"/>
      <c r="H895" s="22"/>
    </row>
    <row r="896" spans="1:8" ht="13.35" customHeight="1">
      <c r="A896" s="82">
        <v>1</v>
      </c>
      <c r="B896" s="67" t="s">
        <v>6082</v>
      </c>
      <c r="C896" s="67" t="s">
        <v>6083</v>
      </c>
      <c r="D896" s="91">
        <v>4739947000</v>
      </c>
      <c r="E896" s="76">
        <v>185875790</v>
      </c>
      <c r="F896" s="77" t="s">
        <v>10170</v>
      </c>
      <c r="G896" s="22"/>
      <c r="H896" s="22"/>
    </row>
    <row r="897" spans="1:8" ht="13.35" customHeight="1">
      <c r="A897" s="82">
        <v>1</v>
      </c>
      <c r="B897" s="67" t="s">
        <v>6084</v>
      </c>
      <c r="C897" s="67" t="s">
        <v>6085</v>
      </c>
      <c r="D897" s="91">
        <v>4236688400</v>
      </c>
      <c r="E897" s="76">
        <v>166140637.5</v>
      </c>
      <c r="F897" s="77" t="s">
        <v>10170</v>
      </c>
      <c r="G897" s="22"/>
      <c r="H897" s="22"/>
    </row>
    <row r="898" spans="1:8" ht="13.35" customHeight="1">
      <c r="A898" s="82">
        <v>1</v>
      </c>
      <c r="B898" s="67" t="s">
        <v>6086</v>
      </c>
      <c r="C898" s="67" t="s">
        <v>6087</v>
      </c>
      <c r="D898" s="91">
        <v>3122829600</v>
      </c>
      <c r="E898" s="76">
        <v>122460953.5</v>
      </c>
      <c r="F898" s="77" t="s">
        <v>10170</v>
      </c>
      <c r="G898" s="22"/>
      <c r="H898" s="22"/>
    </row>
    <row r="899" spans="1:8" ht="13.35" customHeight="1">
      <c r="A899" s="82">
        <v>1</v>
      </c>
      <c r="B899" s="67" t="s">
        <v>6088</v>
      </c>
      <c r="C899" s="67" t="s">
        <v>6089</v>
      </c>
      <c r="D899" s="91">
        <v>3123376900</v>
      </c>
      <c r="E899" s="76">
        <v>122482413.5</v>
      </c>
      <c r="F899" s="77" t="s">
        <v>10170</v>
      </c>
      <c r="G899" s="22"/>
      <c r="H899" s="22"/>
    </row>
    <row r="900" spans="1:8" ht="13.35" customHeight="1">
      <c r="A900" s="82">
        <v>1</v>
      </c>
      <c r="B900" s="67" t="s">
        <v>6090</v>
      </c>
      <c r="C900" s="67" t="s">
        <v>6091</v>
      </c>
      <c r="D900" s="91">
        <v>3410077600</v>
      </c>
      <c r="E900" s="76">
        <v>133725307.50000001</v>
      </c>
      <c r="F900" s="77" t="s">
        <v>10170</v>
      </c>
      <c r="G900" s="22"/>
      <c r="H900" s="22"/>
    </row>
    <row r="901" spans="1:8" ht="13.35" customHeight="1">
      <c r="A901" s="82">
        <v>1</v>
      </c>
      <c r="B901" s="67" t="s">
        <v>6092</v>
      </c>
      <c r="C901" s="67" t="s">
        <v>6093</v>
      </c>
      <c r="D901" s="91">
        <v>3410077600</v>
      </c>
      <c r="E901" s="76">
        <v>133725307.50000001</v>
      </c>
      <c r="F901" s="77" t="s">
        <v>10170</v>
      </c>
      <c r="G901" s="22"/>
      <c r="H901" s="22"/>
    </row>
    <row r="902" spans="1:8" ht="13.35" customHeight="1">
      <c r="A902" s="82">
        <v>1</v>
      </c>
      <c r="B902" s="67" t="s">
        <v>6094</v>
      </c>
      <c r="C902" s="67" t="s">
        <v>6095</v>
      </c>
      <c r="D902" s="91">
        <v>3274771700</v>
      </c>
      <c r="E902" s="76">
        <v>128419322.5</v>
      </c>
      <c r="F902" s="77" t="s">
        <v>10170</v>
      </c>
      <c r="G902" s="22"/>
      <c r="H902" s="22"/>
    </row>
    <row r="903" spans="1:8" ht="13.35" customHeight="1">
      <c r="A903" s="82">
        <v>1</v>
      </c>
      <c r="B903" s="67" t="s">
        <v>6096</v>
      </c>
      <c r="C903" s="67" t="s">
        <v>6097</v>
      </c>
      <c r="D903" s="91">
        <v>5402111200</v>
      </c>
      <c r="E903" s="76">
        <v>211842390.00000003</v>
      </c>
      <c r="F903" s="77" t="s">
        <v>10170</v>
      </c>
      <c r="G903" s="22"/>
      <c r="H903" s="22"/>
    </row>
    <row r="904" spans="1:8" ht="13.35" customHeight="1">
      <c r="A904" s="82">
        <v>1</v>
      </c>
      <c r="B904" s="67" t="s">
        <v>6098</v>
      </c>
      <c r="C904" s="67" t="s">
        <v>6099</v>
      </c>
      <c r="D904" s="91">
        <v>4838656000</v>
      </c>
      <c r="E904" s="76">
        <v>189746637.5</v>
      </c>
      <c r="F904" s="77" t="s">
        <v>10170</v>
      </c>
      <c r="G904" s="22"/>
      <c r="H904" s="22"/>
    </row>
    <row r="905" spans="1:8" ht="13.35" customHeight="1">
      <c r="A905" s="82">
        <v>1</v>
      </c>
      <c r="B905" s="67" t="s">
        <v>6100</v>
      </c>
      <c r="C905" s="67" t="s">
        <v>6101</v>
      </c>
      <c r="D905" s="91">
        <v>4082721600</v>
      </c>
      <c r="E905" s="76">
        <v>160102866.5</v>
      </c>
      <c r="F905" s="77" t="s">
        <v>10170</v>
      </c>
      <c r="G905" s="22"/>
      <c r="H905" s="22"/>
    </row>
    <row r="906" spans="1:8" ht="13.35" customHeight="1">
      <c r="A906" s="82">
        <v>1</v>
      </c>
      <c r="B906" s="67" t="s">
        <v>6102</v>
      </c>
      <c r="C906" s="67" t="s">
        <v>6103</v>
      </c>
      <c r="D906" s="91">
        <v>3725262300</v>
      </c>
      <c r="E906" s="76">
        <v>146085194.5</v>
      </c>
      <c r="F906" s="77" t="s">
        <v>10170</v>
      </c>
      <c r="G906" s="22"/>
      <c r="H906" s="22"/>
    </row>
    <row r="907" spans="1:8" ht="13.35" customHeight="1">
      <c r="A907" s="82">
        <v>1</v>
      </c>
      <c r="B907" s="67" t="s">
        <v>6104</v>
      </c>
      <c r="C907" s="67" t="s">
        <v>6105</v>
      </c>
      <c r="D907" s="91">
        <v>4072241900</v>
      </c>
      <c r="E907" s="76">
        <v>159691907.5</v>
      </c>
      <c r="F907" s="77" t="s">
        <v>10170</v>
      </c>
      <c r="G907" s="22"/>
      <c r="H907" s="22"/>
    </row>
    <row r="908" spans="1:8" ht="13.35" customHeight="1">
      <c r="A908" s="82">
        <v>1</v>
      </c>
      <c r="B908" s="67" t="s">
        <v>6106</v>
      </c>
      <c r="C908" s="67" t="s">
        <v>6107</v>
      </c>
      <c r="D908" s="91">
        <v>4072241900</v>
      </c>
      <c r="E908" s="76">
        <v>159691907.5</v>
      </c>
      <c r="F908" s="77" t="s">
        <v>10170</v>
      </c>
      <c r="G908" s="22"/>
      <c r="H908" s="22"/>
    </row>
    <row r="909" spans="1:8" ht="13.35" customHeight="1">
      <c r="A909" s="82">
        <v>1</v>
      </c>
      <c r="B909" s="67" t="s">
        <v>6108</v>
      </c>
      <c r="C909" s="67" t="s">
        <v>6109</v>
      </c>
      <c r="D909" s="91">
        <v>3936936000</v>
      </c>
      <c r="E909" s="76">
        <v>154385922.5</v>
      </c>
      <c r="F909" s="77" t="s">
        <v>10170</v>
      </c>
      <c r="G909" s="22"/>
      <c r="H909" s="22"/>
    </row>
    <row r="910" spans="1:8" ht="13.35" customHeight="1">
      <c r="A910" s="82">
        <v>1</v>
      </c>
      <c r="B910" s="83" t="s">
        <v>3977</v>
      </c>
      <c r="C910" s="67" t="s">
        <v>4034</v>
      </c>
      <c r="D910" s="91">
        <v>3564153900</v>
      </c>
      <c r="E910" s="76">
        <v>139767370.5</v>
      </c>
      <c r="F910" s="77" t="s">
        <v>10170</v>
      </c>
      <c r="G910" s="22"/>
      <c r="H910" s="22"/>
    </row>
    <row r="911" spans="1:8" ht="13.35" customHeight="1">
      <c r="A911" s="82">
        <v>1</v>
      </c>
      <c r="B911" s="83" t="s">
        <v>3978</v>
      </c>
      <c r="C911" s="67" t="s">
        <v>4025</v>
      </c>
      <c r="D911" s="91">
        <v>3440066500</v>
      </c>
      <c r="E911" s="76">
        <v>134901315.5</v>
      </c>
      <c r="F911" s="77" t="s">
        <v>10170</v>
      </c>
      <c r="G911" s="22"/>
      <c r="H911" s="22"/>
    </row>
    <row r="912" spans="1:8" ht="13.35" customHeight="1">
      <c r="A912" s="82">
        <v>1</v>
      </c>
      <c r="B912" s="83" t="s">
        <v>4149</v>
      </c>
      <c r="C912" s="67" t="s">
        <v>4150</v>
      </c>
      <c r="D912" s="91">
        <v>3663615400</v>
      </c>
      <c r="E912" s="76">
        <v>143667725.5</v>
      </c>
      <c r="F912" s="77" t="s">
        <v>10170</v>
      </c>
      <c r="G912" s="22"/>
      <c r="H912" s="22"/>
    </row>
    <row r="913" spans="1:8" ht="13.35" customHeight="1">
      <c r="A913" s="82">
        <v>1</v>
      </c>
      <c r="B913" s="83" t="s">
        <v>4143</v>
      </c>
      <c r="C913" s="67" t="s">
        <v>4144</v>
      </c>
      <c r="D913" s="91">
        <v>3449164400</v>
      </c>
      <c r="E913" s="76">
        <v>135258088</v>
      </c>
      <c r="F913" s="77" t="s">
        <v>10170</v>
      </c>
      <c r="G913" s="22"/>
      <c r="H913" s="22"/>
    </row>
    <row r="914" spans="1:8" ht="13.35" customHeight="1">
      <c r="A914" s="82">
        <v>1</v>
      </c>
      <c r="B914" s="83" t="s">
        <v>3982</v>
      </c>
      <c r="C914" s="67" t="s">
        <v>4035</v>
      </c>
      <c r="D914" s="91">
        <v>4062076800</v>
      </c>
      <c r="E914" s="76">
        <v>159293288</v>
      </c>
      <c r="F914" s="77" t="s">
        <v>10170</v>
      </c>
      <c r="G914" s="22"/>
      <c r="H914" s="22"/>
    </row>
    <row r="915" spans="1:8" ht="13.35" customHeight="1">
      <c r="A915" s="82">
        <v>1</v>
      </c>
      <c r="B915" s="83" t="s">
        <v>3983</v>
      </c>
      <c r="C915" s="67" t="s">
        <v>4026</v>
      </c>
      <c r="D915" s="91">
        <v>4035768100</v>
      </c>
      <c r="E915" s="76">
        <v>158261598.5</v>
      </c>
      <c r="F915" s="77" t="s">
        <v>10170</v>
      </c>
      <c r="G915" s="22"/>
      <c r="H915" s="22"/>
    </row>
    <row r="916" spans="1:8" ht="13.35" customHeight="1">
      <c r="A916" s="82">
        <v>1</v>
      </c>
      <c r="B916" s="83" t="s">
        <v>4151</v>
      </c>
      <c r="C916" s="67" t="s">
        <v>4152</v>
      </c>
      <c r="D916" s="91">
        <v>3867135100</v>
      </c>
      <c r="E916" s="76">
        <v>151648699.5</v>
      </c>
      <c r="F916" s="77" t="s">
        <v>10170</v>
      </c>
      <c r="G916" s="22"/>
      <c r="H916" s="22"/>
    </row>
    <row r="917" spans="1:8" ht="13.35" customHeight="1">
      <c r="A917" s="82">
        <v>1</v>
      </c>
      <c r="B917" s="83" t="s">
        <v>4145</v>
      </c>
      <c r="C917" s="67" t="s">
        <v>4146</v>
      </c>
      <c r="D917" s="91">
        <v>3706738100</v>
      </c>
      <c r="E917" s="76">
        <v>145358773.5</v>
      </c>
      <c r="F917" s="77" t="s">
        <v>10170</v>
      </c>
      <c r="G917" s="22"/>
      <c r="H917" s="22"/>
    </row>
    <row r="918" spans="1:8" ht="13.35" customHeight="1">
      <c r="A918" s="82">
        <v>1</v>
      </c>
      <c r="B918" s="83" t="s">
        <v>3979</v>
      </c>
      <c r="C918" s="67" t="s">
        <v>4036</v>
      </c>
      <c r="D918" s="91">
        <v>4560068100</v>
      </c>
      <c r="E918" s="76">
        <v>178821888</v>
      </c>
      <c r="F918" s="77" t="s">
        <v>10170</v>
      </c>
      <c r="G918" s="22"/>
      <c r="H918" s="22"/>
    </row>
    <row r="919" spans="1:8" ht="13.35" customHeight="1">
      <c r="A919" s="82">
        <v>1</v>
      </c>
      <c r="B919" s="83" t="s">
        <v>4147</v>
      </c>
      <c r="C919" s="67" t="s">
        <v>4148</v>
      </c>
      <c r="D919" s="91">
        <v>4631921200</v>
      </c>
      <c r="E919" s="76">
        <v>181639586</v>
      </c>
      <c r="F919" s="77" t="s">
        <v>10170</v>
      </c>
      <c r="G919" s="22"/>
      <c r="H919" s="22"/>
    </row>
    <row r="920" spans="1:8" ht="13.35" customHeight="1">
      <c r="A920" s="82">
        <v>1</v>
      </c>
      <c r="B920" s="83" t="s">
        <v>4153</v>
      </c>
      <c r="C920" s="67" t="s">
        <v>4154</v>
      </c>
      <c r="D920" s="91">
        <v>4659529600</v>
      </c>
      <c r="E920" s="76">
        <v>182722243</v>
      </c>
      <c r="F920" s="77" t="s">
        <v>10170</v>
      </c>
      <c r="G920" s="22"/>
      <c r="H920" s="22"/>
    </row>
    <row r="921" spans="1:8" ht="13.35" customHeight="1">
      <c r="A921" s="82">
        <v>1</v>
      </c>
      <c r="B921" s="83" t="s">
        <v>3980</v>
      </c>
      <c r="C921" s="67" t="s">
        <v>4027</v>
      </c>
      <c r="D921" s="91">
        <v>4640841200</v>
      </c>
      <c r="E921" s="76">
        <v>181989384</v>
      </c>
      <c r="F921" s="77" t="s">
        <v>10170</v>
      </c>
      <c r="G921" s="22"/>
      <c r="H921" s="22"/>
    </row>
    <row r="922" spans="1:8" ht="13.35" customHeight="1">
      <c r="A922" s="82">
        <v>1</v>
      </c>
      <c r="B922" s="83" t="s">
        <v>3981</v>
      </c>
      <c r="C922" s="67" t="s">
        <v>4030</v>
      </c>
      <c r="D922" s="91">
        <v>3253292400</v>
      </c>
      <c r="E922" s="76">
        <v>127577017.49999999</v>
      </c>
      <c r="F922" s="77" t="s">
        <v>10170</v>
      </c>
      <c r="G922" s="22"/>
      <c r="H922" s="22"/>
    </row>
    <row r="923" spans="1:8" ht="13.35" customHeight="1">
      <c r="A923" s="82">
        <v>1</v>
      </c>
      <c r="B923" s="83" t="s">
        <v>3984</v>
      </c>
      <c r="C923" s="67" t="s">
        <v>4029</v>
      </c>
      <c r="D923" s="91">
        <v>2755301100</v>
      </c>
      <c r="E923" s="76">
        <v>108048417.49999999</v>
      </c>
      <c r="F923" s="77" t="s">
        <v>10170</v>
      </c>
      <c r="G923" s="22"/>
      <c r="H923" s="22"/>
    </row>
    <row r="924" spans="1:8" ht="13.35" customHeight="1">
      <c r="A924" s="82">
        <v>1</v>
      </c>
      <c r="B924" s="83" t="s">
        <v>3985</v>
      </c>
      <c r="C924" s="67" t="s">
        <v>4028</v>
      </c>
      <c r="D924" s="91">
        <v>2257378200</v>
      </c>
      <c r="E924" s="76">
        <v>88522500</v>
      </c>
      <c r="F924" s="77" t="s">
        <v>10170</v>
      </c>
      <c r="G924" s="22"/>
      <c r="H924" s="22"/>
    </row>
    <row r="925" spans="1:8" ht="13.35" customHeight="1">
      <c r="A925" s="82">
        <v>1</v>
      </c>
      <c r="B925" s="83" t="s">
        <v>4155</v>
      </c>
      <c r="C925" s="67" t="s">
        <v>4156</v>
      </c>
      <c r="D925" s="91">
        <v>912733300</v>
      </c>
      <c r="E925" s="76">
        <v>35792597.5</v>
      </c>
      <c r="F925" s="77" t="s">
        <v>10170</v>
      </c>
      <c r="G925" s="22"/>
      <c r="H925" s="22"/>
    </row>
    <row r="926" spans="1:8" ht="13.35" customHeight="1">
      <c r="A926" s="82">
        <v>1</v>
      </c>
      <c r="B926" s="83" t="s">
        <v>4157</v>
      </c>
      <c r="C926" s="67" t="s">
        <v>4158</v>
      </c>
      <c r="D926" s="91">
        <v>912733300</v>
      </c>
      <c r="E926" s="76">
        <v>35792597.5</v>
      </c>
      <c r="F926" s="77" t="s">
        <v>10170</v>
      </c>
      <c r="G926" s="22"/>
      <c r="H926" s="22"/>
    </row>
    <row r="927" spans="1:8" ht="13.35" customHeight="1">
      <c r="A927" s="82">
        <v>1</v>
      </c>
      <c r="B927" s="83" t="s">
        <v>3986</v>
      </c>
      <c r="C927" s="67" t="s">
        <v>4032</v>
      </c>
      <c r="D927" s="91">
        <v>813271800</v>
      </c>
      <c r="E927" s="76">
        <v>31892242.500000004</v>
      </c>
      <c r="F927" s="77" t="s">
        <v>10170</v>
      </c>
      <c r="G927" s="22"/>
      <c r="H927" s="22"/>
    </row>
    <row r="928" spans="1:8" ht="13.35" customHeight="1">
      <c r="A928" s="82">
        <v>1</v>
      </c>
      <c r="B928" s="83" t="s">
        <v>3987</v>
      </c>
      <c r="C928" s="67" t="s">
        <v>4033</v>
      </c>
      <c r="D928" s="91">
        <v>813271800</v>
      </c>
      <c r="E928" s="76">
        <v>31892242.500000004</v>
      </c>
      <c r="F928" s="77" t="s">
        <v>10170</v>
      </c>
      <c r="G928" s="22"/>
      <c r="H928" s="22"/>
    </row>
    <row r="929" spans="1:8" ht="13.35" customHeight="1">
      <c r="A929" s="82">
        <v>1</v>
      </c>
      <c r="B929" s="83" t="s">
        <v>3976</v>
      </c>
      <c r="C929" s="67" t="s">
        <v>4031</v>
      </c>
      <c r="D929" s="91">
        <v>100966400</v>
      </c>
      <c r="E929" s="76">
        <v>3959370</v>
      </c>
      <c r="F929" s="77" t="s">
        <v>10170</v>
      </c>
      <c r="G929" s="22"/>
      <c r="H929" s="22"/>
    </row>
    <row r="930" spans="1:8" ht="13.35" customHeight="1">
      <c r="A930" s="82">
        <v>1</v>
      </c>
      <c r="B930" s="83" t="s">
        <v>2139</v>
      </c>
      <c r="C930" s="67" t="s">
        <v>2140</v>
      </c>
      <c r="D930" s="91">
        <v>6017554600</v>
      </c>
      <c r="E930" s="76">
        <v>235976842.5</v>
      </c>
      <c r="F930" s="77" t="s">
        <v>10170</v>
      </c>
      <c r="G930" s="22"/>
      <c r="H930" s="22"/>
    </row>
    <row r="931" spans="1:8" ht="13.35" customHeight="1">
      <c r="A931" s="82">
        <v>1</v>
      </c>
      <c r="B931" s="83" t="s">
        <v>2137</v>
      </c>
      <c r="C931" s="67" t="s">
        <v>2138</v>
      </c>
      <c r="D931" s="91">
        <v>5874108500</v>
      </c>
      <c r="E931" s="76">
        <v>230351640.00000003</v>
      </c>
      <c r="F931" s="77" t="s">
        <v>10170</v>
      </c>
      <c r="G931" s="22"/>
      <c r="H931" s="22"/>
    </row>
    <row r="932" spans="1:8" ht="13.35" customHeight="1">
      <c r="A932" s="82">
        <v>1</v>
      </c>
      <c r="B932" s="83" t="s">
        <v>2135</v>
      </c>
      <c r="C932" s="67" t="s">
        <v>2136</v>
      </c>
      <c r="D932" s="91">
        <v>5130952200</v>
      </c>
      <c r="E932" s="76">
        <v>201208959.99999997</v>
      </c>
      <c r="F932" s="77" t="s">
        <v>10170</v>
      </c>
      <c r="G932" s="22"/>
      <c r="H932" s="22"/>
    </row>
    <row r="933" spans="1:8" ht="13.35" customHeight="1">
      <c r="A933" s="82">
        <v>1</v>
      </c>
      <c r="B933" s="83" t="s">
        <v>2133</v>
      </c>
      <c r="C933" s="67" t="s">
        <v>2134</v>
      </c>
      <c r="D933" s="91">
        <v>4987506100</v>
      </c>
      <c r="E933" s="76">
        <v>195583757.5</v>
      </c>
      <c r="F933" s="77" t="s">
        <v>10170</v>
      </c>
      <c r="G933" s="22"/>
      <c r="H933" s="22"/>
    </row>
    <row r="934" spans="1:8" ht="13.35" customHeight="1">
      <c r="A934" s="82">
        <v>1</v>
      </c>
      <c r="B934" s="83" t="s">
        <v>2131</v>
      </c>
      <c r="C934" s="67" t="s">
        <v>2132</v>
      </c>
      <c r="D934" s="91">
        <v>4076688200</v>
      </c>
      <c r="E934" s="76">
        <v>159866270</v>
      </c>
      <c r="F934" s="77" t="s">
        <v>10170</v>
      </c>
      <c r="G934" s="22"/>
      <c r="H934" s="22"/>
    </row>
    <row r="935" spans="1:8" ht="13.35" customHeight="1">
      <c r="A935" s="82">
        <v>1</v>
      </c>
      <c r="B935" s="83" t="s">
        <v>2129</v>
      </c>
      <c r="C935" s="67" t="s">
        <v>2130</v>
      </c>
      <c r="D935" s="91">
        <v>3939535400</v>
      </c>
      <c r="E935" s="76">
        <v>154487857.5</v>
      </c>
      <c r="F935" s="77" t="s">
        <v>10170</v>
      </c>
      <c r="G935" s="22"/>
      <c r="H935" s="22"/>
    </row>
    <row r="936" spans="1:8" ht="13.35" customHeight="1">
      <c r="A936" s="82">
        <v>1</v>
      </c>
      <c r="B936" s="83" t="s">
        <v>2127</v>
      </c>
      <c r="C936" s="67" t="s">
        <v>2128</v>
      </c>
      <c r="D936" s="91">
        <v>3190085800</v>
      </c>
      <c r="E936" s="76">
        <v>125098387.5</v>
      </c>
      <c r="F936" s="77" t="s">
        <v>10170</v>
      </c>
      <c r="G936" s="22"/>
      <c r="H936" s="22"/>
    </row>
    <row r="937" spans="1:8" ht="13.35" customHeight="1">
      <c r="A937" s="82">
        <v>1</v>
      </c>
      <c r="B937" s="83" t="s">
        <v>2126</v>
      </c>
      <c r="C937" s="67" t="s">
        <v>3177</v>
      </c>
      <c r="D937" s="91">
        <v>3052933000</v>
      </c>
      <c r="E937" s="76">
        <v>119719975</v>
      </c>
      <c r="F937" s="77" t="s">
        <v>10170</v>
      </c>
      <c r="G937" s="22"/>
      <c r="H937" s="22"/>
    </row>
    <row r="938" spans="1:8" ht="13.35" customHeight="1">
      <c r="A938" s="82">
        <v>1</v>
      </c>
      <c r="B938" s="83" t="s">
        <v>4758</v>
      </c>
      <c r="C938" s="67" t="s">
        <v>4759</v>
      </c>
      <c r="D938" s="91">
        <v>3276755500</v>
      </c>
      <c r="E938" s="76">
        <v>128497115</v>
      </c>
      <c r="F938" s="77" t="s">
        <v>10170</v>
      </c>
      <c r="G938" s="22"/>
      <c r="H938" s="22"/>
    </row>
    <row r="939" spans="1:8" ht="13.35" customHeight="1">
      <c r="A939" s="82">
        <v>1</v>
      </c>
      <c r="B939" s="83" t="s">
        <v>4760</v>
      </c>
      <c r="C939" s="67" t="s">
        <v>4761</v>
      </c>
      <c r="D939" s="91">
        <v>3276755500</v>
      </c>
      <c r="E939" s="76">
        <v>128497115</v>
      </c>
      <c r="F939" s="77" t="s">
        <v>10170</v>
      </c>
      <c r="G939" s="22"/>
      <c r="H939" s="22"/>
    </row>
    <row r="940" spans="1:8" ht="13.35" customHeight="1">
      <c r="A940" s="82">
        <v>1</v>
      </c>
      <c r="B940" s="83" t="s">
        <v>4756</v>
      </c>
      <c r="C940" s="67" t="s">
        <v>4757</v>
      </c>
      <c r="D940" s="91">
        <v>2390153100</v>
      </c>
      <c r="E940" s="76">
        <v>93729232.5</v>
      </c>
      <c r="F940" s="77" t="s">
        <v>10170</v>
      </c>
      <c r="G940" s="22"/>
      <c r="H940" s="22"/>
    </row>
    <row r="941" spans="1:8" ht="13.35" customHeight="1">
      <c r="A941" s="82">
        <v>1</v>
      </c>
      <c r="B941" s="83" t="s">
        <v>4762</v>
      </c>
      <c r="C941" s="67" t="s">
        <v>4763</v>
      </c>
      <c r="D941" s="91">
        <v>2390153100</v>
      </c>
      <c r="E941" s="76">
        <v>93729232.5</v>
      </c>
      <c r="F941" s="77" t="s">
        <v>10170</v>
      </c>
      <c r="G941" s="22"/>
      <c r="H941" s="22"/>
    </row>
    <row r="942" spans="1:8" ht="13.35" customHeight="1">
      <c r="A942" s="82">
        <v>1</v>
      </c>
      <c r="B942" s="83" t="s">
        <v>4754</v>
      </c>
      <c r="C942" s="67" t="s">
        <v>4755</v>
      </c>
      <c r="D942" s="91">
        <v>2315112400</v>
      </c>
      <c r="E942" s="76">
        <v>90786530</v>
      </c>
      <c r="F942" s="77" t="s">
        <v>10170</v>
      </c>
      <c r="G942" s="22"/>
      <c r="H942" s="22"/>
    </row>
    <row r="943" spans="1:8" ht="13.35" customHeight="1">
      <c r="A943" s="82">
        <v>1</v>
      </c>
      <c r="B943" s="83" t="s">
        <v>4790</v>
      </c>
      <c r="C943" s="67" t="s">
        <v>4791</v>
      </c>
      <c r="D943" s="91">
        <v>3675080100</v>
      </c>
      <c r="E943" s="76">
        <v>144117312.5</v>
      </c>
      <c r="F943" s="77" t="s">
        <v>10170</v>
      </c>
      <c r="G943" s="22"/>
      <c r="H943" s="22"/>
    </row>
    <row r="944" spans="1:8" ht="13.35" customHeight="1">
      <c r="A944" s="82">
        <v>1</v>
      </c>
      <c r="B944" s="83" t="s">
        <v>4792</v>
      </c>
      <c r="C944" s="67" t="s">
        <v>4793</v>
      </c>
      <c r="D944" s="91">
        <v>3675080100</v>
      </c>
      <c r="E944" s="76">
        <v>144117312.5</v>
      </c>
      <c r="F944" s="77" t="s">
        <v>10170</v>
      </c>
      <c r="G944" s="22"/>
      <c r="H944" s="22"/>
    </row>
    <row r="945" spans="1:8" ht="13.35" customHeight="1">
      <c r="A945" s="82">
        <v>1</v>
      </c>
      <c r="B945" s="83" t="s">
        <v>4788</v>
      </c>
      <c r="C945" s="67" t="s">
        <v>4789</v>
      </c>
      <c r="D945" s="91">
        <v>2788477700</v>
      </c>
      <c r="E945" s="76">
        <v>109349429.99999999</v>
      </c>
      <c r="F945" s="77" t="s">
        <v>10170</v>
      </c>
      <c r="G945" s="22"/>
      <c r="H945" s="22"/>
    </row>
    <row r="946" spans="1:8" ht="13.35" customHeight="1">
      <c r="A946" s="82">
        <v>1</v>
      </c>
      <c r="B946" s="83" t="s">
        <v>4794</v>
      </c>
      <c r="C946" s="67" t="s">
        <v>4795</v>
      </c>
      <c r="D946" s="91">
        <v>2788477700</v>
      </c>
      <c r="E946" s="76">
        <v>109349429.99999999</v>
      </c>
      <c r="F946" s="77" t="s">
        <v>10170</v>
      </c>
      <c r="G946" s="22"/>
      <c r="H946" s="22"/>
    </row>
    <row r="947" spans="1:8" ht="13.35" customHeight="1">
      <c r="A947" s="82">
        <v>1</v>
      </c>
      <c r="B947" s="83" t="s">
        <v>4786</v>
      </c>
      <c r="C947" s="67" t="s">
        <v>4787</v>
      </c>
      <c r="D947" s="91">
        <v>2700918800</v>
      </c>
      <c r="E947" s="76">
        <v>105915829.99999999</v>
      </c>
      <c r="F947" s="77" t="s">
        <v>10170</v>
      </c>
      <c r="G947" s="22"/>
      <c r="H947" s="22"/>
    </row>
    <row r="948" spans="1:8" ht="13.35" customHeight="1">
      <c r="A948" s="82">
        <v>1</v>
      </c>
      <c r="B948" s="83" t="s">
        <v>4774</v>
      </c>
      <c r="C948" s="67" t="s">
        <v>4775</v>
      </c>
      <c r="D948" s="91">
        <v>4073473200</v>
      </c>
      <c r="E948" s="76">
        <v>159740192.5</v>
      </c>
      <c r="F948" s="77" t="s">
        <v>10170</v>
      </c>
      <c r="G948" s="22"/>
      <c r="H948" s="22"/>
    </row>
    <row r="949" spans="1:8" ht="13.35" customHeight="1">
      <c r="A949" s="82">
        <v>1</v>
      </c>
      <c r="B949" s="83" t="s">
        <v>4776</v>
      </c>
      <c r="C949" s="67" t="s">
        <v>4777</v>
      </c>
      <c r="D949" s="91">
        <v>4073473200</v>
      </c>
      <c r="E949" s="76">
        <v>159740192.5</v>
      </c>
      <c r="F949" s="77" t="s">
        <v>10170</v>
      </c>
      <c r="G949" s="22"/>
      <c r="H949" s="22"/>
    </row>
    <row r="950" spans="1:8" ht="13.35" customHeight="1">
      <c r="A950" s="82">
        <v>1</v>
      </c>
      <c r="B950" s="83" t="s">
        <v>4772</v>
      </c>
      <c r="C950" s="67" t="s">
        <v>4773</v>
      </c>
      <c r="D950" s="91">
        <v>3186870800</v>
      </c>
      <c r="E950" s="76">
        <v>124972310</v>
      </c>
      <c r="F950" s="77" t="s">
        <v>10170</v>
      </c>
      <c r="G950" s="22"/>
      <c r="H950" s="22"/>
    </row>
    <row r="951" spans="1:8" ht="13.35" customHeight="1">
      <c r="A951" s="82">
        <v>1</v>
      </c>
      <c r="B951" s="83" t="s">
        <v>4778</v>
      </c>
      <c r="C951" s="67" t="s">
        <v>4779</v>
      </c>
      <c r="D951" s="91">
        <v>3186870800</v>
      </c>
      <c r="E951" s="76">
        <v>124972310</v>
      </c>
      <c r="F951" s="77" t="s">
        <v>10170</v>
      </c>
      <c r="G951" s="22"/>
      <c r="H951" s="22"/>
    </row>
    <row r="952" spans="1:8" ht="13.35" customHeight="1">
      <c r="A952" s="82">
        <v>1</v>
      </c>
      <c r="B952" s="83" t="s">
        <v>4770</v>
      </c>
      <c r="C952" s="67" t="s">
        <v>4771</v>
      </c>
      <c r="D952" s="91">
        <v>3111830100</v>
      </c>
      <c r="E952" s="76">
        <v>122029607.50000001</v>
      </c>
      <c r="F952" s="77" t="s">
        <v>10170</v>
      </c>
      <c r="G952" s="22"/>
      <c r="H952" s="22"/>
    </row>
    <row r="953" spans="1:8" ht="13.35" customHeight="1">
      <c r="A953" s="82">
        <v>1</v>
      </c>
      <c r="B953" s="83" t="s">
        <v>4943</v>
      </c>
      <c r="C953" s="67" t="s">
        <v>4944</v>
      </c>
      <c r="D953" s="91">
        <v>3276755500</v>
      </c>
      <c r="E953" s="76">
        <v>128497115</v>
      </c>
      <c r="F953" s="77" t="s">
        <v>10170</v>
      </c>
      <c r="G953" s="22"/>
      <c r="H953" s="22"/>
    </row>
    <row r="954" spans="1:8" ht="13.35" customHeight="1">
      <c r="A954" s="82">
        <v>1</v>
      </c>
      <c r="B954" s="83" t="s">
        <v>4945</v>
      </c>
      <c r="C954" s="67" t="s">
        <v>4946</v>
      </c>
      <c r="D954" s="91">
        <v>3276755500</v>
      </c>
      <c r="E954" s="76">
        <v>128497115</v>
      </c>
      <c r="F954" s="77" t="s">
        <v>10170</v>
      </c>
      <c r="G954" s="22"/>
      <c r="H954" s="22"/>
    </row>
    <row r="955" spans="1:8" ht="13.35" customHeight="1">
      <c r="A955" s="82">
        <v>1</v>
      </c>
      <c r="B955" s="83" t="s">
        <v>4941</v>
      </c>
      <c r="C955" s="67" t="s">
        <v>4942</v>
      </c>
      <c r="D955" s="91">
        <v>2390153100</v>
      </c>
      <c r="E955" s="76">
        <v>93729232.5</v>
      </c>
      <c r="F955" s="77" t="s">
        <v>10170</v>
      </c>
      <c r="G955" s="22"/>
      <c r="H955" s="22"/>
    </row>
    <row r="956" spans="1:8" ht="13.35" customHeight="1">
      <c r="A956" s="82">
        <v>1</v>
      </c>
      <c r="B956" s="83" t="s">
        <v>4947</v>
      </c>
      <c r="C956" s="67" t="s">
        <v>4948</v>
      </c>
      <c r="D956" s="91">
        <v>2390153100</v>
      </c>
      <c r="E956" s="76">
        <v>93729232.5</v>
      </c>
      <c r="F956" s="77" t="s">
        <v>10170</v>
      </c>
      <c r="G956" s="22"/>
      <c r="H956" s="22"/>
    </row>
    <row r="957" spans="1:8" ht="13.35" customHeight="1">
      <c r="A957" s="82">
        <v>1</v>
      </c>
      <c r="B957" s="83" t="s">
        <v>4939</v>
      </c>
      <c r="C957" s="67" t="s">
        <v>4940</v>
      </c>
      <c r="D957" s="91">
        <v>2315112400</v>
      </c>
      <c r="E957" s="76">
        <v>90786530</v>
      </c>
      <c r="F957" s="77" t="s">
        <v>10170</v>
      </c>
      <c r="G957" s="22"/>
      <c r="H957" s="22"/>
    </row>
    <row r="958" spans="1:8" ht="13.35" customHeight="1">
      <c r="A958" s="82">
        <v>1</v>
      </c>
      <c r="B958" s="83" t="s">
        <v>4963</v>
      </c>
      <c r="C958" s="67" t="s">
        <v>4962</v>
      </c>
      <c r="D958" s="91">
        <v>3475952000</v>
      </c>
      <c r="E958" s="76">
        <v>136308555</v>
      </c>
      <c r="F958" s="77" t="s">
        <v>10170</v>
      </c>
      <c r="G958" s="22"/>
      <c r="H958" s="22"/>
    </row>
    <row r="959" spans="1:8" ht="13.35" customHeight="1">
      <c r="A959" s="82">
        <v>1</v>
      </c>
      <c r="B959" s="83" t="s">
        <v>4964</v>
      </c>
      <c r="C959" s="67" t="s">
        <v>4965</v>
      </c>
      <c r="D959" s="91">
        <v>3475952000</v>
      </c>
      <c r="E959" s="76">
        <v>136308555</v>
      </c>
      <c r="F959" s="77" t="s">
        <v>10170</v>
      </c>
      <c r="G959" s="22"/>
      <c r="H959" s="22"/>
    </row>
    <row r="960" spans="1:8" ht="13.35" customHeight="1">
      <c r="A960" s="82">
        <v>1</v>
      </c>
      <c r="B960" s="83" t="s">
        <v>4961</v>
      </c>
      <c r="C960" s="67" t="s">
        <v>4962</v>
      </c>
      <c r="D960" s="91">
        <v>2589349600</v>
      </c>
      <c r="E960" s="76">
        <v>101540672.5</v>
      </c>
      <c r="F960" s="77" t="s">
        <v>10170</v>
      </c>
      <c r="G960" s="22"/>
      <c r="H960" s="22"/>
    </row>
    <row r="961" spans="1:8" ht="13.35" customHeight="1">
      <c r="A961" s="82">
        <v>1</v>
      </c>
      <c r="B961" s="83" t="s">
        <v>4966</v>
      </c>
      <c r="C961" s="67" t="s">
        <v>4965</v>
      </c>
      <c r="D961" s="91">
        <v>2589349600</v>
      </c>
      <c r="E961" s="76">
        <v>101540672.5</v>
      </c>
      <c r="F961" s="77" t="s">
        <v>10170</v>
      </c>
      <c r="G961" s="22"/>
      <c r="H961" s="22"/>
    </row>
    <row r="962" spans="1:8" ht="13.35" customHeight="1">
      <c r="A962" s="82">
        <v>1</v>
      </c>
      <c r="B962" s="83" t="s">
        <v>4959</v>
      </c>
      <c r="C962" s="67" t="s">
        <v>4960</v>
      </c>
      <c r="D962" s="91">
        <v>2514240500</v>
      </c>
      <c r="E962" s="76">
        <v>98595287.5</v>
      </c>
      <c r="F962" s="77" t="s">
        <v>10170</v>
      </c>
      <c r="G962" s="22"/>
      <c r="H962" s="22"/>
    </row>
    <row r="963" spans="1:8" ht="13.35" customHeight="1">
      <c r="A963" s="82">
        <v>1</v>
      </c>
      <c r="B963" s="83" t="s">
        <v>4953</v>
      </c>
      <c r="C963" s="67" t="s">
        <v>4954</v>
      </c>
      <c r="D963" s="91">
        <v>4073473200</v>
      </c>
      <c r="E963" s="76">
        <v>159740192.5</v>
      </c>
      <c r="F963" s="77" t="s">
        <v>10170</v>
      </c>
      <c r="G963" s="22"/>
      <c r="H963" s="22"/>
    </row>
    <row r="964" spans="1:8" ht="13.35" customHeight="1">
      <c r="A964" s="82">
        <v>1</v>
      </c>
      <c r="B964" s="83" t="s">
        <v>4955</v>
      </c>
      <c r="C964" s="67" t="s">
        <v>4956</v>
      </c>
      <c r="D964" s="91">
        <v>4073473200</v>
      </c>
      <c r="E964" s="76">
        <v>159740192.5</v>
      </c>
      <c r="F964" s="77" t="s">
        <v>10170</v>
      </c>
      <c r="G964" s="22"/>
      <c r="H964" s="22"/>
    </row>
    <row r="965" spans="1:8" ht="13.35" customHeight="1">
      <c r="A965" s="82">
        <v>1</v>
      </c>
      <c r="B965" s="83" t="s">
        <v>4951</v>
      </c>
      <c r="C965" s="67" t="s">
        <v>4952</v>
      </c>
      <c r="D965" s="91">
        <v>3186870800</v>
      </c>
      <c r="E965" s="76">
        <v>124972310</v>
      </c>
      <c r="F965" s="77" t="s">
        <v>10170</v>
      </c>
      <c r="G965" s="22"/>
      <c r="H965" s="22"/>
    </row>
    <row r="966" spans="1:8" ht="13.35" customHeight="1">
      <c r="A966" s="82">
        <v>1</v>
      </c>
      <c r="B966" s="83" t="s">
        <v>4957</v>
      </c>
      <c r="C966" s="67" t="s">
        <v>4958</v>
      </c>
      <c r="D966" s="91">
        <v>3186870800</v>
      </c>
      <c r="E966" s="76">
        <v>124972310</v>
      </c>
      <c r="F966" s="77" t="s">
        <v>10170</v>
      </c>
      <c r="G966" s="22"/>
      <c r="H966" s="22"/>
    </row>
    <row r="967" spans="1:8" ht="13.35" customHeight="1">
      <c r="A967" s="82">
        <v>1</v>
      </c>
      <c r="B967" s="83" t="s">
        <v>4949</v>
      </c>
      <c r="C967" s="67" t="s">
        <v>4950</v>
      </c>
      <c r="D967" s="91">
        <v>3111830100</v>
      </c>
      <c r="E967" s="76">
        <v>122029607.50000001</v>
      </c>
      <c r="F967" s="77" t="s">
        <v>10170</v>
      </c>
      <c r="G967" s="22"/>
      <c r="H967" s="22"/>
    </row>
    <row r="968" spans="1:8" ht="13.35" customHeight="1">
      <c r="A968" s="82">
        <v>1</v>
      </c>
      <c r="B968" s="83" t="s">
        <v>2770</v>
      </c>
      <c r="C968" s="67" t="s">
        <v>2771</v>
      </c>
      <c r="D968" s="91">
        <v>1510117600</v>
      </c>
      <c r="E968" s="76">
        <v>59218870</v>
      </c>
      <c r="F968" s="77" t="s">
        <v>10170</v>
      </c>
      <c r="G968" s="22"/>
      <c r="H968" s="22"/>
    </row>
    <row r="969" spans="1:8" ht="13.35" customHeight="1">
      <c r="A969" s="82">
        <v>1</v>
      </c>
      <c r="B969" s="83" t="s">
        <v>4503</v>
      </c>
      <c r="C969" s="67" t="s">
        <v>4504</v>
      </c>
      <c r="D969" s="91">
        <v>1514016700</v>
      </c>
      <c r="E969" s="76">
        <v>59371772.500000007</v>
      </c>
      <c r="F969" s="77" t="s">
        <v>10170</v>
      </c>
      <c r="G969" s="22"/>
      <c r="H969" s="22"/>
    </row>
    <row r="970" spans="1:8" ht="13.35" customHeight="1">
      <c r="A970" s="82">
        <v>1</v>
      </c>
      <c r="B970" s="83" t="s">
        <v>2772</v>
      </c>
      <c r="C970" s="67" t="s">
        <v>2773</v>
      </c>
      <c r="D970" s="91">
        <v>1450604900</v>
      </c>
      <c r="E970" s="76">
        <v>56885095</v>
      </c>
      <c r="F970" s="77" t="s">
        <v>10170</v>
      </c>
      <c r="G970" s="22"/>
      <c r="H970" s="22"/>
    </row>
    <row r="971" spans="1:8" ht="13.35" customHeight="1">
      <c r="A971" s="82">
        <v>1</v>
      </c>
      <c r="B971" s="83" t="s">
        <v>2766</v>
      </c>
      <c r="C971" s="67" t="s">
        <v>2767</v>
      </c>
      <c r="D971" s="91">
        <v>1066850600</v>
      </c>
      <c r="E971" s="76">
        <v>41836270</v>
      </c>
      <c r="F971" s="77" t="s">
        <v>10170</v>
      </c>
      <c r="G971" s="22"/>
      <c r="H971" s="22"/>
    </row>
    <row r="972" spans="1:8" ht="13.35" customHeight="1">
      <c r="A972" s="82">
        <v>1</v>
      </c>
      <c r="B972" s="83" t="s">
        <v>4505</v>
      </c>
      <c r="C972" s="67" t="s">
        <v>4506</v>
      </c>
      <c r="D972" s="91">
        <v>1070749700</v>
      </c>
      <c r="E972" s="76">
        <v>41989172.5</v>
      </c>
      <c r="F972" s="77" t="s">
        <v>10170</v>
      </c>
      <c r="G972" s="22"/>
      <c r="H972" s="22"/>
    </row>
    <row r="973" spans="1:8" ht="13.35" customHeight="1">
      <c r="A973" s="82">
        <v>1</v>
      </c>
      <c r="B973" s="83" t="s">
        <v>2768</v>
      </c>
      <c r="C973" s="67" t="s">
        <v>2769</v>
      </c>
      <c r="D973" s="91">
        <v>1007337900</v>
      </c>
      <c r="E973" s="76">
        <v>39502495</v>
      </c>
      <c r="F973" s="77" t="s">
        <v>10170</v>
      </c>
      <c r="G973" s="22"/>
      <c r="H973" s="22"/>
    </row>
    <row r="974" spans="1:8" ht="13.35" customHeight="1">
      <c r="A974" s="82">
        <v>1</v>
      </c>
      <c r="B974" s="83" t="s">
        <v>2778</v>
      </c>
      <c r="C974" s="67" t="s">
        <v>2779</v>
      </c>
      <c r="D974" s="91">
        <v>1670186200</v>
      </c>
      <c r="E974" s="76">
        <v>65495920</v>
      </c>
      <c r="F974" s="77" t="s">
        <v>10170</v>
      </c>
      <c r="G974" s="22"/>
      <c r="H974" s="22"/>
    </row>
    <row r="975" spans="1:8" ht="13.35" customHeight="1">
      <c r="A975" s="82">
        <v>1</v>
      </c>
      <c r="B975" s="83" t="s">
        <v>2780</v>
      </c>
      <c r="C975" s="67" t="s">
        <v>4142</v>
      </c>
      <c r="D975" s="91">
        <v>1608005700</v>
      </c>
      <c r="E975" s="76">
        <v>63057527.499999993</v>
      </c>
      <c r="F975" s="77" t="s">
        <v>10170</v>
      </c>
      <c r="G975" s="22"/>
      <c r="H975" s="22"/>
    </row>
    <row r="976" spans="1:8" ht="13.35" customHeight="1">
      <c r="A976" s="82">
        <v>1</v>
      </c>
      <c r="B976" s="83" t="s">
        <v>2774</v>
      </c>
      <c r="C976" s="67" t="s">
        <v>2775</v>
      </c>
      <c r="D976" s="91">
        <v>1226919300</v>
      </c>
      <c r="E976" s="76">
        <v>48113320</v>
      </c>
      <c r="F976" s="77" t="s">
        <v>10170</v>
      </c>
      <c r="G976" s="22"/>
      <c r="H976" s="22"/>
    </row>
    <row r="977" spans="1:8" ht="13.35" customHeight="1">
      <c r="A977" s="82">
        <v>1</v>
      </c>
      <c r="B977" s="83" t="s">
        <v>2776</v>
      </c>
      <c r="C977" s="67" t="s">
        <v>2777</v>
      </c>
      <c r="D977" s="91">
        <v>1164738700</v>
      </c>
      <c r="E977" s="76">
        <v>45674927.5</v>
      </c>
      <c r="F977" s="77" t="s">
        <v>10170</v>
      </c>
      <c r="G977" s="22"/>
      <c r="H977" s="22"/>
    </row>
    <row r="978" spans="1:8" ht="13.35" customHeight="1">
      <c r="A978" s="82">
        <v>1</v>
      </c>
      <c r="B978" s="83" t="s">
        <v>3706</v>
      </c>
      <c r="C978" s="67" t="s">
        <v>2779</v>
      </c>
      <c r="D978" s="91">
        <v>1670186200</v>
      </c>
      <c r="E978" s="76">
        <v>65495920</v>
      </c>
      <c r="F978" s="77" t="s">
        <v>10170</v>
      </c>
      <c r="G978" s="22"/>
      <c r="H978" s="22"/>
    </row>
    <row r="979" spans="1:8" ht="13.35" customHeight="1">
      <c r="A979" s="82">
        <v>1</v>
      </c>
      <c r="B979" s="83" t="s">
        <v>4507</v>
      </c>
      <c r="C979" s="67" t="s">
        <v>4508</v>
      </c>
      <c r="D979" s="91">
        <v>1674153800</v>
      </c>
      <c r="E979" s="76">
        <v>65651505</v>
      </c>
      <c r="F979" s="77" t="s">
        <v>10170</v>
      </c>
      <c r="G979" s="22"/>
      <c r="H979" s="22"/>
    </row>
    <row r="980" spans="1:8" ht="13.35" customHeight="1">
      <c r="A980" s="82">
        <v>1</v>
      </c>
      <c r="B980" s="83" t="s">
        <v>3707</v>
      </c>
      <c r="C980" s="67" t="s">
        <v>4142</v>
      </c>
      <c r="D980" s="91">
        <v>1608005700</v>
      </c>
      <c r="E980" s="76">
        <v>63057527.499999993</v>
      </c>
      <c r="F980" s="77" t="s">
        <v>10170</v>
      </c>
      <c r="G980" s="22"/>
      <c r="H980" s="22"/>
    </row>
    <row r="981" spans="1:8" ht="13.35" customHeight="1">
      <c r="A981" s="82">
        <v>1</v>
      </c>
      <c r="B981" s="83" t="s">
        <v>4509</v>
      </c>
      <c r="C981" s="67" t="s">
        <v>4510</v>
      </c>
      <c r="D981" s="91">
        <v>1230886800</v>
      </c>
      <c r="E981" s="76">
        <v>48268905</v>
      </c>
      <c r="F981" s="77" t="s">
        <v>10170</v>
      </c>
      <c r="G981" s="22"/>
      <c r="H981" s="22"/>
    </row>
    <row r="982" spans="1:8" ht="13.35" customHeight="1">
      <c r="A982" s="82">
        <v>1</v>
      </c>
      <c r="B982" s="83" t="s">
        <v>3704</v>
      </c>
      <c r="C982" s="67" t="s">
        <v>2775</v>
      </c>
      <c r="D982" s="91">
        <v>1226919300</v>
      </c>
      <c r="E982" s="76">
        <v>48113320</v>
      </c>
      <c r="F982" s="77" t="s">
        <v>10170</v>
      </c>
      <c r="G982" s="22"/>
      <c r="H982" s="22"/>
    </row>
    <row r="983" spans="1:8" ht="13.35" customHeight="1">
      <c r="A983" s="82">
        <v>1</v>
      </c>
      <c r="B983" s="83" t="s">
        <v>3705</v>
      </c>
      <c r="C983" s="67" t="s">
        <v>2777</v>
      </c>
      <c r="D983" s="91">
        <v>1164738700</v>
      </c>
      <c r="E983" s="76">
        <v>45674927.5</v>
      </c>
      <c r="F983" s="77" t="s">
        <v>10170</v>
      </c>
      <c r="G983" s="22"/>
      <c r="H983" s="22"/>
    </row>
    <row r="984" spans="1:8" ht="13.35" customHeight="1">
      <c r="A984" s="82">
        <v>1</v>
      </c>
      <c r="B984" s="67" t="s">
        <v>5542</v>
      </c>
      <c r="C984" s="67" t="s">
        <v>7377</v>
      </c>
      <c r="D984" s="91">
        <v>1626680400</v>
      </c>
      <c r="E984" s="76">
        <v>63789850</v>
      </c>
      <c r="F984" s="77" t="s">
        <v>10170</v>
      </c>
      <c r="G984" s="22"/>
      <c r="H984" s="22"/>
    </row>
    <row r="985" spans="1:8" ht="13.35" customHeight="1">
      <c r="A985" s="82">
        <v>1</v>
      </c>
      <c r="B985" s="67" t="s">
        <v>5543</v>
      </c>
      <c r="C985" s="67" t="s">
        <v>7378</v>
      </c>
      <c r="D985" s="91">
        <v>1670391500</v>
      </c>
      <c r="E985" s="76">
        <v>65503967.5</v>
      </c>
      <c r="F985" s="77" t="s">
        <v>10170</v>
      </c>
      <c r="G985" s="22"/>
      <c r="H985" s="22"/>
    </row>
    <row r="986" spans="1:8" ht="13.35" customHeight="1">
      <c r="A986" s="82">
        <v>1</v>
      </c>
      <c r="B986" s="67" t="s">
        <v>5544</v>
      </c>
      <c r="C986" s="67" t="s">
        <v>7379</v>
      </c>
      <c r="D986" s="91">
        <v>1670391500</v>
      </c>
      <c r="E986" s="76">
        <v>65503967.5</v>
      </c>
      <c r="F986" s="77" t="s">
        <v>10170</v>
      </c>
      <c r="G986" s="22"/>
      <c r="H986" s="22"/>
    </row>
    <row r="987" spans="1:8" ht="13.35" customHeight="1">
      <c r="A987" s="82">
        <v>1</v>
      </c>
      <c r="B987" s="67" t="s">
        <v>5541</v>
      </c>
      <c r="C987" s="67" t="s">
        <v>7380</v>
      </c>
      <c r="D987" s="91">
        <v>1227124500</v>
      </c>
      <c r="E987" s="76">
        <v>48121367.5</v>
      </c>
      <c r="F987" s="77" t="s">
        <v>10170</v>
      </c>
      <c r="G987" s="22"/>
      <c r="H987" s="22"/>
    </row>
    <row r="988" spans="1:8" ht="13.35" customHeight="1">
      <c r="A988" s="82">
        <v>1</v>
      </c>
      <c r="B988" s="67" t="s">
        <v>5545</v>
      </c>
      <c r="C988" s="67" t="s">
        <v>7381</v>
      </c>
      <c r="D988" s="91">
        <v>1227124500</v>
      </c>
      <c r="E988" s="76">
        <v>48121367.5</v>
      </c>
      <c r="F988" s="77" t="s">
        <v>10170</v>
      </c>
      <c r="G988" s="22"/>
      <c r="H988" s="22"/>
    </row>
    <row r="989" spans="1:8" ht="13.35" customHeight="1">
      <c r="A989" s="82">
        <v>1</v>
      </c>
      <c r="B989" s="67" t="s">
        <v>5540</v>
      </c>
      <c r="C989" s="67" t="s">
        <v>7382</v>
      </c>
      <c r="D989" s="91">
        <v>1183413400</v>
      </c>
      <c r="E989" s="76">
        <v>46407250</v>
      </c>
      <c r="F989" s="77" t="s">
        <v>10170</v>
      </c>
      <c r="G989" s="22"/>
      <c r="H989" s="22"/>
    </row>
    <row r="990" spans="1:8" ht="13.35" customHeight="1">
      <c r="A990" s="82">
        <v>1</v>
      </c>
      <c r="B990" s="67" t="s">
        <v>5548</v>
      </c>
      <c r="C990" s="67" t="s">
        <v>7383</v>
      </c>
      <c r="D990" s="91">
        <v>1913435800</v>
      </c>
      <c r="E990" s="76">
        <v>75034890</v>
      </c>
      <c r="F990" s="77" t="s">
        <v>10170</v>
      </c>
      <c r="G990" s="22"/>
      <c r="H990" s="22"/>
    </row>
    <row r="991" spans="1:8" ht="13.35" customHeight="1">
      <c r="A991" s="82">
        <v>1</v>
      </c>
      <c r="B991" s="67" t="s">
        <v>5549</v>
      </c>
      <c r="C991" s="67" t="s">
        <v>7384</v>
      </c>
      <c r="D991" s="91">
        <v>1953589800</v>
      </c>
      <c r="E991" s="76">
        <v>76609517.5</v>
      </c>
      <c r="F991" s="77" t="s">
        <v>10170</v>
      </c>
      <c r="G991" s="22"/>
      <c r="H991" s="22"/>
    </row>
    <row r="992" spans="1:8" ht="13.35" customHeight="1">
      <c r="A992" s="82">
        <v>1</v>
      </c>
      <c r="B992" s="67" t="s">
        <v>5550</v>
      </c>
      <c r="C992" s="67" t="s">
        <v>7385</v>
      </c>
      <c r="D992" s="91">
        <v>1953589800</v>
      </c>
      <c r="E992" s="76">
        <v>76609517.5</v>
      </c>
      <c r="F992" s="77" t="s">
        <v>10170</v>
      </c>
      <c r="G992" s="22"/>
      <c r="H992" s="22"/>
    </row>
    <row r="993" spans="1:8" ht="13.35" customHeight="1">
      <c r="A993" s="82">
        <v>1</v>
      </c>
      <c r="B993" s="67" t="s">
        <v>5551</v>
      </c>
      <c r="C993" s="67" t="s">
        <v>7386</v>
      </c>
      <c r="D993" s="91">
        <v>1510322800</v>
      </c>
      <c r="E993" s="76">
        <v>59226917.5</v>
      </c>
      <c r="F993" s="77" t="s">
        <v>10170</v>
      </c>
      <c r="G993" s="22"/>
      <c r="H993" s="22"/>
    </row>
    <row r="994" spans="1:8" ht="13.35" customHeight="1">
      <c r="A994" s="82">
        <v>1</v>
      </c>
      <c r="B994" s="67" t="s">
        <v>5547</v>
      </c>
      <c r="C994" s="67" t="s">
        <v>7387</v>
      </c>
      <c r="D994" s="91">
        <v>1510322800</v>
      </c>
      <c r="E994" s="76">
        <v>59226917.5</v>
      </c>
      <c r="F994" s="77" t="s">
        <v>10170</v>
      </c>
      <c r="G994" s="22"/>
      <c r="H994" s="22"/>
    </row>
    <row r="995" spans="1:8" ht="13.35" customHeight="1">
      <c r="A995" s="82">
        <v>1</v>
      </c>
      <c r="B995" s="67" t="s">
        <v>5546</v>
      </c>
      <c r="C995" s="67" t="s">
        <v>7388</v>
      </c>
      <c r="D995" s="91">
        <v>1470168900</v>
      </c>
      <c r="E995" s="76">
        <v>57652289.999999993</v>
      </c>
      <c r="F995" s="77" t="s">
        <v>10170</v>
      </c>
      <c r="G995" s="22"/>
      <c r="H995" s="22"/>
    </row>
    <row r="996" spans="1:8" ht="13.35" customHeight="1">
      <c r="A996" s="82">
        <v>1</v>
      </c>
      <c r="B996" s="67" t="s">
        <v>5554</v>
      </c>
      <c r="C996" s="67" t="s">
        <v>7389</v>
      </c>
      <c r="D996" s="91">
        <v>1790716600</v>
      </c>
      <c r="E996" s="76">
        <v>70222485</v>
      </c>
      <c r="F996" s="77" t="s">
        <v>10170</v>
      </c>
      <c r="G996" s="22"/>
      <c r="H996" s="22"/>
    </row>
    <row r="997" spans="1:8" ht="13.35" customHeight="1">
      <c r="A997" s="82">
        <v>1</v>
      </c>
      <c r="B997" s="67" t="s">
        <v>5555</v>
      </c>
      <c r="C997" s="67" t="s">
        <v>7390</v>
      </c>
      <c r="D997" s="91">
        <v>1830870500</v>
      </c>
      <c r="E997" s="76">
        <v>71797112.5</v>
      </c>
      <c r="F997" s="77" t="s">
        <v>10170</v>
      </c>
      <c r="G997" s="22"/>
      <c r="H997" s="22"/>
    </row>
    <row r="998" spans="1:8" ht="13.35" customHeight="1">
      <c r="A998" s="82">
        <v>1</v>
      </c>
      <c r="B998" s="67" t="s">
        <v>5556</v>
      </c>
      <c r="C998" s="67" t="s">
        <v>7391</v>
      </c>
      <c r="D998" s="91">
        <v>1830870500</v>
      </c>
      <c r="E998" s="76">
        <v>71797112.5</v>
      </c>
      <c r="F998" s="77" t="s">
        <v>10170</v>
      </c>
      <c r="G998" s="22"/>
      <c r="H998" s="22"/>
    </row>
    <row r="999" spans="1:8" ht="13.35" customHeight="1">
      <c r="A999" s="82">
        <v>1</v>
      </c>
      <c r="B999" s="67" t="s">
        <v>5553</v>
      </c>
      <c r="C999" s="67" t="s">
        <v>7392</v>
      </c>
      <c r="D999" s="91">
        <v>1387603500</v>
      </c>
      <c r="E999" s="76">
        <v>54414512.5</v>
      </c>
      <c r="F999" s="77" t="s">
        <v>10170</v>
      </c>
      <c r="G999" s="22"/>
      <c r="H999" s="22"/>
    </row>
    <row r="1000" spans="1:8" ht="13.35" customHeight="1">
      <c r="A1000" s="82">
        <v>1</v>
      </c>
      <c r="B1000" s="67" t="s">
        <v>5557</v>
      </c>
      <c r="C1000" s="67" t="s">
        <v>7393</v>
      </c>
      <c r="D1000" s="91">
        <v>1387603500</v>
      </c>
      <c r="E1000" s="76">
        <v>54414512.5</v>
      </c>
      <c r="F1000" s="77" t="s">
        <v>10170</v>
      </c>
      <c r="G1000" s="22"/>
      <c r="H1000" s="22"/>
    </row>
    <row r="1001" spans="1:8" ht="13.35" customHeight="1">
      <c r="A1001" s="82">
        <v>1</v>
      </c>
      <c r="B1001" s="67" t="s">
        <v>5552</v>
      </c>
      <c r="C1001" s="67" t="s">
        <v>7394</v>
      </c>
      <c r="D1001" s="91">
        <v>1347449600</v>
      </c>
      <c r="E1001" s="76">
        <v>52839885.000000007</v>
      </c>
      <c r="F1001" s="77" t="s">
        <v>10170</v>
      </c>
      <c r="G1001" s="22"/>
      <c r="H1001" s="22"/>
    </row>
    <row r="1002" spans="1:8" ht="13.35" customHeight="1">
      <c r="A1002" s="82">
        <v>1</v>
      </c>
      <c r="B1002" s="83" t="s">
        <v>3695</v>
      </c>
      <c r="C1002" s="67" t="s">
        <v>1919</v>
      </c>
      <c r="D1002" s="91">
        <v>2450965500</v>
      </c>
      <c r="E1002" s="76">
        <v>96113975</v>
      </c>
      <c r="F1002" s="77" t="s">
        <v>10170</v>
      </c>
      <c r="G1002" s="22"/>
      <c r="H1002" s="22"/>
    </row>
    <row r="1003" spans="1:8" ht="13.35" customHeight="1">
      <c r="A1003" s="82">
        <v>1</v>
      </c>
      <c r="B1003" s="83" t="s">
        <v>3696</v>
      </c>
      <c r="C1003" s="67" t="s">
        <v>1921</v>
      </c>
      <c r="D1003" s="91">
        <v>2450965500</v>
      </c>
      <c r="E1003" s="76">
        <v>96113975</v>
      </c>
      <c r="F1003" s="77" t="s">
        <v>10170</v>
      </c>
      <c r="G1003" s="22"/>
      <c r="H1003" s="22"/>
    </row>
    <row r="1004" spans="1:8" ht="13.35" customHeight="1">
      <c r="A1004" s="82">
        <v>1</v>
      </c>
      <c r="B1004" s="83" t="s">
        <v>3697</v>
      </c>
      <c r="C1004" s="67" t="s">
        <v>1917</v>
      </c>
      <c r="D1004" s="91">
        <v>2388785000</v>
      </c>
      <c r="E1004" s="76">
        <v>93675582.5</v>
      </c>
      <c r="F1004" s="77" t="s">
        <v>10170</v>
      </c>
      <c r="G1004" s="22"/>
      <c r="H1004" s="22"/>
    </row>
    <row r="1005" spans="1:8" ht="13.35" customHeight="1">
      <c r="A1005" s="82">
        <v>1</v>
      </c>
      <c r="B1005" s="83" t="s">
        <v>3692</v>
      </c>
      <c r="C1005" s="67" t="s">
        <v>1915</v>
      </c>
      <c r="D1005" s="91">
        <v>2007698500</v>
      </c>
      <c r="E1005" s="76">
        <v>78731375</v>
      </c>
      <c r="F1005" s="77" t="s">
        <v>10170</v>
      </c>
      <c r="G1005" s="22"/>
      <c r="H1005" s="22"/>
    </row>
    <row r="1006" spans="1:8" ht="13.35" customHeight="1">
      <c r="A1006" s="82">
        <v>1</v>
      </c>
      <c r="B1006" s="83" t="s">
        <v>3693</v>
      </c>
      <c r="C1006" s="67" t="s">
        <v>1923</v>
      </c>
      <c r="D1006" s="91">
        <v>2007698500</v>
      </c>
      <c r="E1006" s="76">
        <v>78731375</v>
      </c>
      <c r="F1006" s="77" t="s">
        <v>10170</v>
      </c>
      <c r="G1006" s="22"/>
      <c r="H1006" s="22"/>
    </row>
    <row r="1007" spans="1:8" ht="13.35" customHeight="1">
      <c r="A1007" s="82">
        <v>1</v>
      </c>
      <c r="B1007" s="83" t="s">
        <v>3694</v>
      </c>
      <c r="C1007" s="67" t="s">
        <v>1913</v>
      </c>
      <c r="D1007" s="91">
        <v>1945518000</v>
      </c>
      <c r="E1007" s="76">
        <v>76292982.5</v>
      </c>
      <c r="F1007" s="77" t="s">
        <v>10170</v>
      </c>
      <c r="G1007" s="22"/>
      <c r="H1007" s="22"/>
    </row>
    <row r="1008" spans="1:8" ht="13.35" customHeight="1">
      <c r="A1008" s="82">
        <v>1</v>
      </c>
      <c r="B1008" s="83" t="s">
        <v>5210</v>
      </c>
      <c r="C1008" s="67" t="s">
        <v>5415</v>
      </c>
      <c r="D1008" s="91">
        <v>2450965500</v>
      </c>
      <c r="E1008" s="76">
        <v>96113975</v>
      </c>
      <c r="F1008" s="77" t="s">
        <v>10170</v>
      </c>
      <c r="G1008" s="22"/>
      <c r="H1008" s="22"/>
    </row>
    <row r="1009" spans="1:8" ht="13.35" customHeight="1">
      <c r="A1009" s="82">
        <v>1</v>
      </c>
      <c r="B1009" s="83" t="s">
        <v>5211</v>
      </c>
      <c r="C1009" s="67" t="s">
        <v>5416</v>
      </c>
      <c r="D1009" s="91">
        <v>2450965500</v>
      </c>
      <c r="E1009" s="76">
        <v>96113975</v>
      </c>
      <c r="F1009" s="77" t="s">
        <v>10170</v>
      </c>
      <c r="G1009" s="22"/>
      <c r="H1009" s="22"/>
    </row>
    <row r="1010" spans="1:8" ht="13.35" customHeight="1">
      <c r="A1010" s="82">
        <v>1</v>
      </c>
      <c r="B1010" s="83" t="s">
        <v>5212</v>
      </c>
      <c r="C1010" s="67" t="s">
        <v>5417</v>
      </c>
      <c r="D1010" s="91">
        <v>2388785000</v>
      </c>
      <c r="E1010" s="76">
        <v>93675582.5</v>
      </c>
      <c r="F1010" s="77" t="s">
        <v>10170</v>
      </c>
      <c r="G1010" s="22"/>
      <c r="H1010" s="22"/>
    </row>
    <row r="1011" spans="1:8" ht="13.35" customHeight="1">
      <c r="A1011" s="82">
        <v>1</v>
      </c>
      <c r="B1011" s="83" t="s">
        <v>5204</v>
      </c>
      <c r="C1011" s="67" t="s">
        <v>5205</v>
      </c>
      <c r="D1011" s="91">
        <v>2007698500</v>
      </c>
      <c r="E1011" s="76">
        <v>78731375</v>
      </c>
      <c r="F1011" s="77" t="s">
        <v>10170</v>
      </c>
      <c r="G1011" s="22"/>
      <c r="H1011" s="22"/>
    </row>
    <row r="1012" spans="1:8" ht="13.35" customHeight="1">
      <c r="A1012" s="82">
        <v>1</v>
      </c>
      <c r="B1012" s="83" t="s">
        <v>5206</v>
      </c>
      <c r="C1012" s="67" t="s">
        <v>5207</v>
      </c>
      <c r="D1012" s="91">
        <v>2007698500</v>
      </c>
      <c r="E1012" s="76">
        <v>78731375</v>
      </c>
      <c r="F1012" s="77" t="s">
        <v>10170</v>
      </c>
      <c r="G1012" s="22"/>
      <c r="H1012" s="22"/>
    </row>
    <row r="1013" spans="1:8" ht="13.35" customHeight="1">
      <c r="A1013" s="82">
        <v>1</v>
      </c>
      <c r="B1013" s="83" t="s">
        <v>5208</v>
      </c>
      <c r="C1013" s="67" t="s">
        <v>5209</v>
      </c>
      <c r="D1013" s="91">
        <v>1945518000</v>
      </c>
      <c r="E1013" s="76">
        <v>76292982.5</v>
      </c>
      <c r="F1013" s="77" t="s">
        <v>10170</v>
      </c>
      <c r="G1013" s="22"/>
      <c r="H1013" s="22"/>
    </row>
    <row r="1014" spans="1:8" ht="13.35" customHeight="1">
      <c r="A1014" s="82">
        <v>1</v>
      </c>
      <c r="B1014" s="83" t="s">
        <v>2576</v>
      </c>
      <c r="C1014" s="67" t="s">
        <v>2577</v>
      </c>
      <c r="D1014" s="91">
        <v>2450965500</v>
      </c>
      <c r="E1014" s="76">
        <v>96113975</v>
      </c>
      <c r="F1014" s="77" t="s">
        <v>10170</v>
      </c>
      <c r="G1014" s="22"/>
      <c r="H1014" s="22"/>
    </row>
    <row r="1015" spans="1:8" ht="13.35" customHeight="1">
      <c r="A1015" s="82">
        <v>1</v>
      </c>
      <c r="B1015" s="83" t="s">
        <v>2578</v>
      </c>
      <c r="C1015" s="67" t="s">
        <v>2579</v>
      </c>
      <c r="D1015" s="91">
        <v>2450965500</v>
      </c>
      <c r="E1015" s="76">
        <v>96113975</v>
      </c>
      <c r="F1015" s="77" t="s">
        <v>10170</v>
      </c>
      <c r="G1015" s="22"/>
      <c r="H1015" s="22"/>
    </row>
    <row r="1016" spans="1:8" ht="13.35" customHeight="1">
      <c r="A1016" s="82">
        <v>1</v>
      </c>
      <c r="B1016" s="83" t="s">
        <v>2580</v>
      </c>
      <c r="C1016" s="67" t="s">
        <v>2581</v>
      </c>
      <c r="D1016" s="91">
        <v>2388785000</v>
      </c>
      <c r="E1016" s="76">
        <v>93675582.5</v>
      </c>
      <c r="F1016" s="77" t="s">
        <v>10170</v>
      </c>
      <c r="G1016" s="22"/>
      <c r="H1016" s="22"/>
    </row>
    <row r="1017" spans="1:8" ht="13.35" customHeight="1">
      <c r="A1017" s="82">
        <v>1</v>
      </c>
      <c r="B1017" s="83" t="s">
        <v>2570</v>
      </c>
      <c r="C1017" s="67" t="s">
        <v>2571</v>
      </c>
      <c r="D1017" s="91">
        <v>2007698500</v>
      </c>
      <c r="E1017" s="76">
        <v>78731375</v>
      </c>
      <c r="F1017" s="77" t="s">
        <v>10170</v>
      </c>
      <c r="G1017" s="22"/>
      <c r="H1017" s="22"/>
    </row>
    <row r="1018" spans="1:8" ht="13.35" customHeight="1">
      <c r="A1018" s="82">
        <v>1</v>
      </c>
      <c r="B1018" s="83" t="s">
        <v>2572</v>
      </c>
      <c r="C1018" s="67" t="s">
        <v>2573</v>
      </c>
      <c r="D1018" s="91">
        <v>2007698500</v>
      </c>
      <c r="E1018" s="76">
        <v>78731375</v>
      </c>
      <c r="F1018" s="77" t="s">
        <v>10170</v>
      </c>
      <c r="G1018" s="22"/>
      <c r="H1018" s="22"/>
    </row>
    <row r="1019" spans="1:8" ht="13.35" customHeight="1">
      <c r="A1019" s="82">
        <v>1</v>
      </c>
      <c r="B1019" s="83" t="s">
        <v>2574</v>
      </c>
      <c r="C1019" s="67" t="s">
        <v>2575</v>
      </c>
      <c r="D1019" s="91">
        <v>1945518000</v>
      </c>
      <c r="E1019" s="76">
        <v>76292982.5</v>
      </c>
      <c r="F1019" s="77" t="s">
        <v>10170</v>
      </c>
      <c r="G1019" s="22"/>
      <c r="H1019" s="22"/>
    </row>
    <row r="1020" spans="1:8" ht="13.35" customHeight="1">
      <c r="A1020" s="82">
        <v>1</v>
      </c>
      <c r="B1020" s="83" t="s">
        <v>3701</v>
      </c>
      <c r="C1020" s="67" t="s">
        <v>1698</v>
      </c>
      <c r="D1020" s="91">
        <v>2450965500</v>
      </c>
      <c r="E1020" s="76">
        <v>96113975</v>
      </c>
      <c r="F1020" s="77" t="s">
        <v>10170</v>
      </c>
      <c r="G1020" s="22"/>
      <c r="H1020" s="22"/>
    </row>
    <row r="1021" spans="1:8" ht="13.35" customHeight="1">
      <c r="A1021" s="82">
        <v>1</v>
      </c>
      <c r="B1021" s="83" t="s">
        <v>3702</v>
      </c>
      <c r="C1021" s="67" t="s">
        <v>1822</v>
      </c>
      <c r="D1021" s="91">
        <v>2450965500</v>
      </c>
      <c r="E1021" s="76">
        <v>96113975</v>
      </c>
      <c r="F1021" s="77" t="s">
        <v>10170</v>
      </c>
      <c r="G1021" s="22"/>
      <c r="H1021" s="22"/>
    </row>
    <row r="1022" spans="1:8" ht="13.35" customHeight="1">
      <c r="A1022" s="82">
        <v>1</v>
      </c>
      <c r="B1022" s="83" t="s">
        <v>3703</v>
      </c>
      <c r="C1022" s="67" t="s">
        <v>1700</v>
      </c>
      <c r="D1022" s="91">
        <v>2388785000</v>
      </c>
      <c r="E1022" s="76">
        <v>93675582.5</v>
      </c>
      <c r="F1022" s="77" t="s">
        <v>10170</v>
      </c>
      <c r="G1022" s="22"/>
      <c r="H1022" s="22"/>
    </row>
    <row r="1023" spans="1:8" ht="13.35" customHeight="1">
      <c r="A1023" s="82">
        <v>1</v>
      </c>
      <c r="B1023" s="83" t="s">
        <v>3698</v>
      </c>
      <c r="C1023" s="67" t="s">
        <v>1694</v>
      </c>
      <c r="D1023" s="91">
        <v>2007698500</v>
      </c>
      <c r="E1023" s="76">
        <v>78731375</v>
      </c>
      <c r="F1023" s="77" t="s">
        <v>10170</v>
      </c>
      <c r="G1023" s="22"/>
      <c r="H1023" s="22"/>
    </row>
    <row r="1024" spans="1:8" ht="13.35" customHeight="1">
      <c r="A1024" s="82">
        <v>1</v>
      </c>
      <c r="B1024" s="83" t="s">
        <v>3699</v>
      </c>
      <c r="C1024" s="67" t="s">
        <v>1820</v>
      </c>
      <c r="D1024" s="91">
        <v>2007698500</v>
      </c>
      <c r="E1024" s="76">
        <v>78731375</v>
      </c>
      <c r="F1024" s="77" t="s">
        <v>10170</v>
      </c>
      <c r="G1024" s="22"/>
      <c r="H1024" s="22"/>
    </row>
    <row r="1025" spans="1:8" ht="13.35" customHeight="1">
      <c r="A1025" s="82">
        <v>1</v>
      </c>
      <c r="B1025" s="83" t="s">
        <v>3700</v>
      </c>
      <c r="C1025" s="67" t="s">
        <v>1696</v>
      </c>
      <c r="D1025" s="91">
        <v>1945518000</v>
      </c>
      <c r="E1025" s="76">
        <v>76292982.5</v>
      </c>
      <c r="F1025" s="77" t="s">
        <v>10170</v>
      </c>
      <c r="G1025" s="22"/>
      <c r="H1025" s="22"/>
    </row>
    <row r="1026" spans="1:8" ht="13.35" customHeight="1">
      <c r="A1026" s="82">
        <v>1</v>
      </c>
      <c r="B1026" s="83" t="s">
        <v>2670</v>
      </c>
      <c r="C1026" s="67" t="s">
        <v>2671</v>
      </c>
      <c r="D1026" s="91">
        <v>2450965500</v>
      </c>
      <c r="E1026" s="76">
        <v>96113975</v>
      </c>
      <c r="F1026" s="77" t="s">
        <v>10170</v>
      </c>
      <c r="G1026" s="22"/>
      <c r="H1026" s="22"/>
    </row>
    <row r="1027" spans="1:8" ht="13.35" customHeight="1">
      <c r="A1027" s="82">
        <v>1</v>
      </c>
      <c r="B1027" s="83" t="s">
        <v>2672</v>
      </c>
      <c r="C1027" s="67" t="s">
        <v>2673</v>
      </c>
      <c r="D1027" s="91">
        <v>2452495400</v>
      </c>
      <c r="E1027" s="76">
        <v>96113975</v>
      </c>
      <c r="F1027" s="77" t="s">
        <v>10170</v>
      </c>
      <c r="G1027" s="22"/>
      <c r="H1027" s="22"/>
    </row>
    <row r="1028" spans="1:8" ht="13.35" customHeight="1">
      <c r="A1028" s="82">
        <v>1</v>
      </c>
      <c r="B1028" s="83" t="s">
        <v>2674</v>
      </c>
      <c r="C1028" s="67" t="s">
        <v>2675</v>
      </c>
      <c r="D1028" s="91">
        <v>2390276100</v>
      </c>
      <c r="E1028" s="76">
        <v>93675582.5</v>
      </c>
      <c r="F1028" s="77" t="s">
        <v>10170</v>
      </c>
      <c r="G1028" s="22"/>
      <c r="H1028" s="22"/>
    </row>
    <row r="1029" spans="1:8" ht="13.35" customHeight="1">
      <c r="A1029" s="82">
        <v>1</v>
      </c>
      <c r="B1029" s="83" t="s">
        <v>2664</v>
      </c>
      <c r="C1029" s="67" t="s">
        <v>2665</v>
      </c>
      <c r="D1029" s="91">
        <v>2008951700</v>
      </c>
      <c r="E1029" s="76">
        <v>78731375</v>
      </c>
      <c r="F1029" s="77" t="s">
        <v>10170</v>
      </c>
      <c r="G1029" s="22"/>
      <c r="H1029" s="22"/>
    </row>
    <row r="1030" spans="1:8" ht="13.35" customHeight="1">
      <c r="A1030" s="82">
        <v>1</v>
      </c>
      <c r="B1030" s="83" t="s">
        <v>2666</v>
      </c>
      <c r="C1030" s="67" t="s">
        <v>2667</v>
      </c>
      <c r="D1030" s="91">
        <v>2008951700</v>
      </c>
      <c r="E1030" s="76">
        <v>78731375</v>
      </c>
      <c r="F1030" s="77" t="s">
        <v>10170</v>
      </c>
      <c r="G1030" s="22"/>
      <c r="H1030" s="22"/>
    </row>
    <row r="1031" spans="1:8" ht="13.35" customHeight="1">
      <c r="A1031" s="82">
        <v>1</v>
      </c>
      <c r="B1031" s="83" t="s">
        <v>2668</v>
      </c>
      <c r="C1031" s="67" t="s">
        <v>2669</v>
      </c>
      <c r="D1031" s="91">
        <v>1946732400</v>
      </c>
      <c r="E1031" s="76">
        <v>76292982.5</v>
      </c>
      <c r="F1031" s="77" t="s">
        <v>10170</v>
      </c>
      <c r="G1031" s="22"/>
      <c r="H1031" s="22"/>
    </row>
    <row r="1032" spans="1:8" ht="13.35" customHeight="1">
      <c r="A1032" s="82">
        <v>1</v>
      </c>
      <c r="B1032" s="83" t="s">
        <v>4752</v>
      </c>
      <c r="C1032" s="67" t="s">
        <v>4753</v>
      </c>
      <c r="D1032" s="91">
        <v>2880159200</v>
      </c>
      <c r="E1032" s="76">
        <v>112874235</v>
      </c>
      <c r="F1032" s="77" t="s">
        <v>10170</v>
      </c>
      <c r="G1032" s="22"/>
      <c r="H1032" s="22"/>
    </row>
    <row r="1033" spans="1:8" ht="13.35" customHeight="1">
      <c r="A1033" s="82">
        <v>1</v>
      </c>
      <c r="B1033" s="83" t="s">
        <v>4750</v>
      </c>
      <c r="C1033" s="67" t="s">
        <v>4751</v>
      </c>
      <c r="D1033" s="91">
        <v>1993003300</v>
      </c>
      <c r="E1033" s="76">
        <v>78106352.5</v>
      </c>
      <c r="F1033" s="77" t="s">
        <v>10170</v>
      </c>
      <c r="G1033" s="22"/>
      <c r="H1033" s="22"/>
    </row>
    <row r="1034" spans="1:8" ht="13.35" customHeight="1">
      <c r="A1034" s="82">
        <v>1</v>
      </c>
      <c r="B1034" s="83" t="s">
        <v>5292</v>
      </c>
      <c r="C1034" s="67" t="s">
        <v>5293</v>
      </c>
      <c r="D1034" s="91">
        <v>1993003300</v>
      </c>
      <c r="E1034" s="76">
        <v>78106352.5</v>
      </c>
      <c r="F1034" s="77" t="s">
        <v>10170</v>
      </c>
      <c r="G1034" s="22"/>
      <c r="H1034" s="22"/>
    </row>
    <row r="1035" spans="1:8" ht="13.35" customHeight="1">
      <c r="A1035" s="82">
        <v>1</v>
      </c>
      <c r="B1035" s="83" t="s">
        <v>4748</v>
      </c>
      <c r="C1035" s="67" t="s">
        <v>4749</v>
      </c>
      <c r="D1035" s="91">
        <v>1912508400</v>
      </c>
      <c r="E1035" s="76">
        <v>74951732.5</v>
      </c>
      <c r="F1035" s="77" t="s">
        <v>10170</v>
      </c>
      <c r="G1035" s="22"/>
      <c r="H1035" s="22"/>
    </row>
    <row r="1036" spans="1:8" ht="13.35" customHeight="1">
      <c r="A1036" s="82">
        <v>1</v>
      </c>
      <c r="B1036" s="83" t="s">
        <v>4784</v>
      </c>
      <c r="C1036" s="67" t="s">
        <v>4785</v>
      </c>
      <c r="D1036" s="91">
        <v>3278800900</v>
      </c>
      <c r="E1036" s="76">
        <v>128497115</v>
      </c>
      <c r="F1036" s="77" t="s">
        <v>10170</v>
      </c>
      <c r="G1036" s="22"/>
      <c r="H1036" s="22"/>
    </row>
    <row r="1037" spans="1:8" ht="13.35" customHeight="1">
      <c r="A1037" s="82">
        <v>1</v>
      </c>
      <c r="B1037" s="83" t="s">
        <v>4782</v>
      </c>
      <c r="C1037" s="67" t="s">
        <v>4783</v>
      </c>
      <c r="D1037" s="91">
        <v>2391645100</v>
      </c>
      <c r="E1037" s="76">
        <v>93729232.5</v>
      </c>
      <c r="F1037" s="77" t="s">
        <v>10170</v>
      </c>
      <c r="G1037" s="22"/>
      <c r="H1037" s="22"/>
    </row>
    <row r="1038" spans="1:8" ht="13.35" customHeight="1">
      <c r="A1038" s="82">
        <v>1</v>
      </c>
      <c r="B1038" s="83" t="s">
        <v>5295</v>
      </c>
      <c r="C1038" s="67" t="s">
        <v>5296</v>
      </c>
      <c r="D1038" s="91">
        <v>2391645100</v>
      </c>
      <c r="E1038" s="76">
        <v>93729232.5</v>
      </c>
      <c r="F1038" s="77" t="s">
        <v>10170</v>
      </c>
      <c r="G1038" s="22"/>
      <c r="H1038" s="22"/>
    </row>
    <row r="1039" spans="1:8" ht="13.35" customHeight="1">
      <c r="A1039" s="82">
        <v>1</v>
      </c>
      <c r="B1039" s="83" t="s">
        <v>4780</v>
      </c>
      <c r="C1039" s="67" t="s">
        <v>4781</v>
      </c>
      <c r="D1039" s="91">
        <v>2311150100</v>
      </c>
      <c r="E1039" s="76">
        <v>90574612.5</v>
      </c>
      <c r="F1039" s="77" t="s">
        <v>10170</v>
      </c>
      <c r="G1039" s="22"/>
      <c r="H1039" s="22"/>
    </row>
    <row r="1040" spans="1:8" ht="13.35" customHeight="1">
      <c r="A1040" s="82">
        <v>1</v>
      </c>
      <c r="B1040" s="83" t="s">
        <v>5200</v>
      </c>
      <c r="C1040" s="67" t="s">
        <v>5201</v>
      </c>
      <c r="D1040" s="91">
        <v>2790218300</v>
      </c>
      <c r="E1040" s="76">
        <v>109349429.99999999</v>
      </c>
      <c r="F1040" s="77" t="s">
        <v>10170</v>
      </c>
      <c r="G1040" s="22"/>
      <c r="H1040" s="22"/>
    </row>
    <row r="1041" spans="1:8" ht="13.35" customHeight="1">
      <c r="A1041" s="82">
        <v>1</v>
      </c>
      <c r="B1041" s="83" t="s">
        <v>5290</v>
      </c>
      <c r="C1041" s="67" t="s">
        <v>5291</v>
      </c>
      <c r="D1041" s="91">
        <v>2790218300</v>
      </c>
      <c r="E1041" s="76">
        <v>109349429.99999999</v>
      </c>
      <c r="F1041" s="77" t="s">
        <v>10170</v>
      </c>
      <c r="G1041" s="22"/>
      <c r="H1041" s="22"/>
    </row>
    <row r="1042" spans="1:8" ht="13.35" customHeight="1">
      <c r="A1042" s="82">
        <v>1</v>
      </c>
      <c r="B1042" s="83" t="s">
        <v>5202</v>
      </c>
      <c r="C1042" s="67" t="s">
        <v>5203</v>
      </c>
      <c r="D1042" s="91">
        <v>2709791800</v>
      </c>
      <c r="E1042" s="76">
        <v>106197492.49999999</v>
      </c>
      <c r="F1042" s="77" t="s">
        <v>10170</v>
      </c>
      <c r="G1042" s="22"/>
      <c r="H1042" s="22"/>
    </row>
    <row r="1043" spans="1:8" ht="13.35" customHeight="1">
      <c r="A1043" s="82">
        <v>1</v>
      </c>
      <c r="B1043" s="83" t="s">
        <v>4768</v>
      </c>
      <c r="C1043" s="67" t="s">
        <v>4769</v>
      </c>
      <c r="D1043" s="91">
        <v>3677374200</v>
      </c>
      <c r="E1043" s="76">
        <v>144117312.5</v>
      </c>
      <c r="F1043" s="77" t="s">
        <v>10170</v>
      </c>
      <c r="G1043" s="22"/>
      <c r="H1043" s="22"/>
    </row>
    <row r="1044" spans="1:8" ht="13.35" customHeight="1">
      <c r="A1044" s="82">
        <v>1</v>
      </c>
      <c r="B1044" s="83" t="s">
        <v>4766</v>
      </c>
      <c r="C1044" s="67" t="s">
        <v>4767</v>
      </c>
      <c r="D1044" s="91">
        <v>2790218300</v>
      </c>
      <c r="E1044" s="76">
        <v>109349429.99999999</v>
      </c>
      <c r="F1044" s="77" t="s">
        <v>10170</v>
      </c>
      <c r="G1044" s="22"/>
      <c r="H1044" s="22"/>
    </row>
    <row r="1045" spans="1:8" ht="13.35" customHeight="1">
      <c r="A1045" s="82">
        <v>1</v>
      </c>
      <c r="B1045" s="83" t="s">
        <v>5294</v>
      </c>
      <c r="C1045" s="67" t="s">
        <v>5291</v>
      </c>
      <c r="D1045" s="91">
        <v>2790218300</v>
      </c>
      <c r="E1045" s="76">
        <v>109349429.99999999</v>
      </c>
      <c r="F1045" s="77" t="s">
        <v>10170</v>
      </c>
      <c r="G1045" s="22"/>
      <c r="H1045" s="22"/>
    </row>
    <row r="1046" spans="1:8" ht="13.35" customHeight="1">
      <c r="A1046" s="82">
        <v>1</v>
      </c>
      <c r="B1046" s="83" t="s">
        <v>4764</v>
      </c>
      <c r="C1046" s="67" t="s">
        <v>4765</v>
      </c>
      <c r="D1046" s="91">
        <v>2709791800</v>
      </c>
      <c r="E1046" s="76">
        <v>106197492.49999999</v>
      </c>
      <c r="F1046" s="77" t="s">
        <v>10170</v>
      </c>
      <c r="G1046" s="22"/>
      <c r="H1046" s="22"/>
    </row>
    <row r="1047" spans="1:8" ht="13.35" customHeight="1">
      <c r="A1047" s="82">
        <v>1</v>
      </c>
      <c r="B1047" s="83" t="s">
        <v>3815</v>
      </c>
      <c r="C1047" s="67" t="s">
        <v>3816</v>
      </c>
      <c r="D1047" s="91">
        <v>6512631400</v>
      </c>
      <c r="E1047" s="76">
        <v>255231827.50000003</v>
      </c>
      <c r="F1047" s="77" t="s">
        <v>10170</v>
      </c>
      <c r="G1047" s="22"/>
      <c r="H1047" s="22"/>
    </row>
    <row r="1048" spans="1:8" ht="13.35" customHeight="1">
      <c r="A1048" s="82">
        <v>1</v>
      </c>
      <c r="B1048" s="83" t="s">
        <v>4318</v>
      </c>
      <c r="C1048" s="67" t="s">
        <v>4319</v>
      </c>
      <c r="D1048" s="91">
        <v>5249011000</v>
      </c>
      <c r="E1048" s="76">
        <v>205710195</v>
      </c>
      <c r="F1048" s="77" t="s">
        <v>10170</v>
      </c>
      <c r="G1048" s="22"/>
      <c r="H1048" s="22"/>
    </row>
    <row r="1049" spans="1:8" ht="13.35" customHeight="1">
      <c r="A1049" s="82">
        <v>1</v>
      </c>
      <c r="B1049" s="83" t="s">
        <v>3811</v>
      </c>
      <c r="C1049" s="67" t="s">
        <v>3812</v>
      </c>
      <c r="D1049" s="91">
        <v>5181931900</v>
      </c>
      <c r="E1049" s="76">
        <v>203081345</v>
      </c>
      <c r="F1049" s="77" t="s">
        <v>10170</v>
      </c>
      <c r="G1049" s="22"/>
      <c r="H1049" s="22"/>
    </row>
    <row r="1050" spans="1:8" ht="13.35" customHeight="1">
      <c r="A1050" s="82">
        <v>1</v>
      </c>
      <c r="B1050" s="83" t="s">
        <v>3813</v>
      </c>
      <c r="C1050" s="67" t="s">
        <v>3814</v>
      </c>
      <c r="D1050" s="91">
        <v>5049963900</v>
      </c>
      <c r="E1050" s="76">
        <v>197909484.99999997</v>
      </c>
      <c r="F1050" s="77" t="s">
        <v>10170</v>
      </c>
      <c r="G1050" s="22"/>
      <c r="H1050" s="22"/>
    </row>
    <row r="1051" spans="1:8" ht="13.35" customHeight="1">
      <c r="A1051" s="82">
        <v>1</v>
      </c>
      <c r="B1051" s="83" t="s">
        <v>3821</v>
      </c>
      <c r="C1051" s="67" t="s">
        <v>3822</v>
      </c>
      <c r="D1051" s="91">
        <v>7509167300</v>
      </c>
      <c r="E1051" s="76">
        <v>294286345</v>
      </c>
      <c r="F1051" s="77" t="s">
        <v>10170</v>
      </c>
      <c r="G1051" s="22"/>
      <c r="H1051" s="22"/>
    </row>
    <row r="1052" spans="1:8" ht="13.35" customHeight="1">
      <c r="A1052" s="82">
        <v>1</v>
      </c>
      <c r="B1052" s="83" t="s">
        <v>4320</v>
      </c>
      <c r="C1052" s="67" t="s">
        <v>4321</v>
      </c>
      <c r="D1052" s="91">
        <v>6245546900</v>
      </c>
      <c r="E1052" s="76">
        <v>244764712.5</v>
      </c>
      <c r="F1052" s="77" t="s">
        <v>10170</v>
      </c>
      <c r="G1052" s="22"/>
      <c r="H1052" s="22"/>
    </row>
    <row r="1053" spans="1:8" ht="13.35" customHeight="1">
      <c r="A1053" s="82">
        <v>1</v>
      </c>
      <c r="B1053" s="83" t="s">
        <v>3817</v>
      </c>
      <c r="C1053" s="67" t="s">
        <v>3818</v>
      </c>
      <c r="D1053" s="91">
        <v>6178467700</v>
      </c>
      <c r="E1053" s="76">
        <v>242135862.5</v>
      </c>
      <c r="F1053" s="77" t="s">
        <v>10170</v>
      </c>
      <c r="G1053" s="22"/>
      <c r="H1053" s="22"/>
    </row>
    <row r="1054" spans="1:8" ht="13.35" customHeight="1">
      <c r="A1054" s="82">
        <v>1</v>
      </c>
      <c r="B1054" s="83" t="s">
        <v>3819</v>
      </c>
      <c r="C1054" s="67" t="s">
        <v>3820</v>
      </c>
      <c r="D1054" s="91">
        <v>6046499800</v>
      </c>
      <c r="E1054" s="76">
        <v>236964002.50000003</v>
      </c>
      <c r="F1054" s="77" t="s">
        <v>10170</v>
      </c>
      <c r="G1054" s="22"/>
      <c r="H1054" s="22"/>
    </row>
    <row r="1055" spans="1:8" ht="13.35" customHeight="1">
      <c r="A1055" s="82">
        <v>1</v>
      </c>
      <c r="B1055" s="83" t="s">
        <v>3827</v>
      </c>
      <c r="C1055" s="67" t="s">
        <v>3828</v>
      </c>
      <c r="D1055" s="91">
        <v>8306382300</v>
      </c>
      <c r="E1055" s="76">
        <v>325529422.5</v>
      </c>
      <c r="F1055" s="77" t="s">
        <v>10170</v>
      </c>
      <c r="G1055" s="22"/>
      <c r="H1055" s="22"/>
    </row>
    <row r="1056" spans="1:8" ht="13.35" customHeight="1">
      <c r="A1056" s="82">
        <v>1</v>
      </c>
      <c r="B1056" s="83" t="s">
        <v>4322</v>
      </c>
      <c r="C1056" s="67" t="s">
        <v>4323</v>
      </c>
      <c r="D1056" s="91">
        <v>7042761900</v>
      </c>
      <c r="E1056" s="76">
        <v>276007790</v>
      </c>
      <c r="F1056" s="77" t="s">
        <v>10170</v>
      </c>
      <c r="G1056" s="22"/>
      <c r="H1056" s="22"/>
    </row>
    <row r="1057" spans="1:8" ht="13.35" customHeight="1">
      <c r="A1057" s="82">
        <v>1</v>
      </c>
      <c r="B1057" s="83" t="s">
        <v>3823</v>
      </c>
      <c r="C1057" s="67" t="s">
        <v>3824</v>
      </c>
      <c r="D1057" s="91">
        <v>6975682800</v>
      </c>
      <c r="E1057" s="76">
        <v>273378940</v>
      </c>
      <c r="F1057" s="77" t="s">
        <v>10170</v>
      </c>
      <c r="G1057" s="22"/>
      <c r="H1057" s="22"/>
    </row>
    <row r="1058" spans="1:8" ht="13.35" customHeight="1">
      <c r="A1058" s="82">
        <v>1</v>
      </c>
      <c r="B1058" s="83" t="s">
        <v>3825</v>
      </c>
      <c r="C1058" s="67" t="s">
        <v>3826</v>
      </c>
      <c r="D1058" s="91">
        <v>6843714800</v>
      </c>
      <c r="E1058" s="76">
        <v>268207080</v>
      </c>
      <c r="F1058" s="77" t="s">
        <v>10170</v>
      </c>
      <c r="G1058" s="22"/>
      <c r="H1058" s="22"/>
    </row>
    <row r="1059" spans="1:8" ht="13.35" customHeight="1">
      <c r="A1059" s="82">
        <v>1</v>
      </c>
      <c r="B1059" s="83" t="s">
        <v>4330</v>
      </c>
      <c r="C1059" s="67" t="s">
        <v>4331</v>
      </c>
      <c r="D1059" s="91">
        <v>4918201300</v>
      </c>
      <c r="E1059" s="76">
        <v>192745672.49999997</v>
      </c>
      <c r="F1059" s="77" t="s">
        <v>10170</v>
      </c>
      <c r="G1059" s="22"/>
      <c r="H1059" s="22"/>
    </row>
    <row r="1060" spans="1:8" ht="13.35" customHeight="1">
      <c r="A1060" s="82">
        <v>1</v>
      </c>
      <c r="B1060" s="83" t="s">
        <v>4328</v>
      </c>
      <c r="C1060" s="67" t="s">
        <v>4329</v>
      </c>
      <c r="D1060" s="91">
        <v>3607461300</v>
      </c>
      <c r="E1060" s="76">
        <v>141377407</v>
      </c>
      <c r="F1060" s="77" t="s">
        <v>10170</v>
      </c>
      <c r="G1060" s="22"/>
      <c r="H1060" s="22"/>
    </row>
    <row r="1061" spans="1:8" ht="13.35" customHeight="1">
      <c r="A1061" s="82">
        <v>1</v>
      </c>
      <c r="B1061" s="83" t="s">
        <v>4324</v>
      </c>
      <c r="C1061" s="67" t="s">
        <v>4325</v>
      </c>
      <c r="D1061" s="91">
        <v>3587501800</v>
      </c>
      <c r="E1061" s="76">
        <v>140595190</v>
      </c>
      <c r="F1061" s="77" t="s">
        <v>10170</v>
      </c>
      <c r="G1061" s="22"/>
      <c r="H1061" s="22"/>
    </row>
    <row r="1062" spans="1:8" ht="13.35" customHeight="1">
      <c r="A1062" s="82">
        <v>1</v>
      </c>
      <c r="B1062" s="83" t="s">
        <v>4326</v>
      </c>
      <c r="C1062" s="67" t="s">
        <v>4327</v>
      </c>
      <c r="D1062" s="91">
        <v>3470455600</v>
      </c>
      <c r="E1062" s="76">
        <v>136008115</v>
      </c>
      <c r="F1062" s="77" t="s">
        <v>10170</v>
      </c>
      <c r="G1062" s="22"/>
      <c r="H1062" s="22"/>
    </row>
    <row r="1063" spans="1:8" ht="13.35" customHeight="1">
      <c r="A1063" s="82">
        <v>1</v>
      </c>
      <c r="B1063" s="83" t="s">
        <v>4338</v>
      </c>
      <c r="C1063" s="67" t="s">
        <v>4339</v>
      </c>
      <c r="D1063" s="91">
        <v>5516095500</v>
      </c>
      <c r="E1063" s="76">
        <v>216177309.99999997</v>
      </c>
      <c r="F1063" s="77" t="s">
        <v>10170</v>
      </c>
      <c r="G1063" s="22"/>
      <c r="H1063" s="22"/>
    </row>
    <row r="1064" spans="1:8" ht="13.35" customHeight="1">
      <c r="A1064" s="82">
        <v>1</v>
      </c>
      <c r="B1064" s="83" t="s">
        <v>4336</v>
      </c>
      <c r="C1064" s="67" t="s">
        <v>4337</v>
      </c>
      <c r="D1064" s="91">
        <v>4205355400</v>
      </c>
      <c r="E1064" s="76">
        <v>164809044.5</v>
      </c>
      <c r="F1064" s="77" t="s">
        <v>10170</v>
      </c>
      <c r="G1064" s="22"/>
      <c r="H1064" s="22"/>
    </row>
    <row r="1065" spans="1:8" ht="13.35" customHeight="1">
      <c r="A1065" s="82">
        <v>1</v>
      </c>
      <c r="B1065" s="83" t="s">
        <v>4332</v>
      </c>
      <c r="C1065" s="67" t="s">
        <v>4333</v>
      </c>
      <c r="D1065" s="91">
        <v>4185396000</v>
      </c>
      <c r="E1065" s="76">
        <v>164026827.5</v>
      </c>
      <c r="F1065" s="77" t="s">
        <v>10170</v>
      </c>
      <c r="G1065" s="22"/>
      <c r="H1065" s="22"/>
    </row>
    <row r="1066" spans="1:8" ht="13.35" customHeight="1">
      <c r="A1066" s="82">
        <v>1</v>
      </c>
      <c r="B1066" s="83" t="s">
        <v>4334</v>
      </c>
      <c r="C1066" s="67" t="s">
        <v>4335</v>
      </c>
      <c r="D1066" s="91">
        <v>4068349700</v>
      </c>
      <c r="E1066" s="76">
        <v>159439752.5</v>
      </c>
      <c r="F1066" s="77" t="s">
        <v>10170</v>
      </c>
      <c r="G1066" s="22"/>
      <c r="H1066" s="22"/>
    </row>
    <row r="1067" spans="1:8" ht="13.35" customHeight="1">
      <c r="A1067" s="82">
        <v>1</v>
      </c>
      <c r="B1067" s="83" t="s">
        <v>5284</v>
      </c>
      <c r="C1067" s="67" t="s">
        <v>4341</v>
      </c>
      <c r="D1067" s="91">
        <v>4783290100</v>
      </c>
      <c r="E1067" s="76">
        <v>187458465</v>
      </c>
      <c r="F1067" s="77" t="s">
        <v>10170</v>
      </c>
      <c r="G1067" s="22"/>
      <c r="H1067" s="22"/>
    </row>
    <row r="1068" spans="1:8" ht="13.35" customHeight="1">
      <c r="A1068" s="82">
        <v>1</v>
      </c>
      <c r="B1068" s="83" t="s">
        <v>5285</v>
      </c>
      <c r="C1068" s="67" t="s">
        <v>4343</v>
      </c>
      <c r="D1068" s="91">
        <v>4666243900</v>
      </c>
      <c r="E1068" s="76">
        <v>182871390</v>
      </c>
      <c r="F1068" s="77" t="s">
        <v>10170</v>
      </c>
      <c r="G1068" s="22"/>
      <c r="H1068" s="22"/>
    </row>
    <row r="1069" spans="1:8" ht="13.35" customHeight="1">
      <c r="A1069" s="82">
        <v>1</v>
      </c>
      <c r="B1069" s="83" t="s">
        <v>4967</v>
      </c>
      <c r="C1069" s="67" t="s">
        <v>4968</v>
      </c>
      <c r="D1069" s="91">
        <v>6113989600</v>
      </c>
      <c r="E1069" s="76">
        <v>239608947.49999997</v>
      </c>
      <c r="F1069" s="77" t="s">
        <v>10170</v>
      </c>
      <c r="G1069" s="22"/>
      <c r="H1069" s="22"/>
    </row>
    <row r="1070" spans="1:8" ht="13.35" customHeight="1">
      <c r="A1070" s="82">
        <v>1</v>
      </c>
      <c r="B1070" s="83" t="s">
        <v>4344</v>
      </c>
      <c r="C1070" s="67" t="s">
        <v>4345</v>
      </c>
      <c r="D1070" s="91">
        <v>4803249600</v>
      </c>
      <c r="E1070" s="76">
        <v>188240682</v>
      </c>
      <c r="F1070" s="77" t="s">
        <v>10170</v>
      </c>
      <c r="G1070" s="22"/>
      <c r="H1070" s="22"/>
    </row>
    <row r="1071" spans="1:8" ht="13.35" customHeight="1">
      <c r="A1071" s="82">
        <v>1</v>
      </c>
      <c r="B1071" s="83" t="s">
        <v>4340</v>
      </c>
      <c r="C1071" s="67" t="s">
        <v>4341</v>
      </c>
      <c r="D1071" s="91">
        <v>4783290100</v>
      </c>
      <c r="E1071" s="76">
        <v>187458465</v>
      </c>
      <c r="F1071" s="77" t="s">
        <v>10170</v>
      </c>
      <c r="G1071" s="22"/>
      <c r="H1071" s="22"/>
    </row>
    <row r="1072" spans="1:8" ht="13.35" customHeight="1">
      <c r="A1072" s="82">
        <v>1</v>
      </c>
      <c r="B1072" s="83" t="s">
        <v>4342</v>
      </c>
      <c r="C1072" s="67" t="s">
        <v>4343</v>
      </c>
      <c r="D1072" s="91">
        <v>4666243900</v>
      </c>
      <c r="E1072" s="76">
        <v>182871390</v>
      </c>
      <c r="F1072" s="77" t="s">
        <v>10170</v>
      </c>
      <c r="G1072" s="22"/>
      <c r="H1072" s="22"/>
    </row>
    <row r="1073" spans="1:8" ht="13.35" customHeight="1">
      <c r="A1073" s="82">
        <v>1</v>
      </c>
      <c r="B1073" s="83" t="s">
        <v>1930</v>
      </c>
      <c r="C1073" s="67" t="s">
        <v>1931</v>
      </c>
      <c r="D1073" s="91">
        <v>4458777700</v>
      </c>
      <c r="E1073" s="76">
        <v>174740732.5</v>
      </c>
      <c r="F1073" s="77" t="s">
        <v>10170</v>
      </c>
      <c r="G1073" s="22"/>
      <c r="H1073" s="22"/>
    </row>
    <row r="1074" spans="1:8" ht="13.35" customHeight="1">
      <c r="A1074" s="82">
        <v>1</v>
      </c>
      <c r="B1074" s="83" t="s">
        <v>1928</v>
      </c>
      <c r="C1074" s="67" t="s">
        <v>1929</v>
      </c>
      <c r="D1074" s="91">
        <v>4378556500</v>
      </c>
      <c r="E1074" s="76">
        <v>171596842.5</v>
      </c>
      <c r="F1074" s="77" t="s">
        <v>10170</v>
      </c>
      <c r="G1074" s="22"/>
      <c r="H1074" s="22"/>
    </row>
    <row r="1075" spans="1:8" ht="13.35" customHeight="1">
      <c r="A1075" s="82">
        <v>1</v>
      </c>
      <c r="B1075" s="83" t="s">
        <v>1926</v>
      </c>
      <c r="C1075" s="67" t="s">
        <v>1927</v>
      </c>
      <c r="D1075" s="91">
        <v>3571621900</v>
      </c>
      <c r="E1075" s="76">
        <v>139972850</v>
      </c>
      <c r="F1075" s="77" t="s">
        <v>10170</v>
      </c>
      <c r="G1075" s="22"/>
      <c r="H1075" s="22"/>
    </row>
    <row r="1076" spans="1:8" ht="13.35" customHeight="1">
      <c r="A1076" s="82">
        <v>1</v>
      </c>
      <c r="B1076" s="83" t="s">
        <v>1924</v>
      </c>
      <c r="C1076" s="67" t="s">
        <v>1925</v>
      </c>
      <c r="D1076" s="91">
        <v>3491400700</v>
      </c>
      <c r="E1076" s="76">
        <v>136828960</v>
      </c>
      <c r="F1076" s="77" t="s">
        <v>10170</v>
      </c>
      <c r="G1076" s="22"/>
      <c r="H1076" s="22"/>
    </row>
    <row r="1077" spans="1:8" ht="13.35" customHeight="1">
      <c r="A1077" s="82">
        <v>1</v>
      </c>
      <c r="B1077" s="83" t="s">
        <v>1989</v>
      </c>
      <c r="C1077" s="67" t="s">
        <v>1990</v>
      </c>
      <c r="D1077" s="91">
        <v>3991181300</v>
      </c>
      <c r="E1077" s="76">
        <v>156415502</v>
      </c>
      <c r="F1077" s="77" t="s">
        <v>10170</v>
      </c>
      <c r="G1077" s="22"/>
      <c r="H1077" s="22"/>
    </row>
    <row r="1078" spans="1:8" ht="13.35" customHeight="1">
      <c r="A1078" s="82">
        <v>1</v>
      </c>
      <c r="B1078" s="83" t="s">
        <v>1991</v>
      </c>
      <c r="C1078" s="67" t="s">
        <v>1992</v>
      </c>
      <c r="D1078" s="91">
        <v>3932138000</v>
      </c>
      <c r="E1078" s="76">
        <v>154101577.5</v>
      </c>
      <c r="F1078" s="77" t="s">
        <v>10170</v>
      </c>
      <c r="G1078" s="22"/>
      <c r="H1078" s="22"/>
    </row>
    <row r="1079" spans="1:8" ht="13.35" customHeight="1">
      <c r="A1079" s="82">
        <v>1</v>
      </c>
      <c r="B1079" s="83" t="s">
        <v>1987</v>
      </c>
      <c r="C1079" s="67" t="s">
        <v>1988</v>
      </c>
      <c r="D1079" s="91">
        <v>3044982200</v>
      </c>
      <c r="E1079" s="76">
        <v>119333695.00000001</v>
      </c>
      <c r="F1079" s="77" t="s">
        <v>10170</v>
      </c>
      <c r="G1079" s="22"/>
      <c r="H1079" s="22"/>
    </row>
    <row r="1080" spans="1:8" ht="13.35" customHeight="1">
      <c r="A1080" s="82">
        <v>1</v>
      </c>
      <c r="B1080" s="83" t="s">
        <v>1985</v>
      </c>
      <c r="C1080" s="67" t="s">
        <v>1986</v>
      </c>
      <c r="D1080" s="91">
        <v>2649557500</v>
      </c>
      <c r="E1080" s="76">
        <v>103836892.49999999</v>
      </c>
      <c r="F1080" s="77" t="s">
        <v>10170</v>
      </c>
      <c r="G1080" s="22"/>
      <c r="H1080" s="22"/>
    </row>
    <row r="1081" spans="1:8" ht="13.35" customHeight="1">
      <c r="A1081" s="82">
        <v>1</v>
      </c>
      <c r="B1081" s="83" t="s">
        <v>1605</v>
      </c>
      <c r="C1081" s="67" t="s">
        <v>1606</v>
      </c>
      <c r="D1081" s="91">
        <v>2576386500</v>
      </c>
      <c r="E1081" s="76">
        <v>100969300</v>
      </c>
      <c r="F1081" s="77" t="s">
        <v>10170</v>
      </c>
      <c r="G1081" s="22"/>
      <c r="H1081" s="22"/>
    </row>
    <row r="1082" spans="1:8" ht="13.35" customHeight="1">
      <c r="A1082" s="82">
        <v>1</v>
      </c>
      <c r="B1082" s="83" t="s">
        <v>1849</v>
      </c>
      <c r="C1082" s="67" t="s">
        <v>1850</v>
      </c>
      <c r="D1082" s="91">
        <v>4458777700</v>
      </c>
      <c r="E1082" s="76">
        <v>174740732.5</v>
      </c>
      <c r="F1082" s="77" t="s">
        <v>10170</v>
      </c>
      <c r="G1082" s="22"/>
      <c r="H1082" s="22"/>
    </row>
    <row r="1083" spans="1:8" ht="13.35" customHeight="1">
      <c r="A1083" s="82">
        <v>1</v>
      </c>
      <c r="B1083" s="83" t="s">
        <v>1851</v>
      </c>
      <c r="C1083" s="67" t="s">
        <v>1852</v>
      </c>
      <c r="D1083" s="91">
        <v>4378556500</v>
      </c>
      <c r="E1083" s="76">
        <v>171596842.5</v>
      </c>
      <c r="F1083" s="77" t="s">
        <v>10170</v>
      </c>
      <c r="G1083" s="22"/>
      <c r="H1083" s="22"/>
    </row>
    <row r="1084" spans="1:8" ht="13.35" customHeight="1">
      <c r="A1084" s="82">
        <v>1</v>
      </c>
      <c r="B1084" s="83" t="s">
        <v>1847</v>
      </c>
      <c r="C1084" s="67" t="s">
        <v>1848</v>
      </c>
      <c r="D1084" s="91">
        <v>3571621900</v>
      </c>
      <c r="E1084" s="76">
        <v>139972850</v>
      </c>
      <c r="F1084" s="77" t="s">
        <v>10170</v>
      </c>
      <c r="G1084" s="22"/>
      <c r="H1084" s="22"/>
    </row>
    <row r="1085" spans="1:8" ht="13.35" customHeight="1">
      <c r="A1085" s="82">
        <v>1</v>
      </c>
      <c r="B1085" s="83" t="s">
        <v>1607</v>
      </c>
      <c r="C1085" s="67" t="s">
        <v>1608</v>
      </c>
      <c r="D1085" s="91">
        <v>3491400700</v>
      </c>
      <c r="E1085" s="76">
        <v>136828960</v>
      </c>
      <c r="F1085" s="77" t="s">
        <v>10170</v>
      </c>
      <c r="G1085" s="22"/>
      <c r="H1085" s="22"/>
    </row>
    <row r="1086" spans="1:8" ht="13.35" customHeight="1">
      <c r="A1086" s="82">
        <v>1</v>
      </c>
      <c r="B1086" s="83" t="s">
        <v>1843</v>
      </c>
      <c r="C1086" s="67" t="s">
        <v>1844</v>
      </c>
      <c r="D1086" s="91">
        <v>3977765500</v>
      </c>
      <c r="E1086" s="76">
        <v>155889732</v>
      </c>
      <c r="F1086" s="77" t="s">
        <v>10170</v>
      </c>
      <c r="G1086" s="22"/>
      <c r="H1086" s="22"/>
    </row>
    <row r="1087" spans="1:8" ht="13.35" customHeight="1">
      <c r="A1087" s="82">
        <v>1</v>
      </c>
      <c r="B1087" s="83" t="s">
        <v>1845</v>
      </c>
      <c r="C1087" s="67" t="s">
        <v>1846</v>
      </c>
      <c r="D1087" s="91">
        <v>3918722200</v>
      </c>
      <c r="E1087" s="76">
        <v>153575807.5</v>
      </c>
      <c r="F1087" s="77" t="s">
        <v>10170</v>
      </c>
      <c r="G1087" s="22"/>
      <c r="H1087" s="22"/>
    </row>
    <row r="1088" spans="1:8" ht="13.35" customHeight="1">
      <c r="A1088" s="82">
        <v>1</v>
      </c>
      <c r="B1088" s="83" t="s">
        <v>1841</v>
      </c>
      <c r="C1088" s="67" t="s">
        <v>1842</v>
      </c>
      <c r="D1088" s="91">
        <v>3031566300</v>
      </c>
      <c r="E1088" s="76">
        <v>118807925</v>
      </c>
      <c r="F1088" s="77" t="s">
        <v>10170</v>
      </c>
      <c r="G1088" s="22"/>
      <c r="H1088" s="22"/>
    </row>
    <row r="1089" spans="1:8" ht="13.35" customHeight="1">
      <c r="A1089" s="82">
        <v>1</v>
      </c>
      <c r="B1089" s="83" t="s">
        <v>1839</v>
      </c>
      <c r="C1089" s="67" t="s">
        <v>1840</v>
      </c>
      <c r="D1089" s="91">
        <v>2649557500</v>
      </c>
      <c r="E1089" s="76">
        <v>103836892.49999999</v>
      </c>
      <c r="F1089" s="77" t="s">
        <v>10170</v>
      </c>
      <c r="G1089" s="22"/>
      <c r="H1089" s="22"/>
    </row>
    <row r="1090" spans="1:8" ht="13.35" customHeight="1">
      <c r="A1090" s="82">
        <v>1</v>
      </c>
      <c r="B1090" s="83" t="s">
        <v>1603</v>
      </c>
      <c r="C1090" s="67" t="s">
        <v>1604</v>
      </c>
      <c r="D1090" s="91">
        <v>2564202700</v>
      </c>
      <c r="E1090" s="76">
        <v>100491815</v>
      </c>
      <c r="F1090" s="77" t="s">
        <v>10170</v>
      </c>
      <c r="G1090" s="22"/>
      <c r="H1090" s="22"/>
    </row>
    <row r="1091" spans="1:8" ht="13.35" customHeight="1">
      <c r="A1091" s="82">
        <v>1</v>
      </c>
      <c r="B1091" s="83" t="s">
        <v>1697</v>
      </c>
      <c r="C1091" s="67" t="s">
        <v>1698</v>
      </c>
      <c r="D1091" s="91">
        <v>2452495400</v>
      </c>
      <c r="E1091" s="76">
        <v>96113975</v>
      </c>
      <c r="F1091" s="77" t="s">
        <v>10170</v>
      </c>
      <c r="G1091" s="22"/>
      <c r="H1091" s="22"/>
    </row>
    <row r="1092" spans="1:8" ht="13.35" customHeight="1">
      <c r="A1092" s="82">
        <v>1</v>
      </c>
      <c r="B1092" s="83" t="s">
        <v>1821</v>
      </c>
      <c r="C1092" s="67" t="s">
        <v>1822</v>
      </c>
      <c r="D1092" s="91">
        <v>2452495400</v>
      </c>
      <c r="E1092" s="76">
        <v>96113975</v>
      </c>
      <c r="F1092" s="77" t="s">
        <v>10170</v>
      </c>
      <c r="G1092" s="22"/>
      <c r="H1092" s="22"/>
    </row>
    <row r="1093" spans="1:8" ht="13.35" customHeight="1">
      <c r="A1093" s="82">
        <v>1</v>
      </c>
      <c r="B1093" s="83" t="s">
        <v>1699</v>
      </c>
      <c r="C1093" s="67" t="s">
        <v>1700</v>
      </c>
      <c r="D1093" s="91">
        <v>2390276100</v>
      </c>
      <c r="E1093" s="76">
        <v>93675582.5</v>
      </c>
      <c r="F1093" s="77" t="s">
        <v>10170</v>
      </c>
      <c r="G1093" s="22"/>
      <c r="H1093" s="22"/>
    </row>
    <row r="1094" spans="1:8" ht="13.35" customHeight="1">
      <c r="A1094" s="82">
        <v>1</v>
      </c>
      <c r="B1094" s="83" t="s">
        <v>1693</v>
      </c>
      <c r="C1094" s="67" t="s">
        <v>1694</v>
      </c>
      <c r="D1094" s="91">
        <v>2008951700</v>
      </c>
      <c r="E1094" s="76">
        <v>78731375</v>
      </c>
      <c r="F1094" s="77" t="s">
        <v>10170</v>
      </c>
      <c r="G1094" s="22"/>
      <c r="H1094" s="22"/>
    </row>
    <row r="1095" spans="1:8" ht="13.35" customHeight="1">
      <c r="A1095" s="82">
        <v>1</v>
      </c>
      <c r="B1095" s="83" t="s">
        <v>1819</v>
      </c>
      <c r="C1095" s="67" t="s">
        <v>1820</v>
      </c>
      <c r="D1095" s="91">
        <v>2008951700</v>
      </c>
      <c r="E1095" s="76">
        <v>78731375</v>
      </c>
      <c r="F1095" s="77" t="s">
        <v>10170</v>
      </c>
      <c r="G1095" s="22"/>
      <c r="H1095" s="22"/>
    </row>
    <row r="1096" spans="1:8" ht="13.35" customHeight="1">
      <c r="A1096" s="82">
        <v>1</v>
      </c>
      <c r="B1096" s="83" t="s">
        <v>1695</v>
      </c>
      <c r="C1096" s="67" t="s">
        <v>1696</v>
      </c>
      <c r="D1096" s="91">
        <v>1946732400</v>
      </c>
      <c r="E1096" s="76">
        <v>76292982.5</v>
      </c>
      <c r="F1096" s="77" t="s">
        <v>10170</v>
      </c>
      <c r="G1096" s="22"/>
      <c r="H1096" s="22"/>
    </row>
    <row r="1097" spans="1:8" ht="13.35" customHeight="1">
      <c r="A1097" s="82">
        <v>1</v>
      </c>
      <c r="B1097" s="83" t="s">
        <v>1796</v>
      </c>
      <c r="C1097" s="67" t="s">
        <v>1797</v>
      </c>
      <c r="D1097" s="91">
        <v>2221373600</v>
      </c>
      <c r="E1097" s="76">
        <v>87056245.5</v>
      </c>
      <c r="F1097" s="77" t="s">
        <v>10170</v>
      </c>
      <c r="G1097" s="22"/>
      <c r="H1097" s="22"/>
    </row>
    <row r="1098" spans="1:8" ht="13.35" customHeight="1">
      <c r="A1098" s="82">
        <v>1</v>
      </c>
      <c r="B1098" s="83" t="s">
        <v>1817</v>
      </c>
      <c r="C1098" s="67" t="s">
        <v>1818</v>
      </c>
      <c r="D1098" s="91">
        <v>2221373600</v>
      </c>
      <c r="E1098" s="76">
        <v>87056245.5</v>
      </c>
      <c r="F1098" s="77" t="s">
        <v>10170</v>
      </c>
      <c r="G1098" s="22"/>
      <c r="H1098" s="22"/>
    </row>
    <row r="1099" spans="1:8" ht="13.35" customHeight="1">
      <c r="A1099" s="82">
        <v>1</v>
      </c>
      <c r="B1099" s="83" t="s">
        <v>1798</v>
      </c>
      <c r="C1099" s="67" t="s">
        <v>1799</v>
      </c>
      <c r="D1099" s="91">
        <v>2167066800</v>
      </c>
      <c r="E1099" s="76">
        <v>84927950</v>
      </c>
      <c r="F1099" s="77" t="s">
        <v>10170</v>
      </c>
      <c r="G1099" s="22"/>
      <c r="H1099" s="22"/>
    </row>
    <row r="1100" spans="1:8" ht="13.35" customHeight="1">
      <c r="A1100" s="82">
        <v>1</v>
      </c>
      <c r="B1100" s="83" t="s">
        <v>1794</v>
      </c>
      <c r="C1100" s="67" t="s">
        <v>1795</v>
      </c>
      <c r="D1100" s="91">
        <v>1723523200</v>
      </c>
      <c r="E1100" s="76">
        <v>67545350</v>
      </c>
      <c r="F1100" s="77" t="s">
        <v>10170</v>
      </c>
      <c r="G1100" s="22"/>
      <c r="H1100" s="22"/>
    </row>
    <row r="1101" spans="1:8" ht="13.35" customHeight="1">
      <c r="A1101" s="82">
        <v>1</v>
      </c>
      <c r="B1101" s="83" t="s">
        <v>1671</v>
      </c>
      <c r="C1101" s="67" t="s">
        <v>1672</v>
      </c>
      <c r="D1101" s="91">
        <v>1601343300</v>
      </c>
      <c r="E1101" s="76">
        <v>62757087.5</v>
      </c>
      <c r="F1101" s="77" t="s">
        <v>10170</v>
      </c>
      <c r="G1101" s="22"/>
      <c r="H1101" s="22"/>
    </row>
    <row r="1102" spans="1:8" ht="13.35" customHeight="1">
      <c r="A1102" s="82">
        <v>1</v>
      </c>
      <c r="B1102" s="83" t="s">
        <v>1815</v>
      </c>
      <c r="C1102" s="67" t="s">
        <v>1816</v>
      </c>
      <c r="D1102" s="91">
        <v>1601343300</v>
      </c>
      <c r="E1102" s="76">
        <v>62757087.5</v>
      </c>
      <c r="F1102" s="77" t="s">
        <v>10170</v>
      </c>
      <c r="G1102" s="22"/>
      <c r="H1102" s="22"/>
    </row>
    <row r="1103" spans="1:8" ht="13.35" customHeight="1">
      <c r="A1103" s="82">
        <v>1</v>
      </c>
      <c r="B1103" s="83" t="s">
        <v>1691</v>
      </c>
      <c r="C1103" s="67" t="s">
        <v>1692</v>
      </c>
      <c r="D1103" s="91">
        <v>1541793500</v>
      </c>
      <c r="E1103" s="76">
        <v>60423312.5</v>
      </c>
      <c r="F1103" s="77" t="s">
        <v>10170</v>
      </c>
      <c r="G1103" s="22"/>
      <c r="H1103" s="22"/>
    </row>
    <row r="1104" spans="1:8" ht="13.35" customHeight="1">
      <c r="A1104" s="82">
        <v>1</v>
      </c>
      <c r="B1104" s="83" t="s">
        <v>1918</v>
      </c>
      <c r="C1104" s="67" t="s">
        <v>1919</v>
      </c>
      <c r="D1104" s="91">
        <v>2365155600</v>
      </c>
      <c r="E1104" s="76">
        <v>92691105</v>
      </c>
      <c r="F1104" s="77" t="s">
        <v>10170</v>
      </c>
      <c r="G1104" s="22"/>
      <c r="H1104" s="22"/>
    </row>
    <row r="1105" spans="1:8" ht="13.35" customHeight="1">
      <c r="A1105" s="82">
        <v>1</v>
      </c>
      <c r="B1105" s="83" t="s">
        <v>1920</v>
      </c>
      <c r="C1105" s="67" t="s">
        <v>1921</v>
      </c>
      <c r="D1105" s="91">
        <v>2365155600</v>
      </c>
      <c r="E1105" s="76">
        <v>92691105</v>
      </c>
      <c r="F1105" s="77" t="s">
        <v>10170</v>
      </c>
      <c r="G1105" s="22"/>
      <c r="H1105" s="22"/>
    </row>
    <row r="1106" spans="1:8" ht="13.35" customHeight="1">
      <c r="A1106" s="82">
        <v>1</v>
      </c>
      <c r="B1106" s="83" t="s">
        <v>1916</v>
      </c>
      <c r="C1106" s="67" t="s">
        <v>1917</v>
      </c>
      <c r="D1106" s="91">
        <v>2305605800</v>
      </c>
      <c r="E1106" s="76">
        <v>90357330</v>
      </c>
      <c r="F1106" s="77" t="s">
        <v>10170</v>
      </c>
      <c r="G1106" s="22"/>
      <c r="H1106" s="22"/>
    </row>
    <row r="1107" spans="1:8" ht="13.35" customHeight="1">
      <c r="A1107" s="82">
        <v>1</v>
      </c>
      <c r="B1107" s="83" t="s">
        <v>1914</v>
      </c>
      <c r="C1107" s="67" t="s">
        <v>1915</v>
      </c>
      <c r="D1107" s="91">
        <v>1921612000</v>
      </c>
      <c r="E1107" s="76">
        <v>75308505</v>
      </c>
      <c r="F1107" s="77" t="s">
        <v>10170</v>
      </c>
      <c r="G1107" s="22"/>
      <c r="H1107" s="22"/>
    </row>
    <row r="1108" spans="1:8" ht="13.35" customHeight="1">
      <c r="A1108" s="82">
        <v>1</v>
      </c>
      <c r="B1108" s="83" t="s">
        <v>1922</v>
      </c>
      <c r="C1108" s="67" t="s">
        <v>1923</v>
      </c>
      <c r="D1108" s="91">
        <v>1921612000</v>
      </c>
      <c r="E1108" s="76">
        <v>75308505</v>
      </c>
      <c r="F1108" s="77" t="s">
        <v>10170</v>
      </c>
      <c r="G1108" s="22"/>
      <c r="H1108" s="22"/>
    </row>
    <row r="1109" spans="1:8" ht="13.35" customHeight="1">
      <c r="A1109" s="82">
        <v>1</v>
      </c>
      <c r="B1109" s="83" t="s">
        <v>1912</v>
      </c>
      <c r="C1109" s="67" t="s">
        <v>1913</v>
      </c>
      <c r="D1109" s="91">
        <v>1862062100</v>
      </c>
      <c r="E1109" s="76">
        <v>72974730</v>
      </c>
      <c r="F1109" s="77" t="s">
        <v>10170</v>
      </c>
      <c r="G1109" s="22"/>
      <c r="H1109" s="22"/>
    </row>
    <row r="1110" spans="1:8" ht="13.35" customHeight="1">
      <c r="A1110" s="82">
        <v>1</v>
      </c>
      <c r="B1110" s="83" t="s">
        <v>1908</v>
      </c>
      <c r="C1110" s="67" t="s">
        <v>1909</v>
      </c>
      <c r="D1110" s="91">
        <v>2221373600</v>
      </c>
      <c r="E1110" s="76">
        <v>87056245.5</v>
      </c>
      <c r="F1110" s="77" t="s">
        <v>10170</v>
      </c>
      <c r="G1110" s="22"/>
      <c r="H1110" s="22"/>
    </row>
    <row r="1111" spans="1:8" ht="13.35" customHeight="1">
      <c r="A1111" s="82">
        <v>1</v>
      </c>
      <c r="B1111" s="83" t="s">
        <v>1906</v>
      </c>
      <c r="C1111" s="67" t="s">
        <v>1907</v>
      </c>
      <c r="D1111" s="91">
        <v>2167066800</v>
      </c>
      <c r="E1111" s="76">
        <v>84927950</v>
      </c>
      <c r="F1111" s="77" t="s">
        <v>10170</v>
      </c>
      <c r="G1111" s="22"/>
      <c r="H1111" s="22"/>
    </row>
    <row r="1112" spans="1:8" ht="13.35" customHeight="1">
      <c r="A1112" s="82">
        <v>1</v>
      </c>
      <c r="B1112" s="83" t="s">
        <v>1904</v>
      </c>
      <c r="C1112" s="67" t="s">
        <v>1905</v>
      </c>
      <c r="D1112" s="91">
        <v>1723523200</v>
      </c>
      <c r="E1112" s="76">
        <v>67545350</v>
      </c>
      <c r="F1112" s="77" t="s">
        <v>10170</v>
      </c>
      <c r="G1112" s="22"/>
      <c r="H1112" s="22"/>
    </row>
    <row r="1113" spans="1:8" ht="13.35" customHeight="1">
      <c r="A1113" s="82">
        <v>1</v>
      </c>
      <c r="B1113" s="83" t="s">
        <v>1902</v>
      </c>
      <c r="C1113" s="67" t="s">
        <v>1903</v>
      </c>
      <c r="D1113" s="91">
        <v>1601343300</v>
      </c>
      <c r="E1113" s="76">
        <v>62757087.5</v>
      </c>
      <c r="F1113" s="77" t="s">
        <v>10170</v>
      </c>
      <c r="G1113" s="22"/>
      <c r="H1113" s="22"/>
    </row>
    <row r="1114" spans="1:8" ht="13.35" customHeight="1">
      <c r="A1114" s="82">
        <v>1</v>
      </c>
      <c r="B1114" s="83" t="s">
        <v>1910</v>
      </c>
      <c r="C1114" s="67" t="s">
        <v>1911</v>
      </c>
      <c r="D1114" s="91">
        <v>1600344300</v>
      </c>
      <c r="E1114" s="76">
        <v>62757087.5</v>
      </c>
      <c r="F1114" s="77" t="s">
        <v>10170</v>
      </c>
      <c r="G1114" s="22"/>
      <c r="H1114" s="22"/>
    </row>
    <row r="1115" spans="1:8" ht="13.35" customHeight="1">
      <c r="A1115" s="82">
        <v>1</v>
      </c>
      <c r="B1115" s="83" t="s">
        <v>1900</v>
      </c>
      <c r="C1115" s="67" t="s">
        <v>1901</v>
      </c>
      <c r="D1115" s="91">
        <v>1540831600</v>
      </c>
      <c r="E1115" s="76">
        <v>60423312.5</v>
      </c>
      <c r="F1115" s="77" t="s">
        <v>10170</v>
      </c>
      <c r="G1115" s="22"/>
      <c r="H1115" s="22"/>
    </row>
    <row r="1116" spans="1:8" ht="13.35" customHeight="1">
      <c r="A1116" s="82">
        <v>1</v>
      </c>
      <c r="B1116" s="83" t="s">
        <v>5561</v>
      </c>
      <c r="C1116" s="67" t="s">
        <v>7395</v>
      </c>
      <c r="D1116" s="91">
        <v>1468800700</v>
      </c>
      <c r="E1116" s="76">
        <v>57598639.999999993</v>
      </c>
      <c r="F1116" s="77" t="s">
        <v>10170</v>
      </c>
      <c r="G1116" s="22"/>
      <c r="H1116" s="22"/>
    </row>
    <row r="1117" spans="1:8" ht="13.35" customHeight="1">
      <c r="A1117" s="82">
        <v>1</v>
      </c>
      <c r="B1117" s="83" t="s">
        <v>5562</v>
      </c>
      <c r="C1117" s="67" t="s">
        <v>7396</v>
      </c>
      <c r="D1117" s="91">
        <v>1468800700</v>
      </c>
      <c r="E1117" s="76">
        <v>57598639.999999993</v>
      </c>
      <c r="F1117" s="77" t="s">
        <v>10170</v>
      </c>
      <c r="G1117" s="22"/>
      <c r="H1117" s="22"/>
    </row>
    <row r="1118" spans="1:8" ht="13.35" customHeight="1">
      <c r="A1118" s="82">
        <v>1</v>
      </c>
      <c r="B1118" s="83" t="s">
        <v>5560</v>
      </c>
      <c r="C1118" s="67" t="s">
        <v>7397</v>
      </c>
      <c r="D1118" s="91">
        <v>1393896800</v>
      </c>
      <c r="E1118" s="76">
        <v>54661302.499999993</v>
      </c>
      <c r="F1118" s="77" t="s">
        <v>10170</v>
      </c>
      <c r="G1118" s="22"/>
      <c r="H1118" s="22"/>
    </row>
    <row r="1119" spans="1:8" ht="13.35" customHeight="1">
      <c r="A1119" s="82">
        <v>1</v>
      </c>
      <c r="B1119" s="83" t="s">
        <v>5563</v>
      </c>
      <c r="C1119" s="67" t="s">
        <v>7398</v>
      </c>
      <c r="D1119" s="91">
        <v>1132725000</v>
      </c>
      <c r="E1119" s="76">
        <v>44419517.5</v>
      </c>
      <c r="F1119" s="77" t="s">
        <v>10170</v>
      </c>
      <c r="G1119" s="22"/>
      <c r="H1119" s="22"/>
    </row>
    <row r="1120" spans="1:8" ht="13.35" customHeight="1">
      <c r="A1120" s="82">
        <v>1</v>
      </c>
      <c r="B1120" s="83" t="s">
        <v>5559</v>
      </c>
      <c r="C1120" s="67" t="s">
        <v>7399</v>
      </c>
      <c r="D1120" s="91">
        <v>1132725000</v>
      </c>
      <c r="E1120" s="76">
        <v>44419517.5</v>
      </c>
      <c r="F1120" s="77" t="s">
        <v>10170</v>
      </c>
      <c r="G1120" s="22"/>
      <c r="H1120" s="22"/>
    </row>
    <row r="1121" spans="1:8" ht="13.35" customHeight="1">
      <c r="A1121" s="82">
        <v>1</v>
      </c>
      <c r="B1121" s="83" t="s">
        <v>5558</v>
      </c>
      <c r="C1121" s="67" t="s">
        <v>7400</v>
      </c>
      <c r="D1121" s="91">
        <v>1057821100</v>
      </c>
      <c r="E1121" s="76">
        <v>41482180</v>
      </c>
      <c r="F1121" s="77" t="s">
        <v>10170</v>
      </c>
      <c r="G1121" s="22"/>
      <c r="H1121" s="22"/>
    </row>
    <row r="1122" spans="1:8" ht="13.35" customHeight="1">
      <c r="A1122" s="82">
        <v>1</v>
      </c>
      <c r="B1122" s="83" t="s">
        <v>5567</v>
      </c>
      <c r="C1122" s="67" t="s">
        <v>7401</v>
      </c>
      <c r="D1122" s="91">
        <v>1657599700</v>
      </c>
      <c r="E1122" s="76">
        <v>65002339.999999993</v>
      </c>
      <c r="F1122" s="77" t="s">
        <v>10170</v>
      </c>
      <c r="G1122" s="22"/>
      <c r="H1122" s="22"/>
    </row>
    <row r="1123" spans="1:8" ht="13.35" customHeight="1">
      <c r="A1123" s="82">
        <v>1</v>
      </c>
      <c r="B1123" s="83" t="s">
        <v>5568</v>
      </c>
      <c r="C1123" s="67" t="s">
        <v>7402</v>
      </c>
      <c r="D1123" s="91">
        <v>1657599700</v>
      </c>
      <c r="E1123" s="76">
        <v>65002339.999999993</v>
      </c>
      <c r="F1123" s="77" t="s">
        <v>10170</v>
      </c>
      <c r="G1123" s="22"/>
      <c r="H1123" s="22"/>
    </row>
    <row r="1124" spans="1:8" ht="13.35" customHeight="1">
      <c r="A1124" s="82">
        <v>1</v>
      </c>
      <c r="B1124" s="83" t="s">
        <v>5566</v>
      </c>
      <c r="C1124" s="67" t="s">
        <v>7403</v>
      </c>
      <c r="D1124" s="91">
        <v>1582695700</v>
      </c>
      <c r="E1124" s="76">
        <v>62065002.499999993</v>
      </c>
      <c r="F1124" s="77" t="s">
        <v>10170</v>
      </c>
      <c r="G1124" s="22"/>
      <c r="H1124" s="22"/>
    </row>
    <row r="1125" spans="1:8" ht="13.35" customHeight="1">
      <c r="A1125" s="82">
        <v>1</v>
      </c>
      <c r="B1125" s="83" t="s">
        <v>5565</v>
      </c>
      <c r="C1125" s="67" t="s">
        <v>7404</v>
      </c>
      <c r="D1125" s="91">
        <v>1321523900</v>
      </c>
      <c r="E1125" s="76">
        <v>51823217.5</v>
      </c>
      <c r="F1125" s="77" t="s">
        <v>10170</v>
      </c>
      <c r="G1125" s="22"/>
      <c r="H1125" s="22"/>
    </row>
    <row r="1126" spans="1:8" ht="13.35" customHeight="1">
      <c r="A1126" s="82">
        <v>1</v>
      </c>
      <c r="B1126" s="83" t="s">
        <v>5569</v>
      </c>
      <c r="C1126" s="67" t="s">
        <v>7405</v>
      </c>
      <c r="D1126" s="91">
        <v>1321523900</v>
      </c>
      <c r="E1126" s="76">
        <v>51823217.5</v>
      </c>
      <c r="F1126" s="77" t="s">
        <v>10170</v>
      </c>
      <c r="G1126" s="22"/>
      <c r="H1126" s="22"/>
    </row>
    <row r="1127" spans="1:8" ht="13.35" customHeight="1">
      <c r="A1127" s="82">
        <v>1</v>
      </c>
      <c r="B1127" s="83" t="s">
        <v>5564</v>
      </c>
      <c r="C1127" s="67" t="s">
        <v>7406</v>
      </c>
      <c r="D1127" s="91">
        <v>1246620000</v>
      </c>
      <c r="E1127" s="76">
        <v>48885880</v>
      </c>
      <c r="F1127" s="77" t="s">
        <v>10170</v>
      </c>
      <c r="G1127" s="22"/>
      <c r="H1127" s="22"/>
    </row>
    <row r="1128" spans="1:8" ht="13.35" customHeight="1">
      <c r="A1128" s="82">
        <v>1</v>
      </c>
      <c r="B1128" s="83" t="s">
        <v>5573</v>
      </c>
      <c r="C1128" s="67" t="s">
        <v>7407</v>
      </c>
      <c r="D1128" s="91">
        <v>1563200200</v>
      </c>
      <c r="E1128" s="76">
        <v>61300489.999999993</v>
      </c>
      <c r="F1128" s="77" t="s">
        <v>10170</v>
      </c>
      <c r="G1128" s="22"/>
      <c r="H1128" s="22"/>
    </row>
    <row r="1129" spans="1:8" ht="13.35" customHeight="1">
      <c r="A1129" s="82">
        <v>1</v>
      </c>
      <c r="B1129" s="83" t="s">
        <v>5574</v>
      </c>
      <c r="C1129" s="67" t="s">
        <v>7408</v>
      </c>
      <c r="D1129" s="91">
        <v>1563200200</v>
      </c>
      <c r="E1129" s="76">
        <v>61300489.999999993</v>
      </c>
      <c r="F1129" s="77" t="s">
        <v>10170</v>
      </c>
      <c r="G1129" s="22"/>
      <c r="H1129" s="22"/>
    </row>
    <row r="1130" spans="1:8" ht="13.35" customHeight="1">
      <c r="A1130" s="82">
        <v>1</v>
      </c>
      <c r="B1130" s="83" t="s">
        <v>5572</v>
      </c>
      <c r="C1130" s="67" t="s">
        <v>7409</v>
      </c>
      <c r="D1130" s="91">
        <v>1488296300</v>
      </c>
      <c r="E1130" s="76">
        <v>58363152.499999993</v>
      </c>
      <c r="F1130" s="77" t="s">
        <v>10170</v>
      </c>
      <c r="G1130" s="22"/>
      <c r="H1130" s="22"/>
    </row>
    <row r="1131" spans="1:8" ht="13.35" customHeight="1">
      <c r="A1131" s="82">
        <v>1</v>
      </c>
      <c r="B1131" s="83" t="s">
        <v>5571</v>
      </c>
      <c r="C1131" s="67" t="s">
        <v>7410</v>
      </c>
      <c r="D1131" s="91">
        <v>1227124500</v>
      </c>
      <c r="E1131" s="76">
        <v>48121367.5</v>
      </c>
      <c r="F1131" s="77" t="s">
        <v>10170</v>
      </c>
      <c r="G1131" s="22"/>
      <c r="H1131" s="22"/>
    </row>
    <row r="1132" spans="1:8" ht="13.35" customHeight="1">
      <c r="A1132" s="82">
        <v>1</v>
      </c>
      <c r="B1132" s="83" t="s">
        <v>5575</v>
      </c>
      <c r="C1132" s="67" t="s">
        <v>7411</v>
      </c>
      <c r="D1132" s="91">
        <v>1227124500</v>
      </c>
      <c r="E1132" s="76">
        <v>48121367.5</v>
      </c>
      <c r="F1132" s="77" t="s">
        <v>10170</v>
      </c>
      <c r="G1132" s="22"/>
      <c r="H1132" s="22"/>
    </row>
    <row r="1133" spans="1:8" ht="13.35" customHeight="1">
      <c r="A1133" s="82">
        <v>1</v>
      </c>
      <c r="B1133" s="83" t="s">
        <v>5570</v>
      </c>
      <c r="C1133" s="67" t="s">
        <v>7412</v>
      </c>
      <c r="D1133" s="91">
        <v>1152220600</v>
      </c>
      <c r="E1133" s="76">
        <v>45184030</v>
      </c>
      <c r="F1133" s="77" t="s">
        <v>10170</v>
      </c>
      <c r="G1133" s="22"/>
      <c r="H1133" s="22"/>
    </row>
    <row r="1134" spans="1:8" ht="13.35" customHeight="1">
      <c r="A1134" s="82">
        <v>1</v>
      </c>
      <c r="B1134" s="83" t="s">
        <v>5657</v>
      </c>
      <c r="C1134" s="67" t="s">
        <v>7413</v>
      </c>
      <c r="D1134" s="91">
        <v>624609700</v>
      </c>
      <c r="E1134" s="76">
        <v>24493907.499999996</v>
      </c>
      <c r="F1134" s="77" t="s">
        <v>10170</v>
      </c>
      <c r="G1134" s="22"/>
      <c r="H1134" s="22"/>
    </row>
    <row r="1135" spans="1:8" ht="13.35" customHeight="1">
      <c r="A1135" s="82">
        <v>1</v>
      </c>
      <c r="B1135" s="83" t="s">
        <v>5658</v>
      </c>
      <c r="C1135" s="67" t="s">
        <v>7414</v>
      </c>
      <c r="D1135" s="91">
        <v>624609700</v>
      </c>
      <c r="E1135" s="76">
        <v>24493907.499999996</v>
      </c>
      <c r="F1135" s="77" t="s">
        <v>10170</v>
      </c>
      <c r="G1135" s="22"/>
      <c r="H1135" s="22"/>
    </row>
    <row r="1136" spans="1:8" ht="13.35" customHeight="1">
      <c r="A1136" s="82">
        <v>1</v>
      </c>
      <c r="B1136" s="83" t="s">
        <v>5656</v>
      </c>
      <c r="C1136" s="67" t="s">
        <v>7415</v>
      </c>
      <c r="D1136" s="91">
        <v>568585700</v>
      </c>
      <c r="E1136" s="76">
        <v>22296940</v>
      </c>
      <c r="F1136" s="77" t="s">
        <v>10170</v>
      </c>
      <c r="G1136" s="22"/>
      <c r="H1136" s="22"/>
    </row>
    <row r="1137" spans="1:8" ht="13.35" customHeight="1">
      <c r="A1137" s="82">
        <v>1</v>
      </c>
      <c r="B1137" s="83" t="s">
        <v>3102</v>
      </c>
      <c r="C1137" s="67" t="s">
        <v>3103</v>
      </c>
      <c r="D1137" s="91">
        <v>869501000</v>
      </c>
      <c r="E1137" s="76">
        <v>34097257.5</v>
      </c>
      <c r="F1137" s="77" t="s">
        <v>10170</v>
      </c>
      <c r="G1137" s="22"/>
      <c r="H1137" s="22"/>
    </row>
    <row r="1138" spans="1:8" ht="13.35" customHeight="1">
      <c r="A1138" s="82">
        <v>1</v>
      </c>
      <c r="B1138" s="83" t="s">
        <v>3104</v>
      </c>
      <c r="C1138" s="67" t="s">
        <v>3105</v>
      </c>
      <c r="D1138" s="91">
        <v>869501000</v>
      </c>
      <c r="E1138" s="76">
        <v>34097257.5</v>
      </c>
      <c r="F1138" s="77" t="s">
        <v>10170</v>
      </c>
      <c r="G1138" s="22"/>
      <c r="H1138" s="22"/>
    </row>
    <row r="1139" spans="1:8" ht="13.35" customHeight="1">
      <c r="A1139" s="82">
        <v>1</v>
      </c>
      <c r="B1139" s="83" t="s">
        <v>3106</v>
      </c>
      <c r="C1139" s="67" t="s">
        <v>3107</v>
      </c>
      <c r="D1139" s="91">
        <v>828936600</v>
      </c>
      <c r="E1139" s="76">
        <v>32506535</v>
      </c>
      <c r="F1139" s="77" t="s">
        <v>10170</v>
      </c>
      <c r="G1139" s="22"/>
      <c r="H1139" s="22"/>
    </row>
    <row r="1140" spans="1:8" ht="13.35" customHeight="1">
      <c r="A1140" s="82">
        <v>1</v>
      </c>
      <c r="B1140" s="83" t="s">
        <v>3096</v>
      </c>
      <c r="C1140" s="67" t="s">
        <v>3097</v>
      </c>
      <c r="D1140" s="91">
        <v>533425300</v>
      </c>
      <c r="E1140" s="76">
        <v>20918135</v>
      </c>
      <c r="F1140" s="77" t="s">
        <v>10170</v>
      </c>
      <c r="G1140" s="22"/>
      <c r="H1140" s="22"/>
    </row>
    <row r="1141" spans="1:8" ht="13.35" customHeight="1">
      <c r="A1141" s="82">
        <v>1</v>
      </c>
      <c r="B1141" s="83" t="s">
        <v>3098</v>
      </c>
      <c r="C1141" s="67" t="s">
        <v>3099</v>
      </c>
      <c r="D1141" s="91">
        <v>533425300</v>
      </c>
      <c r="E1141" s="76">
        <v>20918135</v>
      </c>
      <c r="F1141" s="77" t="s">
        <v>10170</v>
      </c>
      <c r="G1141" s="22"/>
      <c r="H1141" s="22"/>
    </row>
    <row r="1142" spans="1:8" ht="13.35" customHeight="1">
      <c r="A1142" s="82">
        <v>1</v>
      </c>
      <c r="B1142" s="83" t="s">
        <v>3100</v>
      </c>
      <c r="C1142" s="67" t="s">
        <v>3101</v>
      </c>
      <c r="D1142" s="91">
        <v>492860900</v>
      </c>
      <c r="E1142" s="76">
        <v>19327412.5</v>
      </c>
      <c r="F1142" s="77" t="s">
        <v>10170</v>
      </c>
      <c r="G1142" s="22"/>
      <c r="H1142" s="22"/>
    </row>
    <row r="1143" spans="1:8" ht="13.35" customHeight="1">
      <c r="A1143" s="82">
        <v>1</v>
      </c>
      <c r="B1143" s="83" t="s">
        <v>2622</v>
      </c>
      <c r="C1143" s="67" t="s">
        <v>2623</v>
      </c>
      <c r="D1143" s="91">
        <v>1072186200</v>
      </c>
      <c r="E1143" s="76">
        <v>42045505</v>
      </c>
      <c r="F1143" s="77" t="s">
        <v>10170</v>
      </c>
      <c r="G1143" s="22"/>
      <c r="H1143" s="22"/>
    </row>
    <row r="1144" spans="1:8" ht="13.35" customHeight="1">
      <c r="A1144" s="82">
        <v>1</v>
      </c>
      <c r="B1144" s="83" t="s">
        <v>2624</v>
      </c>
      <c r="C1144" s="67" t="s">
        <v>2625</v>
      </c>
      <c r="D1144" s="91">
        <v>1072186200</v>
      </c>
      <c r="E1144" s="76">
        <v>42045505</v>
      </c>
      <c r="F1144" s="77" t="s">
        <v>10170</v>
      </c>
      <c r="G1144" s="22"/>
      <c r="H1144" s="22"/>
    </row>
    <row r="1145" spans="1:8" ht="13.35" customHeight="1">
      <c r="A1145" s="82">
        <v>1</v>
      </c>
      <c r="B1145" s="83" t="s">
        <v>2626</v>
      </c>
      <c r="C1145" s="67" t="s">
        <v>2627</v>
      </c>
      <c r="D1145" s="91">
        <v>1030458900</v>
      </c>
      <c r="E1145" s="76">
        <v>40409180</v>
      </c>
      <c r="F1145" s="77" t="s">
        <v>10170</v>
      </c>
      <c r="G1145" s="22"/>
      <c r="H1145" s="22"/>
    </row>
    <row r="1146" spans="1:8" ht="13.35" customHeight="1">
      <c r="A1146" s="82">
        <v>1</v>
      </c>
      <c r="B1146" s="83" t="s">
        <v>2616</v>
      </c>
      <c r="C1146" s="67" t="s">
        <v>2617</v>
      </c>
      <c r="D1146" s="91">
        <v>736110500</v>
      </c>
      <c r="E1146" s="76">
        <v>28866382.499999996</v>
      </c>
      <c r="F1146" s="77" t="s">
        <v>10170</v>
      </c>
      <c r="G1146" s="22"/>
      <c r="H1146" s="22"/>
    </row>
    <row r="1147" spans="1:8" ht="13.35" customHeight="1">
      <c r="A1147" s="82">
        <v>1</v>
      </c>
      <c r="B1147" s="83" t="s">
        <v>2618</v>
      </c>
      <c r="C1147" s="67" t="s">
        <v>2619</v>
      </c>
      <c r="D1147" s="91">
        <v>736110500</v>
      </c>
      <c r="E1147" s="76">
        <v>28866382.499999996</v>
      </c>
      <c r="F1147" s="77" t="s">
        <v>10170</v>
      </c>
      <c r="G1147" s="22"/>
      <c r="H1147" s="22"/>
    </row>
    <row r="1148" spans="1:8" ht="13.35" customHeight="1">
      <c r="A1148" s="82">
        <v>1</v>
      </c>
      <c r="B1148" s="83" t="s">
        <v>2620</v>
      </c>
      <c r="C1148" s="67" t="s">
        <v>2621</v>
      </c>
      <c r="D1148" s="91">
        <v>694383200</v>
      </c>
      <c r="E1148" s="76">
        <v>27230057.499999996</v>
      </c>
      <c r="F1148" s="77" t="s">
        <v>10170</v>
      </c>
      <c r="G1148" s="22"/>
      <c r="H1148" s="22"/>
    </row>
    <row r="1149" spans="1:8" ht="13.35" customHeight="1">
      <c r="A1149" s="82">
        <v>1</v>
      </c>
      <c r="B1149" s="83" t="s">
        <v>2635</v>
      </c>
      <c r="C1149" s="67" t="s">
        <v>2636</v>
      </c>
      <c r="D1149" s="91">
        <v>1567441300</v>
      </c>
      <c r="E1149" s="76">
        <v>61466805</v>
      </c>
      <c r="F1149" s="77" t="s">
        <v>10170</v>
      </c>
      <c r="G1149" s="22"/>
      <c r="H1149" s="22"/>
    </row>
    <row r="1150" spans="1:8" ht="13.35" customHeight="1">
      <c r="A1150" s="82">
        <v>1</v>
      </c>
      <c r="B1150" s="83" t="s">
        <v>2637</v>
      </c>
      <c r="C1150" s="67" t="s">
        <v>2638</v>
      </c>
      <c r="D1150" s="91">
        <v>1567441300</v>
      </c>
      <c r="E1150" s="76">
        <v>61466805</v>
      </c>
      <c r="F1150" s="77" t="s">
        <v>10170</v>
      </c>
      <c r="G1150" s="22"/>
      <c r="H1150" s="22"/>
    </row>
    <row r="1151" spans="1:8" ht="13.35" customHeight="1">
      <c r="A1151" s="82">
        <v>1</v>
      </c>
      <c r="B1151" s="83" t="s">
        <v>3808</v>
      </c>
      <c r="C1151" s="67" t="s">
        <v>2639</v>
      </c>
      <c r="D1151" s="91">
        <v>1523867100</v>
      </c>
      <c r="E1151" s="76">
        <v>59758052.499999993</v>
      </c>
      <c r="F1151" s="77" t="s">
        <v>10170</v>
      </c>
      <c r="G1151" s="22"/>
      <c r="H1151" s="22"/>
    </row>
    <row r="1152" spans="1:8" ht="13.35" customHeight="1">
      <c r="A1152" s="82">
        <v>1</v>
      </c>
      <c r="B1152" s="83" t="s">
        <v>5214</v>
      </c>
      <c r="C1152" s="67" t="s">
        <v>2634</v>
      </c>
      <c r="D1152" s="91">
        <v>1226557800</v>
      </c>
      <c r="E1152" s="76">
        <v>48009239</v>
      </c>
      <c r="F1152" s="77" t="s">
        <v>10170</v>
      </c>
      <c r="G1152" s="22"/>
      <c r="H1152" s="22"/>
    </row>
    <row r="1153" spans="1:8" ht="13.35" customHeight="1">
      <c r="A1153" s="82">
        <v>1</v>
      </c>
      <c r="B1153" s="83" t="s">
        <v>2628</v>
      </c>
      <c r="C1153" s="67" t="s">
        <v>2629</v>
      </c>
      <c r="D1153" s="91">
        <v>1233671500</v>
      </c>
      <c r="E1153" s="76">
        <v>48287682.5</v>
      </c>
      <c r="F1153" s="77" t="s">
        <v>10170</v>
      </c>
      <c r="G1153" s="22"/>
      <c r="H1153" s="22"/>
    </row>
    <row r="1154" spans="1:8" ht="13.35" customHeight="1">
      <c r="A1154" s="82">
        <v>1</v>
      </c>
      <c r="B1154" s="83" t="s">
        <v>2630</v>
      </c>
      <c r="C1154" s="67" t="s">
        <v>2631</v>
      </c>
      <c r="D1154" s="91">
        <v>1233671500</v>
      </c>
      <c r="E1154" s="76">
        <v>48287682.5</v>
      </c>
      <c r="F1154" s="77" t="s">
        <v>10170</v>
      </c>
      <c r="G1154" s="22"/>
      <c r="H1154" s="22"/>
    </row>
    <row r="1155" spans="1:8" ht="13.35" customHeight="1">
      <c r="A1155" s="82">
        <v>1</v>
      </c>
      <c r="B1155" s="83" t="s">
        <v>2632</v>
      </c>
      <c r="C1155" s="67" t="s">
        <v>2633</v>
      </c>
      <c r="D1155" s="91">
        <v>1190015700</v>
      </c>
      <c r="E1155" s="76">
        <v>46578930</v>
      </c>
      <c r="F1155" s="77" t="s">
        <v>10170</v>
      </c>
      <c r="G1155" s="22"/>
      <c r="H1155" s="22"/>
    </row>
    <row r="1156" spans="1:8" ht="13.35" customHeight="1">
      <c r="A1156" s="82">
        <v>1</v>
      </c>
      <c r="B1156" s="83" t="s">
        <v>3689</v>
      </c>
      <c r="C1156" s="67" t="s">
        <v>2636</v>
      </c>
      <c r="D1156" s="91">
        <v>1570376600</v>
      </c>
      <c r="E1156" s="76">
        <v>61466805</v>
      </c>
      <c r="F1156" s="77" t="s">
        <v>10170</v>
      </c>
      <c r="G1156" s="22"/>
      <c r="H1156" s="22"/>
    </row>
    <row r="1157" spans="1:8" ht="13.35" customHeight="1">
      <c r="A1157" s="82">
        <v>1</v>
      </c>
      <c r="B1157" s="83" t="s">
        <v>3690</v>
      </c>
      <c r="C1157" s="67" t="s">
        <v>2638</v>
      </c>
      <c r="D1157" s="91">
        <v>1570376600</v>
      </c>
      <c r="E1157" s="76">
        <v>61466805</v>
      </c>
      <c r="F1157" s="77" t="s">
        <v>10170</v>
      </c>
      <c r="G1157" s="22"/>
      <c r="H1157" s="22"/>
    </row>
    <row r="1158" spans="1:8" ht="13.35" customHeight="1">
      <c r="A1158" s="82">
        <v>1</v>
      </c>
      <c r="B1158" s="83" t="s">
        <v>3691</v>
      </c>
      <c r="C1158" s="67" t="s">
        <v>2639</v>
      </c>
      <c r="D1158" s="91">
        <v>1526720800</v>
      </c>
      <c r="E1158" s="76">
        <v>59758052.499999993</v>
      </c>
      <c r="F1158" s="77" t="s">
        <v>10170</v>
      </c>
      <c r="G1158" s="22"/>
      <c r="H1158" s="22"/>
    </row>
    <row r="1159" spans="1:8" ht="13.35" customHeight="1">
      <c r="A1159" s="82">
        <v>1</v>
      </c>
      <c r="B1159" s="83" t="s">
        <v>5213</v>
      </c>
      <c r="C1159" s="67" t="s">
        <v>2634</v>
      </c>
      <c r="D1159" s="91">
        <v>1226557800</v>
      </c>
      <c r="E1159" s="76">
        <v>48009239</v>
      </c>
      <c r="F1159" s="77" t="s">
        <v>10170</v>
      </c>
      <c r="G1159" s="22"/>
      <c r="H1159" s="22"/>
    </row>
    <row r="1160" spans="1:8" ht="13.35" customHeight="1">
      <c r="A1160" s="82">
        <v>1</v>
      </c>
      <c r="B1160" s="83" t="s">
        <v>3686</v>
      </c>
      <c r="C1160" s="67" t="s">
        <v>2629</v>
      </c>
      <c r="D1160" s="91">
        <v>1233671500</v>
      </c>
      <c r="E1160" s="76">
        <v>48287682.5</v>
      </c>
      <c r="F1160" s="77" t="s">
        <v>10170</v>
      </c>
      <c r="G1160" s="22"/>
      <c r="H1160" s="22"/>
    </row>
    <row r="1161" spans="1:8" ht="13.35" customHeight="1">
      <c r="A1161" s="82">
        <v>1</v>
      </c>
      <c r="B1161" s="83" t="s">
        <v>3687</v>
      </c>
      <c r="C1161" s="67" t="s">
        <v>2631</v>
      </c>
      <c r="D1161" s="91">
        <v>1233671500</v>
      </c>
      <c r="E1161" s="76">
        <v>48287682.5</v>
      </c>
      <c r="F1161" s="77" t="s">
        <v>10170</v>
      </c>
      <c r="G1161" s="22"/>
      <c r="H1161" s="22"/>
    </row>
    <row r="1162" spans="1:8" ht="13.35" customHeight="1">
      <c r="A1162" s="82">
        <v>1</v>
      </c>
      <c r="B1162" s="83" t="s">
        <v>3688</v>
      </c>
      <c r="C1162" s="67" t="s">
        <v>2633</v>
      </c>
      <c r="D1162" s="91">
        <v>1190015700</v>
      </c>
      <c r="E1162" s="76">
        <v>46578930</v>
      </c>
      <c r="F1162" s="77" t="s">
        <v>10170</v>
      </c>
      <c r="G1162" s="22"/>
      <c r="H1162" s="22"/>
    </row>
    <row r="1163" spans="1:8" ht="13.35" customHeight="1">
      <c r="A1163" s="82">
        <v>1</v>
      </c>
      <c r="B1163" s="83" t="s">
        <v>2786</v>
      </c>
      <c r="C1163" s="67" t="s">
        <v>2787</v>
      </c>
      <c r="D1163" s="91">
        <v>1516783400</v>
      </c>
      <c r="E1163" s="76">
        <v>59369089.999999993</v>
      </c>
      <c r="F1163" s="77" t="s">
        <v>10170</v>
      </c>
      <c r="G1163" s="22"/>
      <c r="H1163" s="22"/>
    </row>
    <row r="1164" spans="1:8" ht="13.35" customHeight="1">
      <c r="A1164" s="82">
        <v>1</v>
      </c>
      <c r="B1164" s="83" t="s">
        <v>2788</v>
      </c>
      <c r="C1164" s="67" t="s">
        <v>2789</v>
      </c>
      <c r="D1164" s="91">
        <v>1516783400</v>
      </c>
      <c r="E1164" s="76">
        <v>59369089.999999993</v>
      </c>
      <c r="F1164" s="77" t="s">
        <v>10170</v>
      </c>
      <c r="G1164" s="22"/>
      <c r="H1164" s="22"/>
    </row>
    <row r="1165" spans="1:8" ht="13.35" customHeight="1">
      <c r="A1165" s="82">
        <v>1</v>
      </c>
      <c r="B1165" s="83" t="s">
        <v>3809</v>
      </c>
      <c r="C1165" s="67" t="s">
        <v>2785</v>
      </c>
      <c r="D1165" s="91">
        <v>1474978000</v>
      </c>
      <c r="E1165" s="76">
        <v>57732764.999999993</v>
      </c>
      <c r="F1165" s="77" t="s">
        <v>10170</v>
      </c>
      <c r="G1165" s="22"/>
      <c r="H1165" s="22"/>
    </row>
    <row r="1166" spans="1:8" ht="13.35" customHeight="1">
      <c r="A1166" s="82">
        <v>1</v>
      </c>
      <c r="B1166" s="83" t="s">
        <v>2783</v>
      </c>
      <c r="C1166" s="67" t="s">
        <v>2784</v>
      </c>
      <c r="D1166" s="91">
        <v>1180078300</v>
      </c>
      <c r="E1166" s="76">
        <v>46189967.5</v>
      </c>
      <c r="F1166" s="77" t="s">
        <v>10170</v>
      </c>
      <c r="G1166" s="22"/>
      <c r="H1166" s="22"/>
    </row>
    <row r="1167" spans="1:8" ht="13.35" customHeight="1">
      <c r="A1167" s="82">
        <v>1</v>
      </c>
      <c r="B1167" s="83" t="s">
        <v>2790</v>
      </c>
      <c r="C1167" s="67" t="s">
        <v>2791</v>
      </c>
      <c r="D1167" s="91">
        <v>1180078300</v>
      </c>
      <c r="E1167" s="76">
        <v>46189967.5</v>
      </c>
      <c r="F1167" s="77" t="s">
        <v>10170</v>
      </c>
      <c r="G1167" s="22"/>
      <c r="H1167" s="22"/>
    </row>
    <row r="1168" spans="1:8" ht="13.35" customHeight="1">
      <c r="A1168" s="82">
        <v>1</v>
      </c>
      <c r="B1168" s="83" t="s">
        <v>2781</v>
      </c>
      <c r="C1168" s="67" t="s">
        <v>2782</v>
      </c>
      <c r="D1168" s="91">
        <v>1138272900</v>
      </c>
      <c r="E1168" s="76">
        <v>44553642.5</v>
      </c>
      <c r="F1168" s="77" t="s">
        <v>10170</v>
      </c>
      <c r="G1168" s="22"/>
      <c r="H1168" s="22"/>
    </row>
    <row r="1169" spans="1:8" ht="13.35" customHeight="1">
      <c r="A1169" s="82">
        <v>1</v>
      </c>
      <c r="B1169" s="83" t="s">
        <v>4803</v>
      </c>
      <c r="C1169" s="67" t="s">
        <v>4804</v>
      </c>
      <c r="D1169" s="91">
        <v>1733554900</v>
      </c>
      <c r="E1169" s="76">
        <v>67853837.5</v>
      </c>
      <c r="F1169" s="77" t="s">
        <v>10170</v>
      </c>
      <c r="G1169" s="22"/>
      <c r="H1169" s="22"/>
    </row>
    <row r="1170" spans="1:8" ht="13.35" customHeight="1">
      <c r="A1170" s="82">
        <v>1</v>
      </c>
      <c r="B1170" s="83" t="s">
        <v>4805</v>
      </c>
      <c r="C1170" s="67" t="s">
        <v>4806</v>
      </c>
      <c r="D1170" s="91">
        <v>1733554900</v>
      </c>
      <c r="E1170" s="76">
        <v>67853837.5</v>
      </c>
      <c r="F1170" s="77" t="s">
        <v>10170</v>
      </c>
      <c r="G1170" s="22"/>
      <c r="H1170" s="22"/>
    </row>
    <row r="1171" spans="1:8" ht="13.35" customHeight="1">
      <c r="A1171" s="82">
        <v>1</v>
      </c>
      <c r="B1171" s="83" t="s">
        <v>4801</v>
      </c>
      <c r="C1171" s="67" t="s">
        <v>4802</v>
      </c>
      <c r="D1171" s="91">
        <v>1691064100</v>
      </c>
      <c r="E1171" s="76">
        <v>66190687.5</v>
      </c>
      <c r="F1171" s="77" t="s">
        <v>10170</v>
      </c>
      <c r="G1171" s="22"/>
      <c r="H1171" s="22"/>
    </row>
    <row r="1172" spans="1:8" ht="13.35" customHeight="1">
      <c r="A1172" s="82">
        <v>1</v>
      </c>
      <c r="B1172" s="83" t="s">
        <v>4798</v>
      </c>
      <c r="C1172" s="67" t="s">
        <v>4799</v>
      </c>
      <c r="D1172" s="91">
        <v>1396849800</v>
      </c>
      <c r="E1172" s="76">
        <v>54674714.999999993</v>
      </c>
      <c r="F1172" s="77" t="s">
        <v>10170</v>
      </c>
      <c r="G1172" s="22"/>
      <c r="H1172" s="22"/>
    </row>
    <row r="1173" spans="1:8" ht="13.35" customHeight="1">
      <c r="A1173" s="82">
        <v>1</v>
      </c>
      <c r="B1173" s="83" t="s">
        <v>4807</v>
      </c>
      <c r="C1173" s="67" t="s">
        <v>4808</v>
      </c>
      <c r="D1173" s="91">
        <v>1396849800</v>
      </c>
      <c r="E1173" s="76">
        <v>54674714.999999993</v>
      </c>
      <c r="F1173" s="77" t="s">
        <v>10170</v>
      </c>
      <c r="G1173" s="22"/>
      <c r="H1173" s="22"/>
    </row>
    <row r="1174" spans="1:8" ht="13.35" customHeight="1">
      <c r="A1174" s="82">
        <v>1</v>
      </c>
      <c r="B1174" s="83" t="s">
        <v>6110</v>
      </c>
      <c r="C1174" s="67" t="s">
        <v>4800</v>
      </c>
      <c r="D1174" s="91">
        <v>1384582300</v>
      </c>
      <c r="E1174" s="76">
        <v>54194547.500000007</v>
      </c>
      <c r="F1174" s="77" t="s">
        <v>10170</v>
      </c>
      <c r="G1174" s="22"/>
      <c r="H1174" s="22"/>
    </row>
    <row r="1175" spans="1:8" ht="13.35" customHeight="1">
      <c r="A1175" s="82">
        <v>1</v>
      </c>
      <c r="B1175" s="83" t="s">
        <v>4796</v>
      </c>
      <c r="C1175" s="67" t="s">
        <v>4797</v>
      </c>
      <c r="D1175" s="91">
        <v>1354359000</v>
      </c>
      <c r="E1175" s="76">
        <v>53011564.999999993</v>
      </c>
      <c r="F1175" s="77" t="s">
        <v>10170</v>
      </c>
      <c r="G1175" s="22"/>
      <c r="H1175" s="22"/>
    </row>
    <row r="1176" spans="1:8" ht="13.35" customHeight="1">
      <c r="A1176" s="82">
        <v>1</v>
      </c>
      <c r="B1176" s="83" t="s">
        <v>3441</v>
      </c>
      <c r="C1176" s="67" t="s">
        <v>3442</v>
      </c>
      <c r="D1176" s="91">
        <v>935276700</v>
      </c>
      <c r="E1176" s="76">
        <v>36608077.5</v>
      </c>
      <c r="F1176" s="77" t="s">
        <v>10170</v>
      </c>
      <c r="G1176" s="22"/>
      <c r="H1176" s="22"/>
    </row>
    <row r="1177" spans="1:8" ht="13.35" customHeight="1">
      <c r="A1177" s="82">
        <v>1</v>
      </c>
      <c r="B1177" s="83" t="s">
        <v>3443</v>
      </c>
      <c r="C1177" s="67" t="s">
        <v>3444</v>
      </c>
      <c r="D1177" s="91">
        <v>935276700</v>
      </c>
      <c r="E1177" s="76">
        <v>36608077.5</v>
      </c>
      <c r="F1177" s="77" t="s">
        <v>10170</v>
      </c>
      <c r="G1177" s="22"/>
      <c r="H1177" s="22"/>
    </row>
    <row r="1178" spans="1:8" ht="13.35" customHeight="1">
      <c r="A1178" s="82">
        <v>1</v>
      </c>
      <c r="B1178" s="83" t="s">
        <v>3445</v>
      </c>
      <c r="C1178" s="67" t="s">
        <v>3446</v>
      </c>
      <c r="D1178" s="91">
        <v>894636300</v>
      </c>
      <c r="E1178" s="76">
        <v>35017355</v>
      </c>
      <c r="F1178" s="77" t="s">
        <v>10170</v>
      </c>
      <c r="G1178" s="22"/>
      <c r="H1178" s="22"/>
    </row>
    <row r="1179" spans="1:8" ht="13.35" customHeight="1">
      <c r="A1179" s="82">
        <v>1</v>
      </c>
      <c r="B1179" s="83" t="s">
        <v>3435</v>
      </c>
      <c r="C1179" s="67" t="s">
        <v>3436</v>
      </c>
      <c r="D1179" s="91">
        <v>598571600</v>
      </c>
      <c r="E1179" s="76">
        <v>23428955</v>
      </c>
      <c r="F1179" s="77" t="s">
        <v>10170</v>
      </c>
      <c r="G1179" s="22"/>
      <c r="H1179" s="22"/>
    </row>
    <row r="1180" spans="1:8" ht="13.35" customHeight="1">
      <c r="A1180" s="82">
        <v>1</v>
      </c>
      <c r="B1180" s="83" t="s">
        <v>3437</v>
      </c>
      <c r="C1180" s="67" t="s">
        <v>3438</v>
      </c>
      <c r="D1180" s="91">
        <v>598571600</v>
      </c>
      <c r="E1180" s="76">
        <v>23428955</v>
      </c>
      <c r="F1180" s="77" t="s">
        <v>10170</v>
      </c>
      <c r="G1180" s="22"/>
      <c r="H1180" s="22"/>
    </row>
    <row r="1181" spans="1:8" ht="13.35" customHeight="1">
      <c r="A1181" s="82">
        <v>1</v>
      </c>
      <c r="B1181" s="83" t="s">
        <v>3439</v>
      </c>
      <c r="C1181" s="67" t="s">
        <v>3440</v>
      </c>
      <c r="D1181" s="91">
        <v>557931200</v>
      </c>
      <c r="E1181" s="76">
        <v>21838232.5</v>
      </c>
      <c r="F1181" s="77" t="s">
        <v>10170</v>
      </c>
      <c r="G1181" s="22"/>
      <c r="H1181" s="22"/>
    </row>
    <row r="1182" spans="1:8" ht="13.35" customHeight="1">
      <c r="A1182" s="82">
        <v>1</v>
      </c>
      <c r="B1182" s="83" t="s">
        <v>860</v>
      </c>
      <c r="C1182" s="67" t="s">
        <v>861</v>
      </c>
      <c r="D1182" s="91">
        <v>1012102700</v>
      </c>
      <c r="E1182" s="76">
        <v>39615160</v>
      </c>
      <c r="F1182" s="77" t="s">
        <v>10170</v>
      </c>
      <c r="G1182" s="22"/>
      <c r="H1182" s="22"/>
    </row>
    <row r="1183" spans="1:8" ht="13.35" customHeight="1">
      <c r="A1183" s="82">
        <v>1</v>
      </c>
      <c r="B1183" s="83" t="s">
        <v>862</v>
      </c>
      <c r="C1183" s="67" t="s">
        <v>863</v>
      </c>
      <c r="D1183" s="91">
        <v>1012102700</v>
      </c>
      <c r="E1183" s="76">
        <v>39615160</v>
      </c>
      <c r="F1183" s="77" t="s">
        <v>10170</v>
      </c>
      <c r="G1183" s="22"/>
      <c r="H1183" s="22"/>
    </row>
    <row r="1184" spans="1:8" ht="13.35" customHeight="1">
      <c r="A1184" s="82">
        <v>1</v>
      </c>
      <c r="B1184" s="83" t="s">
        <v>864</v>
      </c>
      <c r="C1184" s="67" t="s">
        <v>865</v>
      </c>
      <c r="D1184" s="91">
        <v>957687100</v>
      </c>
      <c r="E1184" s="76">
        <v>37485255</v>
      </c>
      <c r="F1184" s="77" t="s">
        <v>10170</v>
      </c>
      <c r="G1184" s="22"/>
      <c r="H1184" s="22"/>
    </row>
    <row r="1185" spans="1:8" ht="13.35" customHeight="1">
      <c r="A1185" s="82">
        <v>1</v>
      </c>
      <c r="B1185" s="83" t="s">
        <v>3152</v>
      </c>
      <c r="C1185" s="67" t="s">
        <v>3153</v>
      </c>
      <c r="D1185" s="91">
        <v>1007648100</v>
      </c>
      <c r="E1185" s="76">
        <v>39440797.5</v>
      </c>
      <c r="F1185" s="77" t="s">
        <v>10170</v>
      </c>
      <c r="G1185" s="22"/>
      <c r="H1185" s="22"/>
    </row>
    <row r="1186" spans="1:8" ht="13.35" customHeight="1">
      <c r="A1186" s="82">
        <v>1</v>
      </c>
      <c r="B1186" s="83" t="s">
        <v>3154</v>
      </c>
      <c r="C1186" s="67" t="s">
        <v>3155</v>
      </c>
      <c r="D1186" s="91">
        <v>1007648100</v>
      </c>
      <c r="E1186" s="76">
        <v>39440797.5</v>
      </c>
      <c r="F1186" s="77" t="s">
        <v>10170</v>
      </c>
      <c r="G1186" s="22"/>
      <c r="H1186" s="22"/>
    </row>
    <row r="1187" spans="1:8" ht="13.35" customHeight="1">
      <c r="A1187" s="82">
        <v>1</v>
      </c>
      <c r="B1187" s="83" t="s">
        <v>1399</v>
      </c>
      <c r="C1187" s="67" t="s">
        <v>1400</v>
      </c>
      <c r="D1187" s="91">
        <v>1012102700</v>
      </c>
      <c r="E1187" s="76">
        <v>39615160</v>
      </c>
      <c r="F1187" s="77" t="s">
        <v>10170</v>
      </c>
      <c r="G1187" s="22"/>
      <c r="H1187" s="22"/>
    </row>
    <row r="1188" spans="1:8" ht="13.35" customHeight="1">
      <c r="A1188" s="82">
        <v>1</v>
      </c>
      <c r="B1188" s="83" t="s">
        <v>1401</v>
      </c>
      <c r="C1188" s="67" t="s">
        <v>1402</v>
      </c>
      <c r="D1188" s="91">
        <v>1012102700</v>
      </c>
      <c r="E1188" s="76">
        <v>39615160</v>
      </c>
      <c r="F1188" s="77" t="s">
        <v>10170</v>
      </c>
      <c r="G1188" s="22"/>
      <c r="H1188" s="22"/>
    </row>
    <row r="1189" spans="1:8" ht="13.35" customHeight="1">
      <c r="A1189" s="82">
        <v>1</v>
      </c>
      <c r="B1189" s="83" t="s">
        <v>1403</v>
      </c>
      <c r="C1189" s="67" t="s">
        <v>1404</v>
      </c>
      <c r="D1189" s="91">
        <v>957687100</v>
      </c>
      <c r="E1189" s="76">
        <v>37485255</v>
      </c>
      <c r="F1189" s="77" t="s">
        <v>10170</v>
      </c>
      <c r="G1189" s="22"/>
      <c r="H1189" s="22"/>
    </row>
    <row r="1190" spans="1:8" ht="13.35" customHeight="1">
      <c r="A1190" s="82">
        <v>1</v>
      </c>
      <c r="B1190" s="67" t="s">
        <v>5287</v>
      </c>
      <c r="C1190" s="67" t="s">
        <v>7416</v>
      </c>
      <c r="D1190" s="91">
        <v>1638019200</v>
      </c>
      <c r="E1190" s="76">
        <v>64114432.5</v>
      </c>
      <c r="F1190" s="77" t="s">
        <v>10170</v>
      </c>
      <c r="G1190" s="22"/>
      <c r="H1190" s="22"/>
    </row>
    <row r="1191" spans="1:8" ht="13.35" customHeight="1">
      <c r="A1191" s="82">
        <v>1</v>
      </c>
      <c r="B1191" s="67" t="s">
        <v>5286</v>
      </c>
      <c r="C1191" s="67" t="s">
        <v>7417</v>
      </c>
      <c r="D1191" s="91">
        <v>1638019200</v>
      </c>
      <c r="E1191" s="76">
        <v>64114432.5</v>
      </c>
      <c r="F1191" s="77" t="s">
        <v>10170</v>
      </c>
      <c r="G1191" s="22"/>
      <c r="H1191" s="22"/>
    </row>
    <row r="1192" spans="1:8" ht="13.35" customHeight="1">
      <c r="A1192" s="82">
        <v>1</v>
      </c>
      <c r="B1192" s="67" t="s">
        <v>5288</v>
      </c>
      <c r="C1192" s="67" t="s">
        <v>7418</v>
      </c>
      <c r="D1192" s="91">
        <v>1554476800</v>
      </c>
      <c r="E1192" s="76">
        <v>60844464.999999993</v>
      </c>
      <c r="F1192" s="77" t="s">
        <v>10170</v>
      </c>
      <c r="G1192" s="22"/>
      <c r="H1192" s="22"/>
    </row>
    <row r="1193" spans="1:8" ht="13.35" customHeight="1">
      <c r="A1193" s="82">
        <v>1</v>
      </c>
      <c r="B1193" s="83" t="s">
        <v>5104</v>
      </c>
      <c r="C1193" s="67" t="s">
        <v>5105</v>
      </c>
      <c r="D1193" s="91">
        <v>1126142500</v>
      </c>
      <c r="E1193" s="76">
        <v>44078840</v>
      </c>
      <c r="F1193" s="77" t="s">
        <v>10170</v>
      </c>
      <c r="G1193" s="22"/>
      <c r="H1193" s="22"/>
    </row>
    <row r="1194" spans="1:8" ht="13.35" customHeight="1">
      <c r="A1194" s="82">
        <v>1</v>
      </c>
      <c r="B1194" s="83" t="s">
        <v>5106</v>
      </c>
      <c r="C1194" s="67" t="s">
        <v>5107</v>
      </c>
      <c r="D1194" s="91">
        <v>1126142500</v>
      </c>
      <c r="E1194" s="76">
        <v>44078840</v>
      </c>
      <c r="F1194" s="77" t="s">
        <v>10170</v>
      </c>
      <c r="G1194" s="22"/>
      <c r="H1194" s="22"/>
    </row>
    <row r="1195" spans="1:8" ht="13.35" customHeight="1">
      <c r="A1195" s="82">
        <v>1</v>
      </c>
      <c r="B1195" s="83" t="s">
        <v>5102</v>
      </c>
      <c r="C1195" s="67" t="s">
        <v>5103</v>
      </c>
      <c r="D1195" s="91">
        <v>1059939100</v>
      </c>
      <c r="E1195" s="76">
        <v>41487545</v>
      </c>
      <c r="F1195" s="77" t="s">
        <v>10170</v>
      </c>
      <c r="G1195" s="22"/>
      <c r="H1195" s="22"/>
    </row>
    <row r="1196" spans="1:8" ht="13.35" customHeight="1">
      <c r="A1196" s="82">
        <v>1</v>
      </c>
      <c r="B1196" s="67" t="s">
        <v>5195</v>
      </c>
      <c r="C1196" s="67" t="s">
        <v>7419</v>
      </c>
      <c r="D1196" s="91">
        <v>2764230200</v>
      </c>
      <c r="E1196" s="76">
        <v>108195954.99999999</v>
      </c>
      <c r="F1196" s="77" t="s">
        <v>10170</v>
      </c>
      <c r="G1196" s="22"/>
      <c r="H1196" s="22"/>
    </row>
    <row r="1197" spans="1:8" ht="13.35" customHeight="1">
      <c r="A1197" s="82">
        <v>1</v>
      </c>
      <c r="B1197" s="67" t="s">
        <v>5196</v>
      </c>
      <c r="C1197" s="67" t="s">
        <v>7420</v>
      </c>
      <c r="D1197" s="91">
        <v>2764230200</v>
      </c>
      <c r="E1197" s="76">
        <v>108195954.99999999</v>
      </c>
      <c r="F1197" s="77" t="s">
        <v>10170</v>
      </c>
      <c r="G1197" s="22"/>
      <c r="H1197" s="22"/>
    </row>
    <row r="1198" spans="1:8" ht="13.35" customHeight="1">
      <c r="A1198" s="82">
        <v>1</v>
      </c>
      <c r="B1198" s="67" t="s">
        <v>5194</v>
      </c>
      <c r="C1198" s="67" t="s">
        <v>7421</v>
      </c>
      <c r="D1198" s="91">
        <v>2680687900</v>
      </c>
      <c r="E1198" s="76">
        <v>104925987.5</v>
      </c>
      <c r="F1198" s="77" t="s">
        <v>10170</v>
      </c>
      <c r="G1198" s="22"/>
      <c r="H1198" s="22"/>
    </row>
    <row r="1199" spans="1:8" ht="13.35" customHeight="1">
      <c r="A1199" s="82">
        <v>1</v>
      </c>
      <c r="B1199" s="83" t="s">
        <v>3726</v>
      </c>
      <c r="C1199" s="67" t="s">
        <v>3943</v>
      </c>
      <c r="D1199" s="91">
        <v>2764230200</v>
      </c>
      <c r="E1199" s="76">
        <v>108195954.99999999</v>
      </c>
      <c r="F1199" s="77" t="s">
        <v>10170</v>
      </c>
      <c r="G1199" s="22"/>
      <c r="H1199" s="22"/>
    </row>
    <row r="1200" spans="1:8" ht="13.35" customHeight="1">
      <c r="A1200" s="82">
        <v>1</v>
      </c>
      <c r="B1200" s="83" t="s">
        <v>3727</v>
      </c>
      <c r="C1200" s="67" t="s">
        <v>3944</v>
      </c>
      <c r="D1200" s="91">
        <v>2764230200</v>
      </c>
      <c r="E1200" s="76">
        <v>108195954.99999999</v>
      </c>
      <c r="F1200" s="77" t="s">
        <v>10170</v>
      </c>
      <c r="G1200" s="22"/>
      <c r="H1200" s="22"/>
    </row>
    <row r="1201" spans="1:8" ht="13.35" customHeight="1">
      <c r="A1201" s="82">
        <v>1</v>
      </c>
      <c r="B1201" s="83" t="s">
        <v>3728</v>
      </c>
      <c r="C1201" s="67" t="s">
        <v>3945</v>
      </c>
      <c r="D1201" s="91">
        <v>2680687900</v>
      </c>
      <c r="E1201" s="76">
        <v>104925987.5</v>
      </c>
      <c r="F1201" s="77" t="s">
        <v>10170</v>
      </c>
      <c r="G1201" s="22"/>
      <c r="H1201" s="22"/>
    </row>
    <row r="1202" spans="1:8" ht="13.35" customHeight="1">
      <c r="A1202" s="82">
        <v>1</v>
      </c>
      <c r="B1202" s="83" t="s">
        <v>2490</v>
      </c>
      <c r="C1202" s="67" t="s">
        <v>2491</v>
      </c>
      <c r="D1202" s="91">
        <v>529695400</v>
      </c>
      <c r="E1202" s="76">
        <v>20733042.5</v>
      </c>
      <c r="F1202" s="77" t="s">
        <v>10170</v>
      </c>
      <c r="G1202" s="22"/>
      <c r="H1202" s="22"/>
    </row>
    <row r="1203" spans="1:8" ht="13.35" customHeight="1">
      <c r="A1203" s="82">
        <v>1</v>
      </c>
      <c r="B1203" s="83" t="s">
        <v>2492</v>
      </c>
      <c r="C1203" s="67" t="s">
        <v>2493</v>
      </c>
      <c r="D1203" s="91">
        <v>529695400</v>
      </c>
      <c r="E1203" s="76">
        <v>20733042.5</v>
      </c>
      <c r="F1203" s="77" t="s">
        <v>10170</v>
      </c>
      <c r="G1203" s="22"/>
      <c r="H1203" s="22"/>
    </row>
    <row r="1204" spans="1:8" ht="13.35" customHeight="1">
      <c r="A1204" s="82">
        <v>1</v>
      </c>
      <c r="B1204" s="83" t="s">
        <v>2488</v>
      </c>
      <c r="C1204" s="67" t="s">
        <v>2489</v>
      </c>
      <c r="D1204" s="91">
        <v>488849500</v>
      </c>
      <c r="E1204" s="76">
        <v>19134272.5</v>
      </c>
      <c r="F1204" s="77" t="s">
        <v>10170</v>
      </c>
      <c r="G1204" s="22"/>
      <c r="H1204" s="22"/>
    </row>
    <row r="1205" spans="1:8" ht="13.35" customHeight="1">
      <c r="A1205" s="82">
        <v>1</v>
      </c>
      <c r="B1205" s="83" t="s">
        <v>2910</v>
      </c>
      <c r="C1205" s="67" t="s">
        <v>2911</v>
      </c>
      <c r="D1205" s="91">
        <v>2167234900</v>
      </c>
      <c r="E1205" s="76">
        <v>84828697.5</v>
      </c>
      <c r="F1205" s="77" t="s">
        <v>10170</v>
      </c>
      <c r="G1205" s="22"/>
      <c r="H1205" s="22"/>
    </row>
    <row r="1206" spans="1:8" ht="13.35" customHeight="1">
      <c r="A1206" s="82">
        <v>1</v>
      </c>
      <c r="B1206" s="83" t="s">
        <v>2912</v>
      </c>
      <c r="C1206" s="67" t="s">
        <v>2913</v>
      </c>
      <c r="D1206" s="91">
        <v>2167234900</v>
      </c>
      <c r="E1206" s="76">
        <v>84828697.5</v>
      </c>
      <c r="F1206" s="77" t="s">
        <v>10170</v>
      </c>
      <c r="G1206" s="22"/>
      <c r="H1206" s="22"/>
    </row>
    <row r="1207" spans="1:8" ht="13.35" customHeight="1">
      <c r="A1207" s="82">
        <v>1</v>
      </c>
      <c r="B1207" s="83" t="s">
        <v>2908</v>
      </c>
      <c r="C1207" s="67" t="s">
        <v>2909</v>
      </c>
      <c r="D1207" s="91">
        <v>1898378000</v>
      </c>
      <c r="E1207" s="76">
        <v>74305250</v>
      </c>
      <c r="F1207" s="77" t="s">
        <v>10170</v>
      </c>
      <c r="G1207" s="22"/>
      <c r="H1207" s="22"/>
    </row>
    <row r="1208" spans="1:8" ht="13.35" customHeight="1">
      <c r="A1208" s="82">
        <v>1</v>
      </c>
      <c r="B1208" s="83" t="s">
        <v>2496</v>
      </c>
      <c r="C1208" s="67" t="s">
        <v>2497</v>
      </c>
      <c r="D1208" s="91">
        <v>1252175600</v>
      </c>
      <c r="E1208" s="76">
        <v>49011957.5</v>
      </c>
      <c r="F1208" s="77" t="s">
        <v>10170</v>
      </c>
      <c r="G1208" s="22"/>
      <c r="H1208" s="22"/>
    </row>
    <row r="1209" spans="1:8" ht="13.35" customHeight="1">
      <c r="A1209" s="82">
        <v>1</v>
      </c>
      <c r="B1209" s="83" t="s">
        <v>2498</v>
      </c>
      <c r="C1209" s="67" t="s">
        <v>2499</v>
      </c>
      <c r="D1209" s="91">
        <v>1252175600</v>
      </c>
      <c r="E1209" s="76">
        <v>49011957.5</v>
      </c>
      <c r="F1209" s="77" t="s">
        <v>10170</v>
      </c>
      <c r="G1209" s="22"/>
      <c r="H1209" s="22"/>
    </row>
    <row r="1210" spans="1:8" ht="13.35" customHeight="1">
      <c r="A1210" s="82">
        <v>1</v>
      </c>
      <c r="B1210" s="83" t="s">
        <v>2494</v>
      </c>
      <c r="C1210" s="67" t="s">
        <v>2495</v>
      </c>
      <c r="D1210" s="91">
        <v>1211261100</v>
      </c>
      <c r="E1210" s="76">
        <v>47410505</v>
      </c>
      <c r="F1210" s="77" t="s">
        <v>10170</v>
      </c>
      <c r="G1210" s="22"/>
      <c r="H1210" s="22"/>
    </row>
    <row r="1211" spans="1:8" ht="13.35" customHeight="1">
      <c r="A1211" s="82">
        <v>1</v>
      </c>
      <c r="B1211" s="83" t="s">
        <v>2502</v>
      </c>
      <c r="C1211" s="67" t="s">
        <v>2503</v>
      </c>
      <c r="D1211" s="91">
        <v>1324409900</v>
      </c>
      <c r="E1211" s="76">
        <v>51839312.5</v>
      </c>
      <c r="F1211" s="77" t="s">
        <v>10170</v>
      </c>
      <c r="G1211" s="22"/>
      <c r="H1211" s="22"/>
    </row>
    <row r="1212" spans="1:8" ht="13.35" customHeight="1">
      <c r="A1212" s="82">
        <v>1</v>
      </c>
      <c r="B1212" s="83" t="s">
        <v>2504</v>
      </c>
      <c r="C1212" s="67" t="s">
        <v>2505</v>
      </c>
      <c r="D1212" s="91">
        <v>1324409900</v>
      </c>
      <c r="E1212" s="76">
        <v>51839312.5</v>
      </c>
      <c r="F1212" s="77" t="s">
        <v>10170</v>
      </c>
      <c r="G1212" s="22"/>
      <c r="H1212" s="22"/>
    </row>
    <row r="1213" spans="1:8" ht="13.35" customHeight="1">
      <c r="A1213" s="82">
        <v>1</v>
      </c>
      <c r="B1213" s="83" t="s">
        <v>2500</v>
      </c>
      <c r="C1213" s="67" t="s">
        <v>2501</v>
      </c>
      <c r="D1213" s="91">
        <v>1283426900</v>
      </c>
      <c r="E1213" s="76">
        <v>50235177.499999993</v>
      </c>
      <c r="F1213" s="77" t="s">
        <v>10170</v>
      </c>
      <c r="G1213" s="22"/>
      <c r="H1213" s="22"/>
    </row>
    <row r="1214" spans="1:8" ht="13.35" customHeight="1">
      <c r="A1214" s="82">
        <v>1</v>
      </c>
      <c r="B1214" s="83" t="s">
        <v>3292</v>
      </c>
      <c r="C1214" s="67" t="s">
        <v>3293</v>
      </c>
      <c r="D1214" s="91">
        <v>927121200</v>
      </c>
      <c r="E1214" s="76">
        <v>36288860</v>
      </c>
      <c r="F1214" s="77" t="s">
        <v>10170</v>
      </c>
      <c r="G1214" s="22"/>
      <c r="H1214" s="22"/>
    </row>
    <row r="1215" spans="1:8" ht="13.35" customHeight="1">
      <c r="A1215" s="82">
        <v>1</v>
      </c>
      <c r="B1215" s="83" t="s">
        <v>3294</v>
      </c>
      <c r="C1215" s="67" t="s">
        <v>3295</v>
      </c>
      <c r="D1215" s="91">
        <v>987225100</v>
      </c>
      <c r="E1215" s="76">
        <v>38641412.5</v>
      </c>
      <c r="F1215" s="77" t="s">
        <v>10170</v>
      </c>
      <c r="G1215" s="22"/>
      <c r="H1215" s="22"/>
    </row>
    <row r="1216" spans="1:8" ht="13.35" customHeight="1">
      <c r="A1216" s="82">
        <v>1</v>
      </c>
      <c r="B1216" s="83" t="s">
        <v>3296</v>
      </c>
      <c r="C1216" s="67" t="s">
        <v>3297</v>
      </c>
      <c r="D1216" s="91">
        <v>987225100</v>
      </c>
      <c r="E1216" s="76">
        <v>38641412.5</v>
      </c>
      <c r="F1216" s="77" t="s">
        <v>10170</v>
      </c>
      <c r="G1216" s="22"/>
      <c r="H1216" s="22"/>
    </row>
    <row r="1217" spans="1:8" ht="13.35" customHeight="1">
      <c r="A1217" s="82">
        <v>1</v>
      </c>
      <c r="B1217" s="83" t="s">
        <v>3298</v>
      </c>
      <c r="C1217" s="67" t="s">
        <v>3299</v>
      </c>
      <c r="D1217" s="91">
        <v>1789067000</v>
      </c>
      <c r="E1217" s="76">
        <v>70026662.5</v>
      </c>
      <c r="F1217" s="77" t="s">
        <v>10170</v>
      </c>
      <c r="G1217" s="22"/>
      <c r="H1217" s="22"/>
    </row>
    <row r="1218" spans="1:8" ht="13.35" customHeight="1">
      <c r="A1218" s="82">
        <v>1</v>
      </c>
      <c r="B1218" s="83" t="s">
        <v>3300</v>
      </c>
      <c r="C1218" s="67" t="s">
        <v>3301</v>
      </c>
      <c r="D1218" s="91">
        <v>1849308000</v>
      </c>
      <c r="E1218" s="76">
        <v>72384580</v>
      </c>
      <c r="F1218" s="77" t="s">
        <v>10170</v>
      </c>
      <c r="G1218" s="22"/>
      <c r="H1218" s="22"/>
    </row>
    <row r="1219" spans="1:8" ht="13.35" customHeight="1">
      <c r="A1219" s="82">
        <v>1</v>
      </c>
      <c r="B1219" s="83" t="s">
        <v>3302</v>
      </c>
      <c r="C1219" s="67" t="s">
        <v>3303</v>
      </c>
      <c r="D1219" s="91">
        <v>1849308000</v>
      </c>
      <c r="E1219" s="76">
        <v>72384580</v>
      </c>
      <c r="F1219" s="77" t="s">
        <v>10170</v>
      </c>
      <c r="G1219" s="22"/>
      <c r="H1219" s="22"/>
    </row>
    <row r="1220" spans="1:8" ht="13.35" customHeight="1">
      <c r="A1220" s="82">
        <v>1</v>
      </c>
      <c r="B1220" s="67" t="s">
        <v>6756</v>
      </c>
      <c r="C1220" s="67" t="s">
        <v>7422</v>
      </c>
      <c r="D1220" s="91">
        <v>2916991400</v>
      </c>
      <c r="E1220" s="76">
        <v>114175247.5</v>
      </c>
      <c r="F1220" s="77" t="s">
        <v>10170</v>
      </c>
      <c r="G1220" s="22"/>
      <c r="H1220" s="22"/>
    </row>
    <row r="1221" spans="1:8" ht="13.35" customHeight="1">
      <c r="A1221" s="82">
        <v>1</v>
      </c>
      <c r="B1221" s="67" t="s">
        <v>6111</v>
      </c>
      <c r="C1221" s="67" t="s">
        <v>6112</v>
      </c>
      <c r="D1221" s="91">
        <v>2860862400</v>
      </c>
      <c r="E1221" s="76">
        <v>111978279.99999999</v>
      </c>
      <c r="F1221" s="77" t="s">
        <v>10170</v>
      </c>
      <c r="G1221" s="22"/>
      <c r="H1221" s="22"/>
    </row>
    <row r="1222" spans="1:8" ht="13.35" customHeight="1">
      <c r="A1222" s="82">
        <v>1</v>
      </c>
      <c r="B1222" s="67" t="s">
        <v>6113</v>
      </c>
      <c r="C1222" s="67" t="s">
        <v>6114</v>
      </c>
      <c r="D1222" s="91">
        <v>2860862400</v>
      </c>
      <c r="E1222" s="76">
        <v>111978279.99999999</v>
      </c>
      <c r="F1222" s="77" t="s">
        <v>10170</v>
      </c>
      <c r="G1222" s="22"/>
      <c r="H1222" s="22"/>
    </row>
    <row r="1223" spans="1:8" ht="13.35" customHeight="1">
      <c r="A1223" s="82">
        <v>1</v>
      </c>
      <c r="B1223" s="67" t="s">
        <v>6115</v>
      </c>
      <c r="C1223" s="67" t="s">
        <v>6116</v>
      </c>
      <c r="D1223" s="91">
        <v>2745657600</v>
      </c>
      <c r="E1223" s="76">
        <v>107468997.5</v>
      </c>
      <c r="F1223" s="77" t="s">
        <v>10170</v>
      </c>
      <c r="G1223" s="22"/>
      <c r="H1223" s="22"/>
    </row>
    <row r="1224" spans="1:8" ht="13.35" customHeight="1">
      <c r="A1224" s="82">
        <v>1</v>
      </c>
      <c r="B1224" s="67" t="s">
        <v>5588</v>
      </c>
      <c r="C1224" s="67" t="s">
        <v>7423</v>
      </c>
      <c r="D1224" s="91">
        <v>1575516600</v>
      </c>
      <c r="E1224" s="76">
        <v>61667992.5</v>
      </c>
      <c r="F1224" s="77" t="s">
        <v>10170</v>
      </c>
      <c r="G1224" s="22"/>
      <c r="H1224" s="22"/>
    </row>
    <row r="1225" spans="1:8" ht="13.35" customHeight="1">
      <c r="A1225" s="82">
        <v>1</v>
      </c>
      <c r="B1225" s="67" t="s">
        <v>5587</v>
      </c>
      <c r="C1225" s="67" t="s">
        <v>7424</v>
      </c>
      <c r="D1225" s="91">
        <v>1482653700</v>
      </c>
      <c r="E1225" s="76">
        <v>58033205</v>
      </c>
      <c r="F1225" s="77" t="s">
        <v>10170</v>
      </c>
      <c r="G1225" s="22"/>
      <c r="H1225" s="22"/>
    </row>
    <row r="1226" spans="1:8" ht="13.35" customHeight="1">
      <c r="A1226" s="82">
        <v>1</v>
      </c>
      <c r="B1226" s="67" t="s">
        <v>5608</v>
      </c>
      <c r="C1226" s="67" t="s">
        <v>7425</v>
      </c>
      <c r="D1226" s="91">
        <v>2860862400</v>
      </c>
      <c r="E1226" s="76">
        <v>111978279.99999999</v>
      </c>
      <c r="F1226" s="77" t="s">
        <v>10170</v>
      </c>
      <c r="G1226" s="22"/>
      <c r="H1226" s="22"/>
    </row>
    <row r="1227" spans="1:8" ht="13.35" customHeight="1">
      <c r="A1227" s="82">
        <v>1</v>
      </c>
      <c r="B1227" s="67" t="s">
        <v>5607</v>
      </c>
      <c r="C1227" s="67" t="s">
        <v>7426</v>
      </c>
      <c r="D1227" s="91">
        <v>2745657600</v>
      </c>
      <c r="E1227" s="76">
        <v>107468997.5</v>
      </c>
      <c r="F1227" s="77" t="s">
        <v>10170</v>
      </c>
      <c r="G1227" s="22"/>
      <c r="H1227" s="22"/>
    </row>
    <row r="1228" spans="1:8" ht="13.35" customHeight="1">
      <c r="A1228" s="82">
        <v>1</v>
      </c>
      <c r="B1228" s="83" t="s">
        <v>3965</v>
      </c>
      <c r="C1228" s="83" t="s">
        <v>4141</v>
      </c>
      <c r="D1228" s="93">
        <v>2294844200</v>
      </c>
      <c r="E1228" s="76">
        <v>89823512.5</v>
      </c>
      <c r="F1228" s="77" t="s">
        <v>10170</v>
      </c>
      <c r="G1228" s="22"/>
      <c r="H1228" s="22"/>
    </row>
    <row r="1229" spans="1:8" ht="13.35" customHeight="1">
      <c r="A1229" s="82">
        <v>1</v>
      </c>
      <c r="B1229" s="83" t="s">
        <v>3964</v>
      </c>
      <c r="C1229" s="83" t="s">
        <v>4024</v>
      </c>
      <c r="D1229" s="93">
        <v>2158805300</v>
      </c>
      <c r="E1229" s="76">
        <v>84498750</v>
      </c>
      <c r="F1229" s="77" t="s">
        <v>10170</v>
      </c>
      <c r="G1229" s="22"/>
      <c r="H1229" s="22"/>
    </row>
    <row r="1230" spans="1:8" ht="13.35" customHeight="1">
      <c r="A1230" s="82">
        <v>1</v>
      </c>
      <c r="B1230" s="83" t="s">
        <v>4135</v>
      </c>
      <c r="C1230" s="83" t="s">
        <v>4743</v>
      </c>
      <c r="D1230" s="93">
        <v>2294844200</v>
      </c>
      <c r="E1230" s="76">
        <v>89823512.5</v>
      </c>
      <c r="F1230" s="77" t="s">
        <v>10170</v>
      </c>
      <c r="G1230" s="22"/>
      <c r="H1230" s="22"/>
    </row>
    <row r="1231" spans="1:8" ht="13.35" customHeight="1">
      <c r="A1231" s="82">
        <v>1</v>
      </c>
      <c r="B1231" s="83" t="s">
        <v>4137</v>
      </c>
      <c r="C1231" s="83" t="s">
        <v>4024</v>
      </c>
      <c r="D1231" s="93">
        <v>2158805300</v>
      </c>
      <c r="E1231" s="76">
        <v>84498750</v>
      </c>
      <c r="F1231" s="77" t="s">
        <v>10170</v>
      </c>
      <c r="G1231" s="22"/>
      <c r="H1231" s="22"/>
    </row>
    <row r="1232" spans="1:8" ht="13.35" customHeight="1">
      <c r="A1232" s="82">
        <v>1</v>
      </c>
      <c r="B1232" s="67" t="s">
        <v>6757</v>
      </c>
      <c r="C1232" s="67" t="s">
        <v>7427</v>
      </c>
      <c r="D1232" s="91">
        <v>2660539000</v>
      </c>
      <c r="E1232" s="76">
        <v>104137332.50000001</v>
      </c>
      <c r="F1232" s="77" t="s">
        <v>10170</v>
      </c>
      <c r="G1232" s="22"/>
      <c r="H1232" s="22"/>
    </row>
    <row r="1233" spans="1:8" ht="13.35" customHeight="1">
      <c r="A1233" s="82">
        <v>1</v>
      </c>
      <c r="B1233" s="83" t="s">
        <v>3708</v>
      </c>
      <c r="C1233" s="67" t="s">
        <v>7428</v>
      </c>
      <c r="D1233" s="91">
        <v>2639088000</v>
      </c>
      <c r="E1233" s="76">
        <v>103297710</v>
      </c>
      <c r="F1233" s="77" t="s">
        <v>10170</v>
      </c>
      <c r="G1233" s="22"/>
      <c r="H1233" s="22"/>
    </row>
    <row r="1234" spans="1:8" ht="13.35" customHeight="1">
      <c r="A1234" s="82">
        <v>1</v>
      </c>
      <c r="B1234" s="83" t="s">
        <v>5193</v>
      </c>
      <c r="C1234" s="67" t="s">
        <v>7429</v>
      </c>
      <c r="D1234" s="91">
        <v>2639088000</v>
      </c>
      <c r="E1234" s="76">
        <v>103297710</v>
      </c>
      <c r="F1234" s="77" t="s">
        <v>10170</v>
      </c>
      <c r="G1234" s="22"/>
      <c r="H1234" s="22"/>
    </row>
    <row r="1235" spans="1:8" ht="13.35" customHeight="1">
      <c r="A1235" s="82">
        <v>1</v>
      </c>
      <c r="B1235" s="83" t="s">
        <v>3810</v>
      </c>
      <c r="C1235" s="67" t="s">
        <v>7430</v>
      </c>
      <c r="D1235" s="91">
        <v>2489959100</v>
      </c>
      <c r="E1235" s="76">
        <v>97460590</v>
      </c>
      <c r="F1235" s="77" t="s">
        <v>10170</v>
      </c>
      <c r="G1235" s="22"/>
      <c r="H1235" s="22"/>
    </row>
    <row r="1236" spans="1:8" ht="13.35" customHeight="1">
      <c r="A1236" s="82">
        <v>1</v>
      </c>
      <c r="B1236" s="83" t="s">
        <v>4936</v>
      </c>
      <c r="C1236" s="67" t="s">
        <v>4935</v>
      </c>
      <c r="D1236" s="91">
        <v>1542209400</v>
      </c>
      <c r="E1236" s="76">
        <v>60364297.500000007</v>
      </c>
      <c r="F1236" s="77" t="s">
        <v>10170</v>
      </c>
      <c r="G1236" s="22"/>
      <c r="H1236" s="22"/>
    </row>
    <row r="1237" spans="1:8" ht="13.35" customHeight="1">
      <c r="A1237" s="82">
        <v>1</v>
      </c>
      <c r="B1237" s="83" t="s">
        <v>4937</v>
      </c>
      <c r="C1237" s="67" t="s">
        <v>4938</v>
      </c>
      <c r="D1237" s="91">
        <v>1542209400</v>
      </c>
      <c r="E1237" s="76">
        <v>60364297.500000007</v>
      </c>
      <c r="F1237" s="77" t="s">
        <v>10170</v>
      </c>
      <c r="G1237" s="22"/>
      <c r="H1237" s="22"/>
    </row>
    <row r="1238" spans="1:8" ht="13.35" customHeight="1">
      <c r="A1238" s="82">
        <v>1</v>
      </c>
      <c r="B1238" s="67" t="s">
        <v>5192</v>
      </c>
      <c r="C1238" s="67" t="s">
        <v>7431</v>
      </c>
      <c r="D1238" s="91">
        <v>1451128300</v>
      </c>
      <c r="E1238" s="76">
        <v>56799255</v>
      </c>
      <c r="F1238" s="77" t="s">
        <v>10170</v>
      </c>
      <c r="G1238" s="22"/>
      <c r="H1238" s="22"/>
    </row>
    <row r="1239" spans="1:8" ht="13.35" customHeight="1">
      <c r="A1239" s="82">
        <v>1</v>
      </c>
      <c r="B1239" s="67" t="s">
        <v>5577</v>
      </c>
      <c r="C1239" s="67" t="s">
        <v>7432</v>
      </c>
      <c r="D1239" s="91">
        <v>1556738500</v>
      </c>
      <c r="E1239" s="76">
        <v>60932987.5</v>
      </c>
      <c r="F1239" s="77" t="s">
        <v>10170</v>
      </c>
      <c r="G1239" s="22"/>
      <c r="H1239" s="22"/>
    </row>
    <row r="1240" spans="1:8" ht="13.35" customHeight="1">
      <c r="A1240" s="82">
        <v>1</v>
      </c>
      <c r="B1240" s="67" t="s">
        <v>6758</v>
      </c>
      <c r="C1240" s="67" t="s">
        <v>7433</v>
      </c>
      <c r="D1240" s="91">
        <v>1514384700</v>
      </c>
      <c r="E1240" s="76">
        <v>59275202.499999993</v>
      </c>
      <c r="F1240" s="77" t="s">
        <v>10170</v>
      </c>
      <c r="G1240" s="22"/>
      <c r="H1240" s="22"/>
    </row>
    <row r="1241" spans="1:8" ht="13.35" customHeight="1">
      <c r="A1241" s="82">
        <v>1</v>
      </c>
      <c r="B1241" s="67" t="s">
        <v>5651</v>
      </c>
      <c r="C1241" s="67" t="s">
        <v>7434</v>
      </c>
      <c r="D1241" s="91">
        <v>1482653700</v>
      </c>
      <c r="E1241" s="76">
        <v>58033205</v>
      </c>
      <c r="F1241" s="77" t="s">
        <v>10170</v>
      </c>
      <c r="G1241" s="22"/>
      <c r="H1241" s="22"/>
    </row>
    <row r="1242" spans="1:8" ht="13.35" customHeight="1">
      <c r="A1242" s="82">
        <v>1</v>
      </c>
      <c r="B1242" s="83" t="s">
        <v>1194</v>
      </c>
      <c r="C1242" s="67" t="s">
        <v>1195</v>
      </c>
      <c r="D1242" s="91">
        <v>1475115100</v>
      </c>
      <c r="E1242" s="76">
        <v>57738130</v>
      </c>
      <c r="F1242" s="77" t="s">
        <v>10170</v>
      </c>
      <c r="G1242" s="22"/>
      <c r="H1242" s="22"/>
    </row>
    <row r="1243" spans="1:8" ht="13.35" customHeight="1">
      <c r="A1243" s="82">
        <v>1</v>
      </c>
      <c r="B1243" s="83" t="s">
        <v>1196</v>
      </c>
      <c r="C1243" s="67" t="s">
        <v>1197</v>
      </c>
      <c r="D1243" s="91">
        <v>1388009000</v>
      </c>
      <c r="E1243" s="76">
        <v>54328672.500000007</v>
      </c>
      <c r="F1243" s="77" t="s">
        <v>10170</v>
      </c>
      <c r="G1243" s="22"/>
      <c r="H1243" s="22"/>
    </row>
    <row r="1244" spans="1:8" ht="13.35" customHeight="1">
      <c r="A1244" s="82">
        <v>1</v>
      </c>
      <c r="B1244" s="83" t="s">
        <v>4138</v>
      </c>
      <c r="C1244" s="67" t="s">
        <v>4136</v>
      </c>
      <c r="D1244" s="91">
        <v>2294844200</v>
      </c>
      <c r="E1244" s="76">
        <v>89823512.5</v>
      </c>
      <c r="F1244" s="77" t="s">
        <v>10170</v>
      </c>
      <c r="G1244" s="22"/>
      <c r="H1244" s="22"/>
    </row>
    <row r="1245" spans="1:8" ht="13.35" customHeight="1">
      <c r="A1245" s="82">
        <v>1</v>
      </c>
      <c r="B1245" s="83" t="s">
        <v>4139</v>
      </c>
      <c r="C1245" s="67" t="s">
        <v>4140</v>
      </c>
      <c r="D1245" s="91">
        <v>2158805300</v>
      </c>
      <c r="E1245" s="76">
        <v>84498750</v>
      </c>
      <c r="F1245" s="77" t="s">
        <v>10170</v>
      </c>
      <c r="G1245" s="22"/>
      <c r="H1245" s="22"/>
    </row>
    <row r="1246" spans="1:8" ht="13.35" customHeight="1">
      <c r="A1246" s="82">
        <v>1</v>
      </c>
      <c r="B1246" s="83" t="s">
        <v>1144</v>
      </c>
      <c r="C1246" s="67" t="s">
        <v>1145</v>
      </c>
      <c r="D1246" s="91">
        <v>1376700900</v>
      </c>
      <c r="E1246" s="76">
        <v>53886060.000000007</v>
      </c>
      <c r="F1246" s="77" t="s">
        <v>10170</v>
      </c>
      <c r="G1246" s="22"/>
      <c r="H1246" s="22"/>
    </row>
    <row r="1247" spans="1:8" ht="13.35" customHeight="1">
      <c r="A1247" s="82">
        <v>1</v>
      </c>
      <c r="B1247" s="83" t="s">
        <v>1146</v>
      </c>
      <c r="C1247" s="67" t="s">
        <v>1147</v>
      </c>
      <c r="D1247" s="91">
        <v>1289663400</v>
      </c>
      <c r="E1247" s="76">
        <v>50479285.000000007</v>
      </c>
      <c r="F1247" s="77" t="s">
        <v>10170</v>
      </c>
      <c r="G1247" s="22"/>
      <c r="H1247" s="22"/>
    </row>
    <row r="1248" spans="1:8" ht="13.35" customHeight="1">
      <c r="A1248" s="82">
        <v>1</v>
      </c>
      <c r="B1248" s="67" t="s">
        <v>5585</v>
      </c>
      <c r="C1248" s="67" t="s">
        <v>7435</v>
      </c>
      <c r="D1248" s="91">
        <v>1059185200</v>
      </c>
      <c r="E1248" s="76">
        <v>41458037.5</v>
      </c>
      <c r="F1248" s="77" t="s">
        <v>10170</v>
      </c>
      <c r="G1248" s="22"/>
      <c r="H1248" s="22"/>
    </row>
    <row r="1249" spans="1:8" ht="13.35" customHeight="1">
      <c r="A1249" s="82">
        <v>1</v>
      </c>
      <c r="B1249" s="67" t="s">
        <v>5586</v>
      </c>
      <c r="C1249" s="67" t="s">
        <v>7436</v>
      </c>
      <c r="D1249" s="91">
        <v>1059185200</v>
      </c>
      <c r="E1249" s="76">
        <v>41458037.5</v>
      </c>
      <c r="F1249" s="77" t="s">
        <v>10170</v>
      </c>
      <c r="G1249" s="22"/>
      <c r="H1249" s="22"/>
    </row>
    <row r="1250" spans="1:8" ht="13.35" customHeight="1">
      <c r="A1250" s="82">
        <v>1</v>
      </c>
      <c r="B1250" s="67" t="s">
        <v>5584</v>
      </c>
      <c r="C1250" s="67" t="s">
        <v>7437</v>
      </c>
      <c r="D1250" s="91">
        <v>1049453500</v>
      </c>
      <c r="E1250" s="76">
        <v>41077122.5</v>
      </c>
      <c r="F1250" s="77" t="s">
        <v>10170</v>
      </c>
      <c r="G1250" s="22"/>
      <c r="H1250" s="22"/>
    </row>
    <row r="1251" spans="1:8" ht="13.35" customHeight="1">
      <c r="A1251" s="82">
        <v>1</v>
      </c>
      <c r="B1251" s="83" t="s">
        <v>539</v>
      </c>
      <c r="C1251" s="67" t="s">
        <v>540</v>
      </c>
      <c r="D1251" s="91">
        <v>670422100</v>
      </c>
      <c r="E1251" s="76">
        <v>26241287.999999996</v>
      </c>
      <c r="F1251" s="77" t="s">
        <v>10170</v>
      </c>
      <c r="G1251" s="22"/>
      <c r="H1251" s="22"/>
    </row>
    <row r="1252" spans="1:8" ht="13.35" customHeight="1">
      <c r="A1252" s="82">
        <v>1</v>
      </c>
      <c r="B1252" s="83" t="s">
        <v>541</v>
      </c>
      <c r="C1252" s="67" t="s">
        <v>542</v>
      </c>
      <c r="D1252" s="91">
        <v>670422100</v>
      </c>
      <c r="E1252" s="76">
        <v>26241287.999999996</v>
      </c>
      <c r="F1252" s="77" t="s">
        <v>10170</v>
      </c>
      <c r="G1252" s="22"/>
      <c r="H1252" s="22"/>
    </row>
    <row r="1253" spans="1:8" ht="13.35" customHeight="1">
      <c r="A1253" s="82">
        <v>1</v>
      </c>
      <c r="B1253" s="83" t="s">
        <v>543</v>
      </c>
      <c r="C1253" s="67" t="s">
        <v>544</v>
      </c>
      <c r="D1253" s="91">
        <v>632427100</v>
      </c>
      <c r="E1253" s="76">
        <v>24754110</v>
      </c>
      <c r="F1253" s="77" t="s">
        <v>10170</v>
      </c>
      <c r="G1253" s="22"/>
      <c r="H1253" s="22"/>
    </row>
    <row r="1254" spans="1:8" ht="13.35" customHeight="1">
      <c r="A1254" s="82">
        <v>1</v>
      </c>
      <c r="B1254" s="83" t="s">
        <v>209</v>
      </c>
      <c r="C1254" s="67" t="s">
        <v>5418</v>
      </c>
      <c r="D1254" s="91">
        <v>670422100</v>
      </c>
      <c r="E1254" s="76">
        <v>26241287.999999996</v>
      </c>
      <c r="F1254" s="77" t="s">
        <v>10170</v>
      </c>
      <c r="G1254" s="22"/>
      <c r="H1254" s="22"/>
    </row>
    <row r="1255" spans="1:8" ht="13.35" customHeight="1">
      <c r="A1255" s="82">
        <v>1</v>
      </c>
      <c r="B1255" s="83" t="s">
        <v>210</v>
      </c>
      <c r="C1255" s="67" t="s">
        <v>211</v>
      </c>
      <c r="D1255" s="91">
        <v>670422100</v>
      </c>
      <c r="E1255" s="76">
        <v>26241287.999999996</v>
      </c>
      <c r="F1255" s="77" t="s">
        <v>10170</v>
      </c>
      <c r="G1255" s="22"/>
      <c r="H1255" s="22"/>
    </row>
    <row r="1256" spans="1:8" ht="13.35" customHeight="1">
      <c r="A1256" s="82">
        <v>1</v>
      </c>
      <c r="B1256" s="83" t="s">
        <v>212</v>
      </c>
      <c r="C1256" s="67" t="s">
        <v>213</v>
      </c>
      <c r="D1256" s="91">
        <v>629302000</v>
      </c>
      <c r="E1256" s="76">
        <v>24631787.999999996</v>
      </c>
      <c r="F1256" s="77" t="s">
        <v>10170</v>
      </c>
      <c r="G1256" s="22"/>
      <c r="H1256" s="22"/>
    </row>
    <row r="1257" spans="1:8" ht="13.35" customHeight="1">
      <c r="A1257" s="82">
        <v>1</v>
      </c>
      <c r="B1257" s="83" t="s">
        <v>786</v>
      </c>
      <c r="C1257" s="67" t="s">
        <v>787</v>
      </c>
      <c r="D1257" s="91">
        <v>466384200</v>
      </c>
      <c r="E1257" s="76">
        <v>18254949</v>
      </c>
      <c r="F1257" s="77" t="s">
        <v>10170</v>
      </c>
      <c r="G1257" s="22"/>
      <c r="H1257" s="22"/>
    </row>
    <row r="1258" spans="1:8" ht="13.35" customHeight="1">
      <c r="A1258" s="82">
        <v>1</v>
      </c>
      <c r="B1258" s="83" t="s">
        <v>788</v>
      </c>
      <c r="C1258" s="67" t="s">
        <v>789</v>
      </c>
      <c r="D1258" s="91">
        <v>466384200</v>
      </c>
      <c r="E1258" s="76">
        <v>18254949</v>
      </c>
      <c r="F1258" s="77" t="s">
        <v>10170</v>
      </c>
      <c r="G1258" s="22"/>
      <c r="H1258" s="22"/>
    </row>
    <row r="1259" spans="1:8" ht="13.35" customHeight="1">
      <c r="A1259" s="82">
        <v>1</v>
      </c>
      <c r="B1259" s="83" t="s">
        <v>790</v>
      </c>
      <c r="C1259" s="67" t="s">
        <v>791</v>
      </c>
      <c r="D1259" s="91">
        <v>433323600</v>
      </c>
      <c r="E1259" s="76">
        <v>16960911</v>
      </c>
      <c r="F1259" s="77" t="s">
        <v>10170</v>
      </c>
      <c r="G1259" s="22"/>
      <c r="H1259" s="22"/>
    </row>
    <row r="1260" spans="1:8" ht="13.35" customHeight="1">
      <c r="A1260" s="82">
        <v>1</v>
      </c>
      <c r="B1260" s="83" t="s">
        <v>6759</v>
      </c>
      <c r="C1260" s="67" t="s">
        <v>7438</v>
      </c>
      <c r="D1260" s="91">
        <v>301478900</v>
      </c>
      <c r="E1260" s="76">
        <v>11800317.5</v>
      </c>
      <c r="F1260" s="77" t="s">
        <v>10170</v>
      </c>
      <c r="G1260" s="22"/>
      <c r="H1260" s="22"/>
    </row>
    <row r="1261" spans="1:8" ht="13.35" customHeight="1">
      <c r="A1261" s="82">
        <v>1</v>
      </c>
      <c r="B1261" s="67" t="s">
        <v>5601</v>
      </c>
      <c r="C1261" s="67" t="s">
        <v>7439</v>
      </c>
      <c r="D1261" s="91">
        <v>230204000</v>
      </c>
      <c r="E1261" s="76">
        <v>9010517.5</v>
      </c>
      <c r="F1261" s="77" t="s">
        <v>10170</v>
      </c>
      <c r="G1261" s="22"/>
      <c r="H1261" s="22"/>
    </row>
    <row r="1262" spans="1:8" ht="13.35" customHeight="1">
      <c r="A1262" s="82">
        <v>1</v>
      </c>
      <c r="B1262" s="67" t="s">
        <v>5602</v>
      </c>
      <c r="C1262" s="67" t="s">
        <v>7440</v>
      </c>
      <c r="D1262" s="91">
        <v>230204000</v>
      </c>
      <c r="E1262" s="76">
        <v>9010517.5</v>
      </c>
      <c r="F1262" s="77" t="s">
        <v>10170</v>
      </c>
      <c r="G1262" s="22"/>
      <c r="H1262" s="22"/>
    </row>
    <row r="1263" spans="1:8" ht="13.35" customHeight="1">
      <c r="A1263" s="82">
        <v>1</v>
      </c>
      <c r="B1263" s="83" t="s">
        <v>4746</v>
      </c>
      <c r="C1263" s="67" t="s">
        <v>4747</v>
      </c>
      <c r="D1263" s="91">
        <v>1717860700</v>
      </c>
      <c r="E1263" s="76">
        <v>67239545</v>
      </c>
      <c r="F1263" s="77" t="s">
        <v>10170</v>
      </c>
      <c r="G1263" s="22"/>
      <c r="H1263" s="22"/>
    </row>
    <row r="1264" spans="1:8" ht="13.35" customHeight="1">
      <c r="A1264" s="82">
        <v>1</v>
      </c>
      <c r="B1264" s="83" t="s">
        <v>4744</v>
      </c>
      <c r="C1264" s="67" t="s">
        <v>4745</v>
      </c>
      <c r="D1264" s="91">
        <v>1587784100</v>
      </c>
      <c r="E1264" s="76">
        <v>62148160.000000007</v>
      </c>
      <c r="F1264" s="77" t="s">
        <v>10170</v>
      </c>
      <c r="G1264" s="22"/>
      <c r="H1264" s="22"/>
    </row>
    <row r="1265" spans="1:8" ht="13.35" customHeight="1">
      <c r="A1265" s="82">
        <v>1</v>
      </c>
      <c r="B1265" s="83" t="s">
        <v>3624</v>
      </c>
      <c r="C1265" s="67" t="s">
        <v>3625</v>
      </c>
      <c r="D1265" s="91">
        <v>1536589600</v>
      </c>
      <c r="E1265" s="76">
        <v>60144332.5</v>
      </c>
      <c r="F1265" s="77" t="s">
        <v>10170</v>
      </c>
      <c r="G1265" s="22"/>
      <c r="H1265" s="22"/>
    </row>
    <row r="1266" spans="1:8" ht="13.35" customHeight="1">
      <c r="A1266" s="82">
        <v>1</v>
      </c>
      <c r="B1266" s="83" t="s">
        <v>3626</v>
      </c>
      <c r="C1266" s="67" t="s">
        <v>3627</v>
      </c>
      <c r="D1266" s="91">
        <v>1536589600</v>
      </c>
      <c r="E1266" s="76">
        <v>60144332.5</v>
      </c>
      <c r="F1266" s="77" t="s">
        <v>10170</v>
      </c>
      <c r="G1266" s="22"/>
      <c r="H1266" s="22"/>
    </row>
    <row r="1267" spans="1:8" ht="13.35" customHeight="1">
      <c r="A1267" s="82">
        <v>1</v>
      </c>
      <c r="B1267" s="83" t="s">
        <v>3628</v>
      </c>
      <c r="C1267" s="67" t="s">
        <v>3629</v>
      </c>
      <c r="D1267" s="91">
        <v>1446947800</v>
      </c>
      <c r="E1267" s="76">
        <v>56635622.500000007</v>
      </c>
      <c r="F1267" s="77" t="s">
        <v>10170</v>
      </c>
      <c r="G1267" s="22"/>
      <c r="H1267" s="22"/>
    </row>
    <row r="1268" spans="1:8" ht="13.35" customHeight="1">
      <c r="A1268" s="82">
        <v>1</v>
      </c>
      <c r="B1268" s="83" t="s">
        <v>3630</v>
      </c>
      <c r="C1268" s="67" t="s">
        <v>3631</v>
      </c>
      <c r="D1268" s="91">
        <v>1536589600</v>
      </c>
      <c r="E1268" s="76">
        <v>60144332.5</v>
      </c>
      <c r="F1268" s="77" t="s">
        <v>10170</v>
      </c>
      <c r="G1268" s="22"/>
      <c r="H1268" s="22"/>
    </row>
    <row r="1269" spans="1:8" ht="13.35" customHeight="1">
      <c r="A1269" s="82">
        <v>1</v>
      </c>
      <c r="B1269" s="83" t="s">
        <v>3632</v>
      </c>
      <c r="C1269" s="67" t="s">
        <v>3633</v>
      </c>
      <c r="D1269" s="91">
        <v>1536589600</v>
      </c>
      <c r="E1269" s="76">
        <v>60144332.5</v>
      </c>
      <c r="F1269" s="77" t="s">
        <v>10170</v>
      </c>
      <c r="G1269" s="22"/>
      <c r="H1269" s="22"/>
    </row>
    <row r="1270" spans="1:8" ht="13.35" customHeight="1">
      <c r="A1270" s="82">
        <v>1</v>
      </c>
      <c r="B1270" s="83" t="s">
        <v>3634</v>
      </c>
      <c r="C1270" s="67" t="s">
        <v>3635</v>
      </c>
      <c r="D1270" s="91">
        <v>1446947800</v>
      </c>
      <c r="E1270" s="76">
        <v>56635622.500000007</v>
      </c>
      <c r="F1270" s="77" t="s">
        <v>10170</v>
      </c>
      <c r="G1270" s="22"/>
      <c r="H1270" s="22"/>
    </row>
    <row r="1271" spans="1:8" ht="13.35" customHeight="1">
      <c r="A1271" s="82">
        <v>1</v>
      </c>
      <c r="B1271" s="83" t="s">
        <v>4499</v>
      </c>
      <c r="C1271" s="67" t="s">
        <v>4500</v>
      </c>
      <c r="D1271" s="91">
        <v>1033896400</v>
      </c>
      <c r="E1271" s="76">
        <v>40468195</v>
      </c>
      <c r="F1271" s="77" t="s">
        <v>10170</v>
      </c>
      <c r="G1271" s="22"/>
      <c r="H1271" s="22"/>
    </row>
    <row r="1272" spans="1:8" ht="13.35" customHeight="1">
      <c r="A1272" s="82">
        <v>1</v>
      </c>
      <c r="B1272" s="83" t="s">
        <v>4501</v>
      </c>
      <c r="C1272" s="67" t="s">
        <v>4502</v>
      </c>
      <c r="D1272" s="91">
        <v>1033896400</v>
      </c>
      <c r="E1272" s="76">
        <v>40468195</v>
      </c>
      <c r="F1272" s="77" t="s">
        <v>10170</v>
      </c>
      <c r="G1272" s="22"/>
      <c r="H1272" s="22"/>
    </row>
    <row r="1273" spans="1:8" ht="13.35" customHeight="1">
      <c r="A1273" s="82">
        <v>1</v>
      </c>
      <c r="B1273" s="83" t="s">
        <v>4497</v>
      </c>
      <c r="C1273" s="67" t="s">
        <v>4498</v>
      </c>
      <c r="D1273" s="91">
        <v>956247900</v>
      </c>
      <c r="E1273" s="76">
        <v>37428922.5</v>
      </c>
      <c r="F1273" s="77" t="s">
        <v>10170</v>
      </c>
      <c r="G1273" s="22"/>
      <c r="H1273" s="22"/>
    </row>
    <row r="1274" spans="1:8" ht="13.35" customHeight="1">
      <c r="A1274" s="82">
        <v>1</v>
      </c>
      <c r="B1274" s="83" t="s">
        <v>5090</v>
      </c>
      <c r="C1274" s="67" t="s">
        <v>5091</v>
      </c>
      <c r="D1274" s="91">
        <v>1188987700</v>
      </c>
      <c r="E1274" s="76">
        <v>46538692.5</v>
      </c>
      <c r="F1274" s="77" t="s">
        <v>10170</v>
      </c>
      <c r="G1274" s="22"/>
      <c r="H1274" s="22"/>
    </row>
    <row r="1275" spans="1:8" ht="13.35" customHeight="1">
      <c r="A1275" s="82">
        <v>1</v>
      </c>
      <c r="B1275" s="83" t="s">
        <v>5518</v>
      </c>
      <c r="C1275" s="67" t="s">
        <v>7441</v>
      </c>
      <c r="D1275" s="91">
        <v>1188987700</v>
      </c>
      <c r="E1275" s="76">
        <v>46538692.5</v>
      </c>
      <c r="F1275" s="77" t="s">
        <v>10170</v>
      </c>
      <c r="G1275" s="22"/>
      <c r="H1275" s="22"/>
    </row>
    <row r="1276" spans="1:8" ht="13.35" customHeight="1">
      <c r="A1276" s="82">
        <v>1</v>
      </c>
      <c r="B1276" s="83" t="s">
        <v>5088</v>
      </c>
      <c r="C1276" s="67" t="s">
        <v>5089</v>
      </c>
      <c r="D1276" s="91">
        <v>1098043700</v>
      </c>
      <c r="E1276" s="76">
        <v>42979015</v>
      </c>
      <c r="F1276" s="77" t="s">
        <v>10170</v>
      </c>
      <c r="G1276" s="22"/>
      <c r="H1276" s="22"/>
    </row>
    <row r="1277" spans="1:8" ht="13.35" customHeight="1">
      <c r="A1277" s="82">
        <v>1</v>
      </c>
      <c r="B1277" s="83" t="s">
        <v>4493</v>
      </c>
      <c r="C1277" s="67" t="s">
        <v>4494</v>
      </c>
      <c r="D1277" s="91">
        <v>1157942000</v>
      </c>
      <c r="E1277" s="76">
        <v>45323520</v>
      </c>
      <c r="F1277" s="77" t="s">
        <v>10170</v>
      </c>
      <c r="G1277" s="22"/>
      <c r="H1277" s="22"/>
    </row>
    <row r="1278" spans="1:8" ht="13.35" customHeight="1">
      <c r="A1278" s="82">
        <v>1</v>
      </c>
      <c r="B1278" s="83" t="s">
        <v>4495</v>
      </c>
      <c r="C1278" s="67" t="s">
        <v>4496</v>
      </c>
      <c r="D1278" s="91">
        <v>1157942000</v>
      </c>
      <c r="E1278" s="76">
        <v>45323520</v>
      </c>
      <c r="F1278" s="77" t="s">
        <v>10170</v>
      </c>
      <c r="G1278" s="22"/>
      <c r="H1278" s="22"/>
    </row>
    <row r="1279" spans="1:8" ht="13.35" customHeight="1">
      <c r="A1279" s="82">
        <v>1</v>
      </c>
      <c r="B1279" s="83" t="s">
        <v>4491</v>
      </c>
      <c r="C1279" s="67" t="s">
        <v>4492</v>
      </c>
      <c r="D1279" s="91">
        <v>1080293600</v>
      </c>
      <c r="E1279" s="76">
        <v>42284247.5</v>
      </c>
      <c r="F1279" s="77" t="s">
        <v>10170</v>
      </c>
      <c r="G1279" s="22"/>
      <c r="H1279" s="22"/>
    </row>
    <row r="1280" spans="1:8" ht="13.35" customHeight="1">
      <c r="A1280" s="82">
        <v>1</v>
      </c>
      <c r="B1280" s="83" t="s">
        <v>4487</v>
      </c>
      <c r="C1280" s="67" t="s">
        <v>4488</v>
      </c>
      <c r="D1280" s="91">
        <v>1157942000</v>
      </c>
      <c r="E1280" s="76">
        <v>45323520</v>
      </c>
      <c r="F1280" s="77" t="s">
        <v>10170</v>
      </c>
      <c r="G1280" s="22"/>
      <c r="H1280" s="22"/>
    </row>
    <row r="1281" spans="1:8" ht="13.35" customHeight="1">
      <c r="A1281" s="82">
        <v>1</v>
      </c>
      <c r="B1281" s="83" t="s">
        <v>4489</v>
      </c>
      <c r="C1281" s="67" t="s">
        <v>4490</v>
      </c>
      <c r="D1281" s="91">
        <v>1157942000</v>
      </c>
      <c r="E1281" s="76">
        <v>45323520</v>
      </c>
      <c r="F1281" s="77" t="s">
        <v>10170</v>
      </c>
      <c r="G1281" s="22"/>
      <c r="H1281" s="22"/>
    </row>
    <row r="1282" spans="1:8" ht="13.35" customHeight="1">
      <c r="A1282" s="82">
        <v>1</v>
      </c>
      <c r="B1282" s="83" t="s">
        <v>4485</v>
      </c>
      <c r="C1282" s="67" t="s">
        <v>4486</v>
      </c>
      <c r="D1282" s="91">
        <v>1080293600</v>
      </c>
      <c r="E1282" s="76">
        <v>42284247.5</v>
      </c>
      <c r="F1282" s="77" t="s">
        <v>10170</v>
      </c>
      <c r="G1282" s="22"/>
      <c r="H1282" s="22"/>
    </row>
    <row r="1283" spans="1:8" ht="13.35" customHeight="1">
      <c r="A1283" s="82">
        <v>1</v>
      </c>
      <c r="B1283" s="83" t="s">
        <v>6117</v>
      </c>
      <c r="C1283" s="67" t="s">
        <v>6118</v>
      </c>
      <c r="D1283" s="91">
        <v>693764600</v>
      </c>
      <c r="E1283" s="76">
        <v>27154947.5</v>
      </c>
      <c r="F1283" s="77" t="s">
        <v>10170</v>
      </c>
      <c r="G1283" s="22"/>
      <c r="H1283" s="22"/>
    </row>
    <row r="1284" spans="1:8" ht="13.35" customHeight="1">
      <c r="A1284" s="82">
        <v>1</v>
      </c>
      <c r="B1284" s="83" t="s">
        <v>6119</v>
      </c>
      <c r="C1284" s="67" t="s">
        <v>6120</v>
      </c>
      <c r="D1284" s="91">
        <v>693764600</v>
      </c>
      <c r="E1284" s="76">
        <v>27154947.5</v>
      </c>
      <c r="F1284" s="77" t="s">
        <v>10170</v>
      </c>
      <c r="G1284" s="22"/>
      <c r="H1284" s="22"/>
    </row>
    <row r="1285" spans="1:8" ht="13.35" customHeight="1">
      <c r="A1285" s="82">
        <v>1</v>
      </c>
      <c r="B1285" s="83" t="s">
        <v>6121</v>
      </c>
      <c r="C1285" s="67" t="s">
        <v>6122</v>
      </c>
      <c r="D1285" s="91">
        <v>645791200</v>
      </c>
      <c r="E1285" s="76">
        <v>25277197.5</v>
      </c>
      <c r="F1285" s="77" t="s">
        <v>10170</v>
      </c>
      <c r="G1285" s="22"/>
      <c r="H1285" s="22"/>
    </row>
    <row r="1286" spans="1:8" ht="13.35" customHeight="1">
      <c r="A1286" s="82">
        <v>1</v>
      </c>
      <c r="B1286" s="67" t="s">
        <v>5084</v>
      </c>
      <c r="C1286" s="67" t="s">
        <v>7442</v>
      </c>
      <c r="D1286" s="91">
        <v>795207900</v>
      </c>
      <c r="E1286" s="76">
        <v>31125583.999999996</v>
      </c>
      <c r="F1286" s="77" t="s">
        <v>10170</v>
      </c>
      <c r="G1286" s="22"/>
      <c r="H1286" s="22"/>
    </row>
    <row r="1287" spans="1:8" ht="13.35" customHeight="1">
      <c r="A1287" s="82">
        <v>1</v>
      </c>
      <c r="B1287" s="67" t="s">
        <v>5085</v>
      </c>
      <c r="C1287" s="67" t="s">
        <v>7443</v>
      </c>
      <c r="D1287" s="91">
        <v>795207900</v>
      </c>
      <c r="E1287" s="76">
        <v>31125583.999999996</v>
      </c>
      <c r="F1287" s="77" t="s">
        <v>10170</v>
      </c>
      <c r="G1287" s="22"/>
      <c r="H1287" s="22"/>
    </row>
    <row r="1288" spans="1:8" ht="13.35" customHeight="1">
      <c r="A1288" s="82">
        <v>1</v>
      </c>
      <c r="B1288" s="67" t="s">
        <v>5086</v>
      </c>
      <c r="C1288" s="67" t="s">
        <v>7444</v>
      </c>
      <c r="D1288" s="91">
        <v>798963500</v>
      </c>
      <c r="E1288" s="76">
        <v>31272585</v>
      </c>
      <c r="F1288" s="77" t="s">
        <v>10170</v>
      </c>
      <c r="G1288" s="22"/>
      <c r="H1288" s="22"/>
    </row>
    <row r="1289" spans="1:8" ht="13.35" customHeight="1">
      <c r="A1289" s="82">
        <v>1</v>
      </c>
      <c r="B1289" s="67" t="s">
        <v>5087</v>
      </c>
      <c r="C1289" s="67" t="s">
        <v>7445</v>
      </c>
      <c r="D1289" s="91">
        <v>798963500</v>
      </c>
      <c r="E1289" s="76">
        <v>31272585</v>
      </c>
      <c r="F1289" s="77" t="s">
        <v>10170</v>
      </c>
      <c r="G1289" s="22"/>
      <c r="H1289" s="22"/>
    </row>
    <row r="1290" spans="1:8" ht="13.35" customHeight="1">
      <c r="A1290" s="82">
        <v>1</v>
      </c>
      <c r="B1290" s="67" t="s">
        <v>5083</v>
      </c>
      <c r="C1290" s="67" t="s">
        <v>7446</v>
      </c>
      <c r="D1290" s="91">
        <v>758665800</v>
      </c>
      <c r="E1290" s="76">
        <v>29695275</v>
      </c>
      <c r="F1290" s="77" t="s">
        <v>10170</v>
      </c>
      <c r="G1290" s="22"/>
      <c r="H1290" s="22"/>
    </row>
    <row r="1291" spans="1:8" ht="13.35" customHeight="1">
      <c r="A1291" s="82">
        <v>1</v>
      </c>
      <c r="B1291" s="83" t="s">
        <v>1673</v>
      </c>
      <c r="C1291" s="67" t="s">
        <v>1674</v>
      </c>
      <c r="D1291" s="91">
        <v>880107200</v>
      </c>
      <c r="E1291" s="76">
        <v>34448665</v>
      </c>
      <c r="F1291" s="77" t="s">
        <v>10170</v>
      </c>
      <c r="G1291" s="22"/>
      <c r="H1291" s="22"/>
    </row>
    <row r="1292" spans="1:8" ht="13.35" customHeight="1">
      <c r="A1292" s="82">
        <v>1</v>
      </c>
      <c r="B1292" s="83" t="s">
        <v>1675</v>
      </c>
      <c r="C1292" s="67" t="s">
        <v>1676</v>
      </c>
      <c r="D1292" s="91">
        <v>880107200</v>
      </c>
      <c r="E1292" s="76">
        <v>34448665</v>
      </c>
      <c r="F1292" s="77" t="s">
        <v>10170</v>
      </c>
      <c r="G1292" s="22"/>
      <c r="H1292" s="22"/>
    </row>
    <row r="1293" spans="1:8" ht="13.35" customHeight="1">
      <c r="A1293" s="82">
        <v>1</v>
      </c>
      <c r="B1293" s="83" t="s">
        <v>1677</v>
      </c>
      <c r="C1293" s="67" t="s">
        <v>1678</v>
      </c>
      <c r="D1293" s="91">
        <v>840700400</v>
      </c>
      <c r="E1293" s="76">
        <v>32906227.5</v>
      </c>
      <c r="F1293" s="77" t="s">
        <v>10170</v>
      </c>
      <c r="G1293" s="22"/>
      <c r="H1293" s="22"/>
    </row>
    <row r="1294" spans="1:8" ht="13.35" customHeight="1">
      <c r="A1294" s="82">
        <v>1</v>
      </c>
      <c r="B1294" s="83" t="s">
        <v>2700</v>
      </c>
      <c r="C1294" s="67" t="s">
        <v>2701</v>
      </c>
      <c r="D1294" s="91">
        <v>750524100</v>
      </c>
      <c r="E1294" s="76">
        <v>29376594</v>
      </c>
      <c r="F1294" s="77" t="s">
        <v>10170</v>
      </c>
      <c r="G1294" s="22"/>
      <c r="H1294" s="22"/>
    </row>
    <row r="1295" spans="1:8" ht="13.35" customHeight="1">
      <c r="A1295" s="82">
        <v>1</v>
      </c>
      <c r="B1295" s="83" t="s">
        <v>2702</v>
      </c>
      <c r="C1295" s="67" t="s">
        <v>2703</v>
      </c>
      <c r="D1295" s="91">
        <v>750524100</v>
      </c>
      <c r="E1295" s="76">
        <v>29376594</v>
      </c>
      <c r="F1295" s="77" t="s">
        <v>10170</v>
      </c>
      <c r="G1295" s="22"/>
      <c r="H1295" s="22"/>
    </row>
    <row r="1296" spans="1:8" ht="13.35" customHeight="1">
      <c r="A1296" s="82">
        <v>1</v>
      </c>
      <c r="B1296" s="83" t="s">
        <v>2698</v>
      </c>
      <c r="C1296" s="67" t="s">
        <v>2699</v>
      </c>
      <c r="D1296" s="91">
        <v>709362800</v>
      </c>
      <c r="E1296" s="76">
        <v>27765484.5</v>
      </c>
      <c r="F1296" s="77" t="s">
        <v>10170</v>
      </c>
      <c r="G1296" s="22"/>
      <c r="H1296" s="22"/>
    </row>
    <row r="1297" spans="1:8" ht="13.35" customHeight="1">
      <c r="A1297" s="82">
        <v>1</v>
      </c>
      <c r="B1297" s="83" t="s">
        <v>895</v>
      </c>
      <c r="C1297" s="67" t="s">
        <v>896</v>
      </c>
      <c r="D1297" s="91">
        <v>726290600</v>
      </c>
      <c r="E1297" s="76">
        <v>28428062.000000004</v>
      </c>
      <c r="F1297" s="77" t="s">
        <v>10170</v>
      </c>
      <c r="G1297" s="22"/>
      <c r="H1297" s="22"/>
    </row>
    <row r="1298" spans="1:8" ht="13.35" customHeight="1">
      <c r="A1298" s="82">
        <v>1</v>
      </c>
      <c r="B1298" s="83" t="s">
        <v>897</v>
      </c>
      <c r="C1298" s="67" t="s">
        <v>898</v>
      </c>
      <c r="D1298" s="91">
        <v>726290600</v>
      </c>
      <c r="E1298" s="76">
        <v>28428062.000000004</v>
      </c>
      <c r="F1298" s="77" t="s">
        <v>10170</v>
      </c>
      <c r="G1298" s="22"/>
      <c r="H1298" s="22"/>
    </row>
    <row r="1299" spans="1:8" ht="13.35" customHeight="1">
      <c r="A1299" s="82">
        <v>1</v>
      </c>
      <c r="B1299" s="83" t="s">
        <v>899</v>
      </c>
      <c r="C1299" s="67" t="s">
        <v>900</v>
      </c>
      <c r="D1299" s="91">
        <v>685129400</v>
      </c>
      <c r="E1299" s="76">
        <v>26816952.5</v>
      </c>
      <c r="F1299" s="77" t="s">
        <v>10170</v>
      </c>
      <c r="G1299" s="22"/>
      <c r="H1299" s="22"/>
    </row>
    <row r="1300" spans="1:8" ht="13.35" customHeight="1">
      <c r="A1300" s="82">
        <v>1</v>
      </c>
      <c r="B1300" s="67" t="s">
        <v>5582</v>
      </c>
      <c r="C1300" s="67" t="s">
        <v>7447</v>
      </c>
      <c r="D1300" s="91">
        <v>420453000</v>
      </c>
      <c r="E1300" s="76">
        <v>16457137.5</v>
      </c>
      <c r="F1300" s="77" t="s">
        <v>10170</v>
      </c>
      <c r="G1300" s="22"/>
      <c r="H1300" s="22"/>
    </row>
    <row r="1301" spans="1:8" ht="13.35" customHeight="1">
      <c r="A1301" s="82">
        <v>1</v>
      </c>
      <c r="B1301" s="67" t="s">
        <v>5583</v>
      </c>
      <c r="C1301" s="67" t="s">
        <v>7448</v>
      </c>
      <c r="D1301" s="91">
        <v>420453000</v>
      </c>
      <c r="E1301" s="76">
        <v>16457137.5</v>
      </c>
      <c r="F1301" s="77" t="s">
        <v>10170</v>
      </c>
      <c r="G1301" s="22"/>
      <c r="H1301" s="22"/>
    </row>
    <row r="1302" spans="1:8" ht="13.35" customHeight="1">
      <c r="A1302" s="82">
        <v>1</v>
      </c>
      <c r="B1302" s="67" t="s">
        <v>5581</v>
      </c>
      <c r="C1302" s="67" t="s">
        <v>7449</v>
      </c>
      <c r="D1302" s="91">
        <v>377139900</v>
      </c>
      <c r="E1302" s="76">
        <v>14761797.499999998</v>
      </c>
      <c r="F1302" s="77" t="s">
        <v>10170</v>
      </c>
      <c r="G1302" s="22"/>
      <c r="H1302" s="22"/>
    </row>
    <row r="1303" spans="1:8" ht="13.35" customHeight="1">
      <c r="A1303" s="82">
        <v>1</v>
      </c>
      <c r="B1303" s="83" t="s">
        <v>2248</v>
      </c>
      <c r="C1303" s="67" t="s">
        <v>2249</v>
      </c>
      <c r="D1303" s="91">
        <v>869553000</v>
      </c>
      <c r="E1303" s="76">
        <v>34035560</v>
      </c>
      <c r="F1303" s="77" t="s">
        <v>10170</v>
      </c>
      <c r="G1303" s="22"/>
      <c r="H1303" s="22"/>
    </row>
    <row r="1304" spans="1:8" ht="13.35" customHeight="1">
      <c r="A1304" s="82">
        <v>1</v>
      </c>
      <c r="B1304" s="83" t="s">
        <v>2250</v>
      </c>
      <c r="C1304" s="67" t="s">
        <v>2251</v>
      </c>
      <c r="D1304" s="91">
        <v>869553000</v>
      </c>
      <c r="E1304" s="76">
        <v>34035560</v>
      </c>
      <c r="F1304" s="77" t="s">
        <v>10170</v>
      </c>
      <c r="G1304" s="22"/>
      <c r="H1304" s="22"/>
    </row>
    <row r="1305" spans="1:8" ht="13.35" customHeight="1">
      <c r="A1305" s="82">
        <v>1</v>
      </c>
      <c r="B1305" s="83" t="s">
        <v>4608</v>
      </c>
      <c r="C1305" s="67" t="s">
        <v>2252</v>
      </c>
      <c r="D1305" s="91">
        <v>795262700</v>
      </c>
      <c r="E1305" s="76">
        <v>31127730.000000004</v>
      </c>
      <c r="F1305" s="77" t="s">
        <v>10170</v>
      </c>
      <c r="G1305" s="22"/>
      <c r="H1305" s="22"/>
    </row>
    <row r="1306" spans="1:8" ht="13.35" customHeight="1">
      <c r="A1306" s="82">
        <v>1</v>
      </c>
      <c r="B1306" s="83" t="s">
        <v>901</v>
      </c>
      <c r="C1306" s="67" t="s">
        <v>902</v>
      </c>
      <c r="D1306" s="91">
        <v>745301800</v>
      </c>
      <c r="E1306" s="76">
        <v>29172187.5</v>
      </c>
      <c r="F1306" s="77" t="s">
        <v>10170</v>
      </c>
      <c r="G1306" s="22"/>
      <c r="H1306" s="22"/>
    </row>
    <row r="1307" spans="1:8" ht="13.35" customHeight="1">
      <c r="A1307" s="82">
        <v>1</v>
      </c>
      <c r="B1307" s="83" t="s">
        <v>903</v>
      </c>
      <c r="C1307" s="67" t="s">
        <v>904</v>
      </c>
      <c r="D1307" s="91">
        <v>703016600</v>
      </c>
      <c r="E1307" s="76">
        <v>27517085</v>
      </c>
      <c r="F1307" s="77" t="s">
        <v>10170</v>
      </c>
      <c r="G1307" s="22"/>
      <c r="H1307" s="22"/>
    </row>
    <row r="1308" spans="1:8" ht="13.35" customHeight="1">
      <c r="A1308" s="82">
        <v>1</v>
      </c>
      <c r="B1308" s="67" t="s">
        <v>5098</v>
      </c>
      <c r="C1308" s="67" t="s">
        <v>2793</v>
      </c>
      <c r="D1308" s="91">
        <v>645051000</v>
      </c>
      <c r="E1308" s="76">
        <v>25248226.5</v>
      </c>
      <c r="F1308" s="77" t="s">
        <v>10170</v>
      </c>
      <c r="G1308" s="22"/>
      <c r="H1308" s="22"/>
    </row>
    <row r="1309" spans="1:8" ht="13.35" customHeight="1">
      <c r="A1309" s="82">
        <v>1</v>
      </c>
      <c r="B1309" s="67" t="s">
        <v>5099</v>
      </c>
      <c r="C1309" s="67" t="s">
        <v>2795</v>
      </c>
      <c r="D1309" s="91">
        <v>645051000</v>
      </c>
      <c r="E1309" s="76">
        <v>25248226.5</v>
      </c>
      <c r="F1309" s="77" t="s">
        <v>10170</v>
      </c>
      <c r="G1309" s="22"/>
      <c r="H1309" s="22"/>
    </row>
    <row r="1310" spans="1:8" ht="13.35" customHeight="1">
      <c r="A1310" s="82">
        <v>1</v>
      </c>
      <c r="B1310" s="67" t="s">
        <v>5100</v>
      </c>
      <c r="C1310" s="67" t="s">
        <v>7450</v>
      </c>
      <c r="D1310" s="91">
        <v>657099200</v>
      </c>
      <c r="E1310" s="76">
        <v>25719810</v>
      </c>
      <c r="F1310" s="77" t="s">
        <v>10170</v>
      </c>
      <c r="G1310" s="22"/>
      <c r="H1310" s="22"/>
    </row>
    <row r="1311" spans="1:8" ht="13.35" customHeight="1">
      <c r="A1311" s="82">
        <v>1</v>
      </c>
      <c r="B1311" s="67" t="s">
        <v>5101</v>
      </c>
      <c r="C1311" s="67" t="s">
        <v>7451</v>
      </c>
      <c r="D1311" s="91">
        <v>657099200</v>
      </c>
      <c r="E1311" s="76">
        <v>25719810</v>
      </c>
      <c r="F1311" s="77" t="s">
        <v>10170</v>
      </c>
      <c r="G1311" s="22"/>
      <c r="H1311" s="22"/>
    </row>
    <row r="1312" spans="1:8" ht="13.35" customHeight="1">
      <c r="A1312" s="82">
        <v>1</v>
      </c>
      <c r="B1312" s="67" t="s">
        <v>5097</v>
      </c>
      <c r="C1312" s="67" t="s">
        <v>7452</v>
      </c>
      <c r="D1312" s="91">
        <v>608508900</v>
      </c>
      <c r="E1312" s="76">
        <v>23817917.500000004</v>
      </c>
      <c r="F1312" s="77" t="s">
        <v>10170</v>
      </c>
      <c r="G1312" s="22"/>
      <c r="H1312" s="22"/>
    </row>
    <row r="1313" spans="1:8" ht="13.35" customHeight="1">
      <c r="A1313" s="82">
        <v>1</v>
      </c>
      <c r="B1313" s="83" t="s">
        <v>2792</v>
      </c>
      <c r="C1313" s="67" t="s">
        <v>2793</v>
      </c>
      <c r="D1313" s="91">
        <v>645051000</v>
      </c>
      <c r="E1313" s="76">
        <v>25248226.5</v>
      </c>
      <c r="F1313" s="77" t="s">
        <v>10170</v>
      </c>
      <c r="G1313" s="22"/>
      <c r="H1313" s="22"/>
    </row>
    <row r="1314" spans="1:8" ht="13.35" customHeight="1">
      <c r="A1314" s="82">
        <v>1</v>
      </c>
      <c r="B1314" s="83" t="s">
        <v>2794</v>
      </c>
      <c r="C1314" s="67" t="s">
        <v>2795</v>
      </c>
      <c r="D1314" s="91">
        <v>645051000</v>
      </c>
      <c r="E1314" s="76">
        <v>25248226.5</v>
      </c>
      <c r="F1314" s="77" t="s">
        <v>10170</v>
      </c>
      <c r="G1314" s="22"/>
      <c r="H1314" s="22"/>
    </row>
    <row r="1315" spans="1:8" ht="13.35" customHeight="1">
      <c r="A1315" s="82">
        <v>1</v>
      </c>
      <c r="B1315" s="83" t="s">
        <v>1128</v>
      </c>
      <c r="C1315" s="67" t="s">
        <v>1129</v>
      </c>
      <c r="D1315" s="91">
        <v>657099200</v>
      </c>
      <c r="E1315" s="76">
        <v>25719810</v>
      </c>
      <c r="F1315" s="77" t="s">
        <v>10170</v>
      </c>
      <c r="G1315" s="22"/>
      <c r="H1315" s="22"/>
    </row>
    <row r="1316" spans="1:8" ht="13.35" customHeight="1">
      <c r="A1316" s="82">
        <v>1</v>
      </c>
      <c r="B1316" s="83" t="s">
        <v>1130</v>
      </c>
      <c r="C1316" s="67" t="s">
        <v>1131</v>
      </c>
      <c r="D1316" s="91">
        <v>657099200</v>
      </c>
      <c r="E1316" s="76">
        <v>25719810</v>
      </c>
      <c r="F1316" s="77" t="s">
        <v>10170</v>
      </c>
      <c r="G1316" s="22"/>
      <c r="H1316" s="22"/>
    </row>
    <row r="1317" spans="1:8" ht="13.35" customHeight="1">
      <c r="A1317" s="82">
        <v>1</v>
      </c>
      <c r="B1317" s="83" t="s">
        <v>1132</v>
      </c>
      <c r="C1317" s="67" t="s">
        <v>1133</v>
      </c>
      <c r="D1317" s="91">
        <v>608508900</v>
      </c>
      <c r="E1317" s="76">
        <v>23817917.500000004</v>
      </c>
      <c r="F1317" s="77" t="s">
        <v>10170</v>
      </c>
      <c r="G1317" s="22"/>
      <c r="H1317" s="22"/>
    </row>
    <row r="1318" spans="1:8" ht="13.35" customHeight="1">
      <c r="A1318" s="82">
        <v>1</v>
      </c>
      <c r="B1318" s="67" t="s">
        <v>5093</v>
      </c>
      <c r="C1318" s="67" t="s">
        <v>3433</v>
      </c>
      <c r="D1318" s="91">
        <v>466315600</v>
      </c>
      <c r="E1318" s="76">
        <v>18252266.5</v>
      </c>
      <c r="F1318" s="77" t="s">
        <v>10170</v>
      </c>
      <c r="G1318" s="22"/>
      <c r="H1318" s="22"/>
    </row>
    <row r="1319" spans="1:8" ht="13.35" customHeight="1">
      <c r="A1319" s="82">
        <v>1</v>
      </c>
      <c r="B1319" s="67" t="s">
        <v>5094</v>
      </c>
      <c r="C1319" s="67" t="s">
        <v>3433</v>
      </c>
      <c r="D1319" s="91">
        <v>466315600</v>
      </c>
      <c r="E1319" s="76">
        <v>18252266.5</v>
      </c>
      <c r="F1319" s="77" t="s">
        <v>10170</v>
      </c>
      <c r="G1319" s="22"/>
      <c r="H1319" s="22"/>
    </row>
    <row r="1320" spans="1:8" ht="13.35" customHeight="1">
      <c r="A1320" s="82">
        <v>1</v>
      </c>
      <c r="B1320" s="67" t="s">
        <v>5095</v>
      </c>
      <c r="C1320" s="67" t="s">
        <v>2087</v>
      </c>
      <c r="D1320" s="91">
        <v>472058700</v>
      </c>
      <c r="E1320" s="76">
        <v>18477060</v>
      </c>
      <c r="F1320" s="77" t="s">
        <v>10170</v>
      </c>
      <c r="G1320" s="22"/>
      <c r="H1320" s="22"/>
    </row>
    <row r="1321" spans="1:8" ht="13.35" customHeight="1">
      <c r="A1321" s="82">
        <v>1</v>
      </c>
      <c r="B1321" s="67" t="s">
        <v>5096</v>
      </c>
      <c r="C1321" s="67" t="s">
        <v>2089</v>
      </c>
      <c r="D1321" s="91">
        <v>472058700</v>
      </c>
      <c r="E1321" s="76">
        <v>18477060</v>
      </c>
      <c r="F1321" s="77" t="s">
        <v>10170</v>
      </c>
      <c r="G1321" s="22"/>
      <c r="H1321" s="22"/>
    </row>
    <row r="1322" spans="1:8" ht="13.35" customHeight="1">
      <c r="A1322" s="82">
        <v>1</v>
      </c>
      <c r="B1322" s="67" t="s">
        <v>5092</v>
      </c>
      <c r="C1322" s="67" t="s">
        <v>2091</v>
      </c>
      <c r="D1322" s="91">
        <v>429773600</v>
      </c>
      <c r="E1322" s="76">
        <v>16821957.5</v>
      </c>
      <c r="F1322" s="77" t="s">
        <v>10170</v>
      </c>
      <c r="G1322" s="22"/>
      <c r="H1322" s="22"/>
    </row>
    <row r="1323" spans="1:8" ht="13.35" customHeight="1">
      <c r="A1323" s="82">
        <v>1</v>
      </c>
      <c r="B1323" s="83" t="s">
        <v>2086</v>
      </c>
      <c r="C1323" s="67" t="s">
        <v>2087</v>
      </c>
      <c r="D1323" s="91">
        <v>472058700</v>
      </c>
      <c r="E1323" s="76">
        <v>18477060</v>
      </c>
      <c r="F1323" s="77" t="s">
        <v>10170</v>
      </c>
      <c r="G1323" s="22"/>
      <c r="H1323" s="22"/>
    </row>
    <row r="1324" spans="1:8" ht="13.35" customHeight="1">
      <c r="A1324" s="82">
        <v>1</v>
      </c>
      <c r="B1324" s="83" t="s">
        <v>2088</v>
      </c>
      <c r="C1324" s="67" t="s">
        <v>2089</v>
      </c>
      <c r="D1324" s="91">
        <v>472058700</v>
      </c>
      <c r="E1324" s="76">
        <v>18477060</v>
      </c>
      <c r="F1324" s="77" t="s">
        <v>10170</v>
      </c>
      <c r="G1324" s="22"/>
      <c r="H1324" s="22"/>
    </row>
    <row r="1325" spans="1:8" ht="13.35" customHeight="1">
      <c r="A1325" s="82">
        <v>1</v>
      </c>
      <c r="B1325" s="83" t="s">
        <v>3432</v>
      </c>
      <c r="C1325" s="67" t="s">
        <v>3433</v>
      </c>
      <c r="D1325" s="91">
        <v>466315600</v>
      </c>
      <c r="E1325" s="76">
        <v>18252266.5</v>
      </c>
      <c r="F1325" s="77" t="s">
        <v>10170</v>
      </c>
      <c r="G1325" s="22"/>
      <c r="H1325" s="22"/>
    </row>
    <row r="1326" spans="1:8" ht="13.35" customHeight="1">
      <c r="A1326" s="82">
        <v>1</v>
      </c>
      <c r="B1326" s="83" t="s">
        <v>3434</v>
      </c>
      <c r="C1326" s="67" t="s">
        <v>3433</v>
      </c>
      <c r="D1326" s="91">
        <v>466315600</v>
      </c>
      <c r="E1326" s="76">
        <v>18252266.5</v>
      </c>
      <c r="F1326" s="77" t="s">
        <v>10170</v>
      </c>
      <c r="G1326" s="22"/>
      <c r="H1326" s="22"/>
    </row>
    <row r="1327" spans="1:8" ht="13.35" customHeight="1">
      <c r="A1327" s="82">
        <v>1</v>
      </c>
      <c r="B1327" s="83" t="s">
        <v>2090</v>
      </c>
      <c r="C1327" s="67" t="s">
        <v>2091</v>
      </c>
      <c r="D1327" s="91">
        <v>429773600</v>
      </c>
      <c r="E1327" s="76">
        <v>16821957.5</v>
      </c>
      <c r="F1327" s="77" t="s">
        <v>10170</v>
      </c>
      <c r="G1327" s="22"/>
      <c r="H1327" s="22"/>
    </row>
    <row r="1328" spans="1:8" ht="13.35" customHeight="1">
      <c r="A1328" s="82">
        <v>1</v>
      </c>
      <c r="B1328" s="83" t="s">
        <v>2017</v>
      </c>
      <c r="C1328" s="67" t="s">
        <v>2018</v>
      </c>
      <c r="D1328" s="91">
        <v>714256100</v>
      </c>
      <c r="E1328" s="76">
        <v>27957015</v>
      </c>
      <c r="F1328" s="77" t="s">
        <v>10170</v>
      </c>
      <c r="G1328" s="22"/>
      <c r="H1328" s="22"/>
    </row>
    <row r="1329" spans="1:8" ht="13.35" customHeight="1">
      <c r="A1329" s="82">
        <v>1</v>
      </c>
      <c r="B1329" s="83" t="s">
        <v>2019</v>
      </c>
      <c r="C1329" s="67" t="s">
        <v>2020</v>
      </c>
      <c r="D1329" s="91">
        <v>714256100</v>
      </c>
      <c r="E1329" s="76">
        <v>27957015</v>
      </c>
      <c r="F1329" s="77" t="s">
        <v>10170</v>
      </c>
      <c r="G1329" s="22"/>
      <c r="H1329" s="22"/>
    </row>
    <row r="1330" spans="1:8" ht="13.35" customHeight="1">
      <c r="A1330" s="82">
        <v>1</v>
      </c>
      <c r="B1330" s="83" t="s">
        <v>2021</v>
      </c>
      <c r="C1330" s="67" t="s">
        <v>2022</v>
      </c>
      <c r="D1330" s="91">
        <v>665734400</v>
      </c>
      <c r="E1330" s="76">
        <v>26057805.000000004</v>
      </c>
      <c r="F1330" s="77" t="s">
        <v>10170</v>
      </c>
      <c r="G1330" s="22"/>
      <c r="H1330" s="22"/>
    </row>
    <row r="1331" spans="1:8" ht="13.35" customHeight="1">
      <c r="A1331" s="82">
        <v>1</v>
      </c>
      <c r="B1331" s="67" t="s">
        <v>6760</v>
      </c>
      <c r="C1331" s="67" t="s">
        <v>7453</v>
      </c>
      <c r="D1331" s="91">
        <v>1282398900</v>
      </c>
      <c r="E1331" s="76">
        <v>50194939.999999993</v>
      </c>
      <c r="F1331" s="77" t="s">
        <v>10170</v>
      </c>
      <c r="G1331" s="22"/>
      <c r="H1331" s="22"/>
    </row>
    <row r="1332" spans="1:8" ht="13.35" customHeight="1">
      <c r="A1332" s="82">
        <v>1</v>
      </c>
      <c r="B1332" s="67" t="s">
        <v>6761</v>
      </c>
      <c r="C1332" s="67" t="s">
        <v>7454</v>
      </c>
      <c r="D1332" s="91">
        <v>1282398900</v>
      </c>
      <c r="E1332" s="76">
        <v>50194939.999999993</v>
      </c>
      <c r="F1332" s="77" t="s">
        <v>10170</v>
      </c>
      <c r="G1332" s="22"/>
      <c r="H1332" s="22"/>
    </row>
    <row r="1333" spans="1:8" ht="13.35" customHeight="1">
      <c r="A1333" s="82">
        <v>1</v>
      </c>
      <c r="B1333" s="67" t="s">
        <v>6762</v>
      </c>
      <c r="C1333" s="67" t="s">
        <v>7455</v>
      </c>
      <c r="D1333" s="91">
        <v>1246418800</v>
      </c>
      <c r="E1333" s="76">
        <v>48786627.499999993</v>
      </c>
      <c r="F1333" s="77" t="s">
        <v>10170</v>
      </c>
      <c r="G1333" s="22"/>
      <c r="H1333" s="22"/>
    </row>
    <row r="1334" spans="1:8" ht="13.35" customHeight="1">
      <c r="A1334" s="82">
        <v>1</v>
      </c>
      <c r="B1334" s="67" t="s">
        <v>6763</v>
      </c>
      <c r="C1334" s="67" t="s">
        <v>7456</v>
      </c>
      <c r="D1334" s="91">
        <v>949298600</v>
      </c>
      <c r="E1334" s="76">
        <v>37156917</v>
      </c>
      <c r="F1334" s="77" t="s">
        <v>10170</v>
      </c>
      <c r="G1334" s="22"/>
      <c r="H1334" s="22"/>
    </row>
    <row r="1335" spans="1:8" ht="13.35" customHeight="1">
      <c r="A1335" s="82">
        <v>1</v>
      </c>
      <c r="B1335" s="67" t="s">
        <v>6764</v>
      </c>
      <c r="C1335" s="67" t="s">
        <v>7457</v>
      </c>
      <c r="D1335" s="91">
        <v>949298600</v>
      </c>
      <c r="E1335" s="76">
        <v>37156917</v>
      </c>
      <c r="F1335" s="77" t="s">
        <v>10170</v>
      </c>
      <c r="G1335" s="22"/>
      <c r="H1335" s="22"/>
    </row>
    <row r="1336" spans="1:8" ht="13.35" customHeight="1">
      <c r="A1336" s="82">
        <v>1</v>
      </c>
      <c r="B1336" s="67" t="s">
        <v>6765</v>
      </c>
      <c r="C1336" s="67" t="s">
        <v>7458</v>
      </c>
      <c r="D1336" s="91">
        <v>945693800</v>
      </c>
      <c r="E1336" s="76">
        <v>37015817.5</v>
      </c>
      <c r="F1336" s="77" t="s">
        <v>10170</v>
      </c>
      <c r="G1336" s="22"/>
      <c r="H1336" s="22"/>
    </row>
    <row r="1337" spans="1:8" ht="13.35" customHeight="1">
      <c r="A1337" s="82">
        <v>1</v>
      </c>
      <c r="B1337" s="67" t="s">
        <v>6766</v>
      </c>
      <c r="C1337" s="67" t="s">
        <v>7459</v>
      </c>
      <c r="D1337" s="91">
        <v>945693800</v>
      </c>
      <c r="E1337" s="76">
        <v>37015817.5</v>
      </c>
      <c r="F1337" s="77" t="s">
        <v>10170</v>
      </c>
      <c r="G1337" s="22"/>
      <c r="H1337" s="22"/>
    </row>
    <row r="1338" spans="1:8" ht="13.35" customHeight="1">
      <c r="A1338" s="82">
        <v>1</v>
      </c>
      <c r="B1338" s="67" t="s">
        <v>6767</v>
      </c>
      <c r="C1338" s="67" t="s">
        <v>7460</v>
      </c>
      <c r="D1338" s="91">
        <v>909713700</v>
      </c>
      <c r="E1338" s="76">
        <v>35607505</v>
      </c>
      <c r="F1338" s="77" t="s">
        <v>10170</v>
      </c>
      <c r="G1338" s="22"/>
      <c r="H1338" s="22"/>
    </row>
    <row r="1339" spans="1:8" ht="13.35" customHeight="1">
      <c r="A1339" s="82">
        <v>1</v>
      </c>
      <c r="B1339" s="67" t="s">
        <v>6768</v>
      </c>
      <c r="C1339" s="67" t="s">
        <v>7461</v>
      </c>
      <c r="D1339" s="91">
        <v>1353331000</v>
      </c>
      <c r="E1339" s="76">
        <v>52971327.499999993</v>
      </c>
      <c r="F1339" s="77" t="s">
        <v>10170</v>
      </c>
      <c r="G1339" s="22"/>
      <c r="H1339" s="22"/>
    </row>
    <row r="1340" spans="1:8" ht="13.35" customHeight="1">
      <c r="A1340" s="82">
        <v>1</v>
      </c>
      <c r="B1340" s="67" t="s">
        <v>6769</v>
      </c>
      <c r="C1340" s="67" t="s">
        <v>7462</v>
      </c>
      <c r="D1340" s="91">
        <v>1353331000</v>
      </c>
      <c r="E1340" s="76">
        <v>52971327.499999993</v>
      </c>
      <c r="F1340" s="77" t="s">
        <v>10170</v>
      </c>
      <c r="G1340" s="22"/>
      <c r="H1340" s="22"/>
    </row>
    <row r="1341" spans="1:8" ht="13.35" customHeight="1">
      <c r="A1341" s="82">
        <v>1</v>
      </c>
      <c r="B1341" s="67" t="s">
        <v>6770</v>
      </c>
      <c r="C1341" s="67" t="s">
        <v>7463</v>
      </c>
      <c r="D1341" s="91">
        <v>1317350900</v>
      </c>
      <c r="E1341" s="76">
        <v>51563014.999999993</v>
      </c>
      <c r="F1341" s="77" t="s">
        <v>10170</v>
      </c>
      <c r="G1341" s="22"/>
      <c r="H1341" s="22"/>
    </row>
    <row r="1342" spans="1:8" ht="13.35" customHeight="1">
      <c r="A1342" s="82">
        <v>1</v>
      </c>
      <c r="B1342" s="67" t="s">
        <v>6771</v>
      </c>
      <c r="C1342" s="67" t="s">
        <v>7464</v>
      </c>
      <c r="D1342" s="91">
        <v>1020230800</v>
      </c>
      <c r="E1342" s="76">
        <v>39933304.5</v>
      </c>
      <c r="F1342" s="77" t="s">
        <v>10170</v>
      </c>
      <c r="G1342" s="22"/>
      <c r="H1342" s="22"/>
    </row>
    <row r="1343" spans="1:8" ht="13.35" customHeight="1">
      <c r="A1343" s="82">
        <v>1</v>
      </c>
      <c r="B1343" s="67" t="s">
        <v>6772</v>
      </c>
      <c r="C1343" s="67" t="s">
        <v>7465</v>
      </c>
      <c r="D1343" s="91">
        <v>1020230800</v>
      </c>
      <c r="E1343" s="76">
        <v>39933304.5</v>
      </c>
      <c r="F1343" s="77" t="s">
        <v>10170</v>
      </c>
      <c r="G1343" s="22"/>
      <c r="H1343" s="22"/>
    </row>
    <row r="1344" spans="1:8" ht="13.35" customHeight="1">
      <c r="A1344" s="82">
        <v>1</v>
      </c>
      <c r="B1344" s="67" t="s">
        <v>6773</v>
      </c>
      <c r="C1344" s="67" t="s">
        <v>7466</v>
      </c>
      <c r="D1344" s="91">
        <v>1016625900</v>
      </c>
      <c r="E1344" s="76">
        <v>39792205</v>
      </c>
      <c r="F1344" s="77" t="s">
        <v>10170</v>
      </c>
      <c r="G1344" s="22"/>
      <c r="H1344" s="22"/>
    </row>
    <row r="1345" spans="1:8" ht="13.35" customHeight="1">
      <c r="A1345" s="82">
        <v>1</v>
      </c>
      <c r="B1345" s="67" t="s">
        <v>6774</v>
      </c>
      <c r="C1345" s="67" t="s">
        <v>7467</v>
      </c>
      <c r="D1345" s="91">
        <v>1016625900</v>
      </c>
      <c r="E1345" s="76">
        <v>39792205</v>
      </c>
      <c r="F1345" s="77" t="s">
        <v>10170</v>
      </c>
      <c r="G1345" s="22"/>
      <c r="H1345" s="22"/>
    </row>
    <row r="1346" spans="1:8" ht="13.35" customHeight="1">
      <c r="A1346" s="82">
        <v>1</v>
      </c>
      <c r="B1346" s="67" t="s">
        <v>6775</v>
      </c>
      <c r="C1346" s="67" t="s">
        <v>7468</v>
      </c>
      <c r="D1346" s="91">
        <v>980645900</v>
      </c>
      <c r="E1346" s="76">
        <v>38383892.5</v>
      </c>
      <c r="F1346" s="77" t="s">
        <v>10170</v>
      </c>
      <c r="G1346" s="22"/>
      <c r="H1346" s="22"/>
    </row>
    <row r="1347" spans="1:8" ht="13.35" customHeight="1">
      <c r="A1347" s="82">
        <v>1</v>
      </c>
      <c r="B1347" s="67" t="s">
        <v>6776</v>
      </c>
      <c r="C1347" s="67" t="s">
        <v>7469</v>
      </c>
      <c r="D1347" s="91">
        <v>1014432900</v>
      </c>
      <c r="E1347" s="76">
        <v>39706365</v>
      </c>
      <c r="F1347" s="77" t="s">
        <v>10170</v>
      </c>
      <c r="G1347" s="22"/>
      <c r="H1347" s="22"/>
    </row>
    <row r="1348" spans="1:8" ht="13.35" customHeight="1">
      <c r="A1348" s="82">
        <v>1</v>
      </c>
      <c r="B1348" s="67" t="s">
        <v>6777</v>
      </c>
      <c r="C1348" s="67" t="s">
        <v>7470</v>
      </c>
      <c r="D1348" s="91">
        <v>1014432900</v>
      </c>
      <c r="E1348" s="76">
        <v>39706365</v>
      </c>
      <c r="F1348" s="77" t="s">
        <v>10170</v>
      </c>
      <c r="G1348" s="22"/>
      <c r="H1348" s="22"/>
    </row>
    <row r="1349" spans="1:8" ht="13.35" customHeight="1">
      <c r="A1349" s="82">
        <v>1</v>
      </c>
      <c r="B1349" s="67" t="s">
        <v>6778</v>
      </c>
      <c r="C1349" s="67" t="s">
        <v>7471</v>
      </c>
      <c r="D1349" s="91">
        <v>978452800</v>
      </c>
      <c r="E1349" s="76">
        <v>38298052.5</v>
      </c>
      <c r="F1349" s="77" t="s">
        <v>10170</v>
      </c>
      <c r="G1349" s="22"/>
      <c r="H1349" s="22"/>
    </row>
    <row r="1350" spans="1:8" ht="13.35" customHeight="1">
      <c r="A1350" s="82">
        <v>1</v>
      </c>
      <c r="B1350" s="67" t="s">
        <v>6779</v>
      </c>
      <c r="C1350" s="67" t="s">
        <v>7472</v>
      </c>
      <c r="D1350" s="91">
        <v>681332600</v>
      </c>
      <c r="E1350" s="76">
        <v>26668342</v>
      </c>
      <c r="F1350" s="77" t="s">
        <v>10170</v>
      </c>
      <c r="G1350" s="22"/>
      <c r="H1350" s="22"/>
    </row>
    <row r="1351" spans="1:8" ht="13.35" customHeight="1">
      <c r="A1351" s="82">
        <v>1</v>
      </c>
      <c r="B1351" s="67" t="s">
        <v>6780</v>
      </c>
      <c r="C1351" s="67" t="s">
        <v>7473</v>
      </c>
      <c r="D1351" s="91">
        <v>681332600</v>
      </c>
      <c r="E1351" s="76">
        <v>26668342</v>
      </c>
      <c r="F1351" s="77" t="s">
        <v>10170</v>
      </c>
      <c r="G1351" s="22"/>
      <c r="H1351" s="22"/>
    </row>
    <row r="1352" spans="1:8" ht="13.35" customHeight="1">
      <c r="A1352" s="82">
        <v>1</v>
      </c>
      <c r="B1352" s="67" t="s">
        <v>6781</v>
      </c>
      <c r="C1352" s="67" t="s">
        <v>7474</v>
      </c>
      <c r="D1352" s="91">
        <v>677727800</v>
      </c>
      <c r="E1352" s="76">
        <v>26527242.500000004</v>
      </c>
      <c r="F1352" s="77" t="s">
        <v>10170</v>
      </c>
      <c r="G1352" s="22"/>
      <c r="H1352" s="22"/>
    </row>
    <row r="1353" spans="1:8" ht="13.35" customHeight="1">
      <c r="A1353" s="82">
        <v>1</v>
      </c>
      <c r="B1353" s="67" t="s">
        <v>6782</v>
      </c>
      <c r="C1353" s="67" t="s">
        <v>7475</v>
      </c>
      <c r="D1353" s="91">
        <v>677727800</v>
      </c>
      <c r="E1353" s="76">
        <v>26527242.500000004</v>
      </c>
      <c r="F1353" s="77" t="s">
        <v>10170</v>
      </c>
      <c r="G1353" s="22"/>
      <c r="H1353" s="22"/>
    </row>
    <row r="1354" spans="1:8" ht="13.35" customHeight="1">
      <c r="A1354" s="82">
        <v>1</v>
      </c>
      <c r="B1354" s="67" t="s">
        <v>6783</v>
      </c>
      <c r="C1354" s="67" t="s">
        <v>7476</v>
      </c>
      <c r="D1354" s="91">
        <v>641747700</v>
      </c>
      <c r="E1354" s="76">
        <v>25118930.000000004</v>
      </c>
      <c r="F1354" s="77" t="s">
        <v>10170</v>
      </c>
      <c r="G1354" s="22"/>
      <c r="H1354" s="22"/>
    </row>
    <row r="1355" spans="1:8" ht="13.35" customHeight="1">
      <c r="A1355" s="82">
        <v>1</v>
      </c>
      <c r="B1355" s="67" t="s">
        <v>6784</v>
      </c>
      <c r="C1355" s="67" t="s">
        <v>7477</v>
      </c>
      <c r="D1355" s="91">
        <v>1085365000</v>
      </c>
      <c r="E1355" s="76">
        <v>42482752.5</v>
      </c>
      <c r="F1355" s="77" t="s">
        <v>10170</v>
      </c>
      <c r="G1355" s="22"/>
      <c r="H1355" s="22"/>
    </row>
    <row r="1356" spans="1:8" ht="13.35" customHeight="1">
      <c r="A1356" s="82">
        <v>1</v>
      </c>
      <c r="B1356" s="67" t="s">
        <v>6785</v>
      </c>
      <c r="C1356" s="67" t="s">
        <v>7478</v>
      </c>
      <c r="D1356" s="91">
        <v>1085365000</v>
      </c>
      <c r="E1356" s="76">
        <v>42482752.5</v>
      </c>
      <c r="F1356" s="77" t="s">
        <v>10170</v>
      </c>
      <c r="G1356" s="22"/>
      <c r="H1356" s="22"/>
    </row>
    <row r="1357" spans="1:8" ht="13.35" customHeight="1">
      <c r="A1357" s="82">
        <v>1</v>
      </c>
      <c r="B1357" s="67" t="s">
        <v>6786</v>
      </c>
      <c r="C1357" s="67" t="s">
        <v>7479</v>
      </c>
      <c r="D1357" s="91">
        <v>1049385000</v>
      </c>
      <c r="E1357" s="76">
        <v>41074440</v>
      </c>
      <c r="F1357" s="77" t="s">
        <v>10170</v>
      </c>
      <c r="G1357" s="22"/>
      <c r="H1357" s="22"/>
    </row>
    <row r="1358" spans="1:8" ht="13.35" customHeight="1">
      <c r="A1358" s="82">
        <v>1</v>
      </c>
      <c r="B1358" s="67" t="s">
        <v>6787</v>
      </c>
      <c r="C1358" s="67" t="s">
        <v>7480</v>
      </c>
      <c r="D1358" s="91">
        <v>749221900</v>
      </c>
      <c r="E1358" s="76">
        <v>29325626.5</v>
      </c>
      <c r="F1358" s="77" t="s">
        <v>10170</v>
      </c>
      <c r="G1358" s="22"/>
      <c r="H1358" s="22"/>
    </row>
    <row r="1359" spans="1:8" ht="13.35" customHeight="1">
      <c r="A1359" s="82">
        <v>1</v>
      </c>
      <c r="B1359" s="67" t="s">
        <v>6788</v>
      </c>
      <c r="C1359" s="67" t="s">
        <v>7481</v>
      </c>
      <c r="D1359" s="91">
        <v>749221900</v>
      </c>
      <c r="E1359" s="76">
        <v>29325626.5</v>
      </c>
      <c r="F1359" s="77" t="s">
        <v>10170</v>
      </c>
      <c r="G1359" s="22"/>
      <c r="H1359" s="22"/>
    </row>
    <row r="1360" spans="1:8" ht="13.35" customHeight="1">
      <c r="A1360" s="82">
        <v>1</v>
      </c>
      <c r="B1360" s="67" t="s">
        <v>6789</v>
      </c>
      <c r="C1360" s="67" t="s">
        <v>7482</v>
      </c>
      <c r="D1360" s="91">
        <v>748660000</v>
      </c>
      <c r="E1360" s="76">
        <v>29303630.000000004</v>
      </c>
      <c r="F1360" s="77" t="s">
        <v>10170</v>
      </c>
      <c r="G1360" s="22"/>
      <c r="H1360" s="22"/>
    </row>
    <row r="1361" spans="1:8" ht="13.35" customHeight="1">
      <c r="A1361" s="82">
        <v>1</v>
      </c>
      <c r="B1361" s="67" t="s">
        <v>6790</v>
      </c>
      <c r="C1361" s="67" t="s">
        <v>7483</v>
      </c>
      <c r="D1361" s="91">
        <v>748660000</v>
      </c>
      <c r="E1361" s="76">
        <v>29303630.000000004</v>
      </c>
      <c r="F1361" s="77" t="s">
        <v>10170</v>
      </c>
      <c r="G1361" s="22"/>
      <c r="H1361" s="22"/>
    </row>
    <row r="1362" spans="1:8" ht="13.35" customHeight="1">
      <c r="A1362" s="82">
        <v>1</v>
      </c>
      <c r="B1362" s="67" t="s">
        <v>6791</v>
      </c>
      <c r="C1362" s="67" t="s">
        <v>7484</v>
      </c>
      <c r="D1362" s="91">
        <v>712679900</v>
      </c>
      <c r="E1362" s="76">
        <v>27895317.500000004</v>
      </c>
      <c r="F1362" s="77" t="s">
        <v>10170</v>
      </c>
      <c r="G1362" s="22"/>
      <c r="H1362" s="22"/>
    </row>
    <row r="1363" spans="1:8" ht="13.35" customHeight="1">
      <c r="A1363" s="82">
        <v>1</v>
      </c>
      <c r="B1363" s="67" t="s">
        <v>6792</v>
      </c>
      <c r="C1363" s="67" t="s">
        <v>7485</v>
      </c>
      <c r="D1363" s="91">
        <v>756541300</v>
      </c>
      <c r="E1363" s="76">
        <v>29612117.500000004</v>
      </c>
      <c r="F1363" s="77" t="s">
        <v>10170</v>
      </c>
      <c r="G1363" s="22"/>
      <c r="H1363" s="22"/>
    </row>
    <row r="1364" spans="1:8" ht="13.35" customHeight="1">
      <c r="A1364" s="82">
        <v>1</v>
      </c>
      <c r="B1364" s="67" t="s">
        <v>6793</v>
      </c>
      <c r="C1364" s="67" t="s">
        <v>7486</v>
      </c>
      <c r="D1364" s="91">
        <v>756541300</v>
      </c>
      <c r="E1364" s="76">
        <v>29612117.500000004</v>
      </c>
      <c r="F1364" s="77" t="s">
        <v>10170</v>
      </c>
      <c r="G1364" s="22"/>
      <c r="H1364" s="22"/>
    </row>
    <row r="1365" spans="1:8" ht="13.35" customHeight="1">
      <c r="A1365" s="82">
        <v>1</v>
      </c>
      <c r="B1365" s="67" t="s">
        <v>6794</v>
      </c>
      <c r="C1365" s="67" t="s">
        <v>7487</v>
      </c>
      <c r="D1365" s="91">
        <v>720561200</v>
      </c>
      <c r="E1365" s="76">
        <v>28203805.000000004</v>
      </c>
      <c r="F1365" s="77" t="s">
        <v>10170</v>
      </c>
      <c r="G1365" s="22"/>
      <c r="H1365" s="22"/>
    </row>
    <row r="1366" spans="1:8" ht="13.35" customHeight="1">
      <c r="A1366" s="82">
        <v>1</v>
      </c>
      <c r="B1366" s="67" t="s">
        <v>6795</v>
      </c>
      <c r="C1366" s="67" t="s">
        <v>7488</v>
      </c>
      <c r="D1366" s="91">
        <v>827473500</v>
      </c>
      <c r="E1366" s="76">
        <v>32388505.000000004</v>
      </c>
      <c r="F1366" s="77" t="s">
        <v>10170</v>
      </c>
      <c r="G1366" s="22"/>
      <c r="H1366" s="22"/>
    </row>
    <row r="1367" spans="1:8" ht="13.35" customHeight="1">
      <c r="A1367" s="82">
        <v>1</v>
      </c>
      <c r="B1367" s="67" t="s">
        <v>6796</v>
      </c>
      <c r="C1367" s="67" t="s">
        <v>7489</v>
      </c>
      <c r="D1367" s="91">
        <v>827473500</v>
      </c>
      <c r="E1367" s="76">
        <v>32388505.000000004</v>
      </c>
      <c r="F1367" s="77" t="s">
        <v>10170</v>
      </c>
      <c r="G1367" s="22"/>
      <c r="H1367" s="22"/>
    </row>
    <row r="1368" spans="1:8" ht="13.35" customHeight="1">
      <c r="A1368" s="82">
        <v>1</v>
      </c>
      <c r="B1368" s="67" t="s">
        <v>6797</v>
      </c>
      <c r="C1368" s="67" t="s">
        <v>7490</v>
      </c>
      <c r="D1368" s="91">
        <v>791493400</v>
      </c>
      <c r="E1368" s="76">
        <v>30980192.500000004</v>
      </c>
      <c r="F1368" s="77" t="s">
        <v>10170</v>
      </c>
      <c r="G1368" s="22"/>
      <c r="H1368" s="22"/>
    </row>
    <row r="1369" spans="1:8" ht="13.35" customHeight="1">
      <c r="A1369" s="82">
        <v>1</v>
      </c>
      <c r="B1369" s="67" t="s">
        <v>5580</v>
      </c>
      <c r="C1369" s="67" t="s">
        <v>7491</v>
      </c>
      <c r="D1369" s="91">
        <v>291061800</v>
      </c>
      <c r="E1369" s="76">
        <v>11392577.5</v>
      </c>
      <c r="F1369" s="77" t="s">
        <v>10170</v>
      </c>
      <c r="G1369" s="22"/>
      <c r="H1369" s="22"/>
    </row>
    <row r="1370" spans="1:8" ht="13.35" customHeight="1">
      <c r="A1370" s="82">
        <v>1</v>
      </c>
      <c r="B1370" s="67" t="s">
        <v>5576</v>
      </c>
      <c r="C1370" s="67" t="s">
        <v>7492</v>
      </c>
      <c r="D1370" s="91">
        <v>291061800</v>
      </c>
      <c r="E1370" s="76">
        <v>11392577.5</v>
      </c>
      <c r="F1370" s="77" t="s">
        <v>10170</v>
      </c>
      <c r="G1370" s="22"/>
      <c r="H1370" s="22"/>
    </row>
    <row r="1371" spans="1:8" ht="13.35" customHeight="1">
      <c r="A1371" s="82">
        <v>1</v>
      </c>
      <c r="B1371" s="67" t="s">
        <v>5578</v>
      </c>
      <c r="C1371" s="67" t="s">
        <v>3264</v>
      </c>
      <c r="D1371" s="91">
        <v>194498100</v>
      </c>
      <c r="E1371" s="76">
        <v>7612935</v>
      </c>
      <c r="F1371" s="77" t="s">
        <v>10170</v>
      </c>
      <c r="G1371" s="22"/>
      <c r="H1371" s="22"/>
    </row>
    <row r="1372" spans="1:8" ht="13.35" customHeight="1">
      <c r="A1372" s="82">
        <v>1</v>
      </c>
      <c r="B1372" s="67" t="s">
        <v>5579</v>
      </c>
      <c r="C1372" s="67" t="s">
        <v>3265</v>
      </c>
      <c r="D1372" s="91">
        <v>194498100</v>
      </c>
      <c r="E1372" s="76">
        <v>7612935</v>
      </c>
      <c r="F1372" s="77" t="s">
        <v>10170</v>
      </c>
      <c r="G1372" s="22"/>
      <c r="H1372" s="22"/>
    </row>
    <row r="1373" spans="1:8" ht="13.35" customHeight="1">
      <c r="A1373" s="82">
        <v>1</v>
      </c>
      <c r="B1373" s="67" t="s">
        <v>5081</v>
      </c>
      <c r="C1373" s="67" t="s">
        <v>3262</v>
      </c>
      <c r="D1373" s="91">
        <v>179078000</v>
      </c>
      <c r="E1373" s="76">
        <v>7009372.5</v>
      </c>
      <c r="F1373" s="77" t="s">
        <v>10170</v>
      </c>
      <c r="G1373" s="22"/>
      <c r="H1373" s="22"/>
    </row>
    <row r="1374" spans="1:8" ht="13.35" customHeight="1">
      <c r="A1374" s="82">
        <v>1</v>
      </c>
      <c r="B1374" s="67" t="s">
        <v>5082</v>
      </c>
      <c r="C1374" s="67" t="s">
        <v>3263</v>
      </c>
      <c r="D1374" s="91">
        <v>179078000</v>
      </c>
      <c r="E1374" s="76">
        <v>7009372.5</v>
      </c>
      <c r="F1374" s="77" t="s">
        <v>10170</v>
      </c>
      <c r="G1374" s="22"/>
      <c r="H1374" s="22"/>
    </row>
    <row r="1375" spans="1:8" ht="13.35" customHeight="1">
      <c r="A1375" s="82">
        <v>1</v>
      </c>
      <c r="B1375" s="83" t="s">
        <v>3148</v>
      </c>
      <c r="C1375" s="67" t="s">
        <v>3264</v>
      </c>
      <c r="D1375" s="91">
        <v>164795700</v>
      </c>
      <c r="E1375" s="76">
        <v>6450339.5</v>
      </c>
      <c r="F1375" s="77" t="s">
        <v>10170</v>
      </c>
      <c r="G1375" s="22"/>
      <c r="H1375" s="22"/>
    </row>
    <row r="1376" spans="1:8" ht="13.35" customHeight="1">
      <c r="A1376" s="82">
        <v>1</v>
      </c>
      <c r="B1376" s="83" t="s">
        <v>3149</v>
      </c>
      <c r="C1376" s="67" t="s">
        <v>3265</v>
      </c>
      <c r="D1376" s="91">
        <v>164795700</v>
      </c>
      <c r="E1376" s="76">
        <v>6450339.5</v>
      </c>
      <c r="F1376" s="77" t="s">
        <v>10170</v>
      </c>
      <c r="G1376" s="22"/>
      <c r="H1376" s="22"/>
    </row>
    <row r="1377" spans="1:8" ht="13.35" customHeight="1">
      <c r="A1377" s="82">
        <v>1</v>
      </c>
      <c r="B1377" s="83" t="s">
        <v>3146</v>
      </c>
      <c r="C1377" s="67" t="s">
        <v>3262</v>
      </c>
      <c r="D1377" s="91">
        <v>151733200</v>
      </c>
      <c r="E1377" s="76">
        <v>5939055</v>
      </c>
      <c r="F1377" s="77" t="s">
        <v>10170</v>
      </c>
      <c r="G1377" s="22"/>
      <c r="H1377" s="22"/>
    </row>
    <row r="1378" spans="1:8" ht="13.35" customHeight="1">
      <c r="A1378" s="82">
        <v>1</v>
      </c>
      <c r="B1378" s="83" t="s">
        <v>3147</v>
      </c>
      <c r="C1378" s="67" t="s">
        <v>3263</v>
      </c>
      <c r="D1378" s="91">
        <v>151733200</v>
      </c>
      <c r="E1378" s="76">
        <v>5939055</v>
      </c>
      <c r="F1378" s="77" t="s">
        <v>10170</v>
      </c>
      <c r="G1378" s="22"/>
      <c r="H1378" s="22"/>
    </row>
    <row r="1379" spans="1:8" ht="13.35" customHeight="1">
      <c r="A1379" s="82">
        <v>1</v>
      </c>
      <c r="B1379" s="83" t="s">
        <v>1814</v>
      </c>
      <c r="C1379" s="67" t="s">
        <v>4679</v>
      </c>
      <c r="D1379" s="91">
        <v>47904900</v>
      </c>
      <c r="E1379" s="76">
        <v>1875067.5000000002</v>
      </c>
      <c r="F1379" s="77" t="s">
        <v>10170</v>
      </c>
      <c r="G1379" s="22"/>
      <c r="H1379" s="22"/>
    </row>
    <row r="1380" spans="1:8" ht="13.35" customHeight="1">
      <c r="A1380" s="82">
        <v>1</v>
      </c>
      <c r="B1380" s="83" t="s">
        <v>693</v>
      </c>
      <c r="C1380" s="67" t="s">
        <v>694</v>
      </c>
      <c r="D1380" s="91">
        <v>27413400</v>
      </c>
      <c r="E1380" s="76">
        <v>1073000</v>
      </c>
      <c r="F1380" s="77" t="s">
        <v>10170</v>
      </c>
      <c r="G1380" s="22"/>
      <c r="H1380" s="22"/>
    </row>
    <row r="1381" spans="1:8" ht="13.35" customHeight="1">
      <c r="A1381" s="82">
        <v>1</v>
      </c>
      <c r="B1381" s="83" t="s">
        <v>695</v>
      </c>
      <c r="C1381" s="67" t="s">
        <v>696</v>
      </c>
      <c r="D1381" s="91">
        <v>27413400</v>
      </c>
      <c r="E1381" s="76">
        <v>1073000</v>
      </c>
      <c r="F1381" s="77" t="s">
        <v>10170</v>
      </c>
      <c r="G1381" s="22"/>
      <c r="H1381" s="22"/>
    </row>
    <row r="1382" spans="1:8" ht="13.35" customHeight="1">
      <c r="A1382" s="82">
        <v>1</v>
      </c>
      <c r="B1382" s="83" t="s">
        <v>1813</v>
      </c>
      <c r="C1382" s="67" t="s">
        <v>4680</v>
      </c>
      <c r="D1382" s="91">
        <v>41051600</v>
      </c>
      <c r="E1382" s="76">
        <v>1606817.5000000002</v>
      </c>
      <c r="F1382" s="77" t="s">
        <v>10170</v>
      </c>
      <c r="G1382" s="22"/>
      <c r="H1382" s="22"/>
    </row>
    <row r="1383" spans="1:8" ht="13.35" customHeight="1">
      <c r="A1383" s="82">
        <v>1</v>
      </c>
      <c r="B1383" s="83" t="s">
        <v>3502</v>
      </c>
      <c r="C1383" s="67" t="s">
        <v>4681</v>
      </c>
      <c r="D1383" s="91">
        <v>16379500</v>
      </c>
      <c r="E1383" s="76">
        <v>641117.5</v>
      </c>
      <c r="F1383" s="77" t="s">
        <v>10170</v>
      </c>
      <c r="G1383" s="22"/>
      <c r="H1383" s="22"/>
    </row>
    <row r="1384" spans="1:8" ht="13.35" customHeight="1">
      <c r="A1384" s="82">
        <v>1</v>
      </c>
      <c r="B1384" s="83" t="s">
        <v>1092</v>
      </c>
      <c r="C1384" s="67" t="s">
        <v>4693</v>
      </c>
      <c r="D1384" s="91">
        <v>16379500</v>
      </c>
      <c r="E1384" s="76">
        <v>641117.5</v>
      </c>
      <c r="F1384" s="77" t="s">
        <v>10170</v>
      </c>
      <c r="G1384" s="22"/>
      <c r="H1384" s="22"/>
    </row>
    <row r="1385" spans="1:8" ht="13.35" customHeight="1">
      <c r="A1385" s="82">
        <v>1</v>
      </c>
      <c r="B1385" s="83" t="s">
        <v>1062</v>
      </c>
      <c r="C1385" s="67" t="s">
        <v>1063</v>
      </c>
      <c r="D1385" s="91">
        <v>13706700</v>
      </c>
      <c r="E1385" s="76">
        <v>536500</v>
      </c>
      <c r="F1385" s="77" t="s">
        <v>10170</v>
      </c>
      <c r="G1385" s="22"/>
      <c r="H1385" s="22"/>
    </row>
    <row r="1386" spans="1:8" ht="13.35" customHeight="1">
      <c r="A1386" s="82">
        <v>1</v>
      </c>
      <c r="B1386" s="83" t="s">
        <v>1091</v>
      </c>
      <c r="C1386" s="67" t="s">
        <v>4694</v>
      </c>
      <c r="D1386" s="91">
        <v>16379500</v>
      </c>
      <c r="E1386" s="76">
        <v>641117.5</v>
      </c>
      <c r="F1386" s="77" t="s">
        <v>10170</v>
      </c>
      <c r="G1386" s="22"/>
      <c r="H1386" s="22"/>
    </row>
    <row r="1387" spans="1:8" ht="13.35" customHeight="1">
      <c r="A1387" s="82">
        <v>1</v>
      </c>
      <c r="B1387" s="83" t="s">
        <v>5221</v>
      </c>
      <c r="C1387" s="67" t="s">
        <v>5222</v>
      </c>
      <c r="D1387" s="91">
        <v>10965400</v>
      </c>
      <c r="E1387" s="76">
        <v>429200</v>
      </c>
      <c r="F1387" s="77" t="s">
        <v>10170</v>
      </c>
      <c r="G1387" s="22"/>
      <c r="H1387" s="22"/>
    </row>
    <row r="1388" spans="1:8" ht="13.35" customHeight="1">
      <c r="A1388" s="82">
        <v>1</v>
      </c>
      <c r="B1388" s="83" t="s">
        <v>5219</v>
      </c>
      <c r="C1388" s="67" t="s">
        <v>5220</v>
      </c>
      <c r="D1388" s="91">
        <v>7607200</v>
      </c>
      <c r="E1388" s="76">
        <v>297757.5</v>
      </c>
      <c r="F1388" s="77" t="s">
        <v>10170</v>
      </c>
      <c r="G1388" s="22"/>
      <c r="H1388" s="22"/>
    </row>
    <row r="1389" spans="1:8" ht="13.35" customHeight="1">
      <c r="A1389" s="82">
        <v>1</v>
      </c>
      <c r="B1389" s="83" t="s">
        <v>2334</v>
      </c>
      <c r="C1389" s="67" t="s">
        <v>4636</v>
      </c>
      <c r="D1389" s="91">
        <v>3632300</v>
      </c>
      <c r="E1389" s="76">
        <v>142172.5</v>
      </c>
      <c r="F1389" s="77" t="s">
        <v>10170</v>
      </c>
      <c r="G1389" s="22"/>
      <c r="H1389" s="22"/>
    </row>
    <row r="1390" spans="1:8" ht="13.35" customHeight="1">
      <c r="A1390" s="82">
        <v>1</v>
      </c>
      <c r="B1390" s="83" t="s">
        <v>98</v>
      </c>
      <c r="C1390" s="67" t="s">
        <v>4682</v>
      </c>
      <c r="D1390" s="91">
        <v>3426700</v>
      </c>
      <c r="E1390" s="76">
        <v>134125</v>
      </c>
      <c r="F1390" s="77" t="s">
        <v>10170</v>
      </c>
      <c r="G1390" s="22"/>
      <c r="H1390" s="22"/>
    </row>
    <row r="1391" spans="1:8" ht="13.35" customHeight="1">
      <c r="A1391" s="82">
        <v>1</v>
      </c>
      <c r="B1391" s="83" t="s">
        <v>99</v>
      </c>
      <c r="C1391" s="67" t="s">
        <v>4683</v>
      </c>
      <c r="D1391" s="91">
        <v>3426700</v>
      </c>
      <c r="E1391" s="76">
        <v>134125</v>
      </c>
      <c r="F1391" s="77" t="s">
        <v>10170</v>
      </c>
      <c r="G1391" s="22"/>
      <c r="H1391" s="22"/>
    </row>
    <row r="1392" spans="1:8" ht="13.35" customHeight="1">
      <c r="A1392" s="82">
        <v>1</v>
      </c>
      <c r="B1392" s="83" t="s">
        <v>1933</v>
      </c>
      <c r="C1392" s="67" t="s">
        <v>4635</v>
      </c>
      <c r="D1392" s="91">
        <v>1370700</v>
      </c>
      <c r="E1392" s="76">
        <v>53650</v>
      </c>
      <c r="F1392" s="77" t="s">
        <v>10170</v>
      </c>
      <c r="G1392" s="22"/>
      <c r="H1392" s="22"/>
    </row>
    <row r="1393" spans="1:8" ht="13.35" customHeight="1">
      <c r="A1393" s="82">
        <v>1</v>
      </c>
      <c r="B1393" s="83" t="s">
        <v>1932</v>
      </c>
      <c r="C1393" s="67" t="s">
        <v>4634</v>
      </c>
      <c r="D1393" s="91">
        <v>1370700</v>
      </c>
      <c r="E1393" s="76">
        <v>53650</v>
      </c>
      <c r="F1393" s="77" t="s">
        <v>10170</v>
      </c>
      <c r="G1393" s="22"/>
      <c r="H1393" s="22"/>
    </row>
    <row r="1394" spans="1:8" ht="13.35" customHeight="1">
      <c r="A1394" s="82">
        <v>1</v>
      </c>
      <c r="B1394" s="83" t="s">
        <v>1090</v>
      </c>
      <c r="C1394" s="67" t="s">
        <v>104</v>
      </c>
      <c r="D1394" s="91">
        <v>753900</v>
      </c>
      <c r="E1394" s="76">
        <v>29507.500000000004</v>
      </c>
      <c r="F1394" s="77" t="s">
        <v>10170</v>
      </c>
      <c r="G1394" s="22"/>
      <c r="H1394" s="22"/>
    </row>
    <row r="1395" spans="1:8" ht="13.35" customHeight="1">
      <c r="A1395" s="82">
        <v>1</v>
      </c>
      <c r="B1395" s="83" t="s">
        <v>100</v>
      </c>
      <c r="C1395" s="67" t="s">
        <v>101</v>
      </c>
      <c r="D1395" s="91">
        <v>616800</v>
      </c>
      <c r="E1395" s="76">
        <v>24142.499999999996</v>
      </c>
      <c r="F1395" s="77" t="s">
        <v>10170</v>
      </c>
      <c r="G1395" s="22"/>
      <c r="H1395" s="22"/>
    </row>
    <row r="1396" spans="1:8" ht="13.35" customHeight="1">
      <c r="A1396" s="82">
        <v>1</v>
      </c>
      <c r="B1396" s="83" t="s">
        <v>102</v>
      </c>
      <c r="C1396" s="67" t="s">
        <v>103</v>
      </c>
      <c r="D1396" s="91">
        <v>616800</v>
      </c>
      <c r="E1396" s="76">
        <v>24142.499999999996</v>
      </c>
      <c r="F1396" s="77" t="s">
        <v>10170</v>
      </c>
      <c r="G1396" s="22"/>
      <c r="H1396" s="22"/>
    </row>
    <row r="1397" spans="1:8" ht="13.35" customHeight="1">
      <c r="A1397" s="82">
        <v>1</v>
      </c>
      <c r="B1397" s="83" t="s">
        <v>2922</v>
      </c>
      <c r="C1397" s="67" t="s">
        <v>4696</v>
      </c>
      <c r="D1397" s="91">
        <v>2234200</v>
      </c>
      <c r="E1397" s="76">
        <v>87449.5</v>
      </c>
      <c r="F1397" s="77" t="s">
        <v>10170</v>
      </c>
      <c r="G1397" s="22"/>
      <c r="H1397" s="22"/>
    </row>
    <row r="1398" spans="1:8" ht="13.35" customHeight="1">
      <c r="A1398" s="82">
        <v>1</v>
      </c>
      <c r="B1398" s="83" t="s">
        <v>2914</v>
      </c>
      <c r="C1398" s="67" t="s">
        <v>2915</v>
      </c>
      <c r="D1398" s="91">
        <v>1452900</v>
      </c>
      <c r="E1398" s="76">
        <v>56869</v>
      </c>
      <c r="F1398" s="77" t="s">
        <v>10170</v>
      </c>
      <c r="G1398" s="22"/>
      <c r="H1398" s="22"/>
    </row>
    <row r="1399" spans="1:8" ht="13.35" customHeight="1">
      <c r="A1399" s="82">
        <v>1</v>
      </c>
      <c r="B1399" s="83" t="s">
        <v>2916</v>
      </c>
      <c r="C1399" s="67" t="s">
        <v>2917</v>
      </c>
      <c r="D1399" s="91">
        <v>1452900</v>
      </c>
      <c r="E1399" s="76">
        <v>56869</v>
      </c>
      <c r="F1399" s="77" t="s">
        <v>10170</v>
      </c>
      <c r="G1399" s="22"/>
      <c r="H1399" s="22"/>
    </row>
    <row r="1400" spans="1:8" ht="13.35" customHeight="1">
      <c r="A1400" s="82">
        <v>1</v>
      </c>
      <c r="B1400" s="83" t="s">
        <v>2918</v>
      </c>
      <c r="C1400" s="67" t="s">
        <v>2919</v>
      </c>
      <c r="D1400" s="91">
        <v>1452900</v>
      </c>
      <c r="E1400" s="76">
        <v>56869</v>
      </c>
      <c r="F1400" s="77" t="s">
        <v>10170</v>
      </c>
      <c r="G1400" s="22"/>
      <c r="H1400" s="22"/>
    </row>
    <row r="1401" spans="1:8" ht="13.35" customHeight="1">
      <c r="A1401" s="82">
        <v>1</v>
      </c>
      <c r="B1401" s="83" t="s">
        <v>2920</v>
      </c>
      <c r="C1401" s="67" t="s">
        <v>2921</v>
      </c>
      <c r="D1401" s="91">
        <v>1452900</v>
      </c>
      <c r="E1401" s="76">
        <v>56869</v>
      </c>
      <c r="F1401" s="77" t="s">
        <v>10170</v>
      </c>
      <c r="G1401" s="22"/>
      <c r="H1401" s="22"/>
    </row>
    <row r="1402" spans="1:8" ht="13.35" customHeight="1">
      <c r="A1402" s="82">
        <v>1</v>
      </c>
      <c r="B1402" s="83" t="s">
        <v>2923</v>
      </c>
      <c r="C1402" s="67" t="s">
        <v>2924</v>
      </c>
      <c r="D1402" s="91">
        <v>2056000</v>
      </c>
      <c r="E1402" s="76">
        <v>80475</v>
      </c>
      <c r="F1402" s="77" t="s">
        <v>10170</v>
      </c>
      <c r="G1402" s="22"/>
      <c r="H1402" s="22"/>
    </row>
    <row r="1403" spans="1:8" ht="13.35" customHeight="1">
      <c r="A1403" s="82">
        <v>1</v>
      </c>
      <c r="B1403" s="83" t="s">
        <v>2925</v>
      </c>
      <c r="C1403" s="67" t="s">
        <v>2926</v>
      </c>
      <c r="D1403" s="91">
        <v>2056000</v>
      </c>
      <c r="E1403" s="76">
        <v>80475</v>
      </c>
      <c r="F1403" s="77" t="s">
        <v>10170</v>
      </c>
      <c r="G1403" s="22"/>
      <c r="H1403" s="22"/>
    </row>
    <row r="1404" spans="1:8" ht="13.35" customHeight="1">
      <c r="A1404" s="82">
        <v>1</v>
      </c>
      <c r="B1404" s="83" t="s">
        <v>2927</v>
      </c>
      <c r="C1404" s="67" t="s">
        <v>2928</v>
      </c>
      <c r="D1404" s="91">
        <v>2056000</v>
      </c>
      <c r="E1404" s="76">
        <v>80475</v>
      </c>
      <c r="F1404" s="77" t="s">
        <v>10170</v>
      </c>
      <c r="G1404" s="22"/>
      <c r="H1404" s="22"/>
    </row>
    <row r="1405" spans="1:8" ht="13.35" customHeight="1">
      <c r="A1405" s="82">
        <v>1</v>
      </c>
      <c r="B1405" s="83" t="s">
        <v>2929</v>
      </c>
      <c r="C1405" s="67" t="s">
        <v>2930</v>
      </c>
      <c r="D1405" s="91">
        <v>2056000</v>
      </c>
      <c r="E1405" s="76">
        <v>80475</v>
      </c>
      <c r="F1405" s="77" t="s">
        <v>10170</v>
      </c>
      <c r="G1405" s="22"/>
      <c r="H1405" s="22"/>
    </row>
    <row r="1406" spans="1:8" ht="13.35" customHeight="1">
      <c r="A1406" s="82">
        <v>1</v>
      </c>
      <c r="B1406" s="67" t="s">
        <v>6798</v>
      </c>
      <c r="C1406" s="67" t="s">
        <v>7493</v>
      </c>
      <c r="D1406" s="91">
        <v>210123700</v>
      </c>
      <c r="E1406" s="76">
        <v>8224545.0000000009</v>
      </c>
      <c r="F1406" s="77" t="s">
        <v>10170</v>
      </c>
      <c r="G1406" s="22"/>
      <c r="H1406" s="22"/>
    </row>
    <row r="1407" spans="1:8" ht="13.35" customHeight="1">
      <c r="A1407" s="82">
        <v>1</v>
      </c>
      <c r="B1407" s="83" t="s">
        <v>3400</v>
      </c>
      <c r="C1407" s="67" t="s">
        <v>3401</v>
      </c>
      <c r="D1407" s="91">
        <v>65559100</v>
      </c>
      <c r="E1407" s="76">
        <v>2566079.5</v>
      </c>
      <c r="F1407" s="77" t="s">
        <v>10170</v>
      </c>
      <c r="G1407" s="22"/>
      <c r="H1407" s="22"/>
    </row>
    <row r="1408" spans="1:8" ht="13.35" customHeight="1">
      <c r="A1408" s="82">
        <v>1</v>
      </c>
      <c r="B1408" s="83" t="s">
        <v>3404</v>
      </c>
      <c r="C1408" s="67" t="s">
        <v>3405</v>
      </c>
      <c r="D1408" s="91">
        <v>65545400</v>
      </c>
      <c r="E1408" s="76">
        <v>2565543</v>
      </c>
      <c r="F1408" s="77" t="s">
        <v>10170</v>
      </c>
      <c r="G1408" s="22"/>
      <c r="H1408" s="22"/>
    </row>
    <row r="1409" spans="1:8" ht="13.35" customHeight="1">
      <c r="A1409" s="82">
        <v>1</v>
      </c>
      <c r="B1409" s="83" t="s">
        <v>3406</v>
      </c>
      <c r="C1409" s="67" t="s">
        <v>3407</v>
      </c>
      <c r="D1409" s="91">
        <v>65518000</v>
      </c>
      <c r="E1409" s="76">
        <v>2564470</v>
      </c>
      <c r="F1409" s="77" t="s">
        <v>10170</v>
      </c>
      <c r="G1409" s="22"/>
      <c r="H1409" s="22"/>
    </row>
    <row r="1410" spans="1:8" ht="13.35" customHeight="1">
      <c r="A1410" s="82">
        <v>1</v>
      </c>
      <c r="B1410" s="83" t="s">
        <v>3408</v>
      </c>
      <c r="C1410" s="67" t="s">
        <v>3409</v>
      </c>
      <c r="D1410" s="91">
        <v>65545400</v>
      </c>
      <c r="E1410" s="76">
        <v>2565543</v>
      </c>
      <c r="F1410" s="77" t="s">
        <v>10170</v>
      </c>
      <c r="G1410" s="22"/>
      <c r="H1410" s="22"/>
    </row>
    <row r="1411" spans="1:8" ht="13.35" customHeight="1">
      <c r="A1411" s="82">
        <v>1</v>
      </c>
      <c r="B1411" s="83" t="s">
        <v>3410</v>
      </c>
      <c r="C1411" s="67" t="s">
        <v>3411</v>
      </c>
      <c r="D1411" s="91">
        <v>65545400</v>
      </c>
      <c r="E1411" s="76">
        <v>2565543</v>
      </c>
      <c r="F1411" s="77" t="s">
        <v>10170</v>
      </c>
      <c r="G1411" s="22"/>
      <c r="H1411" s="22"/>
    </row>
    <row r="1412" spans="1:8" ht="13.35" customHeight="1">
      <c r="A1412" s="82">
        <v>1</v>
      </c>
      <c r="B1412" s="83" t="s">
        <v>3402</v>
      </c>
      <c r="C1412" s="67" t="s">
        <v>3403</v>
      </c>
      <c r="D1412" s="91">
        <v>62530000</v>
      </c>
      <c r="E1412" s="76">
        <v>2447513</v>
      </c>
      <c r="F1412" s="77" t="s">
        <v>10170</v>
      </c>
      <c r="G1412" s="22"/>
      <c r="H1412" s="22"/>
    </row>
    <row r="1413" spans="1:8" ht="13.35" customHeight="1">
      <c r="A1413" s="82">
        <v>1</v>
      </c>
      <c r="B1413" s="83" t="s">
        <v>3392</v>
      </c>
      <c r="C1413" s="67" t="s">
        <v>3393</v>
      </c>
      <c r="D1413" s="91">
        <v>49138500</v>
      </c>
      <c r="E1413" s="76">
        <v>1923352.5</v>
      </c>
      <c r="F1413" s="77" t="s">
        <v>10170</v>
      </c>
      <c r="G1413" s="22"/>
      <c r="H1413" s="22"/>
    </row>
    <row r="1414" spans="1:8" ht="13.35" customHeight="1">
      <c r="A1414" s="82">
        <v>1</v>
      </c>
      <c r="B1414" s="83" t="s">
        <v>3394</v>
      </c>
      <c r="C1414" s="67" t="s">
        <v>3395</v>
      </c>
      <c r="D1414" s="91">
        <v>49111100</v>
      </c>
      <c r="E1414" s="76">
        <v>1922279.5</v>
      </c>
      <c r="F1414" s="77" t="s">
        <v>10170</v>
      </c>
      <c r="G1414" s="22"/>
      <c r="H1414" s="22"/>
    </row>
    <row r="1415" spans="1:8" ht="13.35" customHeight="1">
      <c r="A1415" s="82">
        <v>1</v>
      </c>
      <c r="B1415" s="83" t="s">
        <v>3396</v>
      </c>
      <c r="C1415" s="67" t="s">
        <v>3397</v>
      </c>
      <c r="D1415" s="91">
        <v>49138500</v>
      </c>
      <c r="E1415" s="76">
        <v>1923352.5</v>
      </c>
      <c r="F1415" s="77" t="s">
        <v>10170</v>
      </c>
      <c r="G1415" s="22"/>
      <c r="H1415" s="22"/>
    </row>
    <row r="1416" spans="1:8" ht="13.35" customHeight="1">
      <c r="A1416" s="82">
        <v>1</v>
      </c>
      <c r="B1416" s="83" t="s">
        <v>3398</v>
      </c>
      <c r="C1416" s="67" t="s">
        <v>3399</v>
      </c>
      <c r="D1416" s="91">
        <v>49138500</v>
      </c>
      <c r="E1416" s="76">
        <v>1923352.5</v>
      </c>
      <c r="F1416" s="77" t="s">
        <v>10170</v>
      </c>
      <c r="G1416" s="22"/>
      <c r="H1416" s="22"/>
    </row>
    <row r="1417" spans="1:8" ht="13.35" customHeight="1">
      <c r="A1417" s="82">
        <v>1</v>
      </c>
      <c r="B1417" s="83" t="s">
        <v>3388</v>
      </c>
      <c r="C1417" s="67" t="s">
        <v>3389</v>
      </c>
      <c r="D1417" s="91">
        <v>49152200</v>
      </c>
      <c r="E1417" s="76">
        <v>1923889</v>
      </c>
      <c r="F1417" s="77" t="s">
        <v>10170</v>
      </c>
      <c r="G1417" s="22"/>
      <c r="H1417" s="22"/>
    </row>
    <row r="1418" spans="1:8" ht="13.35" customHeight="1">
      <c r="A1418" s="82">
        <v>1</v>
      </c>
      <c r="B1418" s="83" t="s">
        <v>3390</v>
      </c>
      <c r="C1418" s="67" t="s">
        <v>3391</v>
      </c>
      <c r="D1418" s="91">
        <v>46123000</v>
      </c>
      <c r="E1418" s="76">
        <v>1805322.5</v>
      </c>
      <c r="F1418" s="77" t="s">
        <v>10170</v>
      </c>
      <c r="G1418" s="22"/>
      <c r="H1418" s="22"/>
    </row>
    <row r="1419" spans="1:8" ht="13.35" customHeight="1">
      <c r="A1419" s="82">
        <v>1</v>
      </c>
      <c r="B1419" s="83" t="s">
        <v>6799</v>
      </c>
      <c r="C1419" s="67" t="s">
        <v>7494</v>
      </c>
      <c r="D1419" s="91">
        <v>274065500</v>
      </c>
      <c r="E1419" s="76">
        <v>10727317.5</v>
      </c>
      <c r="F1419" s="77" t="s">
        <v>10170</v>
      </c>
      <c r="G1419" s="22"/>
      <c r="H1419" s="22"/>
    </row>
    <row r="1420" spans="1:8" ht="13.35" customHeight="1">
      <c r="A1420" s="82">
        <v>1</v>
      </c>
      <c r="B1420" s="83" t="s">
        <v>6800</v>
      </c>
      <c r="C1420" s="67" t="s">
        <v>7495</v>
      </c>
      <c r="D1420" s="91">
        <v>191825300</v>
      </c>
      <c r="E1420" s="76">
        <v>7508317.4999999991</v>
      </c>
      <c r="F1420" s="77" t="s">
        <v>10170</v>
      </c>
      <c r="G1420" s="22"/>
      <c r="H1420" s="22"/>
    </row>
    <row r="1421" spans="1:8" ht="13.35" customHeight="1">
      <c r="A1421" s="82">
        <v>1</v>
      </c>
      <c r="B1421" s="83" t="s">
        <v>5516</v>
      </c>
      <c r="C1421" s="67" t="s">
        <v>7496</v>
      </c>
      <c r="D1421" s="91">
        <v>47904900</v>
      </c>
      <c r="E1421" s="76">
        <v>1875067.5000000002</v>
      </c>
      <c r="F1421" s="77" t="s">
        <v>10170</v>
      </c>
      <c r="G1421" s="22"/>
      <c r="H1421" s="22"/>
    </row>
    <row r="1422" spans="1:8" ht="13.35" customHeight="1">
      <c r="A1422" s="82">
        <v>1</v>
      </c>
      <c r="B1422" s="83" t="s">
        <v>3243</v>
      </c>
      <c r="C1422" s="67" t="s">
        <v>7497</v>
      </c>
      <c r="D1422" s="91">
        <v>198678600</v>
      </c>
      <c r="E1422" s="76">
        <v>7776567.4999999991</v>
      </c>
      <c r="F1422" s="77" t="s">
        <v>10170</v>
      </c>
      <c r="G1422" s="22"/>
      <c r="H1422" s="22"/>
    </row>
    <row r="1423" spans="1:8" ht="13.35" customHeight="1">
      <c r="A1423" s="82">
        <v>1</v>
      </c>
      <c r="B1423" s="83" t="s">
        <v>3244</v>
      </c>
      <c r="C1423" s="67" t="s">
        <v>3245</v>
      </c>
      <c r="D1423" s="91">
        <v>198678600</v>
      </c>
      <c r="E1423" s="76">
        <v>7776567.4999999991</v>
      </c>
      <c r="F1423" s="77" t="s">
        <v>10170</v>
      </c>
      <c r="G1423" s="22"/>
      <c r="H1423" s="22"/>
    </row>
    <row r="1424" spans="1:8" ht="13.35" customHeight="1">
      <c r="A1424" s="82">
        <v>1</v>
      </c>
      <c r="B1424" s="83" t="s">
        <v>3246</v>
      </c>
      <c r="C1424" s="67" t="s">
        <v>3247</v>
      </c>
      <c r="D1424" s="91">
        <v>198678600</v>
      </c>
      <c r="E1424" s="76">
        <v>7776567.4999999991</v>
      </c>
      <c r="F1424" s="77" t="s">
        <v>10170</v>
      </c>
      <c r="G1424" s="22"/>
      <c r="H1424" s="22"/>
    </row>
    <row r="1425" spans="1:8" ht="13.35" customHeight="1">
      <c r="A1425" s="82">
        <v>1</v>
      </c>
      <c r="B1425" s="83" t="s">
        <v>3248</v>
      </c>
      <c r="C1425" s="67" t="s">
        <v>3249</v>
      </c>
      <c r="D1425" s="91">
        <v>198678600</v>
      </c>
      <c r="E1425" s="76">
        <v>7776567.4999999991</v>
      </c>
      <c r="F1425" s="77" t="s">
        <v>10170</v>
      </c>
      <c r="G1425" s="22"/>
      <c r="H1425" s="22"/>
    </row>
    <row r="1426" spans="1:8" ht="13.35" customHeight="1">
      <c r="A1426" s="82">
        <v>1</v>
      </c>
      <c r="B1426" s="83" t="s">
        <v>3250</v>
      </c>
      <c r="C1426" s="67" t="s">
        <v>3251</v>
      </c>
      <c r="D1426" s="91">
        <v>198678600</v>
      </c>
      <c r="E1426" s="76">
        <v>7776567.4999999991</v>
      </c>
      <c r="F1426" s="77" t="s">
        <v>10170</v>
      </c>
      <c r="G1426" s="22"/>
      <c r="H1426" s="22"/>
    </row>
    <row r="1427" spans="1:8" ht="13.35" customHeight="1">
      <c r="A1427" s="82">
        <v>1</v>
      </c>
      <c r="B1427" s="83" t="s">
        <v>3221</v>
      </c>
      <c r="C1427" s="67" t="s">
        <v>7497</v>
      </c>
      <c r="D1427" s="91">
        <v>198678600</v>
      </c>
      <c r="E1427" s="76">
        <v>7776567.4999999991</v>
      </c>
      <c r="F1427" s="77" t="s">
        <v>10170</v>
      </c>
      <c r="G1427" s="22"/>
      <c r="H1427" s="22"/>
    </row>
    <row r="1428" spans="1:8" ht="13.35" customHeight="1">
      <c r="A1428" s="82">
        <v>1</v>
      </c>
      <c r="B1428" s="83" t="s">
        <v>3252</v>
      </c>
      <c r="C1428" s="67" t="s">
        <v>3253</v>
      </c>
      <c r="D1428" s="91">
        <v>184971900</v>
      </c>
      <c r="E1428" s="76">
        <v>7240067.4999999991</v>
      </c>
      <c r="F1428" s="77" t="s">
        <v>10170</v>
      </c>
      <c r="G1428" s="22"/>
      <c r="H1428" s="22"/>
    </row>
    <row r="1429" spans="1:8" ht="13.35" customHeight="1">
      <c r="A1429" s="82">
        <v>1</v>
      </c>
      <c r="B1429" s="83" t="s">
        <v>3254</v>
      </c>
      <c r="C1429" s="67" t="s">
        <v>3255</v>
      </c>
      <c r="D1429" s="91">
        <v>184971900</v>
      </c>
      <c r="E1429" s="76">
        <v>7240067.4999999991</v>
      </c>
      <c r="F1429" s="77" t="s">
        <v>10170</v>
      </c>
      <c r="G1429" s="22"/>
      <c r="H1429" s="22"/>
    </row>
    <row r="1430" spans="1:8" ht="13.35" customHeight="1">
      <c r="A1430" s="82">
        <v>1</v>
      </c>
      <c r="B1430" s="83" t="s">
        <v>3256</v>
      </c>
      <c r="C1430" s="67" t="s">
        <v>3257</v>
      </c>
      <c r="D1430" s="91">
        <v>184971900</v>
      </c>
      <c r="E1430" s="76">
        <v>7240067.4999999991</v>
      </c>
      <c r="F1430" s="77" t="s">
        <v>10170</v>
      </c>
      <c r="G1430" s="22"/>
      <c r="H1430" s="22"/>
    </row>
    <row r="1431" spans="1:8" ht="13.35" customHeight="1">
      <c r="A1431" s="82">
        <v>1</v>
      </c>
      <c r="B1431" s="83" t="s">
        <v>3258</v>
      </c>
      <c r="C1431" s="67" t="s">
        <v>3259</v>
      </c>
      <c r="D1431" s="91">
        <v>184971900</v>
      </c>
      <c r="E1431" s="76">
        <v>7240067.4999999991</v>
      </c>
      <c r="F1431" s="77" t="s">
        <v>10170</v>
      </c>
      <c r="G1431" s="22"/>
      <c r="H1431" s="22"/>
    </row>
    <row r="1432" spans="1:8" ht="13.35" customHeight="1">
      <c r="A1432" s="82">
        <v>1</v>
      </c>
      <c r="B1432" s="83" t="s">
        <v>3260</v>
      </c>
      <c r="C1432" s="67" t="s">
        <v>3261</v>
      </c>
      <c r="D1432" s="91">
        <v>184971900</v>
      </c>
      <c r="E1432" s="76">
        <v>7240067.4999999991</v>
      </c>
      <c r="F1432" s="77" t="s">
        <v>10170</v>
      </c>
      <c r="G1432" s="22"/>
      <c r="H1432" s="22"/>
    </row>
    <row r="1433" spans="1:8" ht="13.35" customHeight="1">
      <c r="A1433" s="82">
        <v>1</v>
      </c>
      <c r="B1433" s="83" t="s">
        <v>3219</v>
      </c>
      <c r="C1433" s="67" t="s">
        <v>3428</v>
      </c>
      <c r="D1433" s="91">
        <v>184971900</v>
      </c>
      <c r="E1433" s="76">
        <v>7240067.4999999991</v>
      </c>
      <c r="F1433" s="77" t="s">
        <v>10170</v>
      </c>
      <c r="G1433" s="22"/>
      <c r="H1433" s="22"/>
    </row>
    <row r="1434" spans="1:8" ht="13.35" customHeight="1">
      <c r="A1434" s="82">
        <v>1</v>
      </c>
      <c r="B1434" s="83" t="s">
        <v>3223</v>
      </c>
      <c r="C1434" s="67" t="s">
        <v>3430</v>
      </c>
      <c r="D1434" s="91">
        <v>167495900</v>
      </c>
      <c r="E1434" s="76">
        <v>6556029.9999999991</v>
      </c>
      <c r="F1434" s="77" t="s">
        <v>10170</v>
      </c>
      <c r="G1434" s="22"/>
      <c r="H1434" s="22"/>
    </row>
    <row r="1435" spans="1:8" ht="13.35" customHeight="1">
      <c r="A1435" s="82">
        <v>1</v>
      </c>
      <c r="B1435" s="83" t="s">
        <v>4449</v>
      </c>
      <c r="C1435" s="67" t="s">
        <v>4450</v>
      </c>
      <c r="D1435" s="91">
        <v>198678600</v>
      </c>
      <c r="E1435" s="76">
        <v>7776567.4999999991</v>
      </c>
      <c r="F1435" s="77" t="s">
        <v>10170</v>
      </c>
      <c r="G1435" s="22"/>
      <c r="H1435" s="22"/>
    </row>
    <row r="1436" spans="1:8" ht="13.35" customHeight="1">
      <c r="A1436" s="82">
        <v>1</v>
      </c>
      <c r="B1436" s="83" t="s">
        <v>4451</v>
      </c>
      <c r="C1436" s="67" t="s">
        <v>4452</v>
      </c>
      <c r="D1436" s="91">
        <v>198678600</v>
      </c>
      <c r="E1436" s="76">
        <v>7776567.4999999991</v>
      </c>
      <c r="F1436" s="77" t="s">
        <v>10170</v>
      </c>
      <c r="G1436" s="22"/>
      <c r="H1436" s="22"/>
    </row>
    <row r="1437" spans="1:8" ht="13.35" customHeight="1">
      <c r="A1437" s="82">
        <v>1</v>
      </c>
      <c r="B1437" s="83" t="s">
        <v>4453</v>
      </c>
      <c r="C1437" s="67" t="s">
        <v>4454</v>
      </c>
      <c r="D1437" s="91">
        <v>198678600</v>
      </c>
      <c r="E1437" s="76">
        <v>7776567.4999999991</v>
      </c>
      <c r="F1437" s="77" t="s">
        <v>10170</v>
      </c>
      <c r="G1437" s="22"/>
      <c r="H1437" s="22"/>
    </row>
    <row r="1438" spans="1:8" ht="13.35" customHeight="1">
      <c r="A1438" s="82">
        <v>1</v>
      </c>
      <c r="B1438" s="83" t="s">
        <v>4455</v>
      </c>
      <c r="C1438" s="67" t="s">
        <v>4456</v>
      </c>
      <c r="D1438" s="91">
        <v>198678600</v>
      </c>
      <c r="E1438" s="76">
        <v>7776567.4999999991</v>
      </c>
      <c r="F1438" s="77" t="s">
        <v>10170</v>
      </c>
      <c r="G1438" s="22"/>
      <c r="H1438" s="22"/>
    </row>
    <row r="1439" spans="1:8" ht="13.35" customHeight="1">
      <c r="A1439" s="82">
        <v>1</v>
      </c>
      <c r="B1439" s="83" t="s">
        <v>4457</v>
      </c>
      <c r="C1439" s="67" t="s">
        <v>4458</v>
      </c>
      <c r="D1439" s="91">
        <v>198678600</v>
      </c>
      <c r="E1439" s="76">
        <v>7776567.4999999991</v>
      </c>
      <c r="F1439" s="77" t="s">
        <v>10170</v>
      </c>
      <c r="G1439" s="22"/>
      <c r="H1439" s="22"/>
    </row>
    <row r="1440" spans="1:8" ht="13.35" customHeight="1">
      <c r="A1440" s="82">
        <v>1</v>
      </c>
      <c r="B1440" s="83" t="s">
        <v>4447</v>
      </c>
      <c r="C1440" s="67" t="s">
        <v>4448</v>
      </c>
      <c r="D1440" s="91">
        <v>198678600</v>
      </c>
      <c r="E1440" s="76">
        <v>7776567.4999999991</v>
      </c>
      <c r="F1440" s="77" t="s">
        <v>10170</v>
      </c>
      <c r="G1440" s="22"/>
      <c r="H1440" s="22"/>
    </row>
    <row r="1441" spans="1:8" ht="13.35" customHeight="1">
      <c r="A1441" s="82">
        <v>1</v>
      </c>
      <c r="B1441" s="83" t="s">
        <v>4460</v>
      </c>
      <c r="C1441" s="67" t="s">
        <v>5419</v>
      </c>
      <c r="D1441" s="91">
        <v>184971900</v>
      </c>
      <c r="E1441" s="76">
        <v>7240067.4999999991</v>
      </c>
      <c r="F1441" s="77" t="s">
        <v>10170</v>
      </c>
      <c r="G1441" s="22"/>
      <c r="H1441" s="22"/>
    </row>
    <row r="1442" spans="1:8" ht="13.35" customHeight="1">
      <c r="A1442" s="82">
        <v>1</v>
      </c>
      <c r="B1442" s="83" t="s">
        <v>4461</v>
      </c>
      <c r="C1442" s="67" t="s">
        <v>5420</v>
      </c>
      <c r="D1442" s="91">
        <v>184971900</v>
      </c>
      <c r="E1442" s="76">
        <v>7240067.4999999991</v>
      </c>
      <c r="F1442" s="77" t="s">
        <v>10170</v>
      </c>
      <c r="G1442" s="22"/>
      <c r="H1442" s="22"/>
    </row>
    <row r="1443" spans="1:8" ht="13.35" customHeight="1">
      <c r="A1443" s="82">
        <v>1</v>
      </c>
      <c r="B1443" s="83" t="s">
        <v>4462</v>
      </c>
      <c r="C1443" s="67" t="s">
        <v>5421</v>
      </c>
      <c r="D1443" s="91">
        <v>184971900</v>
      </c>
      <c r="E1443" s="76">
        <v>7240067.4999999991</v>
      </c>
      <c r="F1443" s="77" t="s">
        <v>10170</v>
      </c>
      <c r="G1443" s="22"/>
      <c r="H1443" s="22"/>
    </row>
    <row r="1444" spans="1:8" ht="13.35" customHeight="1">
      <c r="A1444" s="82">
        <v>1</v>
      </c>
      <c r="B1444" s="83" t="s">
        <v>4463</v>
      </c>
      <c r="C1444" s="67" t="s">
        <v>5422</v>
      </c>
      <c r="D1444" s="91">
        <v>184971900</v>
      </c>
      <c r="E1444" s="76">
        <v>7240067.4999999991</v>
      </c>
      <c r="F1444" s="77" t="s">
        <v>10170</v>
      </c>
      <c r="G1444" s="22"/>
      <c r="H1444" s="22"/>
    </row>
    <row r="1445" spans="1:8" ht="13.35" customHeight="1">
      <c r="A1445" s="82">
        <v>1</v>
      </c>
      <c r="B1445" s="83" t="s">
        <v>4464</v>
      </c>
      <c r="C1445" s="67" t="s">
        <v>5423</v>
      </c>
      <c r="D1445" s="91">
        <v>184971900</v>
      </c>
      <c r="E1445" s="76">
        <v>7240067.4999999991</v>
      </c>
      <c r="F1445" s="77" t="s">
        <v>10170</v>
      </c>
      <c r="G1445" s="22"/>
      <c r="H1445" s="22"/>
    </row>
    <row r="1446" spans="1:8" ht="13.35" customHeight="1">
      <c r="A1446" s="82">
        <v>1</v>
      </c>
      <c r="B1446" s="83" t="s">
        <v>4459</v>
      </c>
      <c r="C1446" s="67" t="s">
        <v>5424</v>
      </c>
      <c r="D1446" s="91">
        <v>184971900</v>
      </c>
      <c r="E1446" s="76">
        <v>7240067.4999999991</v>
      </c>
      <c r="F1446" s="77" t="s">
        <v>10170</v>
      </c>
      <c r="G1446" s="22"/>
      <c r="H1446" s="22"/>
    </row>
    <row r="1447" spans="1:8" ht="13.35" customHeight="1">
      <c r="A1447" s="82">
        <v>1</v>
      </c>
      <c r="B1447" s="83" t="s">
        <v>3224</v>
      </c>
      <c r="C1447" s="67" t="s">
        <v>7498</v>
      </c>
      <c r="D1447" s="91">
        <v>208684500</v>
      </c>
      <c r="E1447" s="76">
        <v>8168212.5</v>
      </c>
      <c r="F1447" s="77" t="s">
        <v>10170</v>
      </c>
      <c r="G1447" s="22"/>
      <c r="H1447" s="22"/>
    </row>
    <row r="1448" spans="1:8" ht="13.35" customHeight="1">
      <c r="A1448" s="82">
        <v>1</v>
      </c>
      <c r="B1448" s="83" t="s">
        <v>3225</v>
      </c>
      <c r="C1448" s="67" t="s">
        <v>3226</v>
      </c>
      <c r="D1448" s="91">
        <v>208684500</v>
      </c>
      <c r="E1448" s="76">
        <v>8168212.5</v>
      </c>
      <c r="F1448" s="77" t="s">
        <v>10170</v>
      </c>
      <c r="G1448" s="22"/>
      <c r="H1448" s="22"/>
    </row>
    <row r="1449" spans="1:8" ht="13.35" customHeight="1">
      <c r="A1449" s="82">
        <v>1</v>
      </c>
      <c r="B1449" s="83" t="s">
        <v>3227</v>
      </c>
      <c r="C1449" s="67" t="s">
        <v>3228</v>
      </c>
      <c r="D1449" s="91">
        <v>208684500</v>
      </c>
      <c r="E1449" s="76">
        <v>8168212.5</v>
      </c>
      <c r="F1449" s="77" t="s">
        <v>10170</v>
      </c>
      <c r="G1449" s="22"/>
      <c r="H1449" s="22"/>
    </row>
    <row r="1450" spans="1:8" ht="13.35" customHeight="1">
      <c r="A1450" s="82">
        <v>1</v>
      </c>
      <c r="B1450" s="83" t="s">
        <v>3229</v>
      </c>
      <c r="C1450" s="67" t="s">
        <v>3230</v>
      </c>
      <c r="D1450" s="91">
        <v>208684500</v>
      </c>
      <c r="E1450" s="76">
        <v>8168212.5</v>
      </c>
      <c r="F1450" s="77" t="s">
        <v>10170</v>
      </c>
      <c r="G1450" s="22"/>
      <c r="H1450" s="22"/>
    </row>
    <row r="1451" spans="1:8" ht="13.35" customHeight="1">
      <c r="A1451" s="82">
        <v>1</v>
      </c>
      <c r="B1451" s="83" t="s">
        <v>3231</v>
      </c>
      <c r="C1451" s="67" t="s">
        <v>3232</v>
      </c>
      <c r="D1451" s="91">
        <v>208684500</v>
      </c>
      <c r="E1451" s="76">
        <v>8168212.5</v>
      </c>
      <c r="F1451" s="77" t="s">
        <v>10170</v>
      </c>
      <c r="G1451" s="22"/>
      <c r="H1451" s="22"/>
    </row>
    <row r="1452" spans="1:8" ht="13.35" customHeight="1">
      <c r="A1452" s="82">
        <v>1</v>
      </c>
      <c r="B1452" s="83" t="s">
        <v>3220</v>
      </c>
      <c r="C1452" s="67" t="s">
        <v>7498</v>
      </c>
      <c r="D1452" s="91">
        <v>208753000</v>
      </c>
      <c r="E1452" s="76">
        <v>8170895.0000000009</v>
      </c>
      <c r="F1452" s="77" t="s">
        <v>10170</v>
      </c>
      <c r="G1452" s="22"/>
      <c r="H1452" s="22"/>
    </row>
    <row r="1453" spans="1:8" ht="13.35" customHeight="1">
      <c r="A1453" s="82">
        <v>1</v>
      </c>
      <c r="B1453" s="83" t="s">
        <v>3233</v>
      </c>
      <c r="C1453" s="67" t="s">
        <v>3234</v>
      </c>
      <c r="D1453" s="91">
        <v>190166800</v>
      </c>
      <c r="E1453" s="76">
        <v>7443401</v>
      </c>
      <c r="F1453" s="77" t="s">
        <v>10170</v>
      </c>
      <c r="G1453" s="22"/>
      <c r="H1453" s="22"/>
    </row>
    <row r="1454" spans="1:8" ht="13.35" customHeight="1">
      <c r="A1454" s="82">
        <v>1</v>
      </c>
      <c r="B1454" s="83" t="s">
        <v>3235</v>
      </c>
      <c r="C1454" s="67" t="s">
        <v>3236</v>
      </c>
      <c r="D1454" s="91">
        <v>190166800</v>
      </c>
      <c r="E1454" s="76">
        <v>7443401</v>
      </c>
      <c r="F1454" s="77" t="s">
        <v>10170</v>
      </c>
      <c r="G1454" s="22"/>
      <c r="H1454" s="22"/>
    </row>
    <row r="1455" spans="1:8" ht="13.35" customHeight="1">
      <c r="A1455" s="82">
        <v>1</v>
      </c>
      <c r="B1455" s="83" t="s">
        <v>3237</v>
      </c>
      <c r="C1455" s="67" t="s">
        <v>3238</v>
      </c>
      <c r="D1455" s="91">
        <v>190166800</v>
      </c>
      <c r="E1455" s="76">
        <v>7443401</v>
      </c>
      <c r="F1455" s="77" t="s">
        <v>10170</v>
      </c>
      <c r="G1455" s="22"/>
      <c r="H1455" s="22"/>
    </row>
    <row r="1456" spans="1:8" ht="13.35" customHeight="1">
      <c r="A1456" s="82">
        <v>1</v>
      </c>
      <c r="B1456" s="83" t="s">
        <v>3239</v>
      </c>
      <c r="C1456" s="67" t="s">
        <v>3240</v>
      </c>
      <c r="D1456" s="91">
        <v>190166800</v>
      </c>
      <c r="E1456" s="76">
        <v>7443401</v>
      </c>
      <c r="F1456" s="77" t="s">
        <v>10170</v>
      </c>
      <c r="G1456" s="22"/>
      <c r="H1456" s="22"/>
    </row>
    <row r="1457" spans="1:8" ht="13.35" customHeight="1">
      <c r="A1457" s="82">
        <v>1</v>
      </c>
      <c r="B1457" s="83" t="s">
        <v>3241</v>
      </c>
      <c r="C1457" s="67" t="s">
        <v>3242</v>
      </c>
      <c r="D1457" s="91">
        <v>190166800</v>
      </c>
      <c r="E1457" s="76">
        <v>7443401</v>
      </c>
      <c r="F1457" s="77" t="s">
        <v>10170</v>
      </c>
      <c r="G1457" s="22"/>
      <c r="H1457" s="22"/>
    </row>
    <row r="1458" spans="1:8" ht="13.35" customHeight="1">
      <c r="A1458" s="82">
        <v>1</v>
      </c>
      <c r="B1458" s="83" t="s">
        <v>3218</v>
      </c>
      <c r="C1458" s="67" t="s">
        <v>3427</v>
      </c>
      <c r="D1458" s="91">
        <v>190194200</v>
      </c>
      <c r="E1458" s="76">
        <v>7444474</v>
      </c>
      <c r="F1458" s="77" t="s">
        <v>10170</v>
      </c>
      <c r="G1458" s="22"/>
      <c r="H1458" s="22"/>
    </row>
    <row r="1459" spans="1:8" ht="13.35" customHeight="1">
      <c r="A1459" s="82">
        <v>1</v>
      </c>
      <c r="B1459" s="83" t="s">
        <v>3222</v>
      </c>
      <c r="C1459" s="67" t="s">
        <v>3429</v>
      </c>
      <c r="D1459" s="91">
        <v>169031000</v>
      </c>
      <c r="E1459" s="76">
        <v>6616118</v>
      </c>
      <c r="F1459" s="77" t="s">
        <v>10170</v>
      </c>
      <c r="G1459" s="22"/>
      <c r="H1459" s="22"/>
    </row>
    <row r="1460" spans="1:8" ht="13.35" customHeight="1">
      <c r="A1460" s="82">
        <v>1</v>
      </c>
      <c r="B1460" s="67" t="s">
        <v>6123</v>
      </c>
      <c r="C1460" s="67" t="s">
        <v>6124</v>
      </c>
      <c r="D1460" s="91">
        <v>180846200</v>
      </c>
      <c r="E1460" s="76">
        <v>7078581</v>
      </c>
      <c r="F1460" s="77" t="s">
        <v>10170</v>
      </c>
      <c r="G1460" s="22"/>
      <c r="H1460" s="22"/>
    </row>
    <row r="1461" spans="1:8" ht="13.35" customHeight="1">
      <c r="A1461" s="82">
        <v>1</v>
      </c>
      <c r="B1461" s="67" t="s">
        <v>6125</v>
      </c>
      <c r="C1461" s="67" t="s">
        <v>6126</v>
      </c>
      <c r="D1461" s="91">
        <v>156242700</v>
      </c>
      <c r="E1461" s="76">
        <v>6115563.5</v>
      </c>
      <c r="F1461" s="77" t="s">
        <v>10170</v>
      </c>
      <c r="G1461" s="22"/>
      <c r="H1461" s="22"/>
    </row>
    <row r="1462" spans="1:8" ht="13.35" customHeight="1">
      <c r="A1462" s="82">
        <v>1</v>
      </c>
      <c r="B1462" s="67" t="s">
        <v>6127</v>
      </c>
      <c r="C1462" s="67" t="s">
        <v>6128</v>
      </c>
      <c r="D1462" s="91">
        <v>152898200</v>
      </c>
      <c r="E1462" s="76">
        <v>5984657.5000000009</v>
      </c>
      <c r="F1462" s="77" t="s">
        <v>10170</v>
      </c>
      <c r="G1462" s="22"/>
      <c r="H1462" s="22"/>
    </row>
    <row r="1463" spans="1:8" ht="13.35" customHeight="1">
      <c r="A1463" s="82">
        <v>1</v>
      </c>
      <c r="B1463" s="67" t="s">
        <v>6129</v>
      </c>
      <c r="C1463" s="67" t="s">
        <v>6130</v>
      </c>
      <c r="D1463" s="91">
        <v>142960900</v>
      </c>
      <c r="E1463" s="76">
        <v>5595695</v>
      </c>
      <c r="F1463" s="77" t="s">
        <v>10170</v>
      </c>
      <c r="G1463" s="22"/>
      <c r="H1463" s="22"/>
    </row>
    <row r="1464" spans="1:8" ht="13.35" customHeight="1">
      <c r="A1464" s="82">
        <v>1</v>
      </c>
      <c r="B1464" s="67" t="s">
        <v>6131</v>
      </c>
      <c r="C1464" s="67" t="s">
        <v>6132</v>
      </c>
      <c r="D1464" s="91">
        <v>140493700</v>
      </c>
      <c r="E1464" s="76">
        <v>5499125</v>
      </c>
      <c r="F1464" s="77" t="s">
        <v>10170</v>
      </c>
      <c r="G1464" s="22"/>
      <c r="H1464" s="22"/>
    </row>
    <row r="1465" spans="1:8" ht="13.35" customHeight="1">
      <c r="A1465" s="82">
        <v>1</v>
      </c>
      <c r="B1465" s="67" t="s">
        <v>6133</v>
      </c>
      <c r="C1465" s="67" t="s">
        <v>6134</v>
      </c>
      <c r="D1465" s="91">
        <v>123291800</v>
      </c>
      <c r="E1465" s="76">
        <v>4825817.5</v>
      </c>
      <c r="F1465" s="77" t="s">
        <v>10170</v>
      </c>
      <c r="G1465" s="22"/>
      <c r="H1465" s="22"/>
    </row>
    <row r="1466" spans="1:8" ht="13.35" customHeight="1">
      <c r="A1466" s="82">
        <v>1</v>
      </c>
      <c r="B1466" s="83" t="s">
        <v>1453</v>
      </c>
      <c r="C1466" s="67" t="s">
        <v>1454</v>
      </c>
      <c r="D1466" s="91">
        <v>162424400</v>
      </c>
      <c r="E1466" s="76">
        <v>6357525</v>
      </c>
      <c r="F1466" s="77" t="s">
        <v>10170</v>
      </c>
      <c r="G1466" s="22"/>
      <c r="H1466" s="22"/>
    </row>
    <row r="1467" spans="1:8" ht="13.35" customHeight="1">
      <c r="A1467" s="82">
        <v>1</v>
      </c>
      <c r="B1467" s="83" t="s">
        <v>1447</v>
      </c>
      <c r="C1467" s="67" t="s">
        <v>1448</v>
      </c>
      <c r="D1467" s="91">
        <v>162424400</v>
      </c>
      <c r="E1467" s="76">
        <v>6357525</v>
      </c>
      <c r="F1467" s="77" t="s">
        <v>10170</v>
      </c>
      <c r="G1467" s="22"/>
      <c r="H1467" s="22"/>
    </row>
    <row r="1468" spans="1:8" ht="13.35" customHeight="1">
      <c r="A1468" s="82">
        <v>1</v>
      </c>
      <c r="B1468" s="83" t="s">
        <v>1459</v>
      </c>
      <c r="C1468" s="67" t="s">
        <v>1460</v>
      </c>
      <c r="D1468" s="91">
        <v>162424400</v>
      </c>
      <c r="E1468" s="76">
        <v>6357525</v>
      </c>
      <c r="F1468" s="77" t="s">
        <v>10170</v>
      </c>
      <c r="G1468" s="22"/>
      <c r="H1468" s="22"/>
    </row>
    <row r="1469" spans="1:8" ht="13.35" customHeight="1">
      <c r="A1469" s="82">
        <v>1</v>
      </c>
      <c r="B1469" s="83" t="s">
        <v>1435</v>
      </c>
      <c r="C1469" s="67" t="s">
        <v>1436</v>
      </c>
      <c r="D1469" s="91">
        <v>162424400</v>
      </c>
      <c r="E1469" s="76">
        <v>6357525</v>
      </c>
      <c r="F1469" s="77" t="s">
        <v>10170</v>
      </c>
      <c r="G1469" s="22"/>
      <c r="H1469" s="22"/>
    </row>
    <row r="1470" spans="1:8" ht="13.35" customHeight="1">
      <c r="A1470" s="82">
        <v>1</v>
      </c>
      <c r="B1470" s="83" t="s">
        <v>1441</v>
      </c>
      <c r="C1470" s="67" t="s">
        <v>1442</v>
      </c>
      <c r="D1470" s="91">
        <v>162424400</v>
      </c>
      <c r="E1470" s="76">
        <v>6357525</v>
      </c>
      <c r="F1470" s="77" t="s">
        <v>10170</v>
      </c>
      <c r="G1470" s="22"/>
      <c r="H1470" s="22"/>
    </row>
    <row r="1471" spans="1:8" ht="13.35" customHeight="1">
      <c r="A1471" s="82">
        <v>1</v>
      </c>
      <c r="B1471" s="83" t="s">
        <v>1429</v>
      </c>
      <c r="C1471" s="67" t="s">
        <v>1430</v>
      </c>
      <c r="D1471" s="91">
        <v>162492900</v>
      </c>
      <c r="E1471" s="76">
        <v>6360207.5000000009</v>
      </c>
      <c r="F1471" s="77" t="s">
        <v>10170</v>
      </c>
      <c r="G1471" s="22"/>
      <c r="H1471" s="22"/>
    </row>
    <row r="1472" spans="1:8" ht="13.35" customHeight="1">
      <c r="A1472" s="82">
        <v>1</v>
      </c>
      <c r="B1472" s="83" t="s">
        <v>1658</v>
      </c>
      <c r="C1472" s="67" t="s">
        <v>1659</v>
      </c>
      <c r="D1472" s="91">
        <v>150595500</v>
      </c>
      <c r="E1472" s="76">
        <v>5894525.5</v>
      </c>
      <c r="F1472" s="77" t="s">
        <v>10170</v>
      </c>
      <c r="G1472" s="22"/>
      <c r="H1472" s="22"/>
    </row>
    <row r="1473" spans="1:8" ht="13.35" customHeight="1">
      <c r="A1473" s="82">
        <v>1</v>
      </c>
      <c r="B1473" s="83" t="s">
        <v>1317</v>
      </c>
      <c r="C1473" s="67" t="s">
        <v>1318</v>
      </c>
      <c r="D1473" s="91">
        <v>150595500</v>
      </c>
      <c r="E1473" s="76">
        <v>5894525.5</v>
      </c>
      <c r="F1473" s="77" t="s">
        <v>10170</v>
      </c>
      <c r="G1473" s="22"/>
      <c r="H1473" s="22"/>
    </row>
    <row r="1474" spans="1:8" ht="13.35" customHeight="1">
      <c r="A1474" s="82">
        <v>1</v>
      </c>
      <c r="B1474" s="83" t="s">
        <v>1322</v>
      </c>
      <c r="C1474" s="67" t="s">
        <v>1323</v>
      </c>
      <c r="D1474" s="91">
        <v>150595500</v>
      </c>
      <c r="E1474" s="76">
        <v>5894525.5</v>
      </c>
      <c r="F1474" s="77" t="s">
        <v>10170</v>
      </c>
      <c r="G1474" s="22"/>
      <c r="H1474" s="22"/>
    </row>
    <row r="1475" spans="1:8" ht="13.35" customHeight="1">
      <c r="A1475" s="82">
        <v>1</v>
      </c>
      <c r="B1475" s="83" t="s">
        <v>1307</v>
      </c>
      <c r="C1475" s="67" t="s">
        <v>1308</v>
      </c>
      <c r="D1475" s="91">
        <v>150595500</v>
      </c>
      <c r="E1475" s="76">
        <v>5894525.5</v>
      </c>
      <c r="F1475" s="77" t="s">
        <v>10170</v>
      </c>
      <c r="G1475" s="22"/>
      <c r="H1475" s="22"/>
    </row>
    <row r="1476" spans="1:8" ht="13.35" customHeight="1">
      <c r="A1476" s="82">
        <v>1</v>
      </c>
      <c r="B1476" s="83" t="s">
        <v>1312</v>
      </c>
      <c r="C1476" s="67" t="s">
        <v>1313</v>
      </c>
      <c r="D1476" s="91">
        <v>150595500</v>
      </c>
      <c r="E1476" s="76">
        <v>5894525.5</v>
      </c>
      <c r="F1476" s="77" t="s">
        <v>10170</v>
      </c>
      <c r="G1476" s="22"/>
      <c r="H1476" s="22"/>
    </row>
    <row r="1477" spans="1:8" ht="13.35" customHeight="1">
      <c r="A1477" s="82">
        <v>1</v>
      </c>
      <c r="B1477" s="83" t="s">
        <v>1287</v>
      </c>
      <c r="C1477" s="67" t="s">
        <v>1288</v>
      </c>
      <c r="D1477" s="91">
        <v>150636600</v>
      </c>
      <c r="E1477" s="76">
        <v>5896135</v>
      </c>
      <c r="F1477" s="77" t="s">
        <v>10170</v>
      </c>
      <c r="G1477" s="22"/>
      <c r="H1477" s="22"/>
    </row>
    <row r="1478" spans="1:8" ht="13.35" customHeight="1">
      <c r="A1478" s="82">
        <v>1</v>
      </c>
      <c r="B1478" s="83" t="s">
        <v>1423</v>
      </c>
      <c r="C1478" s="67" t="s">
        <v>1424</v>
      </c>
      <c r="D1478" s="91">
        <v>135573000</v>
      </c>
      <c r="E1478" s="76">
        <v>5306521.5</v>
      </c>
      <c r="F1478" s="77" t="s">
        <v>10170</v>
      </c>
      <c r="G1478" s="22"/>
      <c r="H1478" s="22"/>
    </row>
    <row r="1479" spans="1:8" ht="13.35" customHeight="1">
      <c r="A1479" s="82">
        <v>1</v>
      </c>
      <c r="B1479" s="83" t="s">
        <v>1516</v>
      </c>
      <c r="C1479" s="67" t="s">
        <v>1517</v>
      </c>
      <c r="D1479" s="91">
        <v>138533600</v>
      </c>
      <c r="E1479" s="76">
        <v>5422405.5</v>
      </c>
      <c r="F1479" s="77" t="s">
        <v>10170</v>
      </c>
      <c r="G1479" s="22"/>
      <c r="H1479" s="22"/>
    </row>
    <row r="1480" spans="1:8" ht="13.35" customHeight="1">
      <c r="A1480" s="82">
        <v>1</v>
      </c>
      <c r="B1480" s="83" t="s">
        <v>1514</v>
      </c>
      <c r="C1480" s="67" t="s">
        <v>1515</v>
      </c>
      <c r="D1480" s="91">
        <v>138533600</v>
      </c>
      <c r="E1480" s="76">
        <v>5422405.5</v>
      </c>
      <c r="F1480" s="77" t="s">
        <v>10170</v>
      </c>
      <c r="G1480" s="22"/>
      <c r="H1480" s="22"/>
    </row>
    <row r="1481" spans="1:8" ht="13.35" customHeight="1">
      <c r="A1481" s="82">
        <v>1</v>
      </c>
      <c r="B1481" s="83" t="s">
        <v>1518</v>
      </c>
      <c r="C1481" s="67" t="s">
        <v>1519</v>
      </c>
      <c r="D1481" s="91">
        <v>138533600</v>
      </c>
      <c r="E1481" s="76">
        <v>5422405.5</v>
      </c>
      <c r="F1481" s="77" t="s">
        <v>10170</v>
      </c>
      <c r="G1481" s="22"/>
      <c r="H1481" s="22"/>
    </row>
    <row r="1482" spans="1:8" ht="13.35" customHeight="1">
      <c r="A1482" s="82">
        <v>1</v>
      </c>
      <c r="B1482" s="83" t="s">
        <v>1510</v>
      </c>
      <c r="C1482" s="67" t="s">
        <v>1511</v>
      </c>
      <c r="D1482" s="91">
        <v>138533600</v>
      </c>
      <c r="E1482" s="76">
        <v>5422405.5</v>
      </c>
      <c r="F1482" s="77" t="s">
        <v>10170</v>
      </c>
      <c r="G1482" s="22"/>
      <c r="H1482" s="22"/>
    </row>
    <row r="1483" spans="1:8" ht="13.35" customHeight="1">
      <c r="A1483" s="82">
        <v>1</v>
      </c>
      <c r="B1483" s="83" t="s">
        <v>1512</v>
      </c>
      <c r="C1483" s="67" t="s">
        <v>1513</v>
      </c>
      <c r="D1483" s="91">
        <v>138533600</v>
      </c>
      <c r="E1483" s="76">
        <v>5422405.5</v>
      </c>
      <c r="F1483" s="77" t="s">
        <v>10170</v>
      </c>
      <c r="G1483" s="22"/>
      <c r="H1483" s="22"/>
    </row>
    <row r="1484" spans="1:8" ht="13.35" customHeight="1">
      <c r="A1484" s="82">
        <v>1</v>
      </c>
      <c r="B1484" s="83" t="s">
        <v>1496</v>
      </c>
      <c r="C1484" s="67" t="s">
        <v>1497</v>
      </c>
      <c r="D1484" s="91">
        <v>138602200</v>
      </c>
      <c r="E1484" s="76">
        <v>5425088</v>
      </c>
      <c r="F1484" s="77" t="s">
        <v>10170</v>
      </c>
      <c r="G1484" s="22"/>
      <c r="H1484" s="22"/>
    </row>
    <row r="1485" spans="1:8" ht="13.35" customHeight="1">
      <c r="A1485" s="82">
        <v>1</v>
      </c>
      <c r="B1485" s="83" t="s">
        <v>1506</v>
      </c>
      <c r="C1485" s="67" t="s">
        <v>1507</v>
      </c>
      <c r="D1485" s="91">
        <v>126718400</v>
      </c>
      <c r="E1485" s="76">
        <v>4959942.5</v>
      </c>
      <c r="F1485" s="77" t="s">
        <v>10170</v>
      </c>
      <c r="G1485" s="22"/>
      <c r="H1485" s="22"/>
    </row>
    <row r="1486" spans="1:8" ht="13.35" customHeight="1">
      <c r="A1486" s="82">
        <v>1</v>
      </c>
      <c r="B1486" s="83" t="s">
        <v>1504</v>
      </c>
      <c r="C1486" s="67" t="s">
        <v>1505</v>
      </c>
      <c r="D1486" s="91">
        <v>126718400</v>
      </c>
      <c r="E1486" s="76">
        <v>4959942.5</v>
      </c>
      <c r="F1486" s="77" t="s">
        <v>10170</v>
      </c>
      <c r="G1486" s="22"/>
      <c r="H1486" s="22"/>
    </row>
    <row r="1487" spans="1:8" ht="13.35" customHeight="1">
      <c r="A1487" s="82">
        <v>1</v>
      </c>
      <c r="B1487" s="83" t="s">
        <v>1508</v>
      </c>
      <c r="C1487" s="67" t="s">
        <v>1509</v>
      </c>
      <c r="D1487" s="91">
        <v>126718400</v>
      </c>
      <c r="E1487" s="76">
        <v>4959942.5</v>
      </c>
      <c r="F1487" s="77" t="s">
        <v>10170</v>
      </c>
      <c r="G1487" s="22"/>
      <c r="H1487" s="22"/>
    </row>
    <row r="1488" spans="1:8" ht="13.35" customHeight="1">
      <c r="A1488" s="82">
        <v>1</v>
      </c>
      <c r="B1488" s="83" t="s">
        <v>1500</v>
      </c>
      <c r="C1488" s="67" t="s">
        <v>1501</v>
      </c>
      <c r="D1488" s="91">
        <v>126718400</v>
      </c>
      <c r="E1488" s="76">
        <v>4959942.5</v>
      </c>
      <c r="F1488" s="77" t="s">
        <v>10170</v>
      </c>
      <c r="G1488" s="22"/>
      <c r="H1488" s="22"/>
    </row>
    <row r="1489" spans="1:8" ht="13.35" customHeight="1">
      <c r="A1489" s="82">
        <v>1</v>
      </c>
      <c r="B1489" s="83" t="s">
        <v>1502</v>
      </c>
      <c r="C1489" s="67" t="s">
        <v>1503</v>
      </c>
      <c r="D1489" s="91">
        <v>126718400</v>
      </c>
      <c r="E1489" s="76">
        <v>4959942.5</v>
      </c>
      <c r="F1489" s="77" t="s">
        <v>10170</v>
      </c>
      <c r="G1489" s="22"/>
      <c r="H1489" s="22"/>
    </row>
    <row r="1490" spans="1:8" ht="13.35" customHeight="1">
      <c r="A1490" s="82">
        <v>1</v>
      </c>
      <c r="B1490" s="83" t="s">
        <v>1486</v>
      </c>
      <c r="C1490" s="67" t="s">
        <v>1495</v>
      </c>
      <c r="D1490" s="91">
        <v>126745900</v>
      </c>
      <c r="E1490" s="76">
        <v>4961015.5</v>
      </c>
      <c r="F1490" s="77" t="s">
        <v>10170</v>
      </c>
      <c r="G1490" s="22"/>
      <c r="H1490" s="22"/>
    </row>
    <row r="1491" spans="1:8" ht="13.35" customHeight="1">
      <c r="A1491" s="82">
        <v>1</v>
      </c>
      <c r="B1491" s="83" t="s">
        <v>1498</v>
      </c>
      <c r="C1491" s="67" t="s">
        <v>1499</v>
      </c>
      <c r="D1491" s="91">
        <v>111613700</v>
      </c>
      <c r="E1491" s="76">
        <v>4368719.5</v>
      </c>
      <c r="F1491" s="77" t="s">
        <v>10170</v>
      </c>
      <c r="G1491" s="22"/>
      <c r="H1491" s="22"/>
    </row>
    <row r="1492" spans="1:8" ht="13.35" customHeight="1">
      <c r="A1492" s="82">
        <v>1</v>
      </c>
      <c r="B1492" s="83" t="s">
        <v>4919</v>
      </c>
      <c r="C1492" s="67" t="s">
        <v>4920</v>
      </c>
      <c r="D1492" s="91">
        <v>308332200</v>
      </c>
      <c r="E1492" s="76">
        <v>12068567.5</v>
      </c>
      <c r="F1492" s="77" t="s">
        <v>10170</v>
      </c>
      <c r="G1492" s="22"/>
      <c r="H1492" s="22"/>
    </row>
    <row r="1493" spans="1:8" ht="13.35" customHeight="1">
      <c r="A1493" s="82">
        <v>1</v>
      </c>
      <c r="B1493" s="83" t="s">
        <v>4921</v>
      </c>
      <c r="C1493" s="67" t="s">
        <v>4922</v>
      </c>
      <c r="D1493" s="91">
        <v>308332200</v>
      </c>
      <c r="E1493" s="76">
        <v>12068567.5</v>
      </c>
      <c r="F1493" s="77" t="s">
        <v>10170</v>
      </c>
      <c r="G1493" s="22"/>
      <c r="H1493" s="22"/>
    </row>
    <row r="1494" spans="1:8" ht="13.35" customHeight="1">
      <c r="A1494" s="82">
        <v>1</v>
      </c>
      <c r="B1494" s="83" t="s">
        <v>4915</v>
      </c>
      <c r="C1494" s="67" t="s">
        <v>4916</v>
      </c>
      <c r="D1494" s="91">
        <v>308332200</v>
      </c>
      <c r="E1494" s="76">
        <v>12068567.5</v>
      </c>
      <c r="F1494" s="77" t="s">
        <v>10170</v>
      </c>
      <c r="G1494" s="22"/>
      <c r="H1494" s="22"/>
    </row>
    <row r="1495" spans="1:8" ht="13.35" customHeight="1">
      <c r="A1495" s="82">
        <v>1</v>
      </c>
      <c r="B1495" s="83" t="s">
        <v>4913</v>
      </c>
      <c r="C1495" s="67" t="s">
        <v>4914</v>
      </c>
      <c r="D1495" s="91">
        <v>308332200</v>
      </c>
      <c r="E1495" s="76">
        <v>12068567.5</v>
      </c>
      <c r="F1495" s="77" t="s">
        <v>10170</v>
      </c>
      <c r="G1495" s="22"/>
      <c r="H1495" s="22"/>
    </row>
    <row r="1496" spans="1:8" ht="13.35" customHeight="1">
      <c r="A1496" s="82">
        <v>1</v>
      </c>
      <c r="B1496" s="83" t="s">
        <v>4917</v>
      </c>
      <c r="C1496" s="67" t="s">
        <v>4918</v>
      </c>
      <c r="D1496" s="91">
        <v>308332200</v>
      </c>
      <c r="E1496" s="76">
        <v>12068567.5</v>
      </c>
      <c r="F1496" s="77" t="s">
        <v>10170</v>
      </c>
      <c r="G1496" s="22"/>
      <c r="H1496" s="22"/>
    </row>
    <row r="1497" spans="1:8" ht="13.35" customHeight="1">
      <c r="A1497" s="82">
        <v>1</v>
      </c>
      <c r="B1497" s="83" t="s">
        <v>4911</v>
      </c>
      <c r="C1497" s="67" t="s">
        <v>4912</v>
      </c>
      <c r="D1497" s="91">
        <v>308332200</v>
      </c>
      <c r="E1497" s="76">
        <v>12068567.5</v>
      </c>
      <c r="F1497" s="77" t="s">
        <v>10170</v>
      </c>
      <c r="G1497" s="22"/>
      <c r="H1497" s="22"/>
    </row>
    <row r="1498" spans="1:8" ht="13.35" customHeight="1">
      <c r="A1498" s="82">
        <v>1</v>
      </c>
      <c r="B1498" s="83" t="s">
        <v>5191</v>
      </c>
      <c r="C1498" s="67" t="s">
        <v>7499</v>
      </c>
      <c r="D1498" s="91">
        <v>277903300</v>
      </c>
      <c r="E1498" s="76">
        <v>10877537.5</v>
      </c>
      <c r="F1498" s="77" t="s">
        <v>10170</v>
      </c>
      <c r="G1498" s="22"/>
      <c r="H1498" s="22"/>
    </row>
    <row r="1499" spans="1:8" ht="13.35" customHeight="1">
      <c r="A1499" s="82">
        <v>1</v>
      </c>
      <c r="B1499" s="67" t="s">
        <v>5649</v>
      </c>
      <c r="C1499" s="67" t="s">
        <v>7500</v>
      </c>
      <c r="D1499" s="91">
        <v>287772200</v>
      </c>
      <c r="E1499" s="76">
        <v>11263817.5</v>
      </c>
      <c r="F1499" s="77" t="s">
        <v>10170</v>
      </c>
      <c r="G1499" s="22"/>
      <c r="H1499" s="22"/>
    </row>
    <row r="1500" spans="1:8" ht="13.35" customHeight="1">
      <c r="A1500" s="82">
        <v>1</v>
      </c>
      <c r="B1500" s="67" t="s">
        <v>5648</v>
      </c>
      <c r="C1500" s="67" t="s">
        <v>7501</v>
      </c>
      <c r="D1500" s="91">
        <v>253505400</v>
      </c>
      <c r="E1500" s="76">
        <v>9922567.5</v>
      </c>
      <c r="F1500" s="77" t="s">
        <v>10170</v>
      </c>
      <c r="G1500" s="22"/>
      <c r="H1500" s="22"/>
    </row>
    <row r="1501" spans="1:8" ht="13.35" customHeight="1">
      <c r="A1501" s="82">
        <v>1</v>
      </c>
      <c r="B1501" s="67" t="s">
        <v>5650</v>
      </c>
      <c r="C1501" s="67" t="s">
        <v>7502</v>
      </c>
      <c r="D1501" s="91">
        <v>62242100</v>
      </c>
      <c r="E1501" s="76">
        <v>2436246.5</v>
      </c>
      <c r="F1501" s="77" t="s">
        <v>10170</v>
      </c>
      <c r="G1501" s="22"/>
      <c r="H1501" s="22"/>
    </row>
    <row r="1502" spans="1:8" ht="13.35" customHeight="1">
      <c r="A1502" s="82">
        <v>1</v>
      </c>
      <c r="B1502" s="83" t="s">
        <v>1451</v>
      </c>
      <c r="C1502" s="67" t="s">
        <v>1452</v>
      </c>
      <c r="D1502" s="91">
        <v>216607000</v>
      </c>
      <c r="E1502" s="76">
        <v>8478309.5</v>
      </c>
      <c r="F1502" s="77" t="s">
        <v>10170</v>
      </c>
      <c r="G1502" s="22"/>
      <c r="H1502" s="22"/>
    </row>
    <row r="1503" spans="1:8" ht="13.35" customHeight="1">
      <c r="A1503" s="82">
        <v>1</v>
      </c>
      <c r="B1503" s="83" t="s">
        <v>1445</v>
      </c>
      <c r="C1503" s="67" t="s">
        <v>1446</v>
      </c>
      <c r="D1503" s="91">
        <v>216607000</v>
      </c>
      <c r="E1503" s="76">
        <v>8478309.5</v>
      </c>
      <c r="F1503" s="77" t="s">
        <v>10170</v>
      </c>
      <c r="G1503" s="22"/>
      <c r="H1503" s="22"/>
    </row>
    <row r="1504" spans="1:8" ht="13.35" customHeight="1">
      <c r="A1504" s="82">
        <v>1</v>
      </c>
      <c r="B1504" s="83" t="s">
        <v>1457</v>
      </c>
      <c r="C1504" s="67" t="s">
        <v>1458</v>
      </c>
      <c r="D1504" s="91">
        <v>216607000</v>
      </c>
      <c r="E1504" s="76">
        <v>8478309.5</v>
      </c>
      <c r="F1504" s="77" t="s">
        <v>10170</v>
      </c>
      <c r="G1504" s="22"/>
      <c r="H1504" s="22"/>
    </row>
    <row r="1505" spans="1:8" ht="13.35" customHeight="1">
      <c r="A1505" s="82">
        <v>1</v>
      </c>
      <c r="B1505" s="83" t="s">
        <v>1433</v>
      </c>
      <c r="C1505" s="67" t="s">
        <v>1434</v>
      </c>
      <c r="D1505" s="91">
        <v>216607000</v>
      </c>
      <c r="E1505" s="76">
        <v>8478309.5</v>
      </c>
      <c r="F1505" s="77" t="s">
        <v>10170</v>
      </c>
      <c r="G1505" s="22"/>
      <c r="H1505" s="22"/>
    </row>
    <row r="1506" spans="1:8" ht="13.35" customHeight="1">
      <c r="A1506" s="82">
        <v>1</v>
      </c>
      <c r="B1506" s="83" t="s">
        <v>1439</v>
      </c>
      <c r="C1506" s="67" t="s">
        <v>1440</v>
      </c>
      <c r="D1506" s="91">
        <v>216607000</v>
      </c>
      <c r="E1506" s="76">
        <v>8478309.5</v>
      </c>
      <c r="F1506" s="77" t="s">
        <v>10170</v>
      </c>
      <c r="G1506" s="22"/>
      <c r="H1506" s="22"/>
    </row>
    <row r="1507" spans="1:8" ht="13.35" customHeight="1">
      <c r="A1507" s="82">
        <v>1</v>
      </c>
      <c r="B1507" s="83" t="s">
        <v>1427</v>
      </c>
      <c r="C1507" s="67" t="s">
        <v>1428</v>
      </c>
      <c r="D1507" s="91">
        <v>216675500</v>
      </c>
      <c r="E1507" s="76">
        <v>8480992</v>
      </c>
      <c r="F1507" s="77" t="s">
        <v>10170</v>
      </c>
      <c r="G1507" s="22"/>
      <c r="H1507" s="22"/>
    </row>
    <row r="1508" spans="1:8" ht="13.35" customHeight="1">
      <c r="A1508" s="82">
        <v>1</v>
      </c>
      <c r="B1508" s="83" t="s">
        <v>1660</v>
      </c>
      <c r="C1508" s="67" t="s">
        <v>1661</v>
      </c>
      <c r="D1508" s="91">
        <v>198157800</v>
      </c>
      <c r="E1508" s="76">
        <v>7756180.5</v>
      </c>
      <c r="F1508" s="77" t="s">
        <v>10170</v>
      </c>
      <c r="G1508" s="22"/>
      <c r="H1508" s="22"/>
    </row>
    <row r="1509" spans="1:8" ht="13.35" customHeight="1">
      <c r="A1509" s="82">
        <v>1</v>
      </c>
      <c r="B1509" s="83" t="s">
        <v>1315</v>
      </c>
      <c r="C1509" s="67" t="s">
        <v>1316</v>
      </c>
      <c r="D1509" s="91">
        <v>198157800</v>
      </c>
      <c r="E1509" s="76">
        <v>7756180.5</v>
      </c>
      <c r="F1509" s="77" t="s">
        <v>10170</v>
      </c>
      <c r="G1509" s="22"/>
      <c r="H1509" s="22"/>
    </row>
    <row r="1510" spans="1:8" ht="13.35" customHeight="1">
      <c r="A1510" s="82">
        <v>1</v>
      </c>
      <c r="B1510" s="83" t="s">
        <v>1320</v>
      </c>
      <c r="C1510" s="67" t="s">
        <v>1321</v>
      </c>
      <c r="D1510" s="91">
        <v>198157800</v>
      </c>
      <c r="E1510" s="76">
        <v>7756180.5</v>
      </c>
      <c r="F1510" s="77" t="s">
        <v>10170</v>
      </c>
      <c r="G1510" s="22"/>
      <c r="H1510" s="22"/>
    </row>
    <row r="1511" spans="1:8" ht="13.35" customHeight="1">
      <c r="A1511" s="82">
        <v>1</v>
      </c>
      <c r="B1511" s="83" t="s">
        <v>1305</v>
      </c>
      <c r="C1511" s="67" t="s">
        <v>1306</v>
      </c>
      <c r="D1511" s="91">
        <v>198157800</v>
      </c>
      <c r="E1511" s="76">
        <v>7756180.5</v>
      </c>
      <c r="F1511" s="77" t="s">
        <v>10170</v>
      </c>
      <c r="G1511" s="22"/>
      <c r="H1511" s="22"/>
    </row>
    <row r="1512" spans="1:8" ht="13.35" customHeight="1">
      <c r="A1512" s="82">
        <v>1</v>
      </c>
      <c r="B1512" s="83" t="s">
        <v>1310</v>
      </c>
      <c r="C1512" s="67" t="s">
        <v>1311</v>
      </c>
      <c r="D1512" s="91">
        <v>198157800</v>
      </c>
      <c r="E1512" s="76">
        <v>7756180.5</v>
      </c>
      <c r="F1512" s="77" t="s">
        <v>10170</v>
      </c>
      <c r="G1512" s="22"/>
      <c r="H1512" s="22"/>
    </row>
    <row r="1513" spans="1:8" ht="13.35" customHeight="1">
      <c r="A1513" s="82">
        <v>1</v>
      </c>
      <c r="B1513" s="83" t="s">
        <v>1285</v>
      </c>
      <c r="C1513" s="67" t="s">
        <v>1286</v>
      </c>
      <c r="D1513" s="91">
        <v>198185200</v>
      </c>
      <c r="E1513" s="76">
        <v>7757253.5</v>
      </c>
      <c r="F1513" s="77" t="s">
        <v>10170</v>
      </c>
      <c r="G1513" s="22"/>
      <c r="H1513" s="22"/>
    </row>
    <row r="1514" spans="1:8" ht="13.35" customHeight="1">
      <c r="A1514" s="82">
        <v>1</v>
      </c>
      <c r="B1514" s="83" t="s">
        <v>1421</v>
      </c>
      <c r="C1514" s="67" t="s">
        <v>1422</v>
      </c>
      <c r="D1514" s="91">
        <v>177022000</v>
      </c>
      <c r="E1514" s="76">
        <v>6928897.5</v>
      </c>
      <c r="F1514" s="77" t="s">
        <v>10170</v>
      </c>
      <c r="G1514" s="22"/>
      <c r="H1514" s="22"/>
    </row>
    <row r="1515" spans="1:8" ht="13.35" customHeight="1">
      <c r="A1515" s="82">
        <v>1</v>
      </c>
      <c r="B1515" s="83" t="s">
        <v>1455</v>
      </c>
      <c r="C1515" s="67" t="s">
        <v>1456</v>
      </c>
      <c r="D1515" s="91">
        <v>198678600</v>
      </c>
      <c r="E1515" s="76">
        <v>7776567.4999999991</v>
      </c>
      <c r="F1515" s="77" t="s">
        <v>10170</v>
      </c>
      <c r="G1515" s="22"/>
      <c r="H1515" s="22"/>
    </row>
    <row r="1516" spans="1:8" ht="13.35" customHeight="1">
      <c r="A1516" s="82">
        <v>1</v>
      </c>
      <c r="B1516" s="83" t="s">
        <v>1449</v>
      </c>
      <c r="C1516" s="67" t="s">
        <v>1450</v>
      </c>
      <c r="D1516" s="91">
        <v>198678600</v>
      </c>
      <c r="E1516" s="76">
        <v>7776567.4999999991</v>
      </c>
      <c r="F1516" s="77" t="s">
        <v>10170</v>
      </c>
      <c r="G1516" s="22"/>
      <c r="H1516" s="22"/>
    </row>
    <row r="1517" spans="1:8" ht="13.35" customHeight="1">
      <c r="A1517" s="82">
        <v>1</v>
      </c>
      <c r="B1517" s="83" t="s">
        <v>1461</v>
      </c>
      <c r="C1517" s="67" t="s">
        <v>1462</v>
      </c>
      <c r="D1517" s="91">
        <v>198678600</v>
      </c>
      <c r="E1517" s="76">
        <v>7776567.4999999991</v>
      </c>
      <c r="F1517" s="77" t="s">
        <v>10170</v>
      </c>
      <c r="G1517" s="22"/>
      <c r="H1517" s="22"/>
    </row>
    <row r="1518" spans="1:8" ht="13.35" customHeight="1">
      <c r="A1518" s="82">
        <v>1</v>
      </c>
      <c r="B1518" s="83" t="s">
        <v>1437</v>
      </c>
      <c r="C1518" s="67" t="s">
        <v>1438</v>
      </c>
      <c r="D1518" s="91">
        <v>198678600</v>
      </c>
      <c r="E1518" s="76">
        <v>7776567.4999999991</v>
      </c>
      <c r="F1518" s="77" t="s">
        <v>10170</v>
      </c>
      <c r="G1518" s="22"/>
      <c r="H1518" s="22"/>
    </row>
    <row r="1519" spans="1:8" ht="13.35" customHeight="1">
      <c r="A1519" s="82">
        <v>1</v>
      </c>
      <c r="B1519" s="83" t="s">
        <v>1443</v>
      </c>
      <c r="C1519" s="67" t="s">
        <v>1444</v>
      </c>
      <c r="D1519" s="91">
        <v>198678600</v>
      </c>
      <c r="E1519" s="76">
        <v>7776567.4999999991</v>
      </c>
      <c r="F1519" s="77" t="s">
        <v>10170</v>
      </c>
      <c r="G1519" s="22"/>
      <c r="H1519" s="22"/>
    </row>
    <row r="1520" spans="1:8" ht="13.35" customHeight="1">
      <c r="A1520" s="82">
        <v>1</v>
      </c>
      <c r="B1520" s="83" t="s">
        <v>1431</v>
      </c>
      <c r="C1520" s="67" t="s">
        <v>1432</v>
      </c>
      <c r="D1520" s="91">
        <v>198678600</v>
      </c>
      <c r="E1520" s="76">
        <v>7776567.4999999991</v>
      </c>
      <c r="F1520" s="77" t="s">
        <v>10170</v>
      </c>
      <c r="G1520" s="22"/>
      <c r="H1520" s="22"/>
    </row>
    <row r="1521" spans="1:8" ht="13.35" customHeight="1">
      <c r="A1521" s="82">
        <v>1</v>
      </c>
      <c r="B1521" s="83" t="s">
        <v>1619</v>
      </c>
      <c r="C1521" s="67" t="s">
        <v>1637</v>
      </c>
      <c r="D1521" s="91">
        <v>184971900</v>
      </c>
      <c r="E1521" s="76">
        <v>7240067.4999999991</v>
      </c>
      <c r="F1521" s="77" t="s">
        <v>10170</v>
      </c>
      <c r="G1521" s="22"/>
      <c r="H1521" s="22"/>
    </row>
    <row r="1522" spans="1:8" ht="13.35" customHeight="1">
      <c r="A1522" s="82">
        <v>1</v>
      </c>
      <c r="B1522" s="83" t="s">
        <v>1319</v>
      </c>
      <c r="C1522" s="67" t="s">
        <v>1617</v>
      </c>
      <c r="D1522" s="91">
        <v>184971900</v>
      </c>
      <c r="E1522" s="76">
        <v>7240067.4999999991</v>
      </c>
      <c r="F1522" s="77" t="s">
        <v>10170</v>
      </c>
      <c r="G1522" s="22"/>
      <c r="H1522" s="22"/>
    </row>
    <row r="1523" spans="1:8" ht="13.35" customHeight="1">
      <c r="A1523" s="82">
        <v>1</v>
      </c>
      <c r="B1523" s="83" t="s">
        <v>1324</v>
      </c>
      <c r="C1523" s="67" t="s">
        <v>1618</v>
      </c>
      <c r="D1523" s="91">
        <v>184971900</v>
      </c>
      <c r="E1523" s="76">
        <v>7240067.4999999991</v>
      </c>
      <c r="F1523" s="77" t="s">
        <v>10170</v>
      </c>
      <c r="G1523" s="22"/>
      <c r="H1523" s="22"/>
    </row>
    <row r="1524" spans="1:8" ht="13.35" customHeight="1">
      <c r="A1524" s="82">
        <v>1</v>
      </c>
      <c r="B1524" s="83" t="s">
        <v>1309</v>
      </c>
      <c r="C1524" s="67" t="s">
        <v>1615</v>
      </c>
      <c r="D1524" s="91">
        <v>184971900</v>
      </c>
      <c r="E1524" s="76">
        <v>7240067.4999999991</v>
      </c>
      <c r="F1524" s="77" t="s">
        <v>10170</v>
      </c>
      <c r="G1524" s="22"/>
      <c r="H1524" s="22"/>
    </row>
    <row r="1525" spans="1:8" ht="13.35" customHeight="1">
      <c r="A1525" s="82">
        <v>1</v>
      </c>
      <c r="B1525" s="83" t="s">
        <v>1314</v>
      </c>
      <c r="C1525" s="67" t="s">
        <v>1616</v>
      </c>
      <c r="D1525" s="91">
        <v>184971900</v>
      </c>
      <c r="E1525" s="76">
        <v>7240067.4999999991</v>
      </c>
      <c r="F1525" s="77" t="s">
        <v>10170</v>
      </c>
      <c r="G1525" s="22"/>
      <c r="H1525" s="22"/>
    </row>
    <row r="1526" spans="1:8" ht="13.35" customHeight="1">
      <c r="A1526" s="82">
        <v>1</v>
      </c>
      <c r="B1526" s="83" t="s">
        <v>1289</v>
      </c>
      <c r="C1526" s="67" t="s">
        <v>1290</v>
      </c>
      <c r="D1526" s="91">
        <v>184971900</v>
      </c>
      <c r="E1526" s="76">
        <v>7240067.4999999991</v>
      </c>
      <c r="F1526" s="77" t="s">
        <v>10170</v>
      </c>
      <c r="G1526" s="22"/>
      <c r="H1526" s="22"/>
    </row>
    <row r="1527" spans="1:8" ht="13.35" customHeight="1">
      <c r="A1527" s="82">
        <v>1</v>
      </c>
      <c r="B1527" s="83" t="s">
        <v>1425</v>
      </c>
      <c r="C1527" s="67" t="s">
        <v>1426</v>
      </c>
      <c r="D1527" s="91">
        <v>167495900</v>
      </c>
      <c r="E1527" s="76">
        <v>6556029.9999999991</v>
      </c>
      <c r="F1527" s="77" t="s">
        <v>10170</v>
      </c>
      <c r="G1527" s="22"/>
      <c r="H1527" s="22"/>
    </row>
    <row r="1528" spans="1:8" ht="13.35" customHeight="1">
      <c r="A1528" s="82">
        <v>1</v>
      </c>
      <c r="B1528" s="67" t="s">
        <v>6135</v>
      </c>
      <c r="C1528" s="67" t="s">
        <v>2301</v>
      </c>
      <c r="D1528" s="91">
        <v>382471800</v>
      </c>
      <c r="E1528" s="76">
        <v>14970496</v>
      </c>
      <c r="F1528" s="77" t="s">
        <v>10170</v>
      </c>
      <c r="G1528" s="22"/>
      <c r="H1528" s="22"/>
    </row>
    <row r="1529" spans="1:8" ht="13.35" customHeight="1">
      <c r="A1529" s="82">
        <v>1</v>
      </c>
      <c r="B1529" s="67" t="s">
        <v>6136</v>
      </c>
      <c r="C1529" s="67" t="s">
        <v>2297</v>
      </c>
      <c r="D1529" s="91">
        <v>382471800</v>
      </c>
      <c r="E1529" s="76">
        <v>14970496</v>
      </c>
      <c r="F1529" s="77" t="s">
        <v>10170</v>
      </c>
      <c r="G1529" s="22"/>
      <c r="H1529" s="22"/>
    </row>
    <row r="1530" spans="1:8" ht="13.35" customHeight="1">
      <c r="A1530" s="82">
        <v>1</v>
      </c>
      <c r="B1530" s="67" t="s">
        <v>6137</v>
      </c>
      <c r="C1530" s="67" t="s">
        <v>2305</v>
      </c>
      <c r="D1530" s="91">
        <v>382471800</v>
      </c>
      <c r="E1530" s="76">
        <v>14970496</v>
      </c>
      <c r="F1530" s="77" t="s">
        <v>10170</v>
      </c>
      <c r="G1530" s="22"/>
      <c r="H1530" s="22"/>
    </row>
    <row r="1531" spans="1:8" ht="13.35" customHeight="1">
      <c r="A1531" s="82">
        <v>1</v>
      </c>
      <c r="B1531" s="67" t="s">
        <v>6138</v>
      </c>
      <c r="C1531" s="67" t="s">
        <v>2289</v>
      </c>
      <c r="D1531" s="91">
        <v>382471800</v>
      </c>
      <c r="E1531" s="76">
        <v>14970496</v>
      </c>
      <c r="F1531" s="77" t="s">
        <v>10170</v>
      </c>
      <c r="G1531" s="22"/>
      <c r="H1531" s="22"/>
    </row>
    <row r="1532" spans="1:8" ht="13.35" customHeight="1">
      <c r="A1532" s="82">
        <v>1</v>
      </c>
      <c r="B1532" s="67" t="s">
        <v>6139</v>
      </c>
      <c r="C1532" s="67" t="s">
        <v>2293</v>
      </c>
      <c r="D1532" s="91">
        <v>382471800</v>
      </c>
      <c r="E1532" s="76">
        <v>14970496</v>
      </c>
      <c r="F1532" s="77" t="s">
        <v>10170</v>
      </c>
      <c r="G1532" s="22"/>
      <c r="H1532" s="22"/>
    </row>
    <row r="1533" spans="1:8" ht="13.35" customHeight="1">
      <c r="A1533" s="82">
        <v>1</v>
      </c>
      <c r="B1533" s="67" t="s">
        <v>6140</v>
      </c>
      <c r="C1533" s="67" t="s">
        <v>2285</v>
      </c>
      <c r="D1533" s="91">
        <v>382608800</v>
      </c>
      <c r="E1533" s="76">
        <v>14975861</v>
      </c>
      <c r="F1533" s="77" t="s">
        <v>10170</v>
      </c>
      <c r="G1533" s="22"/>
      <c r="H1533" s="22"/>
    </row>
    <row r="1534" spans="1:8" ht="13.35" customHeight="1">
      <c r="A1534" s="82">
        <v>1</v>
      </c>
      <c r="B1534" s="67" t="s">
        <v>6141</v>
      </c>
      <c r="C1534" s="67" t="s">
        <v>2303</v>
      </c>
      <c r="D1534" s="91">
        <v>347643000</v>
      </c>
      <c r="E1534" s="76">
        <v>13607249.5</v>
      </c>
      <c r="F1534" s="77" t="s">
        <v>10170</v>
      </c>
      <c r="G1534" s="22"/>
      <c r="H1534" s="22"/>
    </row>
    <row r="1535" spans="1:8" ht="13.35" customHeight="1">
      <c r="A1535" s="82">
        <v>1</v>
      </c>
      <c r="B1535" s="67" t="s">
        <v>6142</v>
      </c>
      <c r="C1535" s="67" t="s">
        <v>2299</v>
      </c>
      <c r="D1535" s="91">
        <v>347643000</v>
      </c>
      <c r="E1535" s="76">
        <v>13607249.5</v>
      </c>
      <c r="F1535" s="77" t="s">
        <v>10170</v>
      </c>
      <c r="G1535" s="22"/>
      <c r="H1535" s="22"/>
    </row>
    <row r="1536" spans="1:8" ht="13.35" customHeight="1">
      <c r="A1536" s="82">
        <v>1</v>
      </c>
      <c r="B1536" s="67" t="s">
        <v>6143</v>
      </c>
      <c r="C1536" s="67" t="s">
        <v>2307</v>
      </c>
      <c r="D1536" s="91">
        <v>347643000</v>
      </c>
      <c r="E1536" s="76">
        <v>13607249.5</v>
      </c>
      <c r="F1536" s="77" t="s">
        <v>10170</v>
      </c>
      <c r="G1536" s="22"/>
      <c r="H1536" s="22"/>
    </row>
    <row r="1537" spans="1:8" ht="13.35" customHeight="1">
      <c r="A1537" s="82">
        <v>1</v>
      </c>
      <c r="B1537" s="67" t="s">
        <v>6144</v>
      </c>
      <c r="C1537" s="67" t="s">
        <v>6145</v>
      </c>
      <c r="D1537" s="91">
        <v>347643000</v>
      </c>
      <c r="E1537" s="76">
        <v>13607249.5</v>
      </c>
      <c r="F1537" s="77" t="s">
        <v>10170</v>
      </c>
      <c r="G1537" s="22"/>
      <c r="H1537" s="22"/>
    </row>
    <row r="1538" spans="1:8" ht="13.35" customHeight="1">
      <c r="A1538" s="82">
        <v>1</v>
      </c>
      <c r="B1538" s="67" t="s">
        <v>6146</v>
      </c>
      <c r="C1538" s="67" t="s">
        <v>2295</v>
      </c>
      <c r="D1538" s="91">
        <v>347643000</v>
      </c>
      <c r="E1538" s="76">
        <v>13607249.5</v>
      </c>
      <c r="F1538" s="77" t="s">
        <v>10170</v>
      </c>
      <c r="G1538" s="22"/>
      <c r="H1538" s="22"/>
    </row>
    <row r="1539" spans="1:8" ht="13.35" customHeight="1">
      <c r="A1539" s="82">
        <v>1</v>
      </c>
      <c r="B1539" s="67" t="s">
        <v>6147</v>
      </c>
      <c r="C1539" s="67" t="s">
        <v>2287</v>
      </c>
      <c r="D1539" s="91">
        <v>347711600</v>
      </c>
      <c r="E1539" s="76">
        <v>13609932</v>
      </c>
      <c r="F1539" s="77" t="s">
        <v>10170</v>
      </c>
      <c r="G1539" s="22"/>
      <c r="H1539" s="22"/>
    </row>
    <row r="1540" spans="1:8" ht="13.35" customHeight="1">
      <c r="A1540" s="82">
        <v>1</v>
      </c>
      <c r="B1540" s="67" t="s">
        <v>6148</v>
      </c>
      <c r="C1540" s="67" t="s">
        <v>2309</v>
      </c>
      <c r="D1540" s="91">
        <v>305618300</v>
      </c>
      <c r="E1540" s="76">
        <v>11962340.5</v>
      </c>
      <c r="F1540" s="77" t="s">
        <v>10170</v>
      </c>
      <c r="G1540" s="22"/>
      <c r="H1540" s="22"/>
    </row>
    <row r="1541" spans="1:8" ht="13.35" customHeight="1">
      <c r="A1541" s="82">
        <v>1</v>
      </c>
      <c r="B1541" s="83" t="s">
        <v>2300</v>
      </c>
      <c r="C1541" s="67" t="s">
        <v>2301</v>
      </c>
      <c r="D1541" s="91">
        <v>382471800</v>
      </c>
      <c r="E1541" s="76">
        <v>14970496</v>
      </c>
      <c r="F1541" s="77" t="s">
        <v>10170</v>
      </c>
      <c r="G1541" s="22"/>
      <c r="H1541" s="22"/>
    </row>
    <row r="1542" spans="1:8" ht="13.35" customHeight="1">
      <c r="A1542" s="82">
        <v>1</v>
      </c>
      <c r="B1542" s="83" t="s">
        <v>2296</v>
      </c>
      <c r="C1542" s="67" t="s">
        <v>2297</v>
      </c>
      <c r="D1542" s="91">
        <v>382471800</v>
      </c>
      <c r="E1542" s="76">
        <v>14970496</v>
      </c>
      <c r="F1542" s="77" t="s">
        <v>10170</v>
      </c>
      <c r="G1542" s="22"/>
      <c r="H1542" s="22"/>
    </row>
    <row r="1543" spans="1:8" ht="13.35" customHeight="1">
      <c r="A1543" s="82">
        <v>1</v>
      </c>
      <c r="B1543" s="83" t="s">
        <v>2304</v>
      </c>
      <c r="C1543" s="67" t="s">
        <v>2305</v>
      </c>
      <c r="D1543" s="91">
        <v>382471800</v>
      </c>
      <c r="E1543" s="76">
        <v>14970496</v>
      </c>
      <c r="F1543" s="77" t="s">
        <v>10170</v>
      </c>
      <c r="G1543" s="22"/>
      <c r="H1543" s="22"/>
    </row>
    <row r="1544" spans="1:8" ht="13.35" customHeight="1">
      <c r="A1544" s="82">
        <v>1</v>
      </c>
      <c r="B1544" s="83" t="s">
        <v>2288</v>
      </c>
      <c r="C1544" s="67" t="s">
        <v>2289</v>
      </c>
      <c r="D1544" s="91">
        <v>382471800</v>
      </c>
      <c r="E1544" s="76">
        <v>14970496</v>
      </c>
      <c r="F1544" s="77" t="s">
        <v>10170</v>
      </c>
      <c r="G1544" s="22"/>
      <c r="H1544" s="22"/>
    </row>
    <row r="1545" spans="1:8" ht="13.35" customHeight="1">
      <c r="A1545" s="82">
        <v>1</v>
      </c>
      <c r="B1545" s="83" t="s">
        <v>2292</v>
      </c>
      <c r="C1545" s="67" t="s">
        <v>2293</v>
      </c>
      <c r="D1545" s="91">
        <v>382471800</v>
      </c>
      <c r="E1545" s="76">
        <v>14970496</v>
      </c>
      <c r="F1545" s="77" t="s">
        <v>10170</v>
      </c>
      <c r="G1545" s="22"/>
      <c r="H1545" s="22"/>
    </row>
    <row r="1546" spans="1:8" ht="13.35" customHeight="1">
      <c r="A1546" s="82">
        <v>1</v>
      </c>
      <c r="B1546" s="83" t="s">
        <v>2284</v>
      </c>
      <c r="C1546" s="67" t="s">
        <v>2285</v>
      </c>
      <c r="D1546" s="91">
        <v>382608800</v>
      </c>
      <c r="E1546" s="76">
        <v>14975861</v>
      </c>
      <c r="F1546" s="77" t="s">
        <v>10170</v>
      </c>
      <c r="G1546" s="22"/>
      <c r="H1546" s="22"/>
    </row>
    <row r="1547" spans="1:8" ht="13.35" customHeight="1">
      <c r="A1547" s="82">
        <v>1</v>
      </c>
      <c r="B1547" s="83" t="s">
        <v>2302</v>
      </c>
      <c r="C1547" s="67" t="s">
        <v>2303</v>
      </c>
      <c r="D1547" s="91">
        <v>347643000</v>
      </c>
      <c r="E1547" s="76">
        <v>13607249.5</v>
      </c>
      <c r="F1547" s="77" t="s">
        <v>10170</v>
      </c>
      <c r="G1547" s="22"/>
      <c r="H1547" s="22"/>
    </row>
    <row r="1548" spans="1:8" ht="13.35" customHeight="1">
      <c r="A1548" s="82">
        <v>1</v>
      </c>
      <c r="B1548" s="83" t="s">
        <v>2298</v>
      </c>
      <c r="C1548" s="67" t="s">
        <v>2299</v>
      </c>
      <c r="D1548" s="91">
        <v>347643000</v>
      </c>
      <c r="E1548" s="76">
        <v>13607249.5</v>
      </c>
      <c r="F1548" s="77" t="s">
        <v>10170</v>
      </c>
      <c r="G1548" s="22"/>
      <c r="H1548" s="22"/>
    </row>
    <row r="1549" spans="1:8" ht="13.35" customHeight="1">
      <c r="A1549" s="82">
        <v>1</v>
      </c>
      <c r="B1549" s="83" t="s">
        <v>2306</v>
      </c>
      <c r="C1549" s="67" t="s">
        <v>2307</v>
      </c>
      <c r="D1549" s="91">
        <v>347643000</v>
      </c>
      <c r="E1549" s="76">
        <v>13607249.5</v>
      </c>
      <c r="F1549" s="77" t="s">
        <v>10170</v>
      </c>
      <c r="G1549" s="22"/>
      <c r="H1549" s="22"/>
    </row>
    <row r="1550" spans="1:8" ht="13.35" customHeight="1">
      <c r="A1550" s="82">
        <v>1</v>
      </c>
      <c r="B1550" s="83" t="s">
        <v>2290</v>
      </c>
      <c r="C1550" s="67" t="s">
        <v>2291</v>
      </c>
      <c r="D1550" s="91">
        <v>347643000</v>
      </c>
      <c r="E1550" s="76">
        <v>13607249.5</v>
      </c>
      <c r="F1550" s="77" t="s">
        <v>10170</v>
      </c>
      <c r="G1550" s="22"/>
      <c r="H1550" s="22"/>
    </row>
    <row r="1551" spans="1:8" ht="13.35" customHeight="1">
      <c r="A1551" s="82">
        <v>1</v>
      </c>
      <c r="B1551" s="83" t="s">
        <v>2294</v>
      </c>
      <c r="C1551" s="67" t="s">
        <v>2295</v>
      </c>
      <c r="D1551" s="91">
        <v>347643000</v>
      </c>
      <c r="E1551" s="76">
        <v>13607249.5</v>
      </c>
      <c r="F1551" s="77" t="s">
        <v>10170</v>
      </c>
      <c r="G1551" s="22"/>
      <c r="H1551" s="22"/>
    </row>
    <row r="1552" spans="1:8" ht="13.35" customHeight="1">
      <c r="A1552" s="82">
        <v>1</v>
      </c>
      <c r="B1552" s="83" t="s">
        <v>2286</v>
      </c>
      <c r="C1552" s="67" t="s">
        <v>2287</v>
      </c>
      <c r="D1552" s="91">
        <v>347711600</v>
      </c>
      <c r="E1552" s="76">
        <v>13609932</v>
      </c>
      <c r="F1552" s="77" t="s">
        <v>10170</v>
      </c>
      <c r="G1552" s="22"/>
      <c r="H1552" s="22"/>
    </row>
    <row r="1553" spans="1:8" ht="13.35" customHeight="1">
      <c r="A1553" s="82">
        <v>1</v>
      </c>
      <c r="B1553" s="83" t="s">
        <v>2308</v>
      </c>
      <c r="C1553" s="67" t="s">
        <v>2309</v>
      </c>
      <c r="D1553" s="91">
        <v>305618300</v>
      </c>
      <c r="E1553" s="76">
        <v>11962340.5</v>
      </c>
      <c r="F1553" s="77" t="s">
        <v>10170</v>
      </c>
      <c r="G1553" s="22"/>
      <c r="H1553" s="22"/>
    </row>
    <row r="1554" spans="1:8" ht="13.35" customHeight="1">
      <c r="A1554" s="82">
        <v>1</v>
      </c>
      <c r="B1554" s="83" t="s">
        <v>4473</v>
      </c>
      <c r="C1554" s="67" t="s">
        <v>4474</v>
      </c>
      <c r="D1554" s="91">
        <v>225228500</v>
      </c>
      <c r="E1554" s="76">
        <v>8815768</v>
      </c>
      <c r="F1554" s="77" t="s">
        <v>10170</v>
      </c>
      <c r="G1554" s="22"/>
      <c r="H1554" s="22"/>
    </row>
    <row r="1555" spans="1:8" ht="13.35" customHeight="1">
      <c r="A1555" s="82">
        <v>1</v>
      </c>
      <c r="B1555" s="83" t="s">
        <v>4475</v>
      </c>
      <c r="C1555" s="67" t="s">
        <v>4476</v>
      </c>
      <c r="D1555" s="91">
        <v>225228500</v>
      </c>
      <c r="E1555" s="76">
        <v>8815768</v>
      </c>
      <c r="F1555" s="77" t="s">
        <v>10170</v>
      </c>
      <c r="G1555" s="22"/>
      <c r="H1555" s="22"/>
    </row>
    <row r="1556" spans="1:8" ht="13.35" customHeight="1">
      <c r="A1556" s="82">
        <v>1</v>
      </c>
      <c r="B1556" s="83" t="s">
        <v>4477</v>
      </c>
      <c r="C1556" s="67" t="s">
        <v>4478</v>
      </c>
      <c r="D1556" s="91">
        <v>225228500</v>
      </c>
      <c r="E1556" s="76">
        <v>8815768</v>
      </c>
      <c r="F1556" s="77" t="s">
        <v>10170</v>
      </c>
      <c r="G1556" s="22"/>
      <c r="H1556" s="22"/>
    </row>
    <row r="1557" spans="1:8" ht="13.35" customHeight="1">
      <c r="A1557" s="82">
        <v>1</v>
      </c>
      <c r="B1557" s="83" t="s">
        <v>4479</v>
      </c>
      <c r="C1557" s="67" t="s">
        <v>4480</v>
      </c>
      <c r="D1557" s="91">
        <v>225228500</v>
      </c>
      <c r="E1557" s="76">
        <v>8815768</v>
      </c>
      <c r="F1557" s="77" t="s">
        <v>10170</v>
      </c>
      <c r="G1557" s="22"/>
      <c r="H1557" s="22"/>
    </row>
    <row r="1558" spans="1:8" ht="13.35" customHeight="1">
      <c r="A1558" s="82">
        <v>1</v>
      </c>
      <c r="B1558" s="83" t="s">
        <v>4481</v>
      </c>
      <c r="C1558" s="67" t="s">
        <v>4482</v>
      </c>
      <c r="D1558" s="91">
        <v>225228500</v>
      </c>
      <c r="E1558" s="76">
        <v>8815768</v>
      </c>
      <c r="F1558" s="77" t="s">
        <v>10170</v>
      </c>
      <c r="G1558" s="22"/>
      <c r="H1558" s="22"/>
    </row>
    <row r="1559" spans="1:8" ht="13.35" customHeight="1">
      <c r="A1559" s="82">
        <v>1</v>
      </c>
      <c r="B1559" s="83" t="s">
        <v>4471</v>
      </c>
      <c r="C1559" s="67" t="s">
        <v>4472</v>
      </c>
      <c r="D1559" s="91">
        <v>225502600</v>
      </c>
      <c r="E1559" s="76">
        <v>8826498</v>
      </c>
      <c r="F1559" s="77" t="s">
        <v>10170</v>
      </c>
      <c r="G1559" s="22"/>
      <c r="H1559" s="22"/>
    </row>
    <row r="1560" spans="1:8" ht="13.35" customHeight="1">
      <c r="A1560" s="82">
        <v>1</v>
      </c>
      <c r="B1560" s="67" t="s">
        <v>5158</v>
      </c>
      <c r="C1560" s="67" t="s">
        <v>7503</v>
      </c>
      <c r="D1560" s="91">
        <v>190523100</v>
      </c>
      <c r="E1560" s="76">
        <v>7457350</v>
      </c>
      <c r="F1560" s="77" t="s">
        <v>10170</v>
      </c>
      <c r="G1560" s="22"/>
      <c r="H1560" s="22"/>
    </row>
    <row r="1561" spans="1:8" ht="13.35" customHeight="1">
      <c r="A1561" s="82">
        <v>1</v>
      </c>
      <c r="B1561" s="67" t="s">
        <v>5159</v>
      </c>
      <c r="C1561" s="67" t="s">
        <v>7504</v>
      </c>
      <c r="D1561" s="91">
        <v>190523100</v>
      </c>
      <c r="E1561" s="76">
        <v>7457350</v>
      </c>
      <c r="F1561" s="77" t="s">
        <v>10170</v>
      </c>
      <c r="G1561" s="22"/>
      <c r="H1561" s="22"/>
    </row>
    <row r="1562" spans="1:8" ht="13.35" customHeight="1">
      <c r="A1562" s="82">
        <v>1</v>
      </c>
      <c r="B1562" s="67" t="s">
        <v>5160</v>
      </c>
      <c r="C1562" s="67" t="s">
        <v>7505</v>
      </c>
      <c r="D1562" s="91">
        <v>190523100</v>
      </c>
      <c r="E1562" s="76">
        <v>7457350</v>
      </c>
      <c r="F1562" s="77" t="s">
        <v>10170</v>
      </c>
      <c r="G1562" s="22"/>
      <c r="H1562" s="22"/>
    </row>
    <row r="1563" spans="1:8" ht="13.35" customHeight="1">
      <c r="A1563" s="82">
        <v>1</v>
      </c>
      <c r="B1563" s="67" t="s">
        <v>5161</v>
      </c>
      <c r="C1563" s="67" t="s">
        <v>7506</v>
      </c>
      <c r="D1563" s="91">
        <v>190523100</v>
      </c>
      <c r="E1563" s="76">
        <v>7457350</v>
      </c>
      <c r="F1563" s="77" t="s">
        <v>10170</v>
      </c>
      <c r="G1563" s="22"/>
      <c r="H1563" s="22"/>
    </row>
    <row r="1564" spans="1:8" ht="13.35" customHeight="1">
      <c r="A1564" s="82">
        <v>1</v>
      </c>
      <c r="B1564" s="67" t="s">
        <v>6149</v>
      </c>
      <c r="C1564" s="67" t="s">
        <v>6150</v>
      </c>
      <c r="D1564" s="91">
        <v>190523100</v>
      </c>
      <c r="E1564" s="76">
        <v>7457350</v>
      </c>
      <c r="F1564" s="77" t="s">
        <v>10170</v>
      </c>
      <c r="G1564" s="22"/>
      <c r="H1564" s="22"/>
    </row>
    <row r="1565" spans="1:8" ht="13.35" customHeight="1">
      <c r="A1565" s="82">
        <v>1</v>
      </c>
      <c r="B1565" s="67" t="s">
        <v>5157</v>
      </c>
      <c r="C1565" s="67" t="s">
        <v>7507</v>
      </c>
      <c r="D1565" s="91">
        <v>190797300</v>
      </c>
      <c r="E1565" s="76">
        <v>7468079.9999999991</v>
      </c>
      <c r="F1565" s="77" t="s">
        <v>10170</v>
      </c>
      <c r="G1565" s="22"/>
      <c r="H1565" s="22"/>
    </row>
    <row r="1566" spans="1:8" ht="13.35" customHeight="1">
      <c r="A1566" s="82">
        <v>1</v>
      </c>
      <c r="B1566" s="83" t="s">
        <v>4309</v>
      </c>
      <c r="C1566" s="67" t="s">
        <v>5425</v>
      </c>
      <c r="D1566" s="91">
        <v>190523100</v>
      </c>
      <c r="E1566" s="76">
        <v>7457350</v>
      </c>
      <c r="F1566" s="77" t="s">
        <v>10170</v>
      </c>
      <c r="G1566" s="22"/>
      <c r="H1566" s="22"/>
    </row>
    <row r="1567" spans="1:8" ht="13.35" customHeight="1">
      <c r="A1567" s="82">
        <v>1</v>
      </c>
      <c r="B1567" s="83" t="s">
        <v>4310</v>
      </c>
      <c r="C1567" s="67" t="s">
        <v>5426</v>
      </c>
      <c r="D1567" s="91">
        <v>190523100</v>
      </c>
      <c r="E1567" s="76">
        <v>7457350</v>
      </c>
      <c r="F1567" s="77" t="s">
        <v>10170</v>
      </c>
      <c r="G1567" s="22"/>
      <c r="H1567" s="22"/>
    </row>
    <row r="1568" spans="1:8" ht="13.35" customHeight="1">
      <c r="A1568" s="82">
        <v>1</v>
      </c>
      <c r="B1568" s="83" t="s">
        <v>4311</v>
      </c>
      <c r="C1568" s="67" t="s">
        <v>5427</v>
      </c>
      <c r="D1568" s="91">
        <v>190523100</v>
      </c>
      <c r="E1568" s="76">
        <v>7457350</v>
      </c>
      <c r="F1568" s="77" t="s">
        <v>10170</v>
      </c>
      <c r="G1568" s="22"/>
      <c r="H1568" s="22"/>
    </row>
    <row r="1569" spans="1:8" ht="13.35" customHeight="1">
      <c r="A1569" s="82">
        <v>1</v>
      </c>
      <c r="B1569" s="83" t="s">
        <v>4312</v>
      </c>
      <c r="C1569" s="67" t="s">
        <v>5428</v>
      </c>
      <c r="D1569" s="91">
        <v>190523100</v>
      </c>
      <c r="E1569" s="76">
        <v>7457350</v>
      </c>
      <c r="F1569" s="77" t="s">
        <v>10170</v>
      </c>
      <c r="G1569" s="22"/>
      <c r="H1569" s="22"/>
    </row>
    <row r="1570" spans="1:8" ht="13.35" customHeight="1">
      <c r="A1570" s="82">
        <v>1</v>
      </c>
      <c r="B1570" s="83" t="s">
        <v>4313</v>
      </c>
      <c r="C1570" s="67" t="s">
        <v>5429</v>
      </c>
      <c r="D1570" s="91">
        <v>190523100</v>
      </c>
      <c r="E1570" s="76">
        <v>7457350</v>
      </c>
      <c r="F1570" s="77" t="s">
        <v>10170</v>
      </c>
      <c r="G1570" s="22"/>
      <c r="H1570" s="22"/>
    </row>
    <row r="1571" spans="1:8" ht="13.35" customHeight="1">
      <c r="A1571" s="82">
        <v>1</v>
      </c>
      <c r="B1571" s="83" t="s">
        <v>4308</v>
      </c>
      <c r="C1571" s="67" t="s">
        <v>5430</v>
      </c>
      <c r="D1571" s="91">
        <v>190797300</v>
      </c>
      <c r="E1571" s="76">
        <v>7468079.9999999991</v>
      </c>
      <c r="F1571" s="77" t="s">
        <v>10170</v>
      </c>
      <c r="G1571" s="22"/>
      <c r="H1571" s="22"/>
    </row>
    <row r="1572" spans="1:8" ht="13.35" customHeight="1">
      <c r="A1572" s="82">
        <v>1</v>
      </c>
      <c r="B1572" s="83" t="s">
        <v>4910</v>
      </c>
      <c r="C1572" s="67" t="s">
        <v>5431</v>
      </c>
      <c r="D1572" s="91">
        <v>190797300</v>
      </c>
      <c r="E1572" s="76">
        <v>7468079.9999999991</v>
      </c>
      <c r="F1572" s="77" t="s">
        <v>10170</v>
      </c>
      <c r="G1572" s="22"/>
      <c r="H1572" s="22"/>
    </row>
    <row r="1573" spans="1:8" ht="13.35" customHeight="1">
      <c r="A1573" s="82">
        <v>1</v>
      </c>
      <c r="B1573" s="67" t="s">
        <v>5169</v>
      </c>
      <c r="C1573" s="67" t="s">
        <v>7508</v>
      </c>
      <c r="D1573" s="91">
        <v>157558500</v>
      </c>
      <c r="E1573" s="76">
        <v>6167067.4999999991</v>
      </c>
      <c r="F1573" s="77" t="s">
        <v>10170</v>
      </c>
      <c r="G1573" s="22"/>
      <c r="H1573" s="22"/>
    </row>
    <row r="1574" spans="1:8" ht="13.35" customHeight="1">
      <c r="A1574" s="82">
        <v>1</v>
      </c>
      <c r="B1574" s="67" t="s">
        <v>5170</v>
      </c>
      <c r="C1574" s="67" t="s">
        <v>7509</v>
      </c>
      <c r="D1574" s="91">
        <v>157558500</v>
      </c>
      <c r="E1574" s="76">
        <v>6167067.4999999991</v>
      </c>
      <c r="F1574" s="77" t="s">
        <v>10170</v>
      </c>
      <c r="G1574" s="22"/>
      <c r="H1574" s="22"/>
    </row>
    <row r="1575" spans="1:8" ht="13.35" customHeight="1">
      <c r="A1575" s="82">
        <v>1</v>
      </c>
      <c r="B1575" s="67" t="s">
        <v>5171</v>
      </c>
      <c r="C1575" s="67" t="s">
        <v>7510</v>
      </c>
      <c r="D1575" s="91">
        <v>157558500</v>
      </c>
      <c r="E1575" s="76">
        <v>6167067.4999999991</v>
      </c>
      <c r="F1575" s="77" t="s">
        <v>10170</v>
      </c>
      <c r="G1575" s="22"/>
      <c r="H1575" s="22"/>
    </row>
    <row r="1576" spans="1:8" ht="13.35" customHeight="1">
      <c r="A1576" s="82">
        <v>1</v>
      </c>
      <c r="B1576" s="67" t="s">
        <v>5172</v>
      </c>
      <c r="C1576" s="67" t="s">
        <v>7511</v>
      </c>
      <c r="D1576" s="91">
        <v>157558500</v>
      </c>
      <c r="E1576" s="76">
        <v>6167067.4999999991</v>
      </c>
      <c r="F1576" s="77" t="s">
        <v>10170</v>
      </c>
      <c r="G1576" s="22"/>
      <c r="H1576" s="22"/>
    </row>
    <row r="1577" spans="1:8" ht="13.35" customHeight="1">
      <c r="A1577" s="82">
        <v>1</v>
      </c>
      <c r="B1577" s="67" t="s">
        <v>5173</v>
      </c>
      <c r="C1577" s="67" t="s">
        <v>7512</v>
      </c>
      <c r="D1577" s="91">
        <v>157558500</v>
      </c>
      <c r="E1577" s="76">
        <v>6167067.4999999991</v>
      </c>
      <c r="F1577" s="77" t="s">
        <v>10170</v>
      </c>
      <c r="G1577" s="22"/>
      <c r="H1577" s="22"/>
    </row>
    <row r="1578" spans="1:8" ht="13.35" customHeight="1">
      <c r="A1578" s="82">
        <v>1</v>
      </c>
      <c r="B1578" s="67" t="s">
        <v>6151</v>
      </c>
      <c r="C1578" s="67" t="s">
        <v>6152</v>
      </c>
      <c r="D1578" s="91">
        <v>157558500</v>
      </c>
      <c r="E1578" s="76">
        <v>6167067.4999999991</v>
      </c>
      <c r="F1578" s="77" t="s">
        <v>10170</v>
      </c>
      <c r="G1578" s="22"/>
      <c r="H1578" s="22"/>
    </row>
    <row r="1579" spans="1:8" ht="13.35" customHeight="1">
      <c r="A1579" s="82">
        <v>1</v>
      </c>
      <c r="B1579" s="67" t="s">
        <v>5168</v>
      </c>
      <c r="C1579" s="67" t="s">
        <v>6152</v>
      </c>
      <c r="D1579" s="91">
        <v>136998500</v>
      </c>
      <c r="E1579" s="76">
        <v>5362317.5</v>
      </c>
      <c r="F1579" s="77" t="s">
        <v>10170</v>
      </c>
      <c r="G1579" s="22"/>
      <c r="H1579" s="22"/>
    </row>
    <row r="1580" spans="1:8" ht="13.35" customHeight="1">
      <c r="A1580" s="82">
        <v>1</v>
      </c>
      <c r="B1580" s="83" t="s">
        <v>4113</v>
      </c>
      <c r="C1580" s="67" t="s">
        <v>4114</v>
      </c>
      <c r="D1580" s="91">
        <v>129829900</v>
      </c>
      <c r="E1580" s="76">
        <v>5081728</v>
      </c>
      <c r="F1580" s="77" t="s">
        <v>10170</v>
      </c>
      <c r="G1580" s="22"/>
      <c r="H1580" s="22"/>
    </row>
    <row r="1581" spans="1:8" ht="13.35" customHeight="1">
      <c r="A1581" s="82">
        <v>1</v>
      </c>
      <c r="B1581" s="83" t="s">
        <v>4115</v>
      </c>
      <c r="C1581" s="67" t="s">
        <v>4116</v>
      </c>
      <c r="D1581" s="91">
        <v>129829900</v>
      </c>
      <c r="E1581" s="76">
        <v>5081728</v>
      </c>
      <c r="F1581" s="77" t="s">
        <v>10170</v>
      </c>
      <c r="G1581" s="22"/>
      <c r="H1581" s="22"/>
    </row>
    <row r="1582" spans="1:8" ht="13.35" customHeight="1">
      <c r="A1582" s="82">
        <v>1</v>
      </c>
      <c r="B1582" s="83" t="s">
        <v>4117</v>
      </c>
      <c r="C1582" s="67" t="s">
        <v>4118</v>
      </c>
      <c r="D1582" s="91">
        <v>129829900</v>
      </c>
      <c r="E1582" s="76">
        <v>5081728</v>
      </c>
      <c r="F1582" s="77" t="s">
        <v>10170</v>
      </c>
      <c r="G1582" s="22"/>
      <c r="H1582" s="22"/>
    </row>
    <row r="1583" spans="1:8" ht="13.35" customHeight="1">
      <c r="A1583" s="82">
        <v>1</v>
      </c>
      <c r="B1583" s="83" t="s">
        <v>4119</v>
      </c>
      <c r="C1583" s="67" t="s">
        <v>4120</v>
      </c>
      <c r="D1583" s="91">
        <v>129829900</v>
      </c>
      <c r="E1583" s="76">
        <v>5081728</v>
      </c>
      <c r="F1583" s="77" t="s">
        <v>10170</v>
      </c>
      <c r="G1583" s="22"/>
      <c r="H1583" s="22"/>
    </row>
    <row r="1584" spans="1:8" ht="13.35" customHeight="1">
      <c r="A1584" s="82">
        <v>1</v>
      </c>
      <c r="B1584" s="83" t="s">
        <v>4121</v>
      </c>
      <c r="C1584" s="67" t="s">
        <v>5432</v>
      </c>
      <c r="D1584" s="91">
        <v>129829900</v>
      </c>
      <c r="E1584" s="76">
        <v>5081728</v>
      </c>
      <c r="F1584" s="77" t="s">
        <v>10170</v>
      </c>
      <c r="G1584" s="22"/>
      <c r="H1584" s="22"/>
    </row>
    <row r="1585" spans="1:8" ht="13.35" customHeight="1">
      <c r="A1585" s="82">
        <v>1</v>
      </c>
      <c r="B1585" s="83" t="s">
        <v>4111</v>
      </c>
      <c r="C1585" s="67" t="s">
        <v>4112</v>
      </c>
      <c r="D1585" s="91">
        <v>130104000</v>
      </c>
      <c r="E1585" s="76">
        <v>5092458</v>
      </c>
      <c r="F1585" s="77" t="s">
        <v>10170</v>
      </c>
      <c r="G1585" s="22"/>
      <c r="H1585" s="22"/>
    </row>
    <row r="1586" spans="1:8" ht="13.35" customHeight="1">
      <c r="A1586" s="82">
        <v>1</v>
      </c>
      <c r="B1586" s="67" t="s">
        <v>5163</v>
      </c>
      <c r="C1586" s="67" t="s">
        <v>7513</v>
      </c>
      <c r="D1586" s="91">
        <v>123291800</v>
      </c>
      <c r="E1586" s="76">
        <v>4825817.5</v>
      </c>
      <c r="F1586" s="77" t="s">
        <v>10170</v>
      </c>
      <c r="G1586" s="22"/>
      <c r="H1586" s="22"/>
    </row>
    <row r="1587" spans="1:8" ht="13.35" customHeight="1">
      <c r="A1587" s="82">
        <v>1</v>
      </c>
      <c r="B1587" s="67" t="s">
        <v>5164</v>
      </c>
      <c r="C1587" s="67" t="s">
        <v>7514</v>
      </c>
      <c r="D1587" s="91">
        <v>123291800</v>
      </c>
      <c r="E1587" s="76">
        <v>4825817.5</v>
      </c>
      <c r="F1587" s="77" t="s">
        <v>10170</v>
      </c>
      <c r="G1587" s="22"/>
      <c r="H1587" s="22"/>
    </row>
    <row r="1588" spans="1:8" ht="13.35" customHeight="1">
      <c r="A1588" s="82">
        <v>1</v>
      </c>
      <c r="B1588" s="67" t="s">
        <v>5165</v>
      </c>
      <c r="C1588" s="67" t="s">
        <v>7515</v>
      </c>
      <c r="D1588" s="91">
        <v>123291800</v>
      </c>
      <c r="E1588" s="76">
        <v>4825817.5</v>
      </c>
      <c r="F1588" s="77" t="s">
        <v>10170</v>
      </c>
      <c r="G1588" s="22"/>
      <c r="H1588" s="22"/>
    </row>
    <row r="1589" spans="1:8" ht="13.35" customHeight="1">
      <c r="A1589" s="82">
        <v>1</v>
      </c>
      <c r="B1589" s="67" t="s">
        <v>5166</v>
      </c>
      <c r="C1589" s="67" t="s">
        <v>7516</v>
      </c>
      <c r="D1589" s="91">
        <v>123291800</v>
      </c>
      <c r="E1589" s="76">
        <v>4825817.5</v>
      </c>
      <c r="F1589" s="77" t="s">
        <v>10170</v>
      </c>
      <c r="G1589" s="22"/>
      <c r="H1589" s="22"/>
    </row>
    <row r="1590" spans="1:8" ht="13.35" customHeight="1">
      <c r="A1590" s="82">
        <v>1</v>
      </c>
      <c r="B1590" s="67" t="s">
        <v>5167</v>
      </c>
      <c r="C1590" s="67" t="s">
        <v>7517</v>
      </c>
      <c r="D1590" s="91">
        <v>123291800</v>
      </c>
      <c r="E1590" s="76">
        <v>4825817.5</v>
      </c>
      <c r="F1590" s="77" t="s">
        <v>10170</v>
      </c>
      <c r="G1590" s="22"/>
      <c r="H1590" s="22"/>
    </row>
    <row r="1591" spans="1:8" ht="13.35" customHeight="1">
      <c r="A1591" s="82">
        <v>1</v>
      </c>
      <c r="B1591" s="67" t="s">
        <v>6153</v>
      </c>
      <c r="C1591" s="67" t="s">
        <v>6154</v>
      </c>
      <c r="D1591" s="91">
        <v>123291800</v>
      </c>
      <c r="E1591" s="76">
        <v>4825817.5</v>
      </c>
      <c r="F1591" s="77" t="s">
        <v>10170</v>
      </c>
      <c r="G1591" s="22"/>
      <c r="H1591" s="22"/>
    </row>
    <row r="1592" spans="1:8" ht="13.35" customHeight="1">
      <c r="A1592" s="82">
        <v>1</v>
      </c>
      <c r="B1592" s="67" t="s">
        <v>5162</v>
      </c>
      <c r="C1592" s="67" t="s">
        <v>6154</v>
      </c>
      <c r="D1592" s="91">
        <v>123291800</v>
      </c>
      <c r="E1592" s="76">
        <v>4825817.5</v>
      </c>
      <c r="F1592" s="77" t="s">
        <v>10170</v>
      </c>
      <c r="G1592" s="22"/>
      <c r="H1592" s="22"/>
    </row>
    <row r="1593" spans="1:8" ht="13.35" customHeight="1">
      <c r="A1593" s="82">
        <v>1</v>
      </c>
      <c r="B1593" s="83" t="s">
        <v>4089</v>
      </c>
      <c r="C1593" s="67" t="s">
        <v>4090</v>
      </c>
      <c r="D1593" s="91">
        <v>91670400</v>
      </c>
      <c r="E1593" s="76">
        <v>3588112</v>
      </c>
      <c r="F1593" s="77" t="s">
        <v>10170</v>
      </c>
      <c r="G1593" s="22"/>
      <c r="H1593" s="22"/>
    </row>
    <row r="1594" spans="1:8" ht="13.35" customHeight="1">
      <c r="A1594" s="82">
        <v>1</v>
      </c>
      <c r="B1594" s="83" t="s">
        <v>4091</v>
      </c>
      <c r="C1594" s="67" t="s">
        <v>4092</v>
      </c>
      <c r="D1594" s="91">
        <v>91670400</v>
      </c>
      <c r="E1594" s="76">
        <v>3588112</v>
      </c>
      <c r="F1594" s="77" t="s">
        <v>10170</v>
      </c>
      <c r="G1594" s="22"/>
      <c r="H1594" s="22"/>
    </row>
    <row r="1595" spans="1:8" ht="13.35" customHeight="1">
      <c r="A1595" s="82">
        <v>1</v>
      </c>
      <c r="B1595" s="83" t="s">
        <v>4093</v>
      </c>
      <c r="C1595" s="67" t="s">
        <v>4094</v>
      </c>
      <c r="D1595" s="91">
        <v>91670400</v>
      </c>
      <c r="E1595" s="76">
        <v>3588112</v>
      </c>
      <c r="F1595" s="77" t="s">
        <v>10170</v>
      </c>
      <c r="G1595" s="22"/>
      <c r="H1595" s="22"/>
    </row>
    <row r="1596" spans="1:8" ht="13.35" customHeight="1">
      <c r="A1596" s="82">
        <v>1</v>
      </c>
      <c r="B1596" s="83" t="s">
        <v>4095</v>
      </c>
      <c r="C1596" s="67" t="s">
        <v>4096</v>
      </c>
      <c r="D1596" s="91">
        <v>91670400</v>
      </c>
      <c r="E1596" s="76">
        <v>3588112</v>
      </c>
      <c r="F1596" s="77" t="s">
        <v>10170</v>
      </c>
      <c r="G1596" s="22"/>
      <c r="H1596" s="22"/>
    </row>
    <row r="1597" spans="1:8" ht="13.35" customHeight="1">
      <c r="A1597" s="82">
        <v>1</v>
      </c>
      <c r="B1597" s="83" t="s">
        <v>4097</v>
      </c>
      <c r="C1597" s="67" t="s">
        <v>4098</v>
      </c>
      <c r="D1597" s="91">
        <v>91670400</v>
      </c>
      <c r="E1597" s="76">
        <v>3588112</v>
      </c>
      <c r="F1597" s="77" t="s">
        <v>10170</v>
      </c>
      <c r="G1597" s="22"/>
      <c r="H1597" s="22"/>
    </row>
    <row r="1598" spans="1:8" ht="13.35" customHeight="1">
      <c r="A1598" s="82">
        <v>1</v>
      </c>
      <c r="B1598" s="83" t="s">
        <v>4087</v>
      </c>
      <c r="C1598" s="67" t="s">
        <v>4088</v>
      </c>
      <c r="D1598" s="91">
        <v>91944500</v>
      </c>
      <c r="E1598" s="76">
        <v>3598842</v>
      </c>
      <c r="F1598" s="77" t="s">
        <v>10170</v>
      </c>
      <c r="G1598" s="22"/>
      <c r="H1598" s="22"/>
    </row>
    <row r="1599" spans="1:8" ht="13.35" customHeight="1">
      <c r="A1599" s="82">
        <v>1</v>
      </c>
      <c r="B1599" s="83" t="s">
        <v>4466</v>
      </c>
      <c r="C1599" s="67" t="s">
        <v>4596</v>
      </c>
      <c r="D1599" s="91">
        <v>155817800</v>
      </c>
      <c r="E1599" s="76">
        <v>6098932</v>
      </c>
      <c r="F1599" s="77" t="s">
        <v>10170</v>
      </c>
      <c r="G1599" s="22"/>
      <c r="H1599" s="22"/>
    </row>
    <row r="1600" spans="1:8" ht="13.35" customHeight="1">
      <c r="A1600" s="82">
        <v>1</v>
      </c>
      <c r="B1600" s="83" t="s">
        <v>4467</v>
      </c>
      <c r="C1600" s="67" t="s">
        <v>4597</v>
      </c>
      <c r="D1600" s="91">
        <v>155817800</v>
      </c>
      <c r="E1600" s="76">
        <v>6098932</v>
      </c>
      <c r="F1600" s="77" t="s">
        <v>10170</v>
      </c>
      <c r="G1600" s="22"/>
      <c r="H1600" s="22"/>
    </row>
    <row r="1601" spans="1:8" ht="13.35" customHeight="1">
      <c r="A1601" s="82">
        <v>1</v>
      </c>
      <c r="B1601" s="83" t="s">
        <v>4468</v>
      </c>
      <c r="C1601" s="67" t="s">
        <v>4598</v>
      </c>
      <c r="D1601" s="91">
        <v>155817800</v>
      </c>
      <c r="E1601" s="76">
        <v>6098932</v>
      </c>
      <c r="F1601" s="77" t="s">
        <v>10170</v>
      </c>
      <c r="G1601" s="22"/>
      <c r="H1601" s="22"/>
    </row>
    <row r="1602" spans="1:8" ht="13.35" customHeight="1">
      <c r="A1602" s="82">
        <v>1</v>
      </c>
      <c r="B1602" s="83" t="s">
        <v>4469</v>
      </c>
      <c r="C1602" s="67" t="s">
        <v>4599</v>
      </c>
      <c r="D1602" s="91">
        <v>155817800</v>
      </c>
      <c r="E1602" s="76">
        <v>6098932</v>
      </c>
      <c r="F1602" s="77" t="s">
        <v>10170</v>
      </c>
      <c r="G1602" s="22"/>
      <c r="H1602" s="22"/>
    </row>
    <row r="1603" spans="1:8" ht="13.35" customHeight="1">
      <c r="A1603" s="82">
        <v>1</v>
      </c>
      <c r="B1603" s="83" t="s">
        <v>4470</v>
      </c>
      <c r="C1603" s="67" t="s">
        <v>4600</v>
      </c>
      <c r="D1603" s="91">
        <v>155817800</v>
      </c>
      <c r="E1603" s="76">
        <v>6098932</v>
      </c>
      <c r="F1603" s="77" t="s">
        <v>10170</v>
      </c>
      <c r="G1603" s="22"/>
      <c r="H1603" s="22"/>
    </row>
    <row r="1604" spans="1:8" ht="13.35" customHeight="1">
      <c r="A1604" s="82">
        <v>1</v>
      </c>
      <c r="B1604" s="83" t="s">
        <v>4465</v>
      </c>
      <c r="C1604" s="67" t="s">
        <v>4595</v>
      </c>
      <c r="D1604" s="91">
        <v>156091900</v>
      </c>
      <c r="E1604" s="76">
        <v>6109662.0000000009</v>
      </c>
      <c r="F1604" s="77" t="s">
        <v>10170</v>
      </c>
      <c r="G1604" s="22"/>
      <c r="H1604" s="22"/>
    </row>
    <row r="1605" spans="1:8" ht="13.35" customHeight="1">
      <c r="A1605" s="82">
        <v>1</v>
      </c>
      <c r="B1605" s="83" t="s">
        <v>4124</v>
      </c>
      <c r="C1605" s="67" t="s">
        <v>4125</v>
      </c>
      <c r="D1605" s="91">
        <v>116438400</v>
      </c>
      <c r="E1605" s="76">
        <v>4557567.5</v>
      </c>
      <c r="F1605" s="77" t="s">
        <v>10170</v>
      </c>
      <c r="G1605" s="22"/>
      <c r="H1605" s="22"/>
    </row>
    <row r="1606" spans="1:8" ht="13.35" customHeight="1">
      <c r="A1606" s="82">
        <v>1</v>
      </c>
      <c r="B1606" s="83" t="s">
        <v>4126</v>
      </c>
      <c r="C1606" s="67" t="s">
        <v>4127</v>
      </c>
      <c r="D1606" s="91">
        <v>116438400</v>
      </c>
      <c r="E1606" s="76">
        <v>4557567.5</v>
      </c>
      <c r="F1606" s="77" t="s">
        <v>10170</v>
      </c>
      <c r="G1606" s="22"/>
      <c r="H1606" s="22"/>
    </row>
    <row r="1607" spans="1:8" ht="13.35" customHeight="1">
      <c r="A1607" s="82">
        <v>1</v>
      </c>
      <c r="B1607" s="83" t="s">
        <v>4128</v>
      </c>
      <c r="C1607" s="67" t="s">
        <v>4129</v>
      </c>
      <c r="D1607" s="91">
        <v>116438400</v>
      </c>
      <c r="E1607" s="76">
        <v>4557567.5</v>
      </c>
      <c r="F1607" s="77" t="s">
        <v>10170</v>
      </c>
      <c r="G1607" s="22"/>
      <c r="H1607" s="22"/>
    </row>
    <row r="1608" spans="1:8" ht="13.35" customHeight="1">
      <c r="A1608" s="82">
        <v>1</v>
      </c>
      <c r="B1608" s="83" t="s">
        <v>4130</v>
      </c>
      <c r="C1608" s="67" t="s">
        <v>4131</v>
      </c>
      <c r="D1608" s="91">
        <v>116438400</v>
      </c>
      <c r="E1608" s="76">
        <v>4557567.5</v>
      </c>
      <c r="F1608" s="77" t="s">
        <v>10170</v>
      </c>
      <c r="G1608" s="22"/>
      <c r="H1608" s="22"/>
    </row>
    <row r="1609" spans="1:8" ht="13.35" customHeight="1">
      <c r="A1609" s="82">
        <v>1</v>
      </c>
      <c r="B1609" s="83" t="s">
        <v>4132</v>
      </c>
      <c r="C1609" s="67" t="s">
        <v>4133</v>
      </c>
      <c r="D1609" s="91">
        <v>116438400</v>
      </c>
      <c r="E1609" s="76">
        <v>4557567.5</v>
      </c>
      <c r="F1609" s="77" t="s">
        <v>10170</v>
      </c>
      <c r="G1609" s="22"/>
      <c r="H1609" s="22"/>
    </row>
    <row r="1610" spans="1:8" ht="13.35" customHeight="1">
      <c r="A1610" s="82">
        <v>1</v>
      </c>
      <c r="B1610" s="83" t="s">
        <v>4122</v>
      </c>
      <c r="C1610" s="67" t="s">
        <v>4123</v>
      </c>
      <c r="D1610" s="91">
        <v>116438400</v>
      </c>
      <c r="E1610" s="76">
        <v>4557567.5</v>
      </c>
      <c r="F1610" s="77" t="s">
        <v>10170</v>
      </c>
      <c r="G1610" s="22"/>
      <c r="H1610" s="22"/>
    </row>
    <row r="1611" spans="1:8" ht="13.35" customHeight="1">
      <c r="A1611" s="82">
        <v>1</v>
      </c>
      <c r="B1611" s="83" t="s">
        <v>5186</v>
      </c>
      <c r="C1611" s="67" t="s">
        <v>7518</v>
      </c>
      <c r="D1611" s="91">
        <v>116438400</v>
      </c>
      <c r="E1611" s="76">
        <v>4557567.5</v>
      </c>
      <c r="F1611" s="77" t="s">
        <v>10170</v>
      </c>
      <c r="G1611" s="22"/>
      <c r="H1611" s="22"/>
    </row>
    <row r="1612" spans="1:8" ht="13.35" customHeight="1">
      <c r="A1612" s="82">
        <v>1</v>
      </c>
      <c r="B1612" s="83" t="s">
        <v>5187</v>
      </c>
      <c r="C1612" s="67" t="s">
        <v>7519</v>
      </c>
      <c r="D1612" s="91">
        <v>116438400</v>
      </c>
      <c r="E1612" s="76">
        <v>4557567.5</v>
      </c>
      <c r="F1612" s="77" t="s">
        <v>10170</v>
      </c>
      <c r="G1612" s="22"/>
      <c r="H1612" s="22"/>
    </row>
    <row r="1613" spans="1:8" ht="13.35" customHeight="1">
      <c r="A1613" s="82">
        <v>1</v>
      </c>
      <c r="B1613" s="83" t="s">
        <v>5188</v>
      </c>
      <c r="C1613" s="67" t="s">
        <v>7520</v>
      </c>
      <c r="D1613" s="91">
        <v>116438400</v>
      </c>
      <c r="E1613" s="76">
        <v>4557567.5</v>
      </c>
      <c r="F1613" s="77" t="s">
        <v>10170</v>
      </c>
      <c r="G1613" s="22"/>
      <c r="H1613" s="22"/>
    </row>
    <row r="1614" spans="1:8" ht="13.35" customHeight="1">
      <c r="A1614" s="82">
        <v>1</v>
      </c>
      <c r="B1614" s="83" t="s">
        <v>5189</v>
      </c>
      <c r="C1614" s="67" t="s">
        <v>7521</v>
      </c>
      <c r="D1614" s="91">
        <v>116438400</v>
      </c>
      <c r="E1614" s="76">
        <v>4557567.5</v>
      </c>
      <c r="F1614" s="77" t="s">
        <v>10170</v>
      </c>
      <c r="G1614" s="22"/>
      <c r="H1614" s="22"/>
    </row>
    <row r="1615" spans="1:8" ht="13.35" customHeight="1">
      <c r="A1615" s="82">
        <v>1</v>
      </c>
      <c r="B1615" s="83" t="s">
        <v>5190</v>
      </c>
      <c r="C1615" s="67" t="s">
        <v>7522</v>
      </c>
      <c r="D1615" s="91">
        <v>116438400</v>
      </c>
      <c r="E1615" s="76">
        <v>4557567.5</v>
      </c>
      <c r="F1615" s="77" t="s">
        <v>10170</v>
      </c>
      <c r="G1615" s="22"/>
      <c r="H1615" s="22"/>
    </row>
    <row r="1616" spans="1:8" ht="13.35" customHeight="1">
      <c r="A1616" s="82">
        <v>1</v>
      </c>
      <c r="B1616" s="83" t="s">
        <v>6155</v>
      </c>
      <c r="C1616" s="67" t="s">
        <v>4123</v>
      </c>
      <c r="D1616" s="91">
        <v>116438400</v>
      </c>
      <c r="E1616" s="76">
        <v>4557567.5</v>
      </c>
      <c r="F1616" s="77" t="s">
        <v>10170</v>
      </c>
      <c r="G1616" s="22"/>
      <c r="H1616" s="22"/>
    </row>
    <row r="1617" spans="1:8" ht="13.35" customHeight="1">
      <c r="A1617" s="82">
        <v>1</v>
      </c>
      <c r="B1617" s="83" t="s">
        <v>5185</v>
      </c>
      <c r="C1617" s="67" t="s">
        <v>7523</v>
      </c>
      <c r="D1617" s="91">
        <v>116438400</v>
      </c>
      <c r="E1617" s="76">
        <v>4557567.5</v>
      </c>
      <c r="F1617" s="77" t="s">
        <v>10170</v>
      </c>
      <c r="G1617" s="22"/>
      <c r="H1617" s="22"/>
    </row>
    <row r="1618" spans="1:8" ht="13.35" customHeight="1">
      <c r="A1618" s="82">
        <v>1</v>
      </c>
      <c r="B1618" s="83" t="s">
        <v>5181</v>
      </c>
      <c r="C1618" s="67" t="s">
        <v>7524</v>
      </c>
      <c r="D1618" s="91">
        <v>102731700</v>
      </c>
      <c r="E1618" s="76">
        <v>4021067.5</v>
      </c>
      <c r="F1618" s="77" t="s">
        <v>10170</v>
      </c>
      <c r="G1618" s="22"/>
      <c r="H1618" s="22"/>
    </row>
    <row r="1619" spans="1:8" ht="13.35" customHeight="1">
      <c r="A1619" s="82">
        <v>1</v>
      </c>
      <c r="B1619" s="83" t="s">
        <v>5182</v>
      </c>
      <c r="C1619" s="67" t="s">
        <v>7525</v>
      </c>
      <c r="D1619" s="91">
        <v>102731700</v>
      </c>
      <c r="E1619" s="76">
        <v>4021067.5</v>
      </c>
      <c r="F1619" s="77" t="s">
        <v>10170</v>
      </c>
      <c r="G1619" s="22"/>
      <c r="H1619" s="22"/>
    </row>
    <row r="1620" spans="1:8" ht="13.35" customHeight="1">
      <c r="A1620" s="82">
        <v>1</v>
      </c>
      <c r="B1620" s="83" t="s">
        <v>5183</v>
      </c>
      <c r="C1620" s="67" t="s">
        <v>7526</v>
      </c>
      <c r="D1620" s="91">
        <v>102731700</v>
      </c>
      <c r="E1620" s="76">
        <v>4021067.5</v>
      </c>
      <c r="F1620" s="77" t="s">
        <v>10170</v>
      </c>
      <c r="G1620" s="22"/>
      <c r="H1620" s="22"/>
    </row>
    <row r="1621" spans="1:8" ht="13.35" customHeight="1">
      <c r="A1621" s="82">
        <v>1</v>
      </c>
      <c r="B1621" s="83" t="s">
        <v>5184</v>
      </c>
      <c r="C1621" s="67" t="s">
        <v>7527</v>
      </c>
      <c r="D1621" s="91">
        <v>102731700</v>
      </c>
      <c r="E1621" s="76">
        <v>4021067.5</v>
      </c>
      <c r="F1621" s="77" t="s">
        <v>10170</v>
      </c>
      <c r="G1621" s="22"/>
      <c r="H1621" s="22"/>
    </row>
    <row r="1622" spans="1:8" ht="13.35" customHeight="1">
      <c r="A1622" s="82">
        <v>1</v>
      </c>
      <c r="B1622" s="83" t="s">
        <v>6156</v>
      </c>
      <c r="C1622" s="67" t="s">
        <v>6157</v>
      </c>
      <c r="D1622" s="91">
        <v>102731700</v>
      </c>
      <c r="E1622" s="76">
        <v>4021067.5</v>
      </c>
      <c r="F1622" s="77" t="s">
        <v>10170</v>
      </c>
      <c r="G1622" s="22"/>
      <c r="H1622" s="22"/>
    </row>
    <row r="1623" spans="1:8" ht="13.35" customHeight="1">
      <c r="A1623" s="82">
        <v>1</v>
      </c>
      <c r="B1623" s="83" t="s">
        <v>5180</v>
      </c>
      <c r="C1623" s="67" t="s">
        <v>6157</v>
      </c>
      <c r="D1623" s="91">
        <v>102731700</v>
      </c>
      <c r="E1623" s="76">
        <v>4021067.5</v>
      </c>
      <c r="F1623" s="77" t="s">
        <v>10170</v>
      </c>
      <c r="G1623" s="22"/>
      <c r="H1623" s="22"/>
    </row>
    <row r="1624" spans="1:8" ht="13.35" customHeight="1">
      <c r="A1624" s="82">
        <v>1</v>
      </c>
      <c r="B1624" s="83" t="s">
        <v>4101</v>
      </c>
      <c r="C1624" s="67" t="s">
        <v>4102</v>
      </c>
      <c r="D1624" s="91">
        <v>102731700</v>
      </c>
      <c r="E1624" s="76">
        <v>4021067.5</v>
      </c>
      <c r="F1624" s="77" t="s">
        <v>10170</v>
      </c>
      <c r="G1624" s="22"/>
      <c r="H1624" s="22"/>
    </row>
    <row r="1625" spans="1:8" ht="13.35" customHeight="1">
      <c r="A1625" s="82">
        <v>1</v>
      </c>
      <c r="B1625" s="83" t="s">
        <v>4103</v>
      </c>
      <c r="C1625" s="67" t="s">
        <v>4104</v>
      </c>
      <c r="D1625" s="91">
        <v>102731700</v>
      </c>
      <c r="E1625" s="76">
        <v>4021067.5</v>
      </c>
      <c r="F1625" s="77" t="s">
        <v>10170</v>
      </c>
      <c r="G1625" s="22"/>
      <c r="H1625" s="22"/>
    </row>
    <row r="1626" spans="1:8" ht="13.35" customHeight="1">
      <c r="A1626" s="82">
        <v>1</v>
      </c>
      <c r="B1626" s="83" t="s">
        <v>4105</v>
      </c>
      <c r="C1626" s="67" t="s">
        <v>4106</v>
      </c>
      <c r="D1626" s="91">
        <v>102731700</v>
      </c>
      <c r="E1626" s="76">
        <v>4021067.5</v>
      </c>
      <c r="F1626" s="77" t="s">
        <v>10170</v>
      </c>
      <c r="G1626" s="22"/>
      <c r="H1626" s="22"/>
    </row>
    <row r="1627" spans="1:8" ht="13.35" customHeight="1">
      <c r="A1627" s="82">
        <v>1</v>
      </c>
      <c r="B1627" s="83" t="s">
        <v>4107</v>
      </c>
      <c r="C1627" s="67" t="s">
        <v>4108</v>
      </c>
      <c r="D1627" s="91">
        <v>102731700</v>
      </c>
      <c r="E1627" s="76">
        <v>4021067.5</v>
      </c>
      <c r="F1627" s="77" t="s">
        <v>10170</v>
      </c>
      <c r="G1627" s="22"/>
      <c r="H1627" s="22"/>
    </row>
    <row r="1628" spans="1:8" ht="13.35" customHeight="1">
      <c r="A1628" s="82">
        <v>1</v>
      </c>
      <c r="B1628" s="83" t="s">
        <v>4109</v>
      </c>
      <c r="C1628" s="67" t="s">
        <v>4110</v>
      </c>
      <c r="D1628" s="91">
        <v>102731700</v>
      </c>
      <c r="E1628" s="76">
        <v>4021067.5</v>
      </c>
      <c r="F1628" s="77" t="s">
        <v>10170</v>
      </c>
      <c r="G1628" s="22"/>
      <c r="H1628" s="22"/>
    </row>
    <row r="1629" spans="1:8" ht="13.35" customHeight="1">
      <c r="A1629" s="82">
        <v>1</v>
      </c>
      <c r="B1629" s="83" t="s">
        <v>4099</v>
      </c>
      <c r="C1629" s="67" t="s">
        <v>4100</v>
      </c>
      <c r="D1629" s="91">
        <v>102731700</v>
      </c>
      <c r="E1629" s="76">
        <v>4021067.5</v>
      </c>
      <c r="F1629" s="77" t="s">
        <v>10170</v>
      </c>
      <c r="G1629" s="22"/>
      <c r="H1629" s="22"/>
    </row>
    <row r="1630" spans="1:8" ht="13.35" customHeight="1">
      <c r="A1630" s="82">
        <v>1</v>
      </c>
      <c r="B1630" s="83" t="s">
        <v>5175</v>
      </c>
      <c r="C1630" s="67" t="s">
        <v>7528</v>
      </c>
      <c r="D1630" s="91">
        <v>102731700</v>
      </c>
      <c r="E1630" s="76">
        <v>4021067.5</v>
      </c>
      <c r="F1630" s="77" t="s">
        <v>10170</v>
      </c>
      <c r="G1630" s="22"/>
      <c r="H1630" s="22"/>
    </row>
    <row r="1631" spans="1:8" ht="13.35" customHeight="1">
      <c r="A1631" s="82">
        <v>1</v>
      </c>
      <c r="B1631" s="83" t="s">
        <v>5176</v>
      </c>
      <c r="C1631" s="67" t="s">
        <v>7529</v>
      </c>
      <c r="D1631" s="91">
        <v>102731700</v>
      </c>
      <c r="E1631" s="76">
        <v>4021067.5</v>
      </c>
      <c r="F1631" s="77" t="s">
        <v>10170</v>
      </c>
      <c r="G1631" s="22"/>
      <c r="H1631" s="22"/>
    </row>
    <row r="1632" spans="1:8" ht="13.35" customHeight="1">
      <c r="A1632" s="82">
        <v>1</v>
      </c>
      <c r="B1632" s="83" t="s">
        <v>5177</v>
      </c>
      <c r="C1632" s="67" t="s">
        <v>7530</v>
      </c>
      <c r="D1632" s="91">
        <v>102731700</v>
      </c>
      <c r="E1632" s="76">
        <v>4021067.5</v>
      </c>
      <c r="F1632" s="77" t="s">
        <v>10170</v>
      </c>
      <c r="G1632" s="22"/>
      <c r="H1632" s="22"/>
    </row>
    <row r="1633" spans="1:8" ht="13.35" customHeight="1">
      <c r="A1633" s="82">
        <v>1</v>
      </c>
      <c r="B1633" s="83" t="s">
        <v>5178</v>
      </c>
      <c r="C1633" s="67" t="s">
        <v>7531</v>
      </c>
      <c r="D1633" s="91">
        <v>102731700</v>
      </c>
      <c r="E1633" s="76">
        <v>4021067.5</v>
      </c>
      <c r="F1633" s="77" t="s">
        <v>10170</v>
      </c>
      <c r="G1633" s="22"/>
      <c r="H1633" s="22"/>
    </row>
    <row r="1634" spans="1:8" ht="13.35" customHeight="1">
      <c r="A1634" s="82">
        <v>1</v>
      </c>
      <c r="B1634" s="83" t="s">
        <v>5179</v>
      </c>
      <c r="C1634" s="67" t="s">
        <v>7532</v>
      </c>
      <c r="D1634" s="91">
        <v>102731700</v>
      </c>
      <c r="E1634" s="76">
        <v>4021067.5</v>
      </c>
      <c r="F1634" s="77" t="s">
        <v>10170</v>
      </c>
      <c r="G1634" s="22"/>
      <c r="H1634" s="22"/>
    </row>
    <row r="1635" spans="1:8" ht="13.35" customHeight="1">
      <c r="A1635" s="82">
        <v>1</v>
      </c>
      <c r="B1635" s="83" t="s">
        <v>5174</v>
      </c>
      <c r="C1635" s="67" t="s">
        <v>7533</v>
      </c>
      <c r="D1635" s="91">
        <v>102731700</v>
      </c>
      <c r="E1635" s="76">
        <v>4021067.5</v>
      </c>
      <c r="F1635" s="77" t="s">
        <v>10170</v>
      </c>
      <c r="G1635" s="22"/>
      <c r="H1635" s="22"/>
    </row>
    <row r="1636" spans="1:8" ht="13.35" customHeight="1">
      <c r="A1636" s="82">
        <v>1</v>
      </c>
      <c r="B1636" s="83" t="s">
        <v>1302</v>
      </c>
      <c r="C1636" s="67" t="s">
        <v>1303</v>
      </c>
      <c r="D1636" s="91">
        <v>342700</v>
      </c>
      <c r="E1636" s="76">
        <v>13412.5</v>
      </c>
      <c r="F1636" s="77" t="s">
        <v>10170</v>
      </c>
      <c r="G1636" s="22"/>
      <c r="H1636" s="22"/>
    </row>
    <row r="1637" spans="1:8" ht="13.35" customHeight="1">
      <c r="A1637" s="82">
        <v>1</v>
      </c>
      <c r="B1637" s="83" t="s">
        <v>6178</v>
      </c>
      <c r="C1637" s="67" t="s">
        <v>6179</v>
      </c>
      <c r="D1637" s="91">
        <v>342700</v>
      </c>
      <c r="E1637" s="76">
        <v>13412.5</v>
      </c>
      <c r="F1637" s="77" t="s">
        <v>10170</v>
      </c>
      <c r="G1637" s="22"/>
      <c r="H1637" s="22"/>
    </row>
    <row r="1638" spans="1:8" ht="13.35" customHeight="1">
      <c r="A1638" s="82">
        <v>1</v>
      </c>
      <c r="B1638" s="83" t="s">
        <v>6180</v>
      </c>
      <c r="C1638" s="67" t="s">
        <v>6181</v>
      </c>
      <c r="D1638" s="91">
        <v>342700</v>
      </c>
      <c r="E1638" s="76">
        <v>13412.5</v>
      </c>
      <c r="F1638" s="77" t="s">
        <v>10170</v>
      </c>
      <c r="G1638" s="22"/>
      <c r="H1638" s="22"/>
    </row>
    <row r="1639" spans="1:8" ht="13.35" customHeight="1">
      <c r="A1639" s="82">
        <v>1</v>
      </c>
      <c r="B1639" s="83" t="s">
        <v>3417</v>
      </c>
      <c r="C1639" s="67" t="s">
        <v>3418</v>
      </c>
      <c r="D1639" s="91">
        <v>5414100</v>
      </c>
      <c r="E1639" s="76">
        <v>211917.5</v>
      </c>
      <c r="F1639" s="77" t="s">
        <v>10170</v>
      </c>
      <c r="G1639" s="22"/>
      <c r="H1639" s="22"/>
    </row>
    <row r="1640" spans="1:8" ht="13.35" customHeight="1">
      <c r="A1640" s="82">
        <v>1</v>
      </c>
      <c r="B1640" s="83" t="s">
        <v>3413</v>
      </c>
      <c r="C1640" s="67" t="s">
        <v>3414</v>
      </c>
      <c r="D1640" s="91">
        <v>4043500</v>
      </c>
      <c r="E1640" s="76">
        <v>158267.5</v>
      </c>
      <c r="F1640" s="77" t="s">
        <v>10170</v>
      </c>
      <c r="G1640" s="22"/>
      <c r="H1640" s="22"/>
    </row>
    <row r="1641" spans="1:8" ht="13.35" customHeight="1">
      <c r="A1641" s="82">
        <v>1</v>
      </c>
      <c r="B1641" s="83" t="s">
        <v>3415</v>
      </c>
      <c r="C1641" s="67" t="s">
        <v>3416</v>
      </c>
      <c r="D1641" s="91">
        <v>2672800</v>
      </c>
      <c r="E1641" s="76">
        <v>104617.50000000001</v>
      </c>
      <c r="F1641" s="77" t="s">
        <v>10170</v>
      </c>
      <c r="G1641" s="22"/>
      <c r="H1641" s="22"/>
    </row>
    <row r="1642" spans="1:8" ht="13.35" customHeight="1">
      <c r="A1642" s="82">
        <v>1</v>
      </c>
      <c r="B1642" s="67" t="s">
        <v>6182</v>
      </c>
      <c r="C1642" s="67" t="s">
        <v>6183</v>
      </c>
      <c r="D1642" s="91">
        <v>2672800</v>
      </c>
      <c r="E1642" s="76">
        <v>104617.50000000001</v>
      </c>
      <c r="F1642" s="77" t="s">
        <v>10170</v>
      </c>
      <c r="G1642" s="22"/>
      <c r="H1642" s="22"/>
    </row>
    <row r="1643" spans="1:8" ht="13.35" customHeight="1">
      <c r="A1643" s="82">
        <v>1</v>
      </c>
      <c r="B1643" s="67" t="s">
        <v>5517</v>
      </c>
      <c r="C1643" s="67" t="s">
        <v>7534</v>
      </c>
      <c r="D1643" s="91">
        <v>1165100</v>
      </c>
      <c r="E1643" s="76">
        <v>45602.5</v>
      </c>
      <c r="F1643" s="77" t="s">
        <v>10170</v>
      </c>
      <c r="G1643" s="22"/>
      <c r="H1643" s="22"/>
    </row>
    <row r="1644" spans="1:8" ht="13.35" customHeight="1">
      <c r="A1644" s="82">
        <v>1</v>
      </c>
      <c r="B1644" s="67" t="s">
        <v>6801</v>
      </c>
      <c r="C1644" s="67" t="s">
        <v>7535</v>
      </c>
      <c r="D1644" s="91">
        <v>2261600</v>
      </c>
      <c r="E1644" s="76">
        <v>88522.5</v>
      </c>
      <c r="F1644" s="77" t="s">
        <v>10170</v>
      </c>
      <c r="G1644" s="22"/>
      <c r="H1644" s="22"/>
    </row>
    <row r="1645" spans="1:8" ht="13.35" customHeight="1">
      <c r="A1645" s="82">
        <v>1</v>
      </c>
      <c r="B1645" s="67" t="s">
        <v>6802</v>
      </c>
      <c r="C1645" s="67" t="s">
        <v>7536</v>
      </c>
      <c r="D1645" s="91">
        <v>9526200</v>
      </c>
      <c r="E1645" s="76">
        <v>372867.49999999994</v>
      </c>
      <c r="F1645" s="77" t="s">
        <v>10170</v>
      </c>
      <c r="G1645" s="22"/>
      <c r="H1645" s="22"/>
    </row>
    <row r="1646" spans="1:8" ht="13.35" customHeight="1">
      <c r="A1646" s="82">
        <v>1</v>
      </c>
      <c r="B1646" s="67" t="s">
        <v>6803</v>
      </c>
      <c r="C1646" s="67" t="s">
        <v>7537</v>
      </c>
      <c r="D1646" s="91">
        <v>7470200</v>
      </c>
      <c r="E1646" s="76">
        <v>292392.5</v>
      </c>
      <c r="F1646" s="77" t="s">
        <v>10170</v>
      </c>
      <c r="G1646" s="22"/>
      <c r="H1646" s="22"/>
    </row>
    <row r="1647" spans="1:8" ht="13.35" customHeight="1">
      <c r="A1647" s="82">
        <v>1</v>
      </c>
      <c r="B1647" s="83" t="s">
        <v>3412</v>
      </c>
      <c r="C1647" s="67" t="s">
        <v>4594</v>
      </c>
      <c r="D1647" s="91">
        <v>616800</v>
      </c>
      <c r="E1647" s="76">
        <v>24142.499999999996</v>
      </c>
      <c r="F1647" s="77" t="s">
        <v>10170</v>
      </c>
      <c r="G1647" s="22"/>
      <c r="H1647" s="22"/>
    </row>
    <row r="1648" spans="1:8" ht="13.35" customHeight="1">
      <c r="A1648" s="82">
        <v>1</v>
      </c>
      <c r="B1648" s="83" t="s">
        <v>1304</v>
      </c>
      <c r="C1648" s="67" t="s">
        <v>4604</v>
      </c>
      <c r="D1648" s="91">
        <v>616800</v>
      </c>
      <c r="E1648" s="76">
        <v>24142.499999999996</v>
      </c>
      <c r="F1648" s="77" t="s">
        <v>10170</v>
      </c>
      <c r="G1648" s="22"/>
      <c r="H1648" s="22"/>
    </row>
    <row r="1649" spans="1:8" ht="13.35" customHeight="1">
      <c r="A1649" s="82">
        <v>1</v>
      </c>
      <c r="B1649" s="67" t="s">
        <v>6804</v>
      </c>
      <c r="C1649" s="67" t="s">
        <v>7538</v>
      </c>
      <c r="D1649" s="91">
        <v>617390900</v>
      </c>
      <c r="E1649" s="76">
        <v>24165569.5</v>
      </c>
      <c r="F1649" s="77" t="s">
        <v>10170</v>
      </c>
      <c r="G1649" s="22"/>
      <c r="H1649" s="22"/>
    </row>
    <row r="1650" spans="1:8" ht="13.35" customHeight="1">
      <c r="A1650" s="82">
        <v>1</v>
      </c>
      <c r="B1650" s="67" t="s">
        <v>6805</v>
      </c>
      <c r="C1650" s="67" t="s">
        <v>7539</v>
      </c>
      <c r="D1650" s="91">
        <v>562783400</v>
      </c>
      <c r="E1650" s="76">
        <v>22028153.5</v>
      </c>
      <c r="F1650" s="77" t="s">
        <v>10170</v>
      </c>
      <c r="G1650" s="22"/>
      <c r="H1650" s="22"/>
    </row>
    <row r="1651" spans="1:8" ht="13.35" customHeight="1">
      <c r="A1651" s="82">
        <v>1</v>
      </c>
      <c r="B1651" s="83" t="s">
        <v>2753</v>
      </c>
      <c r="C1651" s="67" t="s">
        <v>2754</v>
      </c>
      <c r="D1651" s="91">
        <v>617390900</v>
      </c>
      <c r="E1651" s="76">
        <v>24165569.5</v>
      </c>
      <c r="F1651" s="77" t="s">
        <v>10170</v>
      </c>
      <c r="G1651" s="22"/>
      <c r="H1651" s="22"/>
    </row>
    <row r="1652" spans="1:8" ht="13.35" customHeight="1">
      <c r="A1652" s="82">
        <v>1</v>
      </c>
      <c r="B1652" s="83" t="s">
        <v>2755</v>
      </c>
      <c r="C1652" s="67" t="s">
        <v>2756</v>
      </c>
      <c r="D1652" s="91">
        <v>562783400</v>
      </c>
      <c r="E1652" s="76">
        <v>22028153.5</v>
      </c>
      <c r="F1652" s="77" t="s">
        <v>10170</v>
      </c>
      <c r="G1652" s="22"/>
      <c r="H1652" s="22"/>
    </row>
    <row r="1653" spans="1:8" ht="13.35" customHeight="1">
      <c r="A1653" s="82">
        <v>1</v>
      </c>
      <c r="B1653" s="83" t="s">
        <v>2403</v>
      </c>
      <c r="C1653" s="67" t="s">
        <v>2404</v>
      </c>
      <c r="D1653" s="91">
        <v>339446400</v>
      </c>
      <c r="E1653" s="76">
        <v>13286422.499999998</v>
      </c>
      <c r="F1653" s="77" t="s">
        <v>10170</v>
      </c>
      <c r="G1653" s="22"/>
      <c r="H1653" s="22"/>
    </row>
    <row r="1654" spans="1:8" ht="13.35" customHeight="1">
      <c r="A1654" s="82">
        <v>1</v>
      </c>
      <c r="B1654" s="83" t="s">
        <v>2405</v>
      </c>
      <c r="C1654" s="67" t="s">
        <v>2406</v>
      </c>
      <c r="D1654" s="91">
        <v>312293500</v>
      </c>
      <c r="E1654" s="76">
        <v>12223616</v>
      </c>
      <c r="F1654" s="77" t="s">
        <v>10170</v>
      </c>
      <c r="G1654" s="22"/>
      <c r="H1654" s="22"/>
    </row>
    <row r="1655" spans="1:8" ht="13.35" customHeight="1">
      <c r="A1655" s="82">
        <v>1</v>
      </c>
      <c r="B1655" s="67" t="s">
        <v>6806</v>
      </c>
      <c r="C1655" s="67" t="s">
        <v>7540</v>
      </c>
      <c r="D1655" s="91">
        <v>674095500</v>
      </c>
      <c r="E1655" s="76">
        <v>26385069.999999996</v>
      </c>
      <c r="F1655" s="77" t="s">
        <v>10170</v>
      </c>
      <c r="G1655" s="22"/>
      <c r="H1655" s="22"/>
    </row>
    <row r="1656" spans="1:8" ht="13.35" customHeight="1">
      <c r="A1656" s="82">
        <v>1</v>
      </c>
      <c r="B1656" s="67" t="s">
        <v>6807</v>
      </c>
      <c r="C1656" s="67" t="s">
        <v>7541</v>
      </c>
      <c r="D1656" s="91">
        <v>619392100</v>
      </c>
      <c r="E1656" s="76">
        <v>24243898.5</v>
      </c>
      <c r="F1656" s="77" t="s">
        <v>10170</v>
      </c>
      <c r="G1656" s="22"/>
      <c r="H1656" s="22"/>
    </row>
    <row r="1657" spans="1:8" ht="13.35" customHeight="1">
      <c r="A1657" s="82">
        <v>1</v>
      </c>
      <c r="B1657" s="83" t="s">
        <v>2757</v>
      </c>
      <c r="C1657" s="67" t="s">
        <v>2758</v>
      </c>
      <c r="D1657" s="91">
        <v>674095500</v>
      </c>
      <c r="E1657" s="76">
        <v>26385069.999999996</v>
      </c>
      <c r="F1657" s="77" t="s">
        <v>10170</v>
      </c>
      <c r="G1657" s="22"/>
      <c r="H1657" s="22"/>
    </row>
    <row r="1658" spans="1:8" ht="13.35" customHeight="1">
      <c r="A1658" s="82">
        <v>1</v>
      </c>
      <c r="B1658" s="83" t="s">
        <v>2759</v>
      </c>
      <c r="C1658" s="67" t="s">
        <v>2760</v>
      </c>
      <c r="D1658" s="91">
        <v>619392100</v>
      </c>
      <c r="E1658" s="76">
        <v>24243898.5</v>
      </c>
      <c r="F1658" s="77" t="s">
        <v>10170</v>
      </c>
      <c r="G1658" s="22"/>
      <c r="H1658" s="22"/>
    </row>
    <row r="1659" spans="1:8" ht="13.35" customHeight="1">
      <c r="A1659" s="82">
        <v>1</v>
      </c>
      <c r="B1659" s="83" t="s">
        <v>2407</v>
      </c>
      <c r="C1659" s="67" t="s">
        <v>2408</v>
      </c>
      <c r="D1659" s="91">
        <v>379552200</v>
      </c>
      <c r="E1659" s="76">
        <v>14856221.5</v>
      </c>
      <c r="F1659" s="77" t="s">
        <v>10170</v>
      </c>
      <c r="G1659" s="22"/>
      <c r="H1659" s="22"/>
    </row>
    <row r="1660" spans="1:8" ht="13.35" customHeight="1">
      <c r="A1660" s="82">
        <v>1</v>
      </c>
      <c r="B1660" s="83" t="s">
        <v>2409</v>
      </c>
      <c r="C1660" s="67" t="s">
        <v>2410</v>
      </c>
      <c r="D1660" s="91">
        <v>352193700</v>
      </c>
      <c r="E1660" s="76">
        <v>13785367.5</v>
      </c>
      <c r="F1660" s="77" t="s">
        <v>10170</v>
      </c>
      <c r="G1660" s="22"/>
      <c r="H1660" s="22"/>
    </row>
    <row r="1661" spans="1:8" ht="13.35" customHeight="1">
      <c r="A1661" s="82">
        <v>1</v>
      </c>
      <c r="B1661" s="67" t="s">
        <v>6808</v>
      </c>
      <c r="C1661" s="67" t="s">
        <v>7542</v>
      </c>
      <c r="D1661" s="91">
        <v>310868000</v>
      </c>
      <c r="E1661" s="76">
        <v>12167820</v>
      </c>
      <c r="F1661" s="77" t="s">
        <v>10170</v>
      </c>
      <c r="G1661" s="22"/>
      <c r="H1661" s="22"/>
    </row>
    <row r="1662" spans="1:8" ht="13.35" customHeight="1">
      <c r="A1662" s="82">
        <v>1</v>
      </c>
      <c r="B1662" s="67" t="s">
        <v>6809</v>
      </c>
      <c r="C1662" s="67" t="s">
        <v>7543</v>
      </c>
      <c r="D1662" s="91">
        <v>262963000</v>
      </c>
      <c r="E1662" s="76">
        <v>10292752.5</v>
      </c>
      <c r="F1662" s="77" t="s">
        <v>10170</v>
      </c>
      <c r="G1662" s="22"/>
      <c r="H1662" s="22"/>
    </row>
    <row r="1663" spans="1:8" ht="13.35" customHeight="1">
      <c r="A1663" s="82">
        <v>1</v>
      </c>
      <c r="B1663" s="83" t="s">
        <v>2411</v>
      </c>
      <c r="C1663" s="67" t="s">
        <v>2412</v>
      </c>
      <c r="D1663" s="91">
        <v>310868000</v>
      </c>
      <c r="E1663" s="76">
        <v>12167820</v>
      </c>
      <c r="F1663" s="77" t="s">
        <v>10170</v>
      </c>
      <c r="G1663" s="22"/>
      <c r="H1663" s="22"/>
    </row>
    <row r="1664" spans="1:8" ht="13.35" customHeight="1">
      <c r="A1664" s="82">
        <v>1</v>
      </c>
      <c r="B1664" s="83" t="s">
        <v>2413</v>
      </c>
      <c r="C1664" s="67" t="s">
        <v>2414</v>
      </c>
      <c r="D1664" s="91">
        <v>262963000</v>
      </c>
      <c r="E1664" s="76">
        <v>10292752.5</v>
      </c>
      <c r="F1664" s="77" t="s">
        <v>10170</v>
      </c>
      <c r="G1664" s="22"/>
      <c r="H1664" s="22"/>
    </row>
    <row r="1665" spans="1:8" ht="13.35" customHeight="1">
      <c r="A1665" s="82">
        <v>1</v>
      </c>
      <c r="B1665" s="83" t="s">
        <v>2415</v>
      </c>
      <c r="C1665" s="67" t="s">
        <v>2735</v>
      </c>
      <c r="D1665" s="91">
        <v>207245300</v>
      </c>
      <c r="E1665" s="76">
        <v>8111879.9999999991</v>
      </c>
      <c r="F1665" s="77" t="s">
        <v>10170</v>
      </c>
      <c r="G1665" s="22"/>
      <c r="H1665" s="22"/>
    </row>
    <row r="1666" spans="1:8" ht="13.35" customHeight="1">
      <c r="A1666" s="82">
        <v>1</v>
      </c>
      <c r="B1666" s="83" t="s">
        <v>2416</v>
      </c>
      <c r="C1666" s="67" t="s">
        <v>2736</v>
      </c>
      <c r="D1666" s="91">
        <v>175308700</v>
      </c>
      <c r="E1666" s="76">
        <v>6861835</v>
      </c>
      <c r="F1666" s="77" t="s">
        <v>10170</v>
      </c>
      <c r="G1666" s="22"/>
      <c r="H1666" s="22"/>
    </row>
    <row r="1667" spans="1:8" ht="13.35" customHeight="1">
      <c r="A1667" s="82">
        <v>1</v>
      </c>
      <c r="B1667" s="67" t="s">
        <v>6186</v>
      </c>
      <c r="C1667" s="67" t="s">
        <v>6187</v>
      </c>
      <c r="D1667" s="91">
        <v>253505400</v>
      </c>
      <c r="E1667" s="76">
        <v>9922567.5</v>
      </c>
      <c r="F1667" s="77" t="s">
        <v>10170</v>
      </c>
      <c r="G1667" s="22"/>
      <c r="H1667" s="22"/>
    </row>
    <row r="1668" spans="1:8" ht="13.35" customHeight="1">
      <c r="A1668" s="82">
        <v>1</v>
      </c>
      <c r="B1668" s="67" t="s">
        <v>6188</v>
      </c>
      <c r="C1668" s="67" t="s">
        <v>6189</v>
      </c>
      <c r="D1668" s="91">
        <v>205532000</v>
      </c>
      <c r="E1668" s="76">
        <v>8044817.4999999991</v>
      </c>
      <c r="F1668" s="77" t="s">
        <v>10170</v>
      </c>
      <c r="G1668" s="22"/>
      <c r="H1668" s="22"/>
    </row>
    <row r="1669" spans="1:8" ht="13.35" customHeight="1">
      <c r="A1669" s="82">
        <v>1</v>
      </c>
      <c r="B1669" s="67" t="s">
        <v>6190</v>
      </c>
      <c r="C1669" s="67" t="s">
        <v>6191</v>
      </c>
      <c r="D1669" s="91">
        <v>274065500</v>
      </c>
      <c r="E1669" s="76">
        <v>10727317.5</v>
      </c>
      <c r="F1669" s="77" t="s">
        <v>10170</v>
      </c>
      <c r="G1669" s="22"/>
      <c r="H1669" s="22"/>
    </row>
    <row r="1670" spans="1:8" ht="13.35" customHeight="1">
      <c r="A1670" s="82">
        <v>1</v>
      </c>
      <c r="B1670" s="83" t="s">
        <v>2421</v>
      </c>
      <c r="C1670" s="67" t="s">
        <v>2422</v>
      </c>
      <c r="D1670" s="91">
        <v>207245300</v>
      </c>
      <c r="E1670" s="76">
        <v>8111879.9999999991</v>
      </c>
      <c r="F1670" s="77" t="s">
        <v>10170</v>
      </c>
      <c r="G1670" s="22"/>
      <c r="H1670" s="22"/>
    </row>
    <row r="1671" spans="1:8" ht="13.35" customHeight="1">
      <c r="A1671" s="82">
        <v>1</v>
      </c>
      <c r="B1671" s="83" t="s">
        <v>4601</v>
      </c>
      <c r="C1671" s="67" t="s">
        <v>4602</v>
      </c>
      <c r="D1671" s="91">
        <v>151801700</v>
      </c>
      <c r="E1671" s="76">
        <v>5941737.5</v>
      </c>
      <c r="F1671" s="77" t="s">
        <v>10170</v>
      </c>
      <c r="G1671" s="22"/>
      <c r="H1671" s="22"/>
    </row>
    <row r="1672" spans="1:8" ht="13.35" customHeight="1">
      <c r="A1672" s="82">
        <v>1</v>
      </c>
      <c r="B1672" s="83" t="s">
        <v>2419</v>
      </c>
      <c r="C1672" s="67" t="s">
        <v>2420</v>
      </c>
      <c r="D1672" s="91">
        <v>148032400</v>
      </c>
      <c r="E1672" s="76">
        <v>5794200</v>
      </c>
      <c r="F1672" s="77" t="s">
        <v>10170</v>
      </c>
      <c r="G1672" s="22"/>
      <c r="H1672" s="22"/>
    </row>
    <row r="1673" spans="1:8" ht="13.35" customHeight="1">
      <c r="A1673" s="82">
        <v>1</v>
      </c>
      <c r="B1673" s="83" t="s">
        <v>3804</v>
      </c>
      <c r="C1673" s="67" t="s">
        <v>3805</v>
      </c>
      <c r="D1673" s="91">
        <v>141384600</v>
      </c>
      <c r="E1673" s="76">
        <v>5533997.5</v>
      </c>
      <c r="F1673" s="77" t="s">
        <v>10170</v>
      </c>
      <c r="G1673" s="22"/>
      <c r="H1673" s="22"/>
    </row>
    <row r="1674" spans="1:8" ht="13.35" customHeight="1">
      <c r="A1674" s="82">
        <v>1</v>
      </c>
      <c r="B1674" s="83" t="s">
        <v>2417</v>
      </c>
      <c r="C1674" s="67" t="s">
        <v>2418</v>
      </c>
      <c r="D1674" s="91">
        <v>111572500</v>
      </c>
      <c r="E1674" s="76">
        <v>4367110</v>
      </c>
      <c r="F1674" s="77" t="s">
        <v>10170</v>
      </c>
      <c r="G1674" s="22"/>
      <c r="H1674" s="22"/>
    </row>
    <row r="1675" spans="1:8" ht="13.35" customHeight="1">
      <c r="A1675" s="82">
        <v>1</v>
      </c>
      <c r="B1675" s="67" t="s">
        <v>6810</v>
      </c>
      <c r="C1675" s="67" t="s">
        <v>7544</v>
      </c>
      <c r="D1675" s="91">
        <v>89710400</v>
      </c>
      <c r="E1675" s="76">
        <v>3511392.5</v>
      </c>
      <c r="F1675" s="77" t="s">
        <v>10170</v>
      </c>
      <c r="G1675" s="22"/>
      <c r="H1675" s="22"/>
    </row>
    <row r="1676" spans="1:8" ht="13.35" customHeight="1">
      <c r="A1676" s="82">
        <v>1</v>
      </c>
      <c r="B1676" s="67" t="s">
        <v>6811</v>
      </c>
      <c r="C1676" s="67" t="s">
        <v>7545</v>
      </c>
      <c r="D1676" s="91">
        <v>21862200</v>
      </c>
      <c r="E1676" s="76">
        <v>855717.5</v>
      </c>
      <c r="F1676" s="77" t="s">
        <v>10170</v>
      </c>
      <c r="G1676" s="22"/>
      <c r="H1676" s="22"/>
    </row>
    <row r="1677" spans="1:8" ht="13.35" customHeight="1">
      <c r="A1677" s="82">
        <v>1</v>
      </c>
      <c r="B1677" s="83" t="s">
        <v>2429</v>
      </c>
      <c r="C1677" s="67" t="s">
        <v>2430</v>
      </c>
      <c r="D1677" s="91">
        <v>143440600</v>
      </c>
      <c r="E1677" s="76">
        <v>5614472.5</v>
      </c>
      <c r="F1677" s="77" t="s">
        <v>10170</v>
      </c>
      <c r="G1677" s="22"/>
      <c r="H1677" s="22"/>
    </row>
    <row r="1678" spans="1:8" ht="13.35" customHeight="1">
      <c r="A1678" s="82">
        <v>1</v>
      </c>
      <c r="B1678" s="83" t="s">
        <v>2431</v>
      </c>
      <c r="C1678" s="67" t="s">
        <v>3431</v>
      </c>
      <c r="D1678" s="91">
        <v>127472300</v>
      </c>
      <c r="E1678" s="76">
        <v>4989450</v>
      </c>
      <c r="F1678" s="77" t="s">
        <v>10170</v>
      </c>
      <c r="G1678" s="22"/>
      <c r="H1678" s="22"/>
    </row>
    <row r="1679" spans="1:8" ht="13.35" customHeight="1">
      <c r="A1679" s="82">
        <v>1</v>
      </c>
      <c r="B1679" s="83" t="s">
        <v>2439</v>
      </c>
      <c r="C1679" s="67" t="s">
        <v>4603</v>
      </c>
      <c r="D1679" s="91">
        <v>3358100</v>
      </c>
      <c r="E1679" s="76">
        <v>131442.5</v>
      </c>
      <c r="F1679" s="77" t="s">
        <v>10170</v>
      </c>
      <c r="G1679" s="22"/>
      <c r="H1679" s="22"/>
    </row>
    <row r="1680" spans="1:8" ht="13.35" customHeight="1">
      <c r="A1680" s="82">
        <v>1</v>
      </c>
      <c r="B1680" s="83" t="s">
        <v>2440</v>
      </c>
      <c r="C1680" s="67" t="s">
        <v>2761</v>
      </c>
      <c r="D1680" s="91">
        <v>2741300</v>
      </c>
      <c r="E1680" s="76">
        <v>107300</v>
      </c>
      <c r="F1680" s="77" t="s">
        <v>10170</v>
      </c>
      <c r="G1680" s="22"/>
      <c r="H1680" s="22"/>
    </row>
    <row r="1681" spans="1:8" ht="13.35" customHeight="1">
      <c r="A1681" s="82">
        <v>1</v>
      </c>
      <c r="B1681" s="83" t="s">
        <v>2441</v>
      </c>
      <c r="C1681" s="67" t="s">
        <v>2762</v>
      </c>
      <c r="D1681" s="91">
        <v>2741300</v>
      </c>
      <c r="E1681" s="76">
        <v>107300</v>
      </c>
      <c r="F1681" s="77" t="s">
        <v>10170</v>
      </c>
      <c r="G1681" s="22"/>
      <c r="H1681" s="22"/>
    </row>
    <row r="1682" spans="1:8" ht="13.35" customHeight="1">
      <c r="A1682" s="82">
        <v>1</v>
      </c>
      <c r="B1682" s="83" t="s">
        <v>2435</v>
      </c>
      <c r="C1682" s="67" t="s">
        <v>2436</v>
      </c>
      <c r="D1682" s="91">
        <v>2535700</v>
      </c>
      <c r="E1682" s="76">
        <v>99252.5</v>
      </c>
      <c r="F1682" s="77" t="s">
        <v>10170</v>
      </c>
      <c r="G1682" s="22"/>
      <c r="H1682" s="22"/>
    </row>
    <row r="1683" spans="1:8" ht="13.35" customHeight="1">
      <c r="A1683" s="82">
        <v>1</v>
      </c>
      <c r="B1683" s="83" t="s">
        <v>2437</v>
      </c>
      <c r="C1683" s="67" t="s">
        <v>2438</v>
      </c>
      <c r="D1683" s="91">
        <v>2535700</v>
      </c>
      <c r="E1683" s="76">
        <v>99252.5</v>
      </c>
      <c r="F1683" s="77" t="s">
        <v>10170</v>
      </c>
      <c r="G1683" s="22"/>
      <c r="H1683" s="22"/>
    </row>
    <row r="1684" spans="1:8" ht="13.35" customHeight="1">
      <c r="A1684" s="82">
        <v>1</v>
      </c>
      <c r="B1684" s="83" t="s">
        <v>2333</v>
      </c>
      <c r="C1684" s="67" t="s">
        <v>2326</v>
      </c>
      <c r="D1684" s="91">
        <v>2165700</v>
      </c>
      <c r="E1684" s="76">
        <v>84767</v>
      </c>
      <c r="F1684" s="77" t="s">
        <v>10170</v>
      </c>
      <c r="G1684" s="22"/>
      <c r="H1684" s="22"/>
    </row>
    <row r="1685" spans="1:8" ht="13.35" customHeight="1">
      <c r="A1685" s="82">
        <v>1</v>
      </c>
      <c r="B1685" s="83" t="s">
        <v>6174</v>
      </c>
      <c r="C1685" s="67" t="s">
        <v>6175</v>
      </c>
      <c r="D1685" s="91">
        <v>2124500</v>
      </c>
      <c r="E1685" s="76">
        <v>83157.5</v>
      </c>
      <c r="F1685" s="77" t="s">
        <v>10170</v>
      </c>
      <c r="G1685" s="22"/>
      <c r="H1685" s="22"/>
    </row>
    <row r="1686" spans="1:8" ht="13.35" customHeight="1">
      <c r="A1686" s="82">
        <v>1</v>
      </c>
      <c r="B1686" s="83" t="s">
        <v>6176</v>
      </c>
      <c r="C1686" s="67" t="s">
        <v>6177</v>
      </c>
      <c r="D1686" s="91">
        <v>2124500</v>
      </c>
      <c r="E1686" s="76">
        <v>83157.5</v>
      </c>
      <c r="F1686" s="77" t="s">
        <v>10170</v>
      </c>
      <c r="G1686" s="22"/>
      <c r="H1686" s="22"/>
    </row>
    <row r="1687" spans="1:8" ht="13.35" customHeight="1">
      <c r="A1687" s="82">
        <v>1</v>
      </c>
      <c r="B1687" s="83" t="s">
        <v>4690</v>
      </c>
      <c r="C1687" s="67" t="s">
        <v>4691</v>
      </c>
      <c r="D1687" s="91">
        <v>616800</v>
      </c>
      <c r="E1687" s="76">
        <v>24142.499999999996</v>
      </c>
      <c r="F1687" s="77" t="s">
        <v>10170</v>
      </c>
      <c r="G1687" s="22"/>
      <c r="H1687" s="22"/>
    </row>
    <row r="1688" spans="1:8" ht="13.35" customHeight="1">
      <c r="A1688" s="82">
        <v>1</v>
      </c>
      <c r="B1688" s="83" t="s">
        <v>6184</v>
      </c>
      <c r="C1688" s="67" t="s">
        <v>6185</v>
      </c>
      <c r="D1688" s="91">
        <v>616800</v>
      </c>
      <c r="E1688" s="76">
        <v>24142.499999999996</v>
      </c>
      <c r="F1688" s="77" t="s">
        <v>10170</v>
      </c>
      <c r="G1688" s="22"/>
      <c r="H1688" s="22"/>
    </row>
    <row r="1689" spans="1:8" ht="13.35" customHeight="1">
      <c r="A1689" s="82">
        <v>1</v>
      </c>
      <c r="B1689" s="68" t="s">
        <v>2333</v>
      </c>
      <c r="C1689" s="73" t="s">
        <v>2434</v>
      </c>
      <c r="D1689" s="94">
        <v>2165700</v>
      </c>
      <c r="E1689" s="76">
        <v>84767</v>
      </c>
      <c r="F1689" s="77" t="s">
        <v>10170</v>
      </c>
      <c r="G1689" s="22"/>
      <c r="H1689" s="22"/>
    </row>
    <row r="1690" spans="1:8" ht="13.35" customHeight="1">
      <c r="A1690" s="82">
        <v>1</v>
      </c>
      <c r="B1690" s="83" t="s">
        <v>3150</v>
      </c>
      <c r="C1690" s="67" t="s">
        <v>3151</v>
      </c>
      <c r="D1690" s="91">
        <v>1521400</v>
      </c>
      <c r="E1690" s="76">
        <v>59551.5</v>
      </c>
      <c r="F1690" s="77" t="s">
        <v>10170</v>
      </c>
      <c r="G1690" s="22"/>
      <c r="H1690" s="22"/>
    </row>
    <row r="1691" spans="1:8" ht="13.35" customHeight="1">
      <c r="A1691" s="82">
        <v>1</v>
      </c>
      <c r="B1691" s="83" t="s">
        <v>1085</v>
      </c>
      <c r="C1691" s="67" t="s">
        <v>5450</v>
      </c>
      <c r="D1691" s="91">
        <v>1521400</v>
      </c>
      <c r="E1691" s="76">
        <v>59551.5</v>
      </c>
      <c r="F1691" s="77" t="s">
        <v>10170</v>
      </c>
      <c r="G1691" s="22"/>
      <c r="H1691" s="22"/>
    </row>
    <row r="1692" spans="1:8" ht="13.35" customHeight="1">
      <c r="A1692" s="82">
        <v>1</v>
      </c>
      <c r="B1692" s="83" t="s">
        <v>1087</v>
      </c>
      <c r="C1692" s="67" t="s">
        <v>5451</v>
      </c>
      <c r="D1692" s="91">
        <v>1521400</v>
      </c>
      <c r="E1692" s="76">
        <v>59551.5</v>
      </c>
      <c r="F1692" s="77" t="s">
        <v>10170</v>
      </c>
      <c r="G1692" s="22"/>
      <c r="H1692" s="22"/>
    </row>
    <row r="1693" spans="1:8" ht="13.35" customHeight="1">
      <c r="A1693" s="82">
        <v>1</v>
      </c>
      <c r="B1693" s="83" t="s">
        <v>1086</v>
      </c>
      <c r="C1693" s="67" t="s">
        <v>5452</v>
      </c>
      <c r="D1693" s="91">
        <v>1521400</v>
      </c>
      <c r="E1693" s="76">
        <v>59551.5</v>
      </c>
      <c r="F1693" s="77" t="s">
        <v>10170</v>
      </c>
      <c r="G1693" s="22"/>
      <c r="H1693" s="22"/>
    </row>
    <row r="1694" spans="1:8" ht="13.35" customHeight="1">
      <c r="A1694" s="82">
        <v>1</v>
      </c>
      <c r="B1694" s="83" t="s">
        <v>1088</v>
      </c>
      <c r="C1694" s="67" t="s">
        <v>5453</v>
      </c>
      <c r="D1694" s="91">
        <v>1521400</v>
      </c>
      <c r="E1694" s="76">
        <v>59551.5</v>
      </c>
      <c r="F1694" s="77" t="s">
        <v>10170</v>
      </c>
      <c r="G1694" s="22"/>
      <c r="H1694" s="22"/>
    </row>
    <row r="1695" spans="1:8" ht="13.35" customHeight="1">
      <c r="A1695" s="82">
        <v>1</v>
      </c>
      <c r="B1695" s="83" t="s">
        <v>687</v>
      </c>
      <c r="C1695" s="67" t="s">
        <v>816</v>
      </c>
      <c r="D1695" s="91">
        <v>1521400</v>
      </c>
      <c r="E1695" s="76">
        <v>59551.5</v>
      </c>
      <c r="F1695" s="77" t="s">
        <v>10170</v>
      </c>
      <c r="G1695" s="22"/>
      <c r="H1695" s="22"/>
    </row>
    <row r="1696" spans="1:8" ht="13.35" customHeight="1">
      <c r="A1696" s="82">
        <v>1</v>
      </c>
      <c r="B1696" s="83" t="s">
        <v>688</v>
      </c>
      <c r="C1696" s="67" t="s">
        <v>689</v>
      </c>
      <c r="D1696" s="91">
        <v>1521400</v>
      </c>
      <c r="E1696" s="76">
        <v>59551.5</v>
      </c>
      <c r="F1696" s="77" t="s">
        <v>10170</v>
      </c>
      <c r="G1696" s="22"/>
      <c r="H1696" s="22"/>
    </row>
    <row r="1697" spans="1:8" ht="13.35" customHeight="1">
      <c r="A1697" s="82">
        <v>1</v>
      </c>
      <c r="B1697" s="83" t="s">
        <v>690</v>
      </c>
      <c r="C1697" s="67" t="s">
        <v>817</v>
      </c>
      <c r="D1697" s="91">
        <v>1521400</v>
      </c>
      <c r="E1697" s="76">
        <v>59551.5</v>
      </c>
      <c r="F1697" s="77" t="s">
        <v>10170</v>
      </c>
      <c r="G1697" s="22"/>
      <c r="H1697" s="22"/>
    </row>
    <row r="1698" spans="1:8" ht="13.35" customHeight="1">
      <c r="A1698" s="82">
        <v>1</v>
      </c>
      <c r="B1698" s="83" t="s">
        <v>691</v>
      </c>
      <c r="C1698" s="67" t="s">
        <v>692</v>
      </c>
      <c r="D1698" s="91">
        <v>1521400</v>
      </c>
      <c r="E1698" s="76">
        <v>59551.5</v>
      </c>
      <c r="F1698" s="77" t="s">
        <v>10170</v>
      </c>
      <c r="G1698" s="22"/>
      <c r="H1698" s="22"/>
    </row>
    <row r="1699" spans="1:8" ht="13.35" customHeight="1">
      <c r="A1699" s="82">
        <v>1</v>
      </c>
      <c r="B1699" s="83" t="s">
        <v>105</v>
      </c>
      <c r="C1699" s="67" t="s">
        <v>132</v>
      </c>
      <c r="D1699" s="91">
        <v>2289000</v>
      </c>
      <c r="E1699" s="76">
        <v>89595.5</v>
      </c>
      <c r="F1699" s="77" t="s">
        <v>10170</v>
      </c>
      <c r="G1699" s="22"/>
      <c r="H1699" s="22"/>
    </row>
    <row r="1700" spans="1:8" ht="13.35" customHeight="1">
      <c r="A1700" s="82">
        <v>1</v>
      </c>
      <c r="B1700" s="83" t="s">
        <v>106</v>
      </c>
      <c r="C1700" s="67" t="s">
        <v>133</v>
      </c>
      <c r="D1700" s="91">
        <v>2289000</v>
      </c>
      <c r="E1700" s="76">
        <v>89595.5</v>
      </c>
      <c r="F1700" s="77" t="s">
        <v>10170</v>
      </c>
      <c r="G1700" s="22"/>
      <c r="H1700" s="22"/>
    </row>
    <row r="1701" spans="1:8" ht="13.35" customHeight="1">
      <c r="A1701" s="82">
        <v>1</v>
      </c>
      <c r="B1701" s="83" t="s">
        <v>107</v>
      </c>
      <c r="C1701" s="67" t="s">
        <v>134</v>
      </c>
      <c r="D1701" s="91">
        <v>2289000</v>
      </c>
      <c r="E1701" s="76">
        <v>89595.5</v>
      </c>
      <c r="F1701" s="77" t="s">
        <v>10170</v>
      </c>
      <c r="G1701" s="22"/>
      <c r="H1701" s="22"/>
    </row>
    <row r="1702" spans="1:8" ht="13.35" customHeight="1">
      <c r="A1702" s="82">
        <v>1</v>
      </c>
      <c r="B1702" s="83" t="s">
        <v>108</v>
      </c>
      <c r="C1702" s="67" t="s">
        <v>135</v>
      </c>
      <c r="D1702" s="91">
        <v>2289000</v>
      </c>
      <c r="E1702" s="76">
        <v>89595.5</v>
      </c>
      <c r="F1702" s="77" t="s">
        <v>10170</v>
      </c>
      <c r="G1702" s="22"/>
      <c r="H1702" s="22"/>
    </row>
    <row r="1703" spans="1:8" ht="13.35" customHeight="1">
      <c r="A1703" s="82">
        <v>1</v>
      </c>
      <c r="B1703" s="83" t="s">
        <v>252</v>
      </c>
      <c r="C1703" s="67" t="s">
        <v>262</v>
      </c>
      <c r="D1703" s="91">
        <v>2289000</v>
      </c>
      <c r="E1703" s="76">
        <v>89595.5</v>
      </c>
      <c r="F1703" s="77" t="s">
        <v>10170</v>
      </c>
      <c r="G1703" s="22"/>
      <c r="H1703" s="22"/>
    </row>
    <row r="1704" spans="1:8" ht="13.35" customHeight="1">
      <c r="A1704" s="82">
        <v>1</v>
      </c>
      <c r="B1704" s="83" t="s">
        <v>255</v>
      </c>
      <c r="C1704" s="67" t="s">
        <v>263</v>
      </c>
      <c r="D1704" s="91">
        <v>2289000</v>
      </c>
      <c r="E1704" s="76">
        <v>89595.5</v>
      </c>
      <c r="F1704" s="77" t="s">
        <v>10170</v>
      </c>
      <c r="G1704" s="22"/>
      <c r="H1704" s="22"/>
    </row>
    <row r="1705" spans="1:8" ht="13.35" customHeight="1">
      <c r="A1705" s="82">
        <v>1</v>
      </c>
      <c r="B1705" s="83" t="s">
        <v>253</v>
      </c>
      <c r="C1705" s="67" t="s">
        <v>254</v>
      </c>
      <c r="D1705" s="91">
        <v>2289000</v>
      </c>
      <c r="E1705" s="76">
        <v>89595.5</v>
      </c>
      <c r="F1705" s="77" t="s">
        <v>10170</v>
      </c>
      <c r="G1705" s="22"/>
      <c r="H1705" s="22"/>
    </row>
    <row r="1706" spans="1:8" ht="13.35" customHeight="1">
      <c r="A1706" s="82">
        <v>1</v>
      </c>
      <c r="B1706" s="83" t="s">
        <v>256</v>
      </c>
      <c r="C1706" s="67" t="s">
        <v>257</v>
      </c>
      <c r="D1706" s="91">
        <v>2289000</v>
      </c>
      <c r="E1706" s="76">
        <v>89595.5</v>
      </c>
      <c r="F1706" s="77" t="s">
        <v>10170</v>
      </c>
      <c r="G1706" s="22"/>
      <c r="H1706" s="22"/>
    </row>
    <row r="1707" spans="1:8" ht="13.35" customHeight="1">
      <c r="A1707" s="82">
        <v>1</v>
      </c>
      <c r="B1707" s="83" t="s">
        <v>1363</v>
      </c>
      <c r="C1707" s="67" t="s">
        <v>855</v>
      </c>
      <c r="D1707" s="91">
        <v>2289000</v>
      </c>
      <c r="E1707" s="76">
        <v>89595.5</v>
      </c>
      <c r="F1707" s="77" t="s">
        <v>10170</v>
      </c>
      <c r="G1707" s="22"/>
      <c r="H1707" s="22"/>
    </row>
    <row r="1708" spans="1:8" ht="13.35" customHeight="1">
      <c r="A1708" s="82">
        <v>1</v>
      </c>
      <c r="B1708" s="83" t="s">
        <v>1364</v>
      </c>
      <c r="C1708" s="67" t="s">
        <v>1365</v>
      </c>
      <c r="D1708" s="91">
        <v>2289000</v>
      </c>
      <c r="E1708" s="76">
        <v>89595.5</v>
      </c>
      <c r="F1708" s="77" t="s">
        <v>10170</v>
      </c>
      <c r="G1708" s="22"/>
      <c r="H1708" s="22"/>
    </row>
    <row r="1709" spans="1:8" ht="13.35" customHeight="1">
      <c r="A1709" s="82">
        <v>1</v>
      </c>
      <c r="B1709" s="83" t="s">
        <v>1366</v>
      </c>
      <c r="C1709" s="67" t="s">
        <v>857</v>
      </c>
      <c r="D1709" s="91">
        <v>2289000</v>
      </c>
      <c r="E1709" s="76">
        <v>89595.5</v>
      </c>
      <c r="F1709" s="77" t="s">
        <v>10170</v>
      </c>
      <c r="G1709" s="22"/>
      <c r="H1709" s="22"/>
    </row>
    <row r="1710" spans="1:8" ht="13.35" customHeight="1">
      <c r="A1710" s="82">
        <v>1</v>
      </c>
      <c r="B1710" s="83" t="s">
        <v>1367</v>
      </c>
      <c r="C1710" s="67" t="s">
        <v>1368</v>
      </c>
      <c r="D1710" s="91">
        <v>2289000</v>
      </c>
      <c r="E1710" s="76">
        <v>89595.5</v>
      </c>
      <c r="F1710" s="77" t="s">
        <v>10170</v>
      </c>
      <c r="G1710" s="22"/>
      <c r="H1710" s="22"/>
    </row>
    <row r="1711" spans="1:8" ht="13.35" customHeight="1">
      <c r="A1711" s="82">
        <v>1</v>
      </c>
      <c r="B1711" s="83" t="s">
        <v>1584</v>
      </c>
      <c r="C1711" s="67" t="s">
        <v>1585</v>
      </c>
      <c r="D1711" s="91">
        <v>2343800</v>
      </c>
      <c r="E1711" s="76">
        <v>91741.5</v>
      </c>
      <c r="F1711" s="77" t="s">
        <v>10170</v>
      </c>
      <c r="G1711" s="22"/>
      <c r="H1711" s="22"/>
    </row>
    <row r="1712" spans="1:8" ht="13.35" customHeight="1">
      <c r="A1712" s="82">
        <v>1</v>
      </c>
      <c r="B1712" s="83" t="s">
        <v>1586</v>
      </c>
      <c r="C1712" s="67" t="s">
        <v>1587</v>
      </c>
      <c r="D1712" s="91">
        <v>2343800</v>
      </c>
      <c r="E1712" s="76">
        <v>91741.5</v>
      </c>
      <c r="F1712" s="77" t="s">
        <v>10170</v>
      </c>
      <c r="G1712" s="22"/>
      <c r="H1712" s="22"/>
    </row>
    <row r="1713" spans="1:8" ht="13.35" customHeight="1">
      <c r="A1713" s="82">
        <v>1</v>
      </c>
      <c r="B1713" s="83" t="s">
        <v>854</v>
      </c>
      <c r="C1713" s="67" t="s">
        <v>855</v>
      </c>
      <c r="D1713" s="91">
        <v>2289000</v>
      </c>
      <c r="E1713" s="76">
        <v>89595.5</v>
      </c>
      <c r="F1713" s="77" t="s">
        <v>10170</v>
      </c>
      <c r="G1713" s="22"/>
      <c r="H1713" s="22"/>
    </row>
    <row r="1714" spans="1:8" ht="13.35" customHeight="1">
      <c r="A1714" s="82">
        <v>1</v>
      </c>
      <c r="B1714" s="83" t="s">
        <v>856</v>
      </c>
      <c r="C1714" s="67" t="s">
        <v>857</v>
      </c>
      <c r="D1714" s="91">
        <v>2289000</v>
      </c>
      <c r="E1714" s="76">
        <v>89595.5</v>
      </c>
      <c r="F1714" s="77" t="s">
        <v>10170</v>
      </c>
      <c r="G1714" s="22"/>
      <c r="H1714" s="22"/>
    </row>
    <row r="1715" spans="1:8" ht="13.35" customHeight="1">
      <c r="A1715" s="82">
        <v>1</v>
      </c>
      <c r="B1715" s="83" t="s">
        <v>1880</v>
      </c>
      <c r="C1715" s="67" t="s">
        <v>1881</v>
      </c>
      <c r="D1715" s="91">
        <v>4564300</v>
      </c>
      <c r="E1715" s="76">
        <v>178654.5</v>
      </c>
      <c r="F1715" s="77" t="s">
        <v>10170</v>
      </c>
      <c r="G1715" s="22"/>
      <c r="H1715" s="22"/>
    </row>
    <row r="1716" spans="1:8" ht="13.35" customHeight="1">
      <c r="A1716" s="82">
        <v>1</v>
      </c>
      <c r="B1716" s="83" t="s">
        <v>2073</v>
      </c>
      <c r="C1716" s="67" t="s">
        <v>2074</v>
      </c>
      <c r="D1716" s="91">
        <v>4564300</v>
      </c>
      <c r="E1716" s="76">
        <v>178654.5</v>
      </c>
      <c r="F1716" s="77" t="s">
        <v>10170</v>
      </c>
      <c r="G1716" s="22"/>
      <c r="H1716" s="22"/>
    </row>
    <row r="1717" spans="1:8" ht="13.35" customHeight="1">
      <c r="A1717" s="82">
        <v>1</v>
      </c>
      <c r="B1717" s="83" t="s">
        <v>1825</v>
      </c>
      <c r="C1717" s="67" t="s">
        <v>1826</v>
      </c>
      <c r="D1717" s="91">
        <v>4564300</v>
      </c>
      <c r="E1717" s="76">
        <v>178654.5</v>
      </c>
      <c r="F1717" s="77" t="s">
        <v>10170</v>
      </c>
      <c r="G1717" s="22"/>
      <c r="H1717" s="22"/>
    </row>
    <row r="1718" spans="1:8" ht="13.35" customHeight="1">
      <c r="A1718" s="82">
        <v>1</v>
      </c>
      <c r="B1718" s="83" t="s">
        <v>2075</v>
      </c>
      <c r="C1718" s="67" t="s">
        <v>2076</v>
      </c>
      <c r="D1718" s="91">
        <v>4564300</v>
      </c>
      <c r="E1718" s="76">
        <v>178654.5</v>
      </c>
      <c r="F1718" s="77" t="s">
        <v>10170</v>
      </c>
      <c r="G1718" s="22"/>
      <c r="H1718" s="22"/>
    </row>
    <row r="1719" spans="1:8" ht="13.35" customHeight="1">
      <c r="A1719" s="82">
        <v>1</v>
      </c>
      <c r="B1719" s="83" t="s">
        <v>1218</v>
      </c>
      <c r="C1719" s="67" t="s">
        <v>1219</v>
      </c>
      <c r="D1719" s="91">
        <v>3042900</v>
      </c>
      <c r="E1719" s="76">
        <v>119103</v>
      </c>
      <c r="F1719" s="77" t="s">
        <v>10170</v>
      </c>
      <c r="G1719" s="22"/>
      <c r="H1719" s="22"/>
    </row>
    <row r="1720" spans="1:8" ht="13.35" customHeight="1">
      <c r="A1720" s="82">
        <v>1</v>
      </c>
      <c r="B1720" s="83" t="s">
        <v>2069</v>
      </c>
      <c r="C1720" s="67" t="s">
        <v>2070</v>
      </c>
      <c r="D1720" s="91">
        <v>3042900</v>
      </c>
      <c r="E1720" s="76">
        <v>119103</v>
      </c>
      <c r="F1720" s="77" t="s">
        <v>10170</v>
      </c>
      <c r="G1720" s="22"/>
      <c r="H1720" s="22"/>
    </row>
    <row r="1721" spans="1:8" ht="13.35" customHeight="1">
      <c r="A1721" s="82">
        <v>1</v>
      </c>
      <c r="B1721" s="83" t="s">
        <v>1220</v>
      </c>
      <c r="C1721" s="67" t="s">
        <v>1221</v>
      </c>
      <c r="D1721" s="91">
        <v>3042900</v>
      </c>
      <c r="E1721" s="76">
        <v>119103</v>
      </c>
      <c r="F1721" s="77" t="s">
        <v>10170</v>
      </c>
      <c r="G1721" s="22"/>
      <c r="H1721" s="22"/>
    </row>
    <row r="1722" spans="1:8" ht="13.35" customHeight="1">
      <c r="A1722" s="82">
        <v>1</v>
      </c>
      <c r="B1722" s="83" t="s">
        <v>2071</v>
      </c>
      <c r="C1722" s="67" t="s">
        <v>2072</v>
      </c>
      <c r="D1722" s="91">
        <v>3042900</v>
      </c>
      <c r="E1722" s="76">
        <v>119103</v>
      </c>
      <c r="F1722" s="77" t="s">
        <v>10170</v>
      </c>
      <c r="G1722" s="22"/>
      <c r="H1722" s="22"/>
    </row>
    <row r="1723" spans="1:8" ht="13.35" customHeight="1">
      <c r="A1723" s="82">
        <v>1</v>
      </c>
      <c r="B1723" s="83" t="s">
        <v>2112</v>
      </c>
      <c r="C1723" s="67" t="s">
        <v>2113</v>
      </c>
      <c r="D1723" s="91">
        <v>4564300</v>
      </c>
      <c r="E1723" s="76">
        <v>178654.5</v>
      </c>
      <c r="F1723" s="77" t="s">
        <v>10170</v>
      </c>
      <c r="G1723" s="22"/>
      <c r="H1723" s="22"/>
    </row>
    <row r="1724" spans="1:8" ht="13.35" customHeight="1">
      <c r="A1724" s="82">
        <v>1</v>
      </c>
      <c r="B1724" s="83" t="s">
        <v>2902</v>
      </c>
      <c r="C1724" s="67" t="s">
        <v>2903</v>
      </c>
      <c r="D1724" s="91">
        <v>4564300</v>
      </c>
      <c r="E1724" s="76">
        <v>178654.5</v>
      </c>
      <c r="F1724" s="77" t="s">
        <v>10170</v>
      </c>
      <c r="G1724" s="22"/>
      <c r="H1724" s="22"/>
    </row>
    <row r="1725" spans="1:8" ht="13.35" customHeight="1">
      <c r="A1725" s="82">
        <v>1</v>
      </c>
      <c r="B1725" s="83" t="s">
        <v>4004</v>
      </c>
      <c r="C1725" s="67" t="s">
        <v>4058</v>
      </c>
      <c r="D1725" s="91">
        <v>4564300</v>
      </c>
      <c r="E1725" s="76">
        <v>178654.5</v>
      </c>
      <c r="F1725" s="77" t="s">
        <v>10170</v>
      </c>
      <c r="G1725" s="22"/>
      <c r="H1725" s="22"/>
    </row>
    <row r="1726" spans="1:8" ht="13.35" customHeight="1">
      <c r="A1726" s="82">
        <v>1</v>
      </c>
      <c r="B1726" s="83" t="s">
        <v>4005</v>
      </c>
      <c r="C1726" s="67" t="s">
        <v>4059</v>
      </c>
      <c r="D1726" s="91">
        <v>4564300</v>
      </c>
      <c r="E1726" s="76">
        <v>178654.5</v>
      </c>
      <c r="F1726" s="77" t="s">
        <v>10170</v>
      </c>
      <c r="G1726" s="22"/>
      <c r="H1726" s="22"/>
    </row>
    <row r="1727" spans="1:8" ht="13.35" customHeight="1">
      <c r="A1727" s="82">
        <v>1</v>
      </c>
      <c r="B1727" s="83" t="s">
        <v>2268</v>
      </c>
      <c r="C1727" s="67" t="s">
        <v>2269</v>
      </c>
      <c r="D1727" s="91">
        <v>4564300</v>
      </c>
      <c r="E1727" s="76">
        <v>178654.5</v>
      </c>
      <c r="F1727" s="77" t="s">
        <v>10170</v>
      </c>
      <c r="G1727" s="22"/>
      <c r="H1727" s="22"/>
    </row>
    <row r="1728" spans="1:8" ht="13.35" customHeight="1">
      <c r="A1728" s="82">
        <v>1</v>
      </c>
      <c r="B1728" s="83" t="s">
        <v>2904</v>
      </c>
      <c r="C1728" s="67" t="s">
        <v>2905</v>
      </c>
      <c r="D1728" s="91">
        <v>4564300</v>
      </c>
      <c r="E1728" s="76">
        <v>178654.5</v>
      </c>
      <c r="F1728" s="77" t="s">
        <v>10170</v>
      </c>
      <c r="G1728" s="22"/>
      <c r="H1728" s="22"/>
    </row>
    <row r="1729" spans="1:8" ht="13.35" customHeight="1">
      <c r="A1729" s="82">
        <v>1</v>
      </c>
      <c r="B1729" s="83" t="s">
        <v>2266</v>
      </c>
      <c r="C1729" s="67" t="s">
        <v>2267</v>
      </c>
      <c r="D1729" s="91">
        <v>4564300</v>
      </c>
      <c r="E1729" s="76">
        <v>178654.5</v>
      </c>
      <c r="F1729" s="77" t="s">
        <v>10170</v>
      </c>
      <c r="G1729" s="22"/>
      <c r="H1729" s="22"/>
    </row>
    <row r="1730" spans="1:8" ht="13.35" customHeight="1">
      <c r="A1730" s="82">
        <v>1</v>
      </c>
      <c r="B1730" s="83" t="s">
        <v>2906</v>
      </c>
      <c r="C1730" s="67" t="s">
        <v>2907</v>
      </c>
      <c r="D1730" s="91">
        <v>4564300</v>
      </c>
      <c r="E1730" s="76">
        <v>178654.5</v>
      </c>
      <c r="F1730" s="77" t="s">
        <v>10170</v>
      </c>
      <c r="G1730" s="22"/>
      <c r="H1730" s="22"/>
    </row>
    <row r="1731" spans="1:8" ht="13.35" customHeight="1">
      <c r="A1731" s="82">
        <v>1</v>
      </c>
      <c r="B1731" s="83" t="s">
        <v>2883</v>
      </c>
      <c r="C1731" s="67" t="s">
        <v>7546</v>
      </c>
      <c r="D1731" s="91">
        <v>3618600</v>
      </c>
      <c r="E1731" s="76">
        <v>141636</v>
      </c>
      <c r="F1731" s="77" t="s">
        <v>10170</v>
      </c>
      <c r="G1731" s="22"/>
      <c r="H1731" s="22"/>
    </row>
    <row r="1732" spans="1:8" ht="13.35" customHeight="1">
      <c r="A1732" s="82">
        <v>1</v>
      </c>
      <c r="B1732" s="83" t="s">
        <v>5636</v>
      </c>
      <c r="C1732" s="67" t="s">
        <v>7547</v>
      </c>
      <c r="D1732" s="91">
        <v>4728800</v>
      </c>
      <c r="E1732" s="76">
        <v>185092.5</v>
      </c>
      <c r="F1732" s="77" t="s">
        <v>10170</v>
      </c>
      <c r="G1732" s="22"/>
      <c r="H1732" s="22"/>
    </row>
    <row r="1733" spans="1:8" ht="13.35" customHeight="1">
      <c r="A1733" s="82">
        <v>1</v>
      </c>
      <c r="B1733" s="83" t="s">
        <v>5637</v>
      </c>
      <c r="C1733" s="67" t="s">
        <v>7548</v>
      </c>
      <c r="D1733" s="91">
        <v>4728800</v>
      </c>
      <c r="E1733" s="76">
        <v>185092.5</v>
      </c>
      <c r="F1733" s="77" t="s">
        <v>10170</v>
      </c>
      <c r="G1733" s="22"/>
      <c r="H1733" s="22"/>
    </row>
    <row r="1734" spans="1:8" ht="13.35" customHeight="1">
      <c r="A1734" s="82">
        <v>1</v>
      </c>
      <c r="B1734" s="83" t="s">
        <v>6812</v>
      </c>
      <c r="C1734" s="67" t="s">
        <v>7549</v>
      </c>
      <c r="D1734" s="91">
        <v>4728800</v>
      </c>
      <c r="E1734" s="76">
        <v>185092.5</v>
      </c>
      <c r="F1734" s="77" t="s">
        <v>10170</v>
      </c>
      <c r="G1734" s="22"/>
      <c r="H1734" s="22"/>
    </row>
    <row r="1735" spans="1:8" ht="13.35" customHeight="1">
      <c r="A1735" s="82">
        <v>1</v>
      </c>
      <c r="B1735" s="83" t="s">
        <v>6813</v>
      </c>
      <c r="C1735" s="67" t="s">
        <v>7550</v>
      </c>
      <c r="D1735" s="91">
        <v>4728800</v>
      </c>
      <c r="E1735" s="76">
        <v>185092.5</v>
      </c>
      <c r="F1735" s="77" t="s">
        <v>10170</v>
      </c>
      <c r="G1735" s="22"/>
      <c r="H1735" s="22"/>
    </row>
    <row r="1736" spans="1:8" ht="13.35" customHeight="1">
      <c r="A1736" s="82">
        <v>1</v>
      </c>
      <c r="B1736" s="67" t="s">
        <v>6206</v>
      </c>
      <c r="C1736" s="67" t="s">
        <v>6207</v>
      </c>
      <c r="D1736" s="91">
        <v>6784800</v>
      </c>
      <c r="E1736" s="76">
        <v>265567.5</v>
      </c>
      <c r="F1736" s="77" t="s">
        <v>10170</v>
      </c>
      <c r="G1736" s="22"/>
      <c r="H1736" s="22"/>
    </row>
    <row r="1737" spans="1:8" ht="13.35" customHeight="1">
      <c r="A1737" s="82">
        <v>1</v>
      </c>
      <c r="B1737" s="67" t="s">
        <v>6814</v>
      </c>
      <c r="C1737" s="67" t="s">
        <v>7551</v>
      </c>
      <c r="D1737" s="91">
        <v>6784800</v>
      </c>
      <c r="E1737" s="76">
        <v>265567.5</v>
      </c>
      <c r="F1737" s="77" t="s">
        <v>10170</v>
      </c>
      <c r="G1737" s="22"/>
      <c r="H1737" s="22"/>
    </row>
    <row r="1738" spans="1:8" ht="13.35" customHeight="1">
      <c r="A1738" s="82">
        <v>1</v>
      </c>
      <c r="B1738" s="67" t="s">
        <v>6815</v>
      </c>
      <c r="C1738" s="67" t="s">
        <v>7552</v>
      </c>
      <c r="D1738" s="91">
        <v>6784800</v>
      </c>
      <c r="E1738" s="76">
        <v>265567.5</v>
      </c>
      <c r="F1738" s="77" t="s">
        <v>10170</v>
      </c>
      <c r="G1738" s="22"/>
      <c r="H1738" s="22"/>
    </row>
    <row r="1739" spans="1:8" ht="13.35" customHeight="1">
      <c r="A1739" s="82">
        <v>1</v>
      </c>
      <c r="B1739" s="67" t="s">
        <v>6816</v>
      </c>
      <c r="C1739" s="67" t="s">
        <v>7553</v>
      </c>
      <c r="D1739" s="91">
        <v>6784800</v>
      </c>
      <c r="E1739" s="76">
        <v>265567.5</v>
      </c>
      <c r="F1739" s="77" t="s">
        <v>10170</v>
      </c>
      <c r="G1739" s="22"/>
      <c r="H1739" s="22"/>
    </row>
    <row r="1740" spans="1:8" ht="13.35" customHeight="1">
      <c r="A1740" s="82">
        <v>1</v>
      </c>
      <c r="B1740" s="83" t="s">
        <v>5638</v>
      </c>
      <c r="C1740" s="67" t="s">
        <v>7554</v>
      </c>
      <c r="D1740" s="91">
        <v>3180000</v>
      </c>
      <c r="E1740" s="76">
        <v>124468</v>
      </c>
      <c r="F1740" s="77" t="s">
        <v>10170</v>
      </c>
      <c r="G1740" s="22"/>
      <c r="H1740" s="22"/>
    </row>
    <row r="1741" spans="1:8" ht="13.35" customHeight="1">
      <c r="A1741" s="82">
        <v>1</v>
      </c>
      <c r="B1741" s="83" t="s">
        <v>5639</v>
      </c>
      <c r="C1741" s="67" t="s">
        <v>7555</v>
      </c>
      <c r="D1741" s="91">
        <v>3180000</v>
      </c>
      <c r="E1741" s="76">
        <v>124468</v>
      </c>
      <c r="F1741" s="77" t="s">
        <v>10170</v>
      </c>
      <c r="G1741" s="22"/>
      <c r="H1741" s="22"/>
    </row>
    <row r="1742" spans="1:8" ht="13.35" customHeight="1">
      <c r="A1742" s="82">
        <v>1</v>
      </c>
      <c r="B1742" s="83" t="s">
        <v>1934</v>
      </c>
      <c r="C1742" s="67" t="s">
        <v>3095</v>
      </c>
      <c r="D1742" s="91">
        <v>1028000</v>
      </c>
      <c r="E1742" s="76">
        <v>40237.5</v>
      </c>
      <c r="F1742" s="77" t="s">
        <v>10170</v>
      </c>
      <c r="G1742" s="22"/>
      <c r="H1742" s="22"/>
    </row>
    <row r="1743" spans="1:8" ht="13.35" customHeight="1">
      <c r="A1743" s="82">
        <v>1</v>
      </c>
      <c r="B1743" s="83" t="s">
        <v>590</v>
      </c>
      <c r="C1743" s="67" t="s">
        <v>2763</v>
      </c>
      <c r="D1743" s="91">
        <v>1028000</v>
      </c>
      <c r="E1743" s="76">
        <v>40237.5</v>
      </c>
      <c r="F1743" s="77" t="s">
        <v>10170</v>
      </c>
      <c r="G1743" s="22"/>
      <c r="H1743" s="22"/>
    </row>
    <row r="1744" spans="1:8" ht="13.35" customHeight="1">
      <c r="A1744" s="82">
        <v>1</v>
      </c>
      <c r="B1744" s="67" t="s">
        <v>5197</v>
      </c>
      <c r="C1744" s="67" t="s">
        <v>6208</v>
      </c>
      <c r="D1744" s="91">
        <v>685300</v>
      </c>
      <c r="E1744" s="76">
        <v>26825</v>
      </c>
      <c r="F1744" s="77" t="s">
        <v>10170</v>
      </c>
      <c r="G1744" s="22"/>
      <c r="H1744" s="22"/>
    </row>
    <row r="1745" spans="1:8" ht="13.35" customHeight="1">
      <c r="A1745" s="82">
        <v>1</v>
      </c>
      <c r="B1745" s="83" t="s">
        <v>159</v>
      </c>
      <c r="C1745" s="67" t="s">
        <v>4605</v>
      </c>
      <c r="D1745" s="91">
        <v>616800</v>
      </c>
      <c r="E1745" s="76">
        <v>24142.499999999996</v>
      </c>
      <c r="F1745" s="77" t="s">
        <v>10170</v>
      </c>
      <c r="G1745" s="22"/>
      <c r="H1745" s="22"/>
    </row>
    <row r="1746" spans="1:8" ht="13.35" customHeight="1">
      <c r="A1746" s="82">
        <v>1</v>
      </c>
      <c r="B1746" s="83" t="s">
        <v>4688</v>
      </c>
      <c r="C1746" s="67" t="s">
        <v>4689</v>
      </c>
      <c r="D1746" s="91">
        <v>3632300</v>
      </c>
      <c r="E1746" s="76">
        <v>142172.5</v>
      </c>
      <c r="F1746" s="77" t="s">
        <v>10170</v>
      </c>
      <c r="G1746" s="22"/>
      <c r="H1746" s="22"/>
    </row>
    <row r="1747" spans="1:8" ht="13.35" customHeight="1">
      <c r="A1747" s="82">
        <v>1</v>
      </c>
      <c r="B1747" s="83" t="s">
        <v>4686</v>
      </c>
      <c r="C1747" s="67" t="s">
        <v>4687</v>
      </c>
      <c r="D1747" s="91">
        <v>3632300</v>
      </c>
      <c r="E1747" s="76">
        <v>142172.5</v>
      </c>
      <c r="F1747" s="77" t="s">
        <v>10170</v>
      </c>
      <c r="G1747" s="22"/>
      <c r="H1747" s="22"/>
    </row>
    <row r="1748" spans="1:8" ht="13.35" customHeight="1">
      <c r="A1748" s="82">
        <v>1</v>
      </c>
      <c r="B1748" s="83" t="s">
        <v>6817</v>
      </c>
      <c r="C1748" s="67" t="s">
        <v>7556</v>
      </c>
      <c r="D1748" s="91">
        <v>20560100</v>
      </c>
      <c r="E1748" s="76">
        <v>804750</v>
      </c>
      <c r="F1748" s="77" t="s">
        <v>10170</v>
      </c>
      <c r="G1748" s="22"/>
      <c r="H1748" s="22"/>
    </row>
    <row r="1749" spans="1:8" ht="13.35" customHeight="1">
      <c r="A1749" s="82">
        <v>1</v>
      </c>
      <c r="B1749" s="83" t="s">
        <v>6818</v>
      </c>
      <c r="C1749" s="67" t="s">
        <v>7557</v>
      </c>
      <c r="D1749" s="91">
        <v>20560100</v>
      </c>
      <c r="E1749" s="76">
        <v>804750</v>
      </c>
      <c r="F1749" s="77" t="s">
        <v>10170</v>
      </c>
      <c r="G1749" s="22"/>
      <c r="H1749" s="22"/>
    </row>
    <row r="1750" spans="1:8" ht="13.35" customHeight="1">
      <c r="A1750" s="82">
        <v>1</v>
      </c>
      <c r="B1750" s="83" t="s">
        <v>2395</v>
      </c>
      <c r="C1750" s="67" t="s">
        <v>4685</v>
      </c>
      <c r="D1750" s="91">
        <v>2672800</v>
      </c>
      <c r="E1750" s="76">
        <v>104617.50000000001</v>
      </c>
      <c r="F1750" s="77" t="s">
        <v>10170</v>
      </c>
      <c r="G1750" s="22"/>
      <c r="H1750" s="22"/>
    </row>
    <row r="1751" spans="1:8" ht="13.35" customHeight="1">
      <c r="A1751" s="82">
        <v>1</v>
      </c>
      <c r="B1751" s="83" t="s">
        <v>2796</v>
      </c>
      <c r="C1751" s="67" t="s">
        <v>4620</v>
      </c>
      <c r="D1751" s="91">
        <v>1713300</v>
      </c>
      <c r="E1751" s="76">
        <v>67062.5</v>
      </c>
      <c r="F1751" s="77" t="s">
        <v>10170</v>
      </c>
      <c r="G1751" s="22"/>
      <c r="H1751" s="22"/>
    </row>
    <row r="1752" spans="1:8" ht="13.35" customHeight="1">
      <c r="A1752" s="82">
        <v>1</v>
      </c>
      <c r="B1752" s="83" t="s">
        <v>4316</v>
      </c>
      <c r="C1752" s="67" t="s">
        <v>4317</v>
      </c>
      <c r="D1752" s="91">
        <v>13706700</v>
      </c>
      <c r="E1752" s="76">
        <v>536500</v>
      </c>
      <c r="F1752" s="77" t="s">
        <v>10170</v>
      </c>
      <c r="G1752" s="22"/>
      <c r="H1752" s="22"/>
    </row>
    <row r="1753" spans="1:8" ht="13.35" customHeight="1">
      <c r="A1753" s="82">
        <v>1</v>
      </c>
      <c r="B1753" s="83" t="s">
        <v>4314</v>
      </c>
      <c r="C1753" s="67" t="s">
        <v>4315</v>
      </c>
      <c r="D1753" s="91">
        <v>2741300</v>
      </c>
      <c r="E1753" s="76">
        <v>107300</v>
      </c>
      <c r="F1753" s="77" t="s">
        <v>10170</v>
      </c>
      <c r="G1753" s="22"/>
      <c r="H1753" s="22"/>
    </row>
    <row r="1754" spans="1:8" ht="13.35" customHeight="1">
      <c r="A1754" s="82">
        <v>1</v>
      </c>
      <c r="B1754" s="83" t="s">
        <v>6819</v>
      </c>
      <c r="C1754" s="67" t="s">
        <v>7558</v>
      </c>
      <c r="D1754" s="91">
        <v>1370700</v>
      </c>
      <c r="E1754" s="76">
        <v>53650</v>
      </c>
      <c r="F1754" s="77" t="s">
        <v>10170</v>
      </c>
      <c r="G1754" s="22"/>
      <c r="H1754" s="22"/>
    </row>
    <row r="1755" spans="1:8" ht="13.35" customHeight="1">
      <c r="A1755" s="82">
        <v>1</v>
      </c>
      <c r="B1755" s="83" t="s">
        <v>6820</v>
      </c>
      <c r="C1755" s="67" t="s">
        <v>7559</v>
      </c>
      <c r="D1755" s="91">
        <v>1370700</v>
      </c>
      <c r="E1755" s="76">
        <v>53650</v>
      </c>
      <c r="F1755" s="77" t="s">
        <v>10170</v>
      </c>
      <c r="G1755" s="22"/>
      <c r="H1755" s="22"/>
    </row>
    <row r="1756" spans="1:8" ht="13.35" customHeight="1">
      <c r="A1756" s="82">
        <v>1</v>
      </c>
      <c r="B1756" s="83" t="s">
        <v>609</v>
      </c>
      <c r="C1756" s="67" t="s">
        <v>4619</v>
      </c>
      <c r="D1756" s="91">
        <v>1370700</v>
      </c>
      <c r="E1756" s="76">
        <v>53650</v>
      </c>
      <c r="F1756" s="77" t="s">
        <v>10170</v>
      </c>
      <c r="G1756" s="22"/>
      <c r="H1756" s="22"/>
    </row>
    <row r="1757" spans="1:8" ht="13.35" customHeight="1">
      <c r="A1757" s="82">
        <v>1</v>
      </c>
      <c r="B1757" s="83" t="s">
        <v>930</v>
      </c>
      <c r="C1757" s="67" t="s">
        <v>4622</v>
      </c>
      <c r="D1757" s="91">
        <v>1370700</v>
      </c>
      <c r="E1757" s="76">
        <v>53650</v>
      </c>
      <c r="F1757" s="77" t="s">
        <v>10170</v>
      </c>
      <c r="G1757" s="22"/>
      <c r="H1757" s="22"/>
    </row>
    <row r="1758" spans="1:8" ht="13.35" customHeight="1">
      <c r="A1758" s="82">
        <v>1</v>
      </c>
      <c r="B1758" s="83" t="s">
        <v>929</v>
      </c>
      <c r="C1758" s="67" t="s">
        <v>4621</v>
      </c>
      <c r="D1758" s="91">
        <v>1370700</v>
      </c>
      <c r="E1758" s="76">
        <v>53650</v>
      </c>
      <c r="F1758" s="77" t="s">
        <v>10170</v>
      </c>
      <c r="G1758" s="22"/>
      <c r="H1758" s="22"/>
    </row>
    <row r="1759" spans="1:8" ht="13.35" customHeight="1">
      <c r="A1759" s="82">
        <v>1</v>
      </c>
      <c r="B1759" s="83" t="s">
        <v>1089</v>
      </c>
      <c r="C1759" s="67" t="s">
        <v>4692</v>
      </c>
      <c r="D1759" s="91">
        <v>986900</v>
      </c>
      <c r="E1759" s="76">
        <v>38628</v>
      </c>
      <c r="F1759" s="77" t="s">
        <v>10170</v>
      </c>
      <c r="G1759" s="22"/>
      <c r="H1759" s="22"/>
    </row>
    <row r="1760" spans="1:8" ht="13.35" customHeight="1">
      <c r="A1760" s="82">
        <v>1</v>
      </c>
      <c r="B1760" s="67" t="s">
        <v>6821</v>
      </c>
      <c r="C1760" s="67" t="s">
        <v>7560</v>
      </c>
      <c r="D1760" s="91">
        <v>1233600</v>
      </c>
      <c r="E1760" s="76">
        <v>48284.999999999993</v>
      </c>
      <c r="F1760" s="77" t="s">
        <v>10170</v>
      </c>
      <c r="G1760" s="22"/>
      <c r="H1760" s="22"/>
    </row>
    <row r="1761" spans="1:8" ht="13.35" customHeight="1">
      <c r="A1761" s="82">
        <v>1</v>
      </c>
      <c r="B1761" s="67" t="s">
        <v>6822</v>
      </c>
      <c r="C1761" s="67" t="s">
        <v>7561</v>
      </c>
      <c r="D1761" s="91">
        <v>1233600</v>
      </c>
      <c r="E1761" s="76">
        <v>48284.999999999993</v>
      </c>
      <c r="F1761" s="77" t="s">
        <v>10170</v>
      </c>
      <c r="G1761" s="22"/>
      <c r="H1761" s="22"/>
    </row>
    <row r="1762" spans="1:8" ht="13.35" customHeight="1">
      <c r="A1762" s="82">
        <v>1</v>
      </c>
      <c r="B1762" s="83" t="s">
        <v>3169</v>
      </c>
      <c r="C1762" s="67" t="s">
        <v>4612</v>
      </c>
      <c r="D1762" s="91">
        <v>1850400</v>
      </c>
      <c r="E1762" s="76">
        <v>72427.5</v>
      </c>
      <c r="F1762" s="77" t="s">
        <v>10170</v>
      </c>
      <c r="G1762" s="22"/>
      <c r="H1762" s="22"/>
    </row>
    <row r="1763" spans="1:8" ht="13.35" customHeight="1">
      <c r="A1763" s="82">
        <v>1</v>
      </c>
      <c r="B1763" s="83" t="s">
        <v>3173</v>
      </c>
      <c r="C1763" s="67" t="s">
        <v>4616</v>
      </c>
      <c r="D1763" s="91">
        <v>1850400</v>
      </c>
      <c r="E1763" s="76">
        <v>72427.5</v>
      </c>
      <c r="F1763" s="77" t="s">
        <v>10170</v>
      </c>
      <c r="G1763" s="22"/>
      <c r="H1763" s="22"/>
    </row>
    <row r="1764" spans="1:8" ht="13.35" customHeight="1">
      <c r="A1764" s="82">
        <v>1</v>
      </c>
      <c r="B1764" s="83" t="s">
        <v>3168</v>
      </c>
      <c r="C1764" s="67" t="s">
        <v>4611</v>
      </c>
      <c r="D1764" s="91">
        <v>1576300</v>
      </c>
      <c r="E1764" s="76">
        <v>61697.499999999993</v>
      </c>
      <c r="F1764" s="77" t="s">
        <v>10170</v>
      </c>
      <c r="G1764" s="22"/>
      <c r="H1764" s="22"/>
    </row>
    <row r="1765" spans="1:8" ht="13.35" customHeight="1">
      <c r="A1765" s="82">
        <v>1</v>
      </c>
      <c r="B1765" s="83" t="s">
        <v>3172</v>
      </c>
      <c r="C1765" s="67" t="s">
        <v>4615</v>
      </c>
      <c r="D1765" s="91">
        <v>1576300</v>
      </c>
      <c r="E1765" s="76">
        <v>61697.499999999993</v>
      </c>
      <c r="F1765" s="77" t="s">
        <v>10170</v>
      </c>
      <c r="G1765" s="22"/>
      <c r="H1765" s="22"/>
    </row>
    <row r="1766" spans="1:8" ht="13.35" customHeight="1">
      <c r="A1766" s="82">
        <v>1</v>
      </c>
      <c r="B1766" s="83" t="s">
        <v>3170</v>
      </c>
      <c r="C1766" s="67" t="s">
        <v>4613</v>
      </c>
      <c r="D1766" s="91">
        <v>1370700</v>
      </c>
      <c r="E1766" s="76">
        <v>53650</v>
      </c>
      <c r="F1766" s="77" t="s">
        <v>10170</v>
      </c>
      <c r="G1766" s="22"/>
      <c r="H1766" s="22"/>
    </row>
    <row r="1767" spans="1:8" ht="13.35" customHeight="1">
      <c r="A1767" s="82">
        <v>1</v>
      </c>
      <c r="B1767" s="83" t="s">
        <v>3171</v>
      </c>
      <c r="C1767" s="67" t="s">
        <v>4614</v>
      </c>
      <c r="D1767" s="91">
        <v>1165100</v>
      </c>
      <c r="E1767" s="76">
        <v>45602.5</v>
      </c>
      <c r="F1767" s="77" t="s">
        <v>10170</v>
      </c>
      <c r="G1767" s="22"/>
      <c r="H1767" s="22"/>
    </row>
    <row r="1768" spans="1:8" ht="13.35" customHeight="1">
      <c r="A1768" s="82">
        <v>1</v>
      </c>
      <c r="B1768" s="83" t="s">
        <v>3175</v>
      </c>
      <c r="C1768" s="67" t="s">
        <v>3176</v>
      </c>
      <c r="D1768" s="91">
        <v>479700</v>
      </c>
      <c r="E1768" s="76">
        <v>18777.5</v>
      </c>
      <c r="F1768" s="77" t="s">
        <v>10170</v>
      </c>
      <c r="G1768" s="22"/>
      <c r="H1768" s="22"/>
    </row>
    <row r="1769" spans="1:8" ht="13.35" customHeight="1">
      <c r="A1769" s="82">
        <v>1</v>
      </c>
      <c r="B1769" s="83" t="s">
        <v>2117</v>
      </c>
      <c r="C1769" s="67" t="s">
        <v>4684</v>
      </c>
      <c r="D1769" s="91">
        <v>1713300</v>
      </c>
      <c r="E1769" s="76">
        <v>67062.5</v>
      </c>
      <c r="F1769" s="77" t="s">
        <v>10170</v>
      </c>
      <c r="G1769" s="22"/>
      <c r="H1769" s="22"/>
    </row>
    <row r="1770" spans="1:8" ht="13.35" customHeight="1">
      <c r="A1770" s="82">
        <v>1</v>
      </c>
      <c r="B1770" s="83" t="s">
        <v>3174</v>
      </c>
      <c r="C1770" s="67" t="s">
        <v>4617</v>
      </c>
      <c r="D1770" s="91">
        <v>1713300</v>
      </c>
      <c r="E1770" s="76">
        <v>67062.5</v>
      </c>
      <c r="F1770" s="77" t="s">
        <v>10170</v>
      </c>
      <c r="G1770" s="22"/>
      <c r="H1770" s="22"/>
    </row>
    <row r="1771" spans="1:8" ht="13.35" customHeight="1">
      <c r="A1771" s="82">
        <v>1</v>
      </c>
      <c r="B1771" s="83" t="s">
        <v>2265</v>
      </c>
      <c r="C1771" s="67" t="s">
        <v>4623</v>
      </c>
      <c r="D1771" s="91">
        <v>1028000</v>
      </c>
      <c r="E1771" s="76">
        <v>40237.5</v>
      </c>
      <c r="F1771" s="77" t="s">
        <v>10170</v>
      </c>
      <c r="G1771" s="22"/>
      <c r="H1771" s="22"/>
    </row>
    <row r="1772" spans="1:8" ht="13.35" customHeight="1">
      <c r="A1772" s="82">
        <v>1</v>
      </c>
      <c r="B1772" s="83" t="s">
        <v>142</v>
      </c>
      <c r="C1772" s="67" t="s">
        <v>4695</v>
      </c>
      <c r="D1772" s="91">
        <v>1028000</v>
      </c>
      <c r="E1772" s="76">
        <v>40237.5</v>
      </c>
      <c r="F1772" s="77" t="s">
        <v>10170</v>
      </c>
      <c r="G1772" s="22"/>
      <c r="H1772" s="22"/>
    </row>
    <row r="1773" spans="1:8" ht="13.35" customHeight="1">
      <c r="A1773" s="82">
        <v>1</v>
      </c>
      <c r="B1773" s="83" t="s">
        <v>1475</v>
      </c>
      <c r="C1773" s="67" t="s">
        <v>1476</v>
      </c>
      <c r="D1773" s="91">
        <v>685300</v>
      </c>
      <c r="E1773" s="76">
        <v>26825</v>
      </c>
      <c r="F1773" s="77" t="s">
        <v>10170</v>
      </c>
      <c r="G1773" s="22"/>
      <c r="H1773" s="22"/>
    </row>
    <row r="1774" spans="1:8" ht="13.35" customHeight="1">
      <c r="A1774" s="82">
        <v>1</v>
      </c>
      <c r="B1774" s="83" t="s">
        <v>1477</v>
      </c>
      <c r="C1774" s="67" t="s">
        <v>4618</v>
      </c>
      <c r="D1774" s="91">
        <v>685300</v>
      </c>
      <c r="E1774" s="76">
        <v>26825</v>
      </c>
      <c r="F1774" s="77" t="s">
        <v>10170</v>
      </c>
      <c r="G1774" s="22"/>
      <c r="H1774" s="22"/>
    </row>
    <row r="1775" spans="1:8" ht="13.35" customHeight="1">
      <c r="A1775" s="82">
        <v>5</v>
      </c>
      <c r="B1775" s="83" t="s">
        <v>2720</v>
      </c>
      <c r="C1775" s="67" t="s">
        <v>2721</v>
      </c>
      <c r="D1775" s="91">
        <v>1439203500</v>
      </c>
      <c r="E1775" s="76">
        <v>137025000</v>
      </c>
      <c r="F1775" s="77" t="s">
        <v>5505</v>
      </c>
      <c r="G1775" s="22"/>
      <c r="H1775" s="22"/>
    </row>
    <row r="1776" spans="1:8" ht="13.35" customHeight="1">
      <c r="A1776" s="82">
        <v>5</v>
      </c>
      <c r="B1776" s="83" t="s">
        <v>2718</v>
      </c>
      <c r="C1776" s="67" t="s">
        <v>2719</v>
      </c>
      <c r="D1776" s="91">
        <v>767575200</v>
      </c>
      <c r="E1776" s="76">
        <v>73080000</v>
      </c>
      <c r="F1776" s="77" t="s">
        <v>5505</v>
      </c>
      <c r="G1776" s="22"/>
      <c r="H1776" s="22"/>
    </row>
    <row r="1777" spans="1:8" ht="13.35" customHeight="1">
      <c r="A1777" s="82">
        <v>5</v>
      </c>
      <c r="B1777" s="83" t="s">
        <v>3507</v>
      </c>
      <c r="C1777" s="67" t="s">
        <v>3508</v>
      </c>
      <c r="D1777" s="91">
        <v>347053600</v>
      </c>
      <c r="E1777" s="76">
        <v>33042600</v>
      </c>
      <c r="F1777" s="77" t="s">
        <v>5505</v>
      </c>
      <c r="G1777" s="22"/>
      <c r="H1777" s="22"/>
    </row>
    <row r="1778" spans="1:8" ht="13.35" customHeight="1">
      <c r="A1778" s="82">
        <v>5</v>
      </c>
      <c r="B1778" s="83" t="s">
        <v>3503</v>
      </c>
      <c r="C1778" s="67" t="s">
        <v>3504</v>
      </c>
      <c r="D1778" s="91">
        <v>173526800</v>
      </c>
      <c r="E1778" s="76">
        <v>16521300</v>
      </c>
      <c r="F1778" s="77" t="s">
        <v>5505</v>
      </c>
      <c r="G1778" s="22"/>
      <c r="H1778" s="22"/>
    </row>
    <row r="1779" spans="1:8" ht="13.35" customHeight="1">
      <c r="A1779" s="82">
        <v>5</v>
      </c>
      <c r="B1779" s="83" t="s">
        <v>3511</v>
      </c>
      <c r="C1779" s="67" t="s">
        <v>3512</v>
      </c>
      <c r="D1779" s="91">
        <v>422248600</v>
      </c>
      <c r="E1779" s="76">
        <v>40201830</v>
      </c>
      <c r="F1779" s="77" t="s">
        <v>5505</v>
      </c>
      <c r="G1779" s="22"/>
      <c r="H1779" s="22"/>
    </row>
    <row r="1780" spans="1:8" ht="13.35" customHeight="1">
      <c r="A1780" s="82">
        <v>5</v>
      </c>
      <c r="B1780" s="83" t="s">
        <v>3505</v>
      </c>
      <c r="C1780" s="67" t="s">
        <v>3506</v>
      </c>
      <c r="D1780" s="91">
        <v>211124300</v>
      </c>
      <c r="E1780" s="76">
        <v>20100915</v>
      </c>
      <c r="F1780" s="77" t="s">
        <v>5505</v>
      </c>
      <c r="G1780" s="22"/>
      <c r="H1780" s="22"/>
    </row>
    <row r="1781" spans="1:8" ht="13.35" customHeight="1">
      <c r="A1781" s="82">
        <v>5</v>
      </c>
      <c r="B1781" s="83" t="s">
        <v>3509</v>
      </c>
      <c r="C1781" s="67" t="s">
        <v>3510</v>
      </c>
      <c r="D1781" s="91">
        <v>72302800</v>
      </c>
      <c r="E1781" s="76">
        <v>6883875</v>
      </c>
      <c r="F1781" s="77" t="s">
        <v>5505</v>
      </c>
      <c r="G1781" s="22"/>
      <c r="H1781" s="22"/>
    </row>
    <row r="1782" spans="1:8" ht="13.35" customHeight="1">
      <c r="A1782" s="82">
        <v>5</v>
      </c>
      <c r="B1782" s="83" t="s">
        <v>3515</v>
      </c>
      <c r="C1782" s="67" t="s">
        <v>3516</v>
      </c>
      <c r="D1782" s="91">
        <v>5053112000</v>
      </c>
      <c r="E1782" s="76">
        <v>481101300</v>
      </c>
      <c r="F1782" s="77" t="s">
        <v>5505</v>
      </c>
      <c r="G1782" s="22"/>
      <c r="H1782" s="22"/>
    </row>
    <row r="1783" spans="1:8" ht="13.35" customHeight="1">
      <c r="A1783" s="82">
        <v>5</v>
      </c>
      <c r="B1783" s="83" t="s">
        <v>3513</v>
      </c>
      <c r="C1783" s="67" t="s">
        <v>3514</v>
      </c>
      <c r="D1783" s="91">
        <v>1301451200</v>
      </c>
      <c r="E1783" s="76">
        <v>123909750</v>
      </c>
      <c r="F1783" s="77" t="s">
        <v>5505</v>
      </c>
      <c r="G1783" s="22"/>
      <c r="H1783" s="22"/>
    </row>
    <row r="1784" spans="1:8" ht="13.35" customHeight="1">
      <c r="A1784" s="82">
        <v>5</v>
      </c>
      <c r="B1784" s="83" t="s">
        <v>3517</v>
      </c>
      <c r="C1784" s="67" t="s">
        <v>3518</v>
      </c>
      <c r="D1784" s="91">
        <v>144605700</v>
      </c>
      <c r="E1784" s="76">
        <v>13767750</v>
      </c>
      <c r="F1784" s="77" t="s">
        <v>5505</v>
      </c>
      <c r="G1784" s="22"/>
      <c r="H1784" s="22"/>
    </row>
    <row r="1785" spans="1:8" ht="13.35" customHeight="1">
      <c r="A1785" s="82">
        <v>5</v>
      </c>
      <c r="B1785" s="83" t="s">
        <v>3519</v>
      </c>
      <c r="C1785" s="67" t="s">
        <v>3520</v>
      </c>
      <c r="D1785" s="91">
        <v>4345000</v>
      </c>
      <c r="E1785" s="76">
        <v>413685</v>
      </c>
      <c r="F1785" s="77" t="s">
        <v>5505</v>
      </c>
      <c r="G1785" s="22"/>
      <c r="H1785" s="22"/>
    </row>
    <row r="1786" spans="1:8" ht="13.35" customHeight="1">
      <c r="A1786" s="82">
        <v>5</v>
      </c>
      <c r="B1786" s="83" t="s">
        <v>2995</v>
      </c>
      <c r="C1786" s="67" t="s">
        <v>2996</v>
      </c>
      <c r="D1786" s="91">
        <v>3976656300</v>
      </c>
      <c r="E1786" s="76">
        <v>378613125</v>
      </c>
      <c r="F1786" s="77" t="s">
        <v>5505</v>
      </c>
      <c r="G1786" s="22"/>
      <c r="H1786" s="22"/>
    </row>
    <row r="1787" spans="1:8" ht="13.35" customHeight="1">
      <c r="A1787" s="82">
        <v>5</v>
      </c>
      <c r="B1787" s="83" t="s">
        <v>2993</v>
      </c>
      <c r="C1787" s="67" t="s">
        <v>2994</v>
      </c>
      <c r="D1787" s="91">
        <v>2747508000</v>
      </c>
      <c r="E1787" s="76">
        <v>261587250</v>
      </c>
      <c r="F1787" s="77" t="s">
        <v>5505</v>
      </c>
      <c r="G1787" s="22"/>
      <c r="H1787" s="22"/>
    </row>
    <row r="1788" spans="1:8" ht="13.35" customHeight="1">
      <c r="A1788" s="82">
        <v>5</v>
      </c>
      <c r="B1788" s="83" t="s">
        <v>2991</v>
      </c>
      <c r="C1788" s="67" t="s">
        <v>2992</v>
      </c>
      <c r="D1788" s="91">
        <v>1431596300</v>
      </c>
      <c r="E1788" s="76">
        <v>136300725</v>
      </c>
      <c r="F1788" s="77" t="s">
        <v>5505</v>
      </c>
      <c r="G1788" s="22"/>
      <c r="H1788" s="22"/>
    </row>
    <row r="1789" spans="1:8" ht="13.35" customHeight="1">
      <c r="A1789" s="82">
        <v>5</v>
      </c>
      <c r="B1789" s="83" t="s">
        <v>2989</v>
      </c>
      <c r="C1789" s="67" t="s">
        <v>2990</v>
      </c>
      <c r="D1789" s="91">
        <v>715805000</v>
      </c>
      <c r="E1789" s="76">
        <v>68151015</v>
      </c>
      <c r="F1789" s="77" t="s">
        <v>5505</v>
      </c>
      <c r="G1789" s="22"/>
      <c r="H1789" s="22"/>
    </row>
    <row r="1790" spans="1:8" ht="13.35" customHeight="1">
      <c r="A1790" s="82">
        <v>5</v>
      </c>
      <c r="B1790" s="83" t="s">
        <v>2997</v>
      </c>
      <c r="C1790" s="67" t="s">
        <v>2998</v>
      </c>
      <c r="D1790" s="91">
        <v>5784200</v>
      </c>
      <c r="E1790" s="76">
        <v>550710</v>
      </c>
      <c r="F1790" s="77" t="s">
        <v>5505</v>
      </c>
      <c r="G1790" s="22"/>
      <c r="H1790" s="22"/>
    </row>
    <row r="1791" spans="1:8" ht="13.35" customHeight="1">
      <c r="A1791" s="82">
        <v>5</v>
      </c>
      <c r="B1791" s="83" t="s">
        <v>3003</v>
      </c>
      <c r="C1791" s="67" t="s">
        <v>3004</v>
      </c>
      <c r="D1791" s="91">
        <v>144605700</v>
      </c>
      <c r="E1791" s="76">
        <v>13767750</v>
      </c>
      <c r="F1791" s="77" t="s">
        <v>5505</v>
      </c>
      <c r="G1791" s="22"/>
      <c r="H1791" s="22"/>
    </row>
    <row r="1792" spans="1:8" ht="13.35" customHeight="1">
      <c r="A1792" s="82">
        <v>5</v>
      </c>
      <c r="B1792" s="83" t="s">
        <v>2999</v>
      </c>
      <c r="C1792" s="67" t="s">
        <v>3000</v>
      </c>
      <c r="D1792" s="91">
        <v>4345000</v>
      </c>
      <c r="E1792" s="76">
        <v>413685</v>
      </c>
      <c r="F1792" s="77" t="s">
        <v>5505</v>
      </c>
      <c r="G1792" s="22"/>
      <c r="H1792" s="22"/>
    </row>
    <row r="1793" spans="1:8" ht="13.35" customHeight="1">
      <c r="A1793" s="82">
        <v>5</v>
      </c>
      <c r="B1793" s="83" t="s">
        <v>3001</v>
      </c>
      <c r="C1793" s="67" t="s">
        <v>3002</v>
      </c>
      <c r="D1793" s="91">
        <v>4345000</v>
      </c>
      <c r="E1793" s="76">
        <v>413685</v>
      </c>
      <c r="F1793" s="77" t="s">
        <v>5505</v>
      </c>
      <c r="G1793" s="22"/>
      <c r="H1793" s="22"/>
    </row>
    <row r="1794" spans="1:8" ht="13.35" customHeight="1">
      <c r="A1794" s="82">
        <v>5</v>
      </c>
      <c r="B1794" s="83" t="s">
        <v>3005</v>
      </c>
      <c r="C1794" s="67" t="s">
        <v>3006</v>
      </c>
      <c r="D1794" s="91">
        <v>5071500</v>
      </c>
      <c r="E1794" s="76">
        <v>482850</v>
      </c>
      <c r="F1794" s="77" t="s">
        <v>5505</v>
      </c>
      <c r="G1794" s="22"/>
      <c r="H1794" s="22"/>
    </row>
    <row r="1795" spans="1:8" ht="13.35" customHeight="1">
      <c r="A1795" s="82">
        <v>5</v>
      </c>
      <c r="B1795" s="83" t="s">
        <v>3007</v>
      </c>
      <c r="C1795" s="67" t="s">
        <v>3008</v>
      </c>
      <c r="D1795" s="91">
        <v>4345000</v>
      </c>
      <c r="E1795" s="76">
        <v>413685</v>
      </c>
      <c r="F1795" s="77" t="s">
        <v>5505</v>
      </c>
      <c r="G1795" s="22"/>
      <c r="H1795" s="22"/>
    </row>
    <row r="1796" spans="1:8" ht="13.35" customHeight="1">
      <c r="A1796" s="82">
        <v>5</v>
      </c>
      <c r="B1796" s="83" t="s">
        <v>3009</v>
      </c>
      <c r="C1796" s="67" t="s">
        <v>3010</v>
      </c>
      <c r="D1796" s="91">
        <v>3618600</v>
      </c>
      <c r="E1796" s="76">
        <v>344520</v>
      </c>
      <c r="F1796" s="77" t="s">
        <v>5505</v>
      </c>
      <c r="G1796" s="22"/>
      <c r="H1796" s="22"/>
    </row>
    <row r="1797" spans="1:8" ht="13.35" customHeight="1">
      <c r="A1797" s="82">
        <v>5</v>
      </c>
      <c r="B1797" s="83" t="s">
        <v>3011</v>
      </c>
      <c r="C1797" s="67" t="s">
        <v>3012</v>
      </c>
      <c r="D1797" s="91">
        <v>723028400</v>
      </c>
      <c r="E1797" s="76">
        <v>68838750</v>
      </c>
      <c r="F1797" s="77" t="s">
        <v>5505</v>
      </c>
      <c r="G1797" s="22"/>
      <c r="H1797" s="22"/>
    </row>
    <row r="1798" spans="1:8" ht="13.35" customHeight="1">
      <c r="A1798" s="82">
        <v>5</v>
      </c>
      <c r="B1798" s="83" t="s">
        <v>3013</v>
      </c>
      <c r="C1798" s="67" t="s">
        <v>3014</v>
      </c>
      <c r="D1798" s="91">
        <v>1012239800</v>
      </c>
      <c r="E1798" s="76">
        <v>96374250</v>
      </c>
      <c r="F1798" s="77" t="s">
        <v>5505</v>
      </c>
      <c r="G1798" s="22"/>
      <c r="H1798" s="22"/>
    </row>
    <row r="1799" spans="1:8" ht="13.35" customHeight="1">
      <c r="A1799" s="82">
        <v>5</v>
      </c>
      <c r="B1799" s="83" t="s">
        <v>3015</v>
      </c>
      <c r="C1799" s="67" t="s">
        <v>3016</v>
      </c>
      <c r="D1799" s="91">
        <v>1373754000</v>
      </c>
      <c r="E1799" s="76">
        <v>130793625</v>
      </c>
      <c r="F1799" s="77" t="s">
        <v>5505</v>
      </c>
      <c r="G1799" s="22"/>
      <c r="H1799" s="22"/>
    </row>
    <row r="1800" spans="1:8" ht="13.35" customHeight="1">
      <c r="A1800" s="82">
        <v>5</v>
      </c>
      <c r="B1800" s="83" t="s">
        <v>3017</v>
      </c>
      <c r="C1800" s="67" t="s">
        <v>3018</v>
      </c>
      <c r="D1800" s="91">
        <v>1735268200</v>
      </c>
      <c r="E1800" s="76">
        <v>165213000</v>
      </c>
      <c r="F1800" s="77" t="s">
        <v>5505</v>
      </c>
      <c r="G1800" s="22"/>
      <c r="H1800" s="22"/>
    </row>
    <row r="1801" spans="1:8" ht="13.35" customHeight="1">
      <c r="A1801" s="82">
        <v>5</v>
      </c>
      <c r="B1801" s="83" t="s">
        <v>3019</v>
      </c>
      <c r="C1801" s="67" t="s">
        <v>3020</v>
      </c>
      <c r="D1801" s="91">
        <v>2096782400</v>
      </c>
      <c r="E1801" s="76">
        <v>199632375</v>
      </c>
      <c r="F1801" s="77" t="s">
        <v>5505</v>
      </c>
      <c r="G1801" s="22"/>
      <c r="H1801" s="22"/>
    </row>
    <row r="1802" spans="1:8" ht="13.35" customHeight="1">
      <c r="A1802" s="82">
        <v>5</v>
      </c>
      <c r="B1802" s="83" t="s">
        <v>3021</v>
      </c>
      <c r="C1802" s="67" t="s">
        <v>3022</v>
      </c>
      <c r="D1802" s="91">
        <v>2458296600</v>
      </c>
      <c r="E1802" s="76">
        <v>234051750</v>
      </c>
      <c r="F1802" s="77" t="s">
        <v>5505</v>
      </c>
      <c r="G1802" s="22"/>
      <c r="H1802" s="22"/>
    </row>
    <row r="1803" spans="1:8" ht="13.35" customHeight="1">
      <c r="A1803" s="82">
        <v>5</v>
      </c>
      <c r="B1803" s="83" t="s">
        <v>3023</v>
      </c>
      <c r="C1803" s="67" t="s">
        <v>3024</v>
      </c>
      <c r="D1803" s="91">
        <v>506119900</v>
      </c>
      <c r="E1803" s="76">
        <v>48187125</v>
      </c>
      <c r="F1803" s="77" t="s">
        <v>5505</v>
      </c>
      <c r="G1803" s="22"/>
      <c r="H1803" s="22"/>
    </row>
    <row r="1804" spans="1:8" ht="13.35" customHeight="1">
      <c r="A1804" s="82">
        <v>5</v>
      </c>
      <c r="B1804" s="83" t="s">
        <v>3025</v>
      </c>
      <c r="C1804" s="67" t="s">
        <v>3026</v>
      </c>
      <c r="D1804" s="91">
        <v>867634100</v>
      </c>
      <c r="E1804" s="76">
        <v>82606500</v>
      </c>
      <c r="F1804" s="77" t="s">
        <v>5505</v>
      </c>
      <c r="G1804" s="22"/>
      <c r="H1804" s="22"/>
    </row>
    <row r="1805" spans="1:8" ht="13.35" customHeight="1">
      <c r="A1805" s="82">
        <v>5</v>
      </c>
      <c r="B1805" s="83" t="s">
        <v>3027</v>
      </c>
      <c r="C1805" s="67" t="s">
        <v>3028</v>
      </c>
      <c r="D1805" s="91">
        <v>723028400</v>
      </c>
      <c r="E1805" s="76">
        <v>68838750</v>
      </c>
      <c r="F1805" s="77" t="s">
        <v>5505</v>
      </c>
      <c r="G1805" s="22"/>
      <c r="H1805" s="22"/>
    </row>
    <row r="1806" spans="1:8" ht="13.35" customHeight="1">
      <c r="A1806" s="82">
        <v>5</v>
      </c>
      <c r="B1806" s="83" t="s">
        <v>3029</v>
      </c>
      <c r="C1806" s="67" t="s">
        <v>3030</v>
      </c>
      <c r="D1806" s="91">
        <v>5071500</v>
      </c>
      <c r="E1806" s="76">
        <v>482850</v>
      </c>
      <c r="F1806" s="77" t="s">
        <v>5505</v>
      </c>
      <c r="G1806" s="22"/>
      <c r="H1806" s="22"/>
    </row>
    <row r="1807" spans="1:8" ht="13.35" customHeight="1">
      <c r="A1807" s="82">
        <v>1</v>
      </c>
      <c r="B1807" s="67" t="s">
        <v>5589</v>
      </c>
      <c r="C1807" s="67" t="s">
        <v>7562</v>
      </c>
      <c r="D1807" s="91">
        <v>1370601500</v>
      </c>
      <c r="E1807" s="76">
        <v>53647317.5</v>
      </c>
      <c r="F1807" s="77" t="s">
        <v>10170</v>
      </c>
      <c r="G1807" s="22"/>
      <c r="H1807" s="22"/>
    </row>
    <row r="1808" spans="1:8" ht="13.35" customHeight="1">
      <c r="A1808" s="82">
        <v>1</v>
      </c>
      <c r="B1808" s="67" t="s">
        <v>6823</v>
      </c>
      <c r="C1808" s="67" t="s">
        <v>7563</v>
      </c>
      <c r="D1808" s="91">
        <v>685266500</v>
      </c>
      <c r="E1808" s="76">
        <v>26822317.500000004</v>
      </c>
      <c r="F1808" s="77" t="s">
        <v>10170</v>
      </c>
      <c r="G1808" s="22"/>
      <c r="H1808" s="22"/>
    </row>
    <row r="1809" spans="1:8" ht="13.35" customHeight="1">
      <c r="A1809" s="82">
        <v>1</v>
      </c>
      <c r="B1809" s="67" t="s">
        <v>6824</v>
      </c>
      <c r="C1809" s="67" t="s">
        <v>7564</v>
      </c>
      <c r="D1809" s="91">
        <v>85494900</v>
      </c>
      <c r="E1809" s="76">
        <v>3346391.9249999998</v>
      </c>
      <c r="F1809" s="77" t="s">
        <v>10170</v>
      </c>
      <c r="G1809" s="22"/>
      <c r="H1809" s="22"/>
    </row>
    <row r="1810" spans="1:8" ht="13.35" customHeight="1">
      <c r="A1810" s="82">
        <v>1</v>
      </c>
      <c r="B1810" s="67" t="s">
        <v>6825</v>
      </c>
      <c r="C1810" s="67" t="s">
        <v>7565</v>
      </c>
      <c r="D1810" s="91">
        <v>58738700</v>
      </c>
      <c r="E1810" s="76">
        <v>2299117.1</v>
      </c>
      <c r="F1810" s="77" t="s">
        <v>10170</v>
      </c>
      <c r="G1810" s="22"/>
      <c r="H1810" s="22"/>
    </row>
    <row r="1811" spans="1:8" ht="13.35" customHeight="1">
      <c r="A1811" s="82">
        <v>1</v>
      </c>
      <c r="B1811" s="67" t="s">
        <v>5592</v>
      </c>
      <c r="C1811" s="67" t="s">
        <v>7566</v>
      </c>
      <c r="D1811" s="91">
        <v>1441807800</v>
      </c>
      <c r="E1811" s="76">
        <v>56434435.000000007</v>
      </c>
      <c r="F1811" s="77" t="s">
        <v>10170</v>
      </c>
      <c r="G1811" s="22"/>
      <c r="H1811" s="22"/>
    </row>
    <row r="1812" spans="1:8" ht="13.35" customHeight="1">
      <c r="A1812" s="82">
        <v>1</v>
      </c>
      <c r="B1812" s="67" t="s">
        <v>5593</v>
      </c>
      <c r="C1812" s="67" t="s">
        <v>7567</v>
      </c>
      <c r="D1812" s="91">
        <v>1653370700</v>
      </c>
      <c r="E1812" s="76">
        <v>64715312.5</v>
      </c>
      <c r="F1812" s="77" t="s">
        <v>10170</v>
      </c>
      <c r="G1812" s="22"/>
      <c r="H1812" s="22"/>
    </row>
    <row r="1813" spans="1:8" ht="13.35" customHeight="1">
      <c r="A1813" s="82">
        <v>1</v>
      </c>
      <c r="B1813" s="67" t="s">
        <v>5591</v>
      </c>
      <c r="C1813" s="67" t="s">
        <v>7568</v>
      </c>
      <c r="D1813" s="91">
        <v>398590800</v>
      </c>
      <c r="E1813" s="76">
        <v>15601420</v>
      </c>
      <c r="F1813" s="77" t="s">
        <v>10170</v>
      </c>
      <c r="G1813" s="22"/>
      <c r="H1813" s="22"/>
    </row>
    <row r="1814" spans="1:8" ht="13.35" customHeight="1">
      <c r="A1814" s="82">
        <v>1</v>
      </c>
      <c r="B1814" s="67" t="s">
        <v>5590</v>
      </c>
      <c r="C1814" s="67" t="s">
        <v>7569</v>
      </c>
      <c r="D1814" s="91">
        <v>119591000</v>
      </c>
      <c r="E1814" s="76">
        <v>4680962.5</v>
      </c>
      <c r="F1814" s="77" t="s">
        <v>10170</v>
      </c>
      <c r="G1814" s="22"/>
      <c r="H1814" s="22"/>
    </row>
    <row r="1815" spans="1:8" ht="13.35" customHeight="1">
      <c r="A1815" s="82">
        <v>5</v>
      </c>
      <c r="B1815" s="69" t="s">
        <v>6826</v>
      </c>
      <c r="C1815" s="69" t="s">
        <v>7570</v>
      </c>
      <c r="D1815" s="95">
        <v>1185629600</v>
      </c>
      <c r="E1815" s="76">
        <v>112882500</v>
      </c>
      <c r="F1815" s="77" t="s">
        <v>5505</v>
      </c>
      <c r="G1815" s="22"/>
      <c r="H1815" s="22"/>
    </row>
    <row r="1816" spans="1:8" ht="13.35" customHeight="1">
      <c r="A1816" s="82">
        <v>5</v>
      </c>
      <c r="B1816" s="69" t="s">
        <v>6827</v>
      </c>
      <c r="C1816" s="69" t="s">
        <v>7571</v>
      </c>
      <c r="D1816" s="95">
        <v>13706700</v>
      </c>
      <c r="E1816" s="76">
        <v>1305000</v>
      </c>
      <c r="F1816" s="77" t="s">
        <v>5505</v>
      </c>
      <c r="G1816" s="22"/>
      <c r="H1816" s="22"/>
    </row>
    <row r="1817" spans="1:8" ht="13.35" customHeight="1">
      <c r="A1817" s="82">
        <v>5</v>
      </c>
      <c r="B1817" s="69" t="s">
        <v>6828</v>
      </c>
      <c r="C1817" s="69" t="s">
        <v>7572</v>
      </c>
      <c r="D1817" s="95">
        <v>1110242700</v>
      </c>
      <c r="E1817" s="76">
        <v>105705000</v>
      </c>
      <c r="F1817" s="77" t="s">
        <v>5505</v>
      </c>
      <c r="G1817" s="22"/>
      <c r="H1817" s="22"/>
    </row>
    <row r="1818" spans="1:8" ht="13.35" customHeight="1">
      <c r="A1818" s="82">
        <v>5</v>
      </c>
      <c r="B1818" s="69" t="s">
        <v>6829</v>
      </c>
      <c r="C1818" s="69" t="s">
        <v>7573</v>
      </c>
      <c r="D1818" s="95">
        <v>13706700</v>
      </c>
      <c r="E1818" s="76">
        <v>1305000</v>
      </c>
      <c r="F1818" s="77" t="s">
        <v>5505</v>
      </c>
      <c r="G1818" s="22"/>
      <c r="H1818" s="22"/>
    </row>
    <row r="1819" spans="1:8" ht="13.35" customHeight="1">
      <c r="A1819" s="82">
        <v>5</v>
      </c>
      <c r="B1819" s="69" t="s">
        <v>6830</v>
      </c>
      <c r="C1819" s="69" t="s">
        <v>7574</v>
      </c>
      <c r="D1819" s="95">
        <v>370080900</v>
      </c>
      <c r="E1819" s="76">
        <v>35235000</v>
      </c>
      <c r="F1819" s="77" t="s">
        <v>5505</v>
      </c>
      <c r="G1819" s="22"/>
      <c r="H1819" s="22"/>
    </row>
    <row r="1820" spans="1:8" ht="13.35" customHeight="1">
      <c r="A1820" s="82">
        <v>5</v>
      </c>
      <c r="B1820" s="69" t="s">
        <v>6831</v>
      </c>
      <c r="C1820" s="69" t="s">
        <v>7575</v>
      </c>
      <c r="D1820" s="95">
        <v>788135300</v>
      </c>
      <c r="E1820" s="76">
        <v>75037500</v>
      </c>
      <c r="F1820" s="77" t="s">
        <v>5505</v>
      </c>
      <c r="G1820" s="22"/>
      <c r="H1820" s="22"/>
    </row>
    <row r="1821" spans="1:8" ht="13.35" customHeight="1">
      <c r="A1821" s="82">
        <v>5</v>
      </c>
      <c r="B1821" s="69" t="s">
        <v>6832</v>
      </c>
      <c r="C1821" s="69" t="s">
        <v>7576</v>
      </c>
      <c r="D1821" s="95">
        <v>9594700</v>
      </c>
      <c r="E1821" s="76">
        <v>913500</v>
      </c>
      <c r="F1821" s="77" t="s">
        <v>5505</v>
      </c>
      <c r="G1821" s="22"/>
      <c r="H1821" s="22"/>
    </row>
    <row r="1822" spans="1:8" ht="13.35" customHeight="1">
      <c r="A1822" s="82">
        <v>5</v>
      </c>
      <c r="B1822" s="69" t="s">
        <v>6833</v>
      </c>
      <c r="C1822" s="69" t="s">
        <v>7577</v>
      </c>
      <c r="D1822" s="95">
        <v>740161800</v>
      </c>
      <c r="E1822" s="76">
        <v>70470000</v>
      </c>
      <c r="F1822" s="77" t="s">
        <v>5505</v>
      </c>
      <c r="G1822" s="22"/>
      <c r="H1822" s="22"/>
    </row>
    <row r="1823" spans="1:8" ht="13.35" customHeight="1">
      <c r="A1823" s="82">
        <v>5</v>
      </c>
      <c r="B1823" s="69" t="s">
        <v>6834</v>
      </c>
      <c r="C1823" s="69" t="s">
        <v>7578</v>
      </c>
      <c r="D1823" s="95">
        <v>9594700</v>
      </c>
      <c r="E1823" s="76">
        <v>913500</v>
      </c>
      <c r="F1823" s="77" t="s">
        <v>5505</v>
      </c>
      <c r="G1823" s="22"/>
      <c r="H1823" s="22"/>
    </row>
    <row r="1824" spans="1:8" ht="13.35" customHeight="1">
      <c r="A1824" s="82">
        <v>5</v>
      </c>
      <c r="B1824" s="69" t="s">
        <v>6835</v>
      </c>
      <c r="C1824" s="69" t="s">
        <v>7579</v>
      </c>
      <c r="D1824" s="95">
        <v>239867300</v>
      </c>
      <c r="E1824" s="76">
        <v>22837500</v>
      </c>
      <c r="F1824" s="77" t="s">
        <v>5505</v>
      </c>
      <c r="G1824" s="22"/>
      <c r="H1824" s="22"/>
    </row>
    <row r="1825" spans="1:8" ht="13.35" customHeight="1">
      <c r="A1825" s="82">
        <v>5</v>
      </c>
      <c r="B1825" s="69" t="s">
        <v>6836</v>
      </c>
      <c r="C1825" s="69" t="s">
        <v>7580</v>
      </c>
      <c r="D1825" s="95">
        <v>397494300</v>
      </c>
      <c r="E1825" s="76">
        <v>37845000</v>
      </c>
      <c r="F1825" s="77" t="s">
        <v>5505</v>
      </c>
      <c r="G1825" s="22"/>
      <c r="H1825" s="22"/>
    </row>
    <row r="1826" spans="1:8" ht="13.35" customHeight="1">
      <c r="A1826" s="82">
        <v>5</v>
      </c>
      <c r="B1826" s="69" t="s">
        <v>6837</v>
      </c>
      <c r="C1826" s="69" t="s">
        <v>7581</v>
      </c>
      <c r="D1826" s="95">
        <v>4797300</v>
      </c>
      <c r="E1826" s="76">
        <v>456750</v>
      </c>
      <c r="F1826" s="77" t="s">
        <v>5505</v>
      </c>
      <c r="G1826" s="22"/>
      <c r="H1826" s="22"/>
    </row>
    <row r="1827" spans="1:8" ht="13.35" customHeight="1">
      <c r="A1827" s="82">
        <v>5</v>
      </c>
      <c r="B1827" s="69" t="s">
        <v>6838</v>
      </c>
      <c r="C1827" s="69" t="s">
        <v>7582</v>
      </c>
      <c r="D1827" s="95">
        <v>370080900</v>
      </c>
      <c r="E1827" s="76">
        <v>35235000</v>
      </c>
      <c r="F1827" s="77" t="s">
        <v>5505</v>
      </c>
      <c r="G1827" s="22"/>
      <c r="H1827" s="22"/>
    </row>
    <row r="1828" spans="1:8" ht="13.35" customHeight="1">
      <c r="A1828" s="82">
        <v>5</v>
      </c>
      <c r="B1828" s="69" t="s">
        <v>6839</v>
      </c>
      <c r="C1828" s="69" t="s">
        <v>7583</v>
      </c>
      <c r="D1828" s="95">
        <v>4797300</v>
      </c>
      <c r="E1828" s="76">
        <v>456750</v>
      </c>
      <c r="F1828" s="77" t="s">
        <v>5505</v>
      </c>
      <c r="G1828" s="22"/>
      <c r="H1828" s="22"/>
    </row>
    <row r="1829" spans="1:8" ht="13.35" customHeight="1">
      <c r="A1829" s="82">
        <v>5</v>
      </c>
      <c r="B1829" s="69" t="s">
        <v>6840</v>
      </c>
      <c r="C1829" s="69" t="s">
        <v>7584</v>
      </c>
      <c r="D1829" s="95">
        <v>130213700</v>
      </c>
      <c r="E1829" s="76">
        <v>12397500</v>
      </c>
      <c r="F1829" s="77" t="s">
        <v>5505</v>
      </c>
      <c r="G1829" s="22"/>
      <c r="H1829" s="22"/>
    </row>
    <row r="1830" spans="1:8" ht="13.35" customHeight="1">
      <c r="A1830" s="82">
        <v>5</v>
      </c>
      <c r="B1830" s="69" t="s">
        <v>6841</v>
      </c>
      <c r="C1830" s="69" t="s">
        <v>7585</v>
      </c>
      <c r="D1830" s="95">
        <v>1185629600</v>
      </c>
      <c r="E1830" s="76">
        <v>112882500</v>
      </c>
      <c r="F1830" s="77" t="s">
        <v>5505</v>
      </c>
      <c r="G1830" s="22"/>
      <c r="H1830" s="22"/>
    </row>
    <row r="1831" spans="1:8" ht="13.35" customHeight="1">
      <c r="A1831" s="82">
        <v>5</v>
      </c>
      <c r="B1831" s="69" t="s">
        <v>6842</v>
      </c>
      <c r="C1831" s="69" t="s">
        <v>7586</v>
      </c>
      <c r="D1831" s="95">
        <v>13706700</v>
      </c>
      <c r="E1831" s="76">
        <v>1305000</v>
      </c>
      <c r="F1831" s="77" t="s">
        <v>5505</v>
      </c>
      <c r="G1831" s="22"/>
      <c r="H1831" s="22"/>
    </row>
    <row r="1832" spans="1:8" ht="13.35" customHeight="1">
      <c r="A1832" s="82">
        <v>5</v>
      </c>
      <c r="B1832" s="69" t="s">
        <v>6843</v>
      </c>
      <c r="C1832" s="69" t="s">
        <v>7587</v>
      </c>
      <c r="D1832" s="95">
        <v>1110242700</v>
      </c>
      <c r="E1832" s="76">
        <v>105705000</v>
      </c>
      <c r="F1832" s="77" t="s">
        <v>5505</v>
      </c>
      <c r="G1832" s="22"/>
      <c r="H1832" s="22"/>
    </row>
    <row r="1833" spans="1:8" ht="13.35" customHeight="1">
      <c r="A1833" s="82">
        <v>5</v>
      </c>
      <c r="B1833" s="69" t="s">
        <v>6844</v>
      </c>
      <c r="C1833" s="69" t="s">
        <v>7588</v>
      </c>
      <c r="D1833" s="95">
        <v>13706700</v>
      </c>
      <c r="E1833" s="76">
        <v>1305000</v>
      </c>
      <c r="F1833" s="77" t="s">
        <v>5505</v>
      </c>
      <c r="G1833" s="22"/>
      <c r="H1833" s="22"/>
    </row>
    <row r="1834" spans="1:8" ht="13.35" customHeight="1">
      <c r="A1834" s="82">
        <v>5</v>
      </c>
      <c r="B1834" s="69" t="s">
        <v>6845</v>
      </c>
      <c r="C1834" s="69" t="s">
        <v>7589</v>
      </c>
      <c r="D1834" s="95">
        <v>370080900</v>
      </c>
      <c r="E1834" s="76">
        <v>35235000</v>
      </c>
      <c r="F1834" s="77" t="s">
        <v>5505</v>
      </c>
      <c r="G1834" s="22"/>
      <c r="H1834" s="22"/>
    </row>
    <row r="1835" spans="1:8" ht="13.35" customHeight="1">
      <c r="A1835" s="82">
        <v>5</v>
      </c>
      <c r="B1835" s="69" t="s">
        <v>6846</v>
      </c>
      <c r="C1835" s="69" t="s">
        <v>7590</v>
      </c>
      <c r="D1835" s="95">
        <v>788135300</v>
      </c>
      <c r="E1835" s="76">
        <v>75037500</v>
      </c>
      <c r="F1835" s="77" t="s">
        <v>5505</v>
      </c>
      <c r="G1835" s="22"/>
      <c r="H1835" s="22"/>
    </row>
    <row r="1836" spans="1:8" ht="13.35" customHeight="1">
      <c r="A1836" s="82">
        <v>5</v>
      </c>
      <c r="B1836" s="69" t="s">
        <v>6847</v>
      </c>
      <c r="C1836" s="69" t="s">
        <v>7591</v>
      </c>
      <c r="D1836" s="95">
        <v>9594700</v>
      </c>
      <c r="E1836" s="76">
        <v>913500</v>
      </c>
      <c r="F1836" s="77" t="s">
        <v>5505</v>
      </c>
      <c r="G1836" s="22"/>
      <c r="H1836" s="22"/>
    </row>
    <row r="1837" spans="1:8" ht="13.35" customHeight="1">
      <c r="A1837" s="82">
        <v>5</v>
      </c>
      <c r="B1837" s="69" t="s">
        <v>6848</v>
      </c>
      <c r="C1837" s="69" t="s">
        <v>7592</v>
      </c>
      <c r="D1837" s="95">
        <v>740161800</v>
      </c>
      <c r="E1837" s="76">
        <v>70470000</v>
      </c>
      <c r="F1837" s="77" t="s">
        <v>5505</v>
      </c>
      <c r="G1837" s="22"/>
      <c r="H1837" s="22"/>
    </row>
    <row r="1838" spans="1:8" ht="13.35" customHeight="1">
      <c r="A1838" s="82">
        <v>5</v>
      </c>
      <c r="B1838" s="69" t="s">
        <v>6849</v>
      </c>
      <c r="C1838" s="69" t="s">
        <v>7593</v>
      </c>
      <c r="D1838" s="95">
        <v>9594700</v>
      </c>
      <c r="E1838" s="76">
        <v>913500</v>
      </c>
      <c r="F1838" s="77" t="s">
        <v>5505</v>
      </c>
      <c r="G1838" s="22"/>
      <c r="H1838" s="22"/>
    </row>
    <row r="1839" spans="1:8" ht="13.35" customHeight="1">
      <c r="A1839" s="82">
        <v>5</v>
      </c>
      <c r="B1839" s="69" t="s">
        <v>6850</v>
      </c>
      <c r="C1839" s="69" t="s">
        <v>7594</v>
      </c>
      <c r="D1839" s="95">
        <v>239867300</v>
      </c>
      <c r="E1839" s="76">
        <v>22837500</v>
      </c>
      <c r="F1839" s="77" t="s">
        <v>5505</v>
      </c>
      <c r="G1839" s="22"/>
      <c r="H1839" s="22"/>
    </row>
    <row r="1840" spans="1:8" ht="13.35" customHeight="1">
      <c r="A1840" s="82">
        <v>5</v>
      </c>
      <c r="B1840" s="69" t="s">
        <v>6851</v>
      </c>
      <c r="C1840" s="69" t="s">
        <v>7595</v>
      </c>
      <c r="D1840" s="95">
        <v>397494300</v>
      </c>
      <c r="E1840" s="76">
        <v>37845000</v>
      </c>
      <c r="F1840" s="77" t="s">
        <v>5505</v>
      </c>
      <c r="G1840" s="22"/>
      <c r="H1840" s="22"/>
    </row>
    <row r="1841" spans="1:8" ht="13.35" customHeight="1">
      <c r="A1841" s="82">
        <v>5</v>
      </c>
      <c r="B1841" s="69" t="s">
        <v>6852</v>
      </c>
      <c r="C1841" s="69" t="s">
        <v>7596</v>
      </c>
      <c r="D1841" s="95">
        <v>4797300</v>
      </c>
      <c r="E1841" s="76">
        <v>456750</v>
      </c>
      <c r="F1841" s="77" t="s">
        <v>5505</v>
      </c>
      <c r="G1841" s="22"/>
      <c r="H1841" s="22"/>
    </row>
    <row r="1842" spans="1:8" ht="13.35" customHeight="1">
      <c r="A1842" s="82">
        <v>5</v>
      </c>
      <c r="B1842" s="69" t="s">
        <v>6853</v>
      </c>
      <c r="C1842" s="69" t="s">
        <v>7597</v>
      </c>
      <c r="D1842" s="95">
        <v>370080900</v>
      </c>
      <c r="E1842" s="76">
        <v>35235000</v>
      </c>
      <c r="F1842" s="77" t="s">
        <v>5505</v>
      </c>
      <c r="G1842" s="22"/>
      <c r="H1842" s="22"/>
    </row>
    <row r="1843" spans="1:8" ht="13.35" customHeight="1">
      <c r="A1843" s="82">
        <v>5</v>
      </c>
      <c r="B1843" s="69" t="s">
        <v>6854</v>
      </c>
      <c r="C1843" s="69" t="s">
        <v>7598</v>
      </c>
      <c r="D1843" s="95">
        <v>4797300</v>
      </c>
      <c r="E1843" s="76">
        <v>456750</v>
      </c>
      <c r="F1843" s="77" t="s">
        <v>5505</v>
      </c>
      <c r="G1843" s="22"/>
      <c r="H1843" s="22"/>
    </row>
    <row r="1844" spans="1:8" ht="13.35" customHeight="1">
      <c r="A1844" s="82">
        <v>5</v>
      </c>
      <c r="B1844" s="69" t="s">
        <v>6855</v>
      </c>
      <c r="C1844" s="69" t="s">
        <v>7599</v>
      </c>
      <c r="D1844" s="95">
        <v>130213700</v>
      </c>
      <c r="E1844" s="76">
        <v>12397500</v>
      </c>
      <c r="F1844" s="77" t="s">
        <v>5505</v>
      </c>
      <c r="G1844" s="22"/>
      <c r="H1844" s="22"/>
    </row>
    <row r="1845" spans="1:8" ht="13.35" customHeight="1">
      <c r="A1845" s="82">
        <v>5</v>
      </c>
      <c r="B1845" s="69" t="s">
        <v>6856</v>
      </c>
      <c r="C1845" s="69" t="s">
        <v>7600</v>
      </c>
      <c r="D1845" s="95">
        <v>459174500</v>
      </c>
      <c r="E1845" s="76">
        <v>43717500</v>
      </c>
      <c r="F1845" s="77" t="s">
        <v>5505</v>
      </c>
      <c r="G1845" s="22"/>
      <c r="H1845" s="22"/>
    </row>
    <row r="1846" spans="1:8" ht="13.35" customHeight="1">
      <c r="A1846" s="82">
        <v>5</v>
      </c>
      <c r="B1846" s="69" t="s">
        <v>6857</v>
      </c>
      <c r="C1846" s="69" t="s">
        <v>7601</v>
      </c>
      <c r="D1846" s="95">
        <v>143920400</v>
      </c>
      <c r="E1846" s="76">
        <v>13702500</v>
      </c>
      <c r="F1846" s="77" t="s">
        <v>5505</v>
      </c>
      <c r="G1846" s="22"/>
      <c r="H1846" s="22"/>
    </row>
    <row r="1847" spans="1:8" ht="13.35" customHeight="1">
      <c r="A1847" s="82">
        <v>5</v>
      </c>
      <c r="B1847" s="69" t="s">
        <v>6858</v>
      </c>
      <c r="C1847" s="69" t="s">
        <v>7602</v>
      </c>
      <c r="D1847" s="95">
        <v>294694100</v>
      </c>
      <c r="E1847" s="76">
        <v>28057500</v>
      </c>
      <c r="F1847" s="77" t="s">
        <v>5505</v>
      </c>
      <c r="G1847" s="22"/>
      <c r="H1847" s="22"/>
    </row>
    <row r="1848" spans="1:8" ht="13.35" customHeight="1">
      <c r="A1848" s="82">
        <v>5</v>
      </c>
      <c r="B1848" s="69" t="s">
        <v>6859</v>
      </c>
      <c r="C1848" s="69" t="s">
        <v>7601</v>
      </c>
      <c r="D1848" s="95">
        <v>95946900</v>
      </c>
      <c r="E1848" s="76">
        <v>9135000</v>
      </c>
      <c r="F1848" s="77" t="s">
        <v>5505</v>
      </c>
      <c r="G1848" s="22"/>
      <c r="H1848" s="22"/>
    </row>
    <row r="1849" spans="1:8" ht="13.35" customHeight="1">
      <c r="A1849" s="82">
        <v>5</v>
      </c>
      <c r="B1849" s="69" t="s">
        <v>6860</v>
      </c>
      <c r="C1849" s="69" t="s">
        <v>7603</v>
      </c>
      <c r="D1849" s="95">
        <v>130213700</v>
      </c>
      <c r="E1849" s="76">
        <v>12397500</v>
      </c>
      <c r="F1849" s="77" t="s">
        <v>5505</v>
      </c>
      <c r="G1849" s="22"/>
      <c r="H1849" s="22"/>
    </row>
    <row r="1850" spans="1:8" ht="13.35" customHeight="1">
      <c r="A1850" s="82">
        <v>5</v>
      </c>
      <c r="B1850" s="69" t="s">
        <v>6861</v>
      </c>
      <c r="C1850" s="69" t="s">
        <v>7604</v>
      </c>
      <c r="D1850" s="95">
        <v>47973500</v>
      </c>
      <c r="E1850" s="76">
        <v>4567500</v>
      </c>
      <c r="F1850" s="77" t="s">
        <v>5505</v>
      </c>
      <c r="G1850" s="22"/>
      <c r="H1850" s="22"/>
    </row>
    <row r="1851" spans="1:8" ht="13.35" customHeight="1">
      <c r="A1851" s="82">
        <v>5</v>
      </c>
      <c r="B1851" s="69" t="s">
        <v>5870</v>
      </c>
      <c r="C1851" s="69" t="s">
        <v>7605</v>
      </c>
      <c r="D1851" s="95">
        <v>253574000</v>
      </c>
      <c r="E1851" s="76">
        <v>24142500</v>
      </c>
      <c r="F1851" s="77" t="s">
        <v>5505</v>
      </c>
      <c r="G1851" s="22"/>
      <c r="H1851" s="22"/>
    </row>
    <row r="1852" spans="1:8" ht="13.35" customHeight="1">
      <c r="A1852" s="82">
        <v>5</v>
      </c>
      <c r="B1852" s="69" t="s">
        <v>5869</v>
      </c>
      <c r="C1852" s="69" t="s">
        <v>7606</v>
      </c>
      <c r="D1852" s="95">
        <v>623654900</v>
      </c>
      <c r="E1852" s="76">
        <v>59377500</v>
      </c>
      <c r="F1852" s="77" t="s">
        <v>5505</v>
      </c>
      <c r="G1852" s="22"/>
      <c r="H1852" s="22"/>
    </row>
    <row r="1853" spans="1:8" ht="13.35" customHeight="1">
      <c r="A1853" s="82">
        <v>5</v>
      </c>
      <c r="B1853" s="69" t="s">
        <v>5868</v>
      </c>
      <c r="C1853" s="69" t="s">
        <v>7607</v>
      </c>
      <c r="D1853" s="95">
        <v>1240456400</v>
      </c>
      <c r="E1853" s="76">
        <v>118102500</v>
      </c>
      <c r="F1853" s="77" t="s">
        <v>5505</v>
      </c>
      <c r="G1853" s="22"/>
      <c r="H1853" s="22"/>
    </row>
    <row r="1854" spans="1:8" ht="13.35" customHeight="1">
      <c r="A1854" s="82">
        <v>5</v>
      </c>
      <c r="B1854" s="69" t="s">
        <v>6862</v>
      </c>
      <c r="C1854" s="69" t="s">
        <v>7608</v>
      </c>
      <c r="D1854" s="95">
        <v>171333800</v>
      </c>
      <c r="E1854" s="76">
        <v>16312500</v>
      </c>
      <c r="F1854" s="77" t="s">
        <v>5505</v>
      </c>
      <c r="G1854" s="22"/>
      <c r="H1854" s="22"/>
    </row>
    <row r="1855" spans="1:8" ht="13.35" customHeight="1">
      <c r="A1855" s="82">
        <v>5</v>
      </c>
      <c r="B1855" s="69" t="s">
        <v>6863</v>
      </c>
      <c r="C1855" s="69" t="s">
        <v>7609</v>
      </c>
      <c r="D1855" s="95">
        <v>418054400</v>
      </c>
      <c r="E1855" s="76">
        <v>39802500</v>
      </c>
      <c r="F1855" s="77" t="s">
        <v>5505</v>
      </c>
      <c r="G1855" s="22"/>
      <c r="H1855" s="22"/>
    </row>
    <row r="1856" spans="1:8" ht="13.35" customHeight="1">
      <c r="A1856" s="82">
        <v>5</v>
      </c>
      <c r="B1856" s="69" t="s">
        <v>6864</v>
      </c>
      <c r="C1856" s="69" t="s">
        <v>7610</v>
      </c>
      <c r="D1856" s="95">
        <v>836108700</v>
      </c>
      <c r="E1856" s="76">
        <v>79605000</v>
      </c>
      <c r="F1856" s="77" t="s">
        <v>5505</v>
      </c>
      <c r="G1856" s="22"/>
      <c r="H1856" s="22"/>
    </row>
    <row r="1857" spans="1:8" ht="13.35" customHeight="1">
      <c r="A1857" s="82">
        <v>5</v>
      </c>
      <c r="B1857" s="69" t="s">
        <v>6865</v>
      </c>
      <c r="C1857" s="69" t="s">
        <v>7611</v>
      </c>
      <c r="D1857" s="95">
        <v>89093600</v>
      </c>
      <c r="E1857" s="76">
        <v>8482500</v>
      </c>
      <c r="F1857" s="77" t="s">
        <v>5505</v>
      </c>
      <c r="G1857" s="22"/>
      <c r="H1857" s="22"/>
    </row>
    <row r="1858" spans="1:8" ht="13.35" customHeight="1">
      <c r="A1858" s="82">
        <v>5</v>
      </c>
      <c r="B1858" s="69" t="s">
        <v>6866</v>
      </c>
      <c r="C1858" s="69" t="s">
        <v>7612</v>
      </c>
      <c r="D1858" s="95">
        <v>212453900</v>
      </c>
      <c r="E1858" s="76">
        <v>20227500</v>
      </c>
      <c r="F1858" s="77" t="s">
        <v>5505</v>
      </c>
      <c r="G1858" s="22"/>
      <c r="H1858" s="22"/>
    </row>
    <row r="1859" spans="1:8" ht="13.35" customHeight="1">
      <c r="A1859" s="82">
        <v>5</v>
      </c>
      <c r="B1859" s="69" t="s">
        <v>6867</v>
      </c>
      <c r="C1859" s="69" t="s">
        <v>7613</v>
      </c>
      <c r="D1859" s="95">
        <v>418054400</v>
      </c>
      <c r="E1859" s="76">
        <v>39802500</v>
      </c>
      <c r="F1859" s="77" t="s">
        <v>5505</v>
      </c>
      <c r="G1859" s="22"/>
      <c r="H1859" s="22"/>
    </row>
    <row r="1860" spans="1:8" ht="13.35" customHeight="1">
      <c r="A1860" s="82">
        <v>5</v>
      </c>
      <c r="B1860" s="69" t="s">
        <v>6868</v>
      </c>
      <c r="C1860" s="69" t="s">
        <v>7614</v>
      </c>
      <c r="D1860" s="95">
        <v>411201000</v>
      </c>
      <c r="E1860" s="76">
        <v>39150000</v>
      </c>
      <c r="F1860" s="77" t="s">
        <v>5505</v>
      </c>
      <c r="G1860" s="22"/>
      <c r="H1860" s="22"/>
    </row>
    <row r="1861" spans="1:8" ht="13.35" customHeight="1">
      <c r="A1861" s="82">
        <v>5</v>
      </c>
      <c r="B1861" s="69" t="s">
        <v>6869</v>
      </c>
      <c r="C1861" s="69" t="s">
        <v>7615</v>
      </c>
      <c r="D1861" s="95">
        <v>20560100</v>
      </c>
      <c r="E1861" s="76">
        <v>1957500</v>
      </c>
      <c r="F1861" s="77" t="s">
        <v>5505</v>
      </c>
      <c r="G1861" s="22"/>
      <c r="H1861" s="22"/>
    </row>
    <row r="1862" spans="1:8" ht="13.35" customHeight="1">
      <c r="A1862" s="82">
        <v>5</v>
      </c>
      <c r="B1862" s="69" t="s">
        <v>6870</v>
      </c>
      <c r="C1862" s="69" t="s">
        <v>7616</v>
      </c>
      <c r="D1862" s="95">
        <v>82240200</v>
      </c>
      <c r="E1862" s="76">
        <v>7830000</v>
      </c>
      <c r="F1862" s="77" t="s">
        <v>5505</v>
      </c>
      <c r="G1862" s="22"/>
      <c r="H1862" s="22"/>
    </row>
    <row r="1863" spans="1:8" ht="13.35" customHeight="1">
      <c r="A1863" s="82">
        <v>5</v>
      </c>
      <c r="B1863" s="69" t="s">
        <v>6871</v>
      </c>
      <c r="C1863" s="69" t="s">
        <v>7617</v>
      </c>
      <c r="D1863" s="95">
        <v>164480400</v>
      </c>
      <c r="E1863" s="76">
        <v>15660000</v>
      </c>
      <c r="F1863" s="77" t="s">
        <v>5505</v>
      </c>
      <c r="G1863" s="22"/>
      <c r="H1863" s="22"/>
    </row>
    <row r="1864" spans="1:8" ht="13.35" customHeight="1">
      <c r="A1864" s="82">
        <v>5</v>
      </c>
      <c r="B1864" s="69" t="s">
        <v>6872</v>
      </c>
      <c r="C1864" s="69" t="s">
        <v>7618</v>
      </c>
      <c r="D1864" s="95">
        <v>164480400</v>
      </c>
      <c r="E1864" s="76">
        <v>15660000</v>
      </c>
      <c r="F1864" s="77" t="s">
        <v>5505</v>
      </c>
      <c r="G1864" s="22"/>
      <c r="H1864" s="22"/>
    </row>
    <row r="1865" spans="1:8" ht="13.35" customHeight="1">
      <c r="A1865" s="82">
        <v>5</v>
      </c>
      <c r="B1865" s="69" t="s">
        <v>6873</v>
      </c>
      <c r="C1865" s="69" t="s">
        <v>7619</v>
      </c>
      <c r="D1865" s="95">
        <v>82240200</v>
      </c>
      <c r="E1865" s="76">
        <v>7830000</v>
      </c>
      <c r="F1865" s="77" t="s">
        <v>5505</v>
      </c>
      <c r="G1865" s="22"/>
      <c r="H1865" s="22"/>
    </row>
    <row r="1866" spans="1:8" ht="13.35" customHeight="1">
      <c r="A1866" s="82">
        <v>5</v>
      </c>
      <c r="B1866" s="69" t="s">
        <v>6874</v>
      </c>
      <c r="C1866" s="69" t="s">
        <v>7620</v>
      </c>
      <c r="D1866" s="95">
        <v>123360300</v>
      </c>
      <c r="E1866" s="76">
        <v>11745000</v>
      </c>
      <c r="F1866" s="77" t="s">
        <v>5505</v>
      </c>
      <c r="G1866" s="22"/>
      <c r="H1866" s="22"/>
    </row>
    <row r="1867" spans="1:8" ht="13.35" customHeight="1">
      <c r="A1867" s="82">
        <v>5</v>
      </c>
      <c r="B1867" s="69" t="s">
        <v>6875</v>
      </c>
      <c r="C1867" s="69" t="s">
        <v>7621</v>
      </c>
      <c r="D1867" s="95">
        <v>274134000</v>
      </c>
      <c r="E1867" s="76">
        <v>26100000</v>
      </c>
      <c r="F1867" s="77" t="s">
        <v>5505</v>
      </c>
      <c r="G1867" s="22"/>
      <c r="H1867" s="22"/>
    </row>
    <row r="1868" spans="1:8" ht="13.35" customHeight="1">
      <c r="A1868" s="82">
        <v>5</v>
      </c>
      <c r="B1868" s="69" t="s">
        <v>6876</v>
      </c>
      <c r="C1868" s="69" t="s">
        <v>7622</v>
      </c>
      <c r="D1868" s="95">
        <v>13706700</v>
      </c>
      <c r="E1868" s="76">
        <v>1305000</v>
      </c>
      <c r="F1868" s="77" t="s">
        <v>5505</v>
      </c>
      <c r="G1868" s="22"/>
      <c r="H1868" s="22"/>
    </row>
    <row r="1869" spans="1:8" ht="13.35" customHeight="1">
      <c r="A1869" s="82">
        <v>5</v>
      </c>
      <c r="B1869" s="69" t="s">
        <v>6877</v>
      </c>
      <c r="C1869" s="69" t="s">
        <v>7623</v>
      </c>
      <c r="D1869" s="95">
        <v>54826800</v>
      </c>
      <c r="E1869" s="76">
        <v>5220000</v>
      </c>
      <c r="F1869" s="77" t="s">
        <v>5505</v>
      </c>
      <c r="G1869" s="22"/>
      <c r="H1869" s="22"/>
    </row>
    <row r="1870" spans="1:8" ht="13.35" customHeight="1">
      <c r="A1870" s="82">
        <v>5</v>
      </c>
      <c r="B1870" s="69" t="s">
        <v>6878</v>
      </c>
      <c r="C1870" s="69" t="s">
        <v>7624</v>
      </c>
      <c r="D1870" s="95">
        <v>109653600</v>
      </c>
      <c r="E1870" s="76">
        <v>10440000</v>
      </c>
      <c r="F1870" s="77" t="s">
        <v>5505</v>
      </c>
      <c r="G1870" s="22"/>
      <c r="H1870" s="22"/>
    </row>
    <row r="1871" spans="1:8" ht="13.35" customHeight="1">
      <c r="A1871" s="82">
        <v>5</v>
      </c>
      <c r="B1871" s="69" t="s">
        <v>6879</v>
      </c>
      <c r="C1871" s="69" t="s">
        <v>7625</v>
      </c>
      <c r="D1871" s="95">
        <v>109653600</v>
      </c>
      <c r="E1871" s="76">
        <v>10440000</v>
      </c>
      <c r="F1871" s="77" t="s">
        <v>5505</v>
      </c>
      <c r="G1871" s="22"/>
      <c r="H1871" s="22"/>
    </row>
    <row r="1872" spans="1:8" ht="13.35" customHeight="1">
      <c r="A1872" s="82">
        <v>5</v>
      </c>
      <c r="B1872" s="69" t="s">
        <v>6880</v>
      </c>
      <c r="C1872" s="69" t="s">
        <v>7626</v>
      </c>
      <c r="D1872" s="95">
        <v>54826800</v>
      </c>
      <c r="E1872" s="76">
        <v>5220000</v>
      </c>
      <c r="F1872" s="77" t="s">
        <v>5505</v>
      </c>
      <c r="G1872" s="22"/>
      <c r="H1872" s="22"/>
    </row>
    <row r="1873" spans="1:8" ht="13.35" customHeight="1">
      <c r="A1873" s="82">
        <v>5</v>
      </c>
      <c r="B1873" s="69" t="s">
        <v>6881</v>
      </c>
      <c r="C1873" s="69" t="s">
        <v>7627</v>
      </c>
      <c r="D1873" s="95">
        <v>82240200</v>
      </c>
      <c r="E1873" s="76">
        <v>7830000</v>
      </c>
      <c r="F1873" s="77" t="s">
        <v>5505</v>
      </c>
      <c r="G1873" s="22"/>
      <c r="H1873" s="22"/>
    </row>
    <row r="1874" spans="1:8" ht="13.35" customHeight="1">
      <c r="A1874" s="82">
        <v>5</v>
      </c>
      <c r="B1874" s="69" t="s">
        <v>6270</v>
      </c>
      <c r="C1874" s="69" t="s">
        <v>7628</v>
      </c>
      <c r="D1874" s="95">
        <v>164480400</v>
      </c>
      <c r="E1874" s="76">
        <v>15660000</v>
      </c>
      <c r="F1874" s="77" t="s">
        <v>5505</v>
      </c>
      <c r="G1874" s="22"/>
      <c r="H1874" s="22"/>
    </row>
    <row r="1875" spans="1:8" ht="13.35" customHeight="1">
      <c r="A1875" s="82">
        <v>5</v>
      </c>
      <c r="B1875" s="69" t="s">
        <v>6882</v>
      </c>
      <c r="C1875" s="69" t="s">
        <v>7629</v>
      </c>
      <c r="D1875" s="95">
        <v>280987400</v>
      </c>
      <c r="E1875" s="76">
        <v>26752500</v>
      </c>
      <c r="F1875" s="77" t="s">
        <v>5505</v>
      </c>
      <c r="G1875" s="22"/>
      <c r="H1875" s="22"/>
    </row>
    <row r="1876" spans="1:8" ht="13.35" customHeight="1">
      <c r="A1876" s="82">
        <v>5</v>
      </c>
      <c r="B1876" s="69" t="s">
        <v>6883</v>
      </c>
      <c r="C1876" s="69" t="s">
        <v>7630</v>
      </c>
      <c r="D1876" s="95">
        <v>109653600</v>
      </c>
      <c r="E1876" s="76">
        <v>10440000</v>
      </c>
      <c r="F1876" s="77" t="s">
        <v>5505</v>
      </c>
      <c r="G1876" s="22"/>
      <c r="H1876" s="22"/>
    </row>
    <row r="1877" spans="1:8" ht="13.35" customHeight="1">
      <c r="A1877" s="82">
        <v>5</v>
      </c>
      <c r="B1877" s="69" t="s">
        <v>6884</v>
      </c>
      <c r="C1877" s="69" t="s">
        <v>7631</v>
      </c>
      <c r="D1877" s="95">
        <v>171333800</v>
      </c>
      <c r="E1877" s="76">
        <v>16312500</v>
      </c>
      <c r="F1877" s="77" t="s">
        <v>5505</v>
      </c>
      <c r="G1877" s="22"/>
      <c r="H1877" s="22"/>
    </row>
    <row r="1878" spans="1:8" ht="13.35" customHeight="1">
      <c r="A1878" s="82">
        <v>5</v>
      </c>
      <c r="B1878" s="69" t="s">
        <v>6885</v>
      </c>
      <c r="C1878" s="69" t="s">
        <v>7632</v>
      </c>
      <c r="D1878" s="95">
        <v>54826800</v>
      </c>
      <c r="E1878" s="76">
        <v>5220000</v>
      </c>
      <c r="F1878" s="77" t="s">
        <v>5505</v>
      </c>
      <c r="G1878" s="22"/>
      <c r="H1878" s="22"/>
    </row>
    <row r="1879" spans="1:8" ht="13.35" customHeight="1">
      <c r="A1879" s="82">
        <v>5</v>
      </c>
      <c r="B1879" s="69" t="s">
        <v>6886</v>
      </c>
      <c r="C1879" s="69" t="s">
        <v>7633</v>
      </c>
      <c r="D1879" s="95">
        <v>89093600</v>
      </c>
      <c r="E1879" s="76">
        <v>8482500</v>
      </c>
      <c r="F1879" s="77" t="s">
        <v>5505</v>
      </c>
      <c r="G1879" s="22"/>
      <c r="H1879" s="22"/>
    </row>
    <row r="1880" spans="1:8" ht="13.35" customHeight="1">
      <c r="A1880" s="82">
        <v>5</v>
      </c>
      <c r="B1880" s="69" t="s">
        <v>6269</v>
      </c>
      <c r="C1880" s="69" t="s">
        <v>7634</v>
      </c>
      <c r="D1880" s="95">
        <v>41120100</v>
      </c>
      <c r="E1880" s="76">
        <v>3915000</v>
      </c>
      <c r="F1880" s="77" t="s">
        <v>5505</v>
      </c>
      <c r="G1880" s="22"/>
      <c r="H1880" s="22"/>
    </row>
    <row r="1881" spans="1:8" ht="13.35" customHeight="1">
      <c r="A1881" s="82">
        <v>5</v>
      </c>
      <c r="B1881" s="69" t="s">
        <v>6887</v>
      </c>
      <c r="C1881" s="69" t="s">
        <v>7635</v>
      </c>
      <c r="D1881" s="95">
        <v>27413400</v>
      </c>
      <c r="E1881" s="76">
        <v>2610000</v>
      </c>
      <c r="F1881" s="77" t="s">
        <v>5505</v>
      </c>
      <c r="G1881" s="22"/>
      <c r="H1881" s="22"/>
    </row>
    <row r="1882" spans="1:8" ht="13.35" customHeight="1">
      <c r="A1882" s="82">
        <v>5</v>
      </c>
      <c r="B1882" s="69" t="s">
        <v>6888</v>
      </c>
      <c r="C1882" s="69" t="s">
        <v>7636</v>
      </c>
      <c r="D1882" s="95">
        <v>13021400</v>
      </c>
      <c r="E1882" s="76">
        <v>1239750</v>
      </c>
      <c r="F1882" s="77" t="s">
        <v>5505</v>
      </c>
      <c r="G1882" s="22"/>
      <c r="H1882" s="22"/>
    </row>
    <row r="1883" spans="1:8" ht="13.35" customHeight="1">
      <c r="A1883" s="82">
        <v>5</v>
      </c>
      <c r="B1883" s="69" t="s">
        <v>6889</v>
      </c>
      <c r="C1883" s="69" t="s">
        <v>7637</v>
      </c>
      <c r="D1883" s="95">
        <v>7675752000</v>
      </c>
      <c r="E1883" s="76">
        <v>730800000</v>
      </c>
      <c r="F1883" s="77" t="s">
        <v>5505</v>
      </c>
      <c r="G1883" s="22"/>
      <c r="H1883" s="22"/>
    </row>
    <row r="1884" spans="1:8" ht="13.35" customHeight="1">
      <c r="A1884" s="82">
        <v>5</v>
      </c>
      <c r="B1884" s="69" t="s">
        <v>6890</v>
      </c>
      <c r="C1884" s="69" t="s">
        <v>7638</v>
      </c>
      <c r="D1884" s="95">
        <v>4797345000</v>
      </c>
      <c r="E1884" s="76">
        <v>456750000</v>
      </c>
      <c r="F1884" s="77" t="s">
        <v>5505</v>
      </c>
      <c r="G1884" s="22"/>
      <c r="H1884" s="22"/>
    </row>
    <row r="1885" spans="1:8" ht="13.35" customHeight="1">
      <c r="A1885" s="82">
        <v>5</v>
      </c>
      <c r="B1885" s="69" t="s">
        <v>6891</v>
      </c>
      <c r="C1885" s="69" t="s">
        <v>7639</v>
      </c>
      <c r="D1885" s="95">
        <v>2398672500</v>
      </c>
      <c r="E1885" s="76">
        <v>228375000</v>
      </c>
      <c r="F1885" s="77" t="s">
        <v>5505</v>
      </c>
      <c r="G1885" s="22"/>
      <c r="H1885" s="22"/>
    </row>
    <row r="1886" spans="1:8" ht="13.35" customHeight="1">
      <c r="A1886" s="82">
        <v>5</v>
      </c>
      <c r="B1886" s="69" t="s">
        <v>6892</v>
      </c>
      <c r="C1886" s="69" t="s">
        <v>3842</v>
      </c>
      <c r="D1886" s="95">
        <v>13700</v>
      </c>
      <c r="E1886" s="76">
        <v>1305</v>
      </c>
      <c r="F1886" s="77" t="s">
        <v>5505</v>
      </c>
      <c r="G1886" s="22"/>
      <c r="H1886" s="22"/>
    </row>
    <row r="1887" spans="1:8" ht="13.35" customHeight="1">
      <c r="A1887" s="82">
        <v>5</v>
      </c>
      <c r="B1887" s="69" t="s">
        <v>3841</v>
      </c>
      <c r="C1887" s="69" t="s">
        <v>3842</v>
      </c>
      <c r="D1887" s="95">
        <v>13700</v>
      </c>
      <c r="E1887" s="76">
        <v>1305</v>
      </c>
      <c r="F1887" s="77" t="s">
        <v>5505</v>
      </c>
      <c r="G1887" s="22"/>
      <c r="H1887" s="22"/>
    </row>
    <row r="1888" spans="1:8" ht="13.35" customHeight="1">
      <c r="A1888" s="82">
        <v>5</v>
      </c>
      <c r="B1888" s="67" t="s">
        <v>5873</v>
      </c>
      <c r="C1888" s="67" t="s">
        <v>7640</v>
      </c>
      <c r="D1888" s="91">
        <v>164480400</v>
      </c>
      <c r="E1888" s="76">
        <v>15660000</v>
      </c>
      <c r="F1888" s="77" t="s">
        <v>5505</v>
      </c>
      <c r="G1888" s="22"/>
      <c r="H1888" s="22"/>
    </row>
    <row r="1889" spans="1:8" ht="13.35" customHeight="1">
      <c r="A1889" s="82">
        <v>5</v>
      </c>
      <c r="B1889" s="67" t="s">
        <v>5872</v>
      </c>
      <c r="C1889" s="67" t="s">
        <v>7641</v>
      </c>
      <c r="D1889" s="91">
        <v>13706700</v>
      </c>
      <c r="E1889" s="76">
        <v>1305000</v>
      </c>
      <c r="F1889" s="77" t="s">
        <v>5505</v>
      </c>
      <c r="G1889" s="22"/>
      <c r="H1889" s="22"/>
    </row>
    <row r="1890" spans="1:8" ht="13.35" customHeight="1">
      <c r="A1890" s="82">
        <v>5</v>
      </c>
      <c r="B1890" s="83" t="s">
        <v>170</v>
      </c>
      <c r="C1890" s="67" t="s">
        <v>5483</v>
      </c>
      <c r="D1890" s="91">
        <v>685266500</v>
      </c>
      <c r="E1890" s="76">
        <v>65243475</v>
      </c>
      <c r="F1890" s="77" t="s">
        <v>5505</v>
      </c>
      <c r="G1890" s="22"/>
      <c r="H1890" s="22"/>
    </row>
    <row r="1891" spans="1:8" ht="13.35" customHeight="1">
      <c r="A1891" s="82">
        <v>5</v>
      </c>
      <c r="B1891" s="67" t="s">
        <v>6893</v>
      </c>
      <c r="C1891" s="67" t="s">
        <v>7642</v>
      </c>
      <c r="D1891" s="91">
        <v>95946900</v>
      </c>
      <c r="E1891" s="76">
        <v>9135000</v>
      </c>
      <c r="F1891" s="77" t="s">
        <v>5505</v>
      </c>
      <c r="G1891" s="22"/>
      <c r="H1891" s="22"/>
    </row>
    <row r="1892" spans="1:8" ht="13.35" customHeight="1">
      <c r="A1892" s="82">
        <v>5</v>
      </c>
      <c r="B1892" s="83" t="s">
        <v>6894</v>
      </c>
      <c r="C1892" s="67" t="s">
        <v>7643</v>
      </c>
      <c r="D1892" s="91">
        <v>34239300</v>
      </c>
      <c r="E1892" s="76">
        <v>3259890.0000000005</v>
      </c>
      <c r="F1892" s="77" t="s">
        <v>5505</v>
      </c>
      <c r="G1892" s="22"/>
      <c r="H1892" s="22"/>
    </row>
    <row r="1893" spans="1:8" ht="13.35" customHeight="1">
      <c r="A1893" s="82">
        <v>5</v>
      </c>
      <c r="B1893" s="83" t="s">
        <v>6895</v>
      </c>
      <c r="C1893" s="67" t="s">
        <v>7644</v>
      </c>
      <c r="D1893" s="91">
        <v>58198600</v>
      </c>
      <c r="E1893" s="76">
        <v>5541030</v>
      </c>
      <c r="F1893" s="77" t="s">
        <v>5505</v>
      </c>
      <c r="G1893" s="22"/>
      <c r="H1893" s="22"/>
    </row>
    <row r="1894" spans="1:8" ht="13.35" customHeight="1">
      <c r="A1894" s="82">
        <v>5</v>
      </c>
      <c r="B1894" s="83" t="s">
        <v>6896</v>
      </c>
      <c r="C1894" s="67" t="s">
        <v>7645</v>
      </c>
      <c r="D1894" s="91">
        <v>44505700</v>
      </c>
      <c r="E1894" s="76">
        <v>4237335</v>
      </c>
      <c r="F1894" s="77" t="s">
        <v>5505</v>
      </c>
      <c r="G1894" s="22"/>
      <c r="H1894" s="22"/>
    </row>
    <row r="1895" spans="1:8" ht="13.35" customHeight="1">
      <c r="A1895" s="82">
        <v>5</v>
      </c>
      <c r="B1895" s="83" t="s">
        <v>5871</v>
      </c>
      <c r="C1895" s="67" t="s">
        <v>7646</v>
      </c>
      <c r="D1895" s="91">
        <v>13700</v>
      </c>
      <c r="E1895" s="76">
        <v>1305</v>
      </c>
      <c r="F1895" s="77" t="s">
        <v>5505</v>
      </c>
      <c r="G1895" s="22"/>
      <c r="H1895" s="22"/>
    </row>
    <row r="1896" spans="1:8" ht="13.35" customHeight="1">
      <c r="A1896" s="82">
        <v>5</v>
      </c>
      <c r="B1896" s="83" t="s">
        <v>6897</v>
      </c>
      <c r="C1896" s="67" t="s">
        <v>7647</v>
      </c>
      <c r="D1896" s="91">
        <v>8155500</v>
      </c>
      <c r="E1896" s="76">
        <v>776475</v>
      </c>
      <c r="F1896" s="77" t="s">
        <v>5505</v>
      </c>
      <c r="G1896" s="22"/>
      <c r="H1896" s="22"/>
    </row>
    <row r="1897" spans="1:8" ht="13.35" customHeight="1">
      <c r="A1897" s="82">
        <v>5</v>
      </c>
      <c r="B1897" s="83" t="s">
        <v>6898</v>
      </c>
      <c r="C1897" s="67" t="s">
        <v>7648</v>
      </c>
      <c r="D1897" s="91">
        <v>6784800</v>
      </c>
      <c r="E1897" s="76">
        <v>645975</v>
      </c>
      <c r="F1897" s="77" t="s">
        <v>5505</v>
      </c>
      <c r="G1897" s="22"/>
      <c r="H1897" s="22"/>
    </row>
    <row r="1898" spans="1:8" ht="13.35" customHeight="1">
      <c r="A1898" s="82">
        <v>5</v>
      </c>
      <c r="B1898" s="83" t="s">
        <v>6899</v>
      </c>
      <c r="C1898" s="67" t="s">
        <v>7649</v>
      </c>
      <c r="D1898" s="91">
        <v>27344900</v>
      </c>
      <c r="E1898" s="76">
        <v>2603475</v>
      </c>
      <c r="F1898" s="77" t="s">
        <v>5505</v>
      </c>
      <c r="G1898" s="22"/>
      <c r="H1898" s="22"/>
    </row>
    <row r="1899" spans="1:8" ht="13.35" customHeight="1">
      <c r="A1899" s="82">
        <v>5</v>
      </c>
      <c r="B1899" s="83" t="s">
        <v>6900</v>
      </c>
      <c r="C1899" s="67" t="s">
        <v>7650</v>
      </c>
      <c r="D1899" s="91">
        <v>27344900</v>
      </c>
      <c r="E1899" s="76">
        <v>2603475</v>
      </c>
      <c r="F1899" s="77" t="s">
        <v>5505</v>
      </c>
      <c r="G1899" s="22"/>
      <c r="H1899" s="22"/>
    </row>
    <row r="1900" spans="1:8" ht="13.35" customHeight="1">
      <c r="A1900" s="82">
        <v>1</v>
      </c>
      <c r="B1900" s="67" t="s">
        <v>6401</v>
      </c>
      <c r="C1900" s="67" t="s">
        <v>6402</v>
      </c>
      <c r="D1900" s="91">
        <v>1359567600</v>
      </c>
      <c r="E1900" s="76">
        <v>129442950</v>
      </c>
      <c r="F1900" s="77" t="s">
        <v>10176</v>
      </c>
      <c r="G1900" s="22"/>
      <c r="H1900" s="22"/>
    </row>
    <row r="1901" spans="1:8" ht="13.35" customHeight="1">
      <c r="A1901" s="82">
        <v>1</v>
      </c>
      <c r="B1901" s="67" t="s">
        <v>6403</v>
      </c>
      <c r="C1901" s="67" t="s">
        <v>6404</v>
      </c>
      <c r="D1901" s="91">
        <v>283865800</v>
      </c>
      <c r="E1901" s="76">
        <v>27026550</v>
      </c>
      <c r="F1901" s="77" t="s">
        <v>10176</v>
      </c>
      <c r="G1901" s="22"/>
      <c r="H1901" s="22"/>
    </row>
    <row r="1902" spans="1:8" ht="13.35" customHeight="1">
      <c r="A1902" s="82">
        <v>1</v>
      </c>
      <c r="B1902" s="67" t="s">
        <v>6405</v>
      </c>
      <c r="C1902" s="67" t="s">
        <v>6406</v>
      </c>
      <c r="D1902" s="91">
        <v>65243900</v>
      </c>
      <c r="E1902" s="76">
        <v>6211800</v>
      </c>
      <c r="F1902" s="77" t="s">
        <v>10176</v>
      </c>
      <c r="G1902" s="22"/>
      <c r="H1902" s="22"/>
    </row>
    <row r="1903" spans="1:8" ht="13.35" customHeight="1">
      <c r="A1903" s="82">
        <v>1</v>
      </c>
      <c r="B1903" s="67" t="s">
        <v>6407</v>
      </c>
      <c r="C1903" s="67" t="s">
        <v>6408</v>
      </c>
      <c r="D1903" s="91">
        <v>27344900</v>
      </c>
      <c r="E1903" s="76">
        <v>2603475</v>
      </c>
      <c r="F1903" s="77" t="s">
        <v>10176</v>
      </c>
      <c r="G1903" s="22"/>
      <c r="H1903" s="22"/>
    </row>
    <row r="1904" spans="1:8" ht="13.35" customHeight="1">
      <c r="A1904" s="82">
        <v>1</v>
      </c>
      <c r="B1904" s="67" t="s">
        <v>6409</v>
      </c>
      <c r="C1904" s="67" t="s">
        <v>6410</v>
      </c>
      <c r="D1904" s="91">
        <v>23986700</v>
      </c>
      <c r="E1904" s="76">
        <v>2283750</v>
      </c>
      <c r="F1904" s="77" t="s">
        <v>10176</v>
      </c>
      <c r="G1904" s="22"/>
      <c r="H1904" s="22"/>
    </row>
    <row r="1905" spans="1:8" ht="13.35" customHeight="1">
      <c r="A1905" s="82">
        <v>1</v>
      </c>
      <c r="B1905" s="67" t="s">
        <v>6411</v>
      </c>
      <c r="C1905" s="67" t="s">
        <v>6412</v>
      </c>
      <c r="D1905" s="91">
        <v>11787800</v>
      </c>
      <c r="E1905" s="76">
        <v>1122300</v>
      </c>
      <c r="F1905" s="77" t="s">
        <v>10176</v>
      </c>
      <c r="G1905" s="22"/>
      <c r="H1905" s="22"/>
    </row>
    <row r="1906" spans="1:8" ht="13.35" customHeight="1">
      <c r="A1906" s="82">
        <v>1</v>
      </c>
      <c r="B1906" s="67" t="s">
        <v>6901</v>
      </c>
      <c r="C1906" s="67" t="s">
        <v>7651</v>
      </c>
      <c r="D1906" s="91">
        <v>2193100</v>
      </c>
      <c r="E1906" s="76">
        <v>208800</v>
      </c>
      <c r="F1906" s="77" t="s">
        <v>10176</v>
      </c>
      <c r="G1906" s="22"/>
      <c r="H1906" s="22"/>
    </row>
    <row r="1907" spans="1:8" ht="13.35" customHeight="1">
      <c r="A1907" s="82">
        <v>1</v>
      </c>
      <c r="B1907" s="67" t="s">
        <v>6671</v>
      </c>
      <c r="C1907" s="67" t="s">
        <v>6672</v>
      </c>
      <c r="D1907" s="91">
        <v>1918900</v>
      </c>
      <c r="E1907" s="76">
        <v>182700</v>
      </c>
      <c r="F1907" s="77" t="s">
        <v>10176</v>
      </c>
      <c r="G1907" s="22"/>
      <c r="H1907" s="22"/>
    </row>
    <row r="1908" spans="1:8" ht="13.35" customHeight="1">
      <c r="A1908" s="82">
        <v>1</v>
      </c>
      <c r="B1908" s="67" t="s">
        <v>6902</v>
      </c>
      <c r="C1908" s="67" t="s">
        <v>7652</v>
      </c>
      <c r="D1908" s="91">
        <v>548300</v>
      </c>
      <c r="E1908" s="76">
        <v>52200</v>
      </c>
      <c r="F1908" s="77" t="s">
        <v>10176</v>
      </c>
      <c r="G1908" s="22"/>
      <c r="H1908" s="22"/>
    </row>
    <row r="1909" spans="1:8" ht="13.35" customHeight="1">
      <c r="A1909" s="82">
        <v>1</v>
      </c>
      <c r="B1909" s="67" t="s">
        <v>6673</v>
      </c>
      <c r="C1909" s="67" t="s">
        <v>6674</v>
      </c>
      <c r="D1909" s="91">
        <v>548300</v>
      </c>
      <c r="E1909" s="76">
        <v>52200</v>
      </c>
      <c r="F1909" s="77" t="s">
        <v>10176</v>
      </c>
      <c r="G1909" s="22"/>
      <c r="H1909" s="22"/>
    </row>
    <row r="1910" spans="1:8" ht="13.35" customHeight="1">
      <c r="A1910" s="82">
        <v>1</v>
      </c>
      <c r="B1910" s="67" t="s">
        <v>6675</v>
      </c>
      <c r="C1910" s="67" t="s">
        <v>6676</v>
      </c>
      <c r="D1910" s="91">
        <v>548300</v>
      </c>
      <c r="E1910" s="76">
        <v>52200</v>
      </c>
      <c r="F1910" s="77" t="s">
        <v>10176</v>
      </c>
      <c r="G1910" s="22"/>
      <c r="H1910" s="22"/>
    </row>
    <row r="1911" spans="1:8" ht="13.35" customHeight="1">
      <c r="A1911" s="82">
        <v>1</v>
      </c>
      <c r="B1911" s="67" t="s">
        <v>6677</v>
      </c>
      <c r="C1911" s="67" t="s">
        <v>6678</v>
      </c>
      <c r="D1911" s="91">
        <v>548300</v>
      </c>
      <c r="E1911" s="76">
        <v>52200</v>
      </c>
      <c r="F1911" s="77" t="s">
        <v>10176</v>
      </c>
      <c r="G1911" s="22"/>
      <c r="H1911" s="22"/>
    </row>
    <row r="1912" spans="1:8" ht="13.35" customHeight="1">
      <c r="A1912" s="82">
        <v>1</v>
      </c>
      <c r="B1912" s="67" t="s">
        <v>6679</v>
      </c>
      <c r="C1912" s="67" t="s">
        <v>6680</v>
      </c>
      <c r="D1912" s="91">
        <v>548300</v>
      </c>
      <c r="E1912" s="76">
        <v>52200</v>
      </c>
      <c r="F1912" s="77" t="s">
        <v>10176</v>
      </c>
      <c r="G1912" s="22"/>
      <c r="H1912" s="22"/>
    </row>
    <row r="1913" spans="1:8" ht="13.35" customHeight="1">
      <c r="A1913" s="82">
        <v>1</v>
      </c>
      <c r="B1913" s="67" t="s">
        <v>6681</v>
      </c>
      <c r="C1913" s="67" t="s">
        <v>6682</v>
      </c>
      <c r="D1913" s="91">
        <v>548300</v>
      </c>
      <c r="E1913" s="76">
        <v>52200</v>
      </c>
      <c r="F1913" s="77" t="s">
        <v>10176</v>
      </c>
      <c r="G1913" s="22"/>
      <c r="H1913" s="22"/>
    </row>
    <row r="1914" spans="1:8" ht="13.35" customHeight="1">
      <c r="A1914" s="82">
        <v>1</v>
      </c>
      <c r="B1914" s="67" t="s">
        <v>6683</v>
      </c>
      <c r="C1914" s="67" t="s">
        <v>6684</v>
      </c>
      <c r="D1914" s="91">
        <v>548300</v>
      </c>
      <c r="E1914" s="76">
        <v>52200</v>
      </c>
      <c r="F1914" s="77" t="s">
        <v>10176</v>
      </c>
      <c r="G1914" s="22"/>
      <c r="H1914" s="22"/>
    </row>
    <row r="1915" spans="1:8" ht="13.35" customHeight="1">
      <c r="A1915" s="82">
        <v>1</v>
      </c>
      <c r="B1915" s="67" t="s">
        <v>6685</v>
      </c>
      <c r="C1915" s="67" t="s">
        <v>6686</v>
      </c>
      <c r="D1915" s="91">
        <v>548300</v>
      </c>
      <c r="E1915" s="76">
        <v>52200</v>
      </c>
      <c r="F1915" s="77" t="s">
        <v>10176</v>
      </c>
      <c r="G1915" s="22"/>
      <c r="H1915" s="22"/>
    </row>
    <row r="1916" spans="1:8" ht="13.35" customHeight="1">
      <c r="A1916" s="82">
        <v>1</v>
      </c>
      <c r="B1916" s="67" t="s">
        <v>6687</v>
      </c>
      <c r="C1916" s="67" t="s">
        <v>6688</v>
      </c>
      <c r="D1916" s="91">
        <v>1357000</v>
      </c>
      <c r="E1916" s="76">
        <v>129195.00000000001</v>
      </c>
      <c r="F1916" s="77" t="s">
        <v>10176</v>
      </c>
      <c r="G1916" s="22"/>
      <c r="H1916" s="22"/>
    </row>
    <row r="1917" spans="1:8" ht="13.35" customHeight="1">
      <c r="A1917" s="82">
        <v>1</v>
      </c>
      <c r="B1917" s="67" t="s">
        <v>6689</v>
      </c>
      <c r="C1917" s="67" t="s">
        <v>6690</v>
      </c>
      <c r="D1917" s="91">
        <v>109700</v>
      </c>
      <c r="E1917" s="76">
        <v>10440</v>
      </c>
      <c r="F1917" s="77" t="s">
        <v>10176</v>
      </c>
      <c r="G1917" s="22"/>
      <c r="H1917" s="22"/>
    </row>
    <row r="1918" spans="1:8" ht="13.35" customHeight="1">
      <c r="A1918" s="82">
        <v>3</v>
      </c>
      <c r="B1918" s="67" t="s">
        <v>6903</v>
      </c>
      <c r="C1918" s="67" t="s">
        <v>7653</v>
      </c>
      <c r="D1918" s="91">
        <v>1370601500</v>
      </c>
      <c r="E1918" s="76">
        <v>43497825.000000007</v>
      </c>
      <c r="F1918" s="77" t="s">
        <v>10172</v>
      </c>
      <c r="G1918" s="22"/>
      <c r="H1918" s="22"/>
    </row>
    <row r="1919" spans="1:8" ht="13.35" customHeight="1">
      <c r="A1919" s="82">
        <v>3</v>
      </c>
      <c r="B1919" s="83" t="s">
        <v>4668</v>
      </c>
      <c r="C1919" s="67" t="s">
        <v>5459</v>
      </c>
      <c r="D1919" s="91">
        <v>342599000</v>
      </c>
      <c r="E1919" s="76">
        <v>10872825.000000002</v>
      </c>
      <c r="F1919" s="77" t="s">
        <v>10172</v>
      </c>
      <c r="G1919" s="22"/>
      <c r="H1919" s="22"/>
    </row>
    <row r="1920" spans="1:8" ht="13.35" customHeight="1">
      <c r="A1920" s="82">
        <v>3</v>
      </c>
      <c r="B1920" s="83" t="s">
        <v>4666</v>
      </c>
      <c r="C1920" s="67" t="s">
        <v>4667</v>
      </c>
      <c r="D1920" s="91">
        <v>274065500</v>
      </c>
      <c r="E1920" s="76">
        <v>8697825.0000000019</v>
      </c>
      <c r="F1920" s="77" t="s">
        <v>10172</v>
      </c>
      <c r="G1920" s="22"/>
      <c r="H1920" s="22"/>
    </row>
    <row r="1921" spans="1:8" ht="13.35" customHeight="1">
      <c r="A1921" s="82">
        <v>3</v>
      </c>
      <c r="B1921" s="83" t="s">
        <v>4971</v>
      </c>
      <c r="C1921" s="67" t="s">
        <v>4972</v>
      </c>
      <c r="D1921" s="91">
        <v>246652100</v>
      </c>
      <c r="E1921" s="76">
        <v>7827825.0000000009</v>
      </c>
      <c r="F1921" s="77" t="s">
        <v>10172</v>
      </c>
      <c r="G1921" s="22"/>
      <c r="H1921" s="22"/>
    </row>
    <row r="1922" spans="1:8" ht="13.35" customHeight="1">
      <c r="A1922" s="82">
        <v>3</v>
      </c>
      <c r="B1922" s="83" t="s">
        <v>4669</v>
      </c>
      <c r="C1922" s="67" t="s">
        <v>4670</v>
      </c>
      <c r="D1922" s="91">
        <v>219238700</v>
      </c>
      <c r="E1922" s="76">
        <v>6957825.0000000009</v>
      </c>
      <c r="F1922" s="77" t="s">
        <v>10172</v>
      </c>
      <c r="G1922" s="22"/>
      <c r="H1922" s="22"/>
    </row>
    <row r="1923" spans="1:8" ht="13.35" customHeight="1">
      <c r="A1923" s="82">
        <v>3</v>
      </c>
      <c r="B1923" s="83" t="s">
        <v>6217</v>
      </c>
      <c r="C1923" s="67" t="s">
        <v>6218</v>
      </c>
      <c r="D1923" s="91">
        <v>136998500</v>
      </c>
      <c r="E1923" s="76">
        <v>4347825.0000000009</v>
      </c>
      <c r="F1923" s="77" t="s">
        <v>10172</v>
      </c>
      <c r="G1923" s="22"/>
      <c r="H1923" s="22"/>
    </row>
    <row r="1924" spans="1:8" ht="13.35" customHeight="1">
      <c r="A1924" s="82">
        <v>3</v>
      </c>
      <c r="B1924" s="83" t="s">
        <v>6219</v>
      </c>
      <c r="C1924" s="67" t="s">
        <v>6220</v>
      </c>
      <c r="D1924" s="91">
        <v>136998500</v>
      </c>
      <c r="E1924" s="76">
        <v>4347825.0000000009</v>
      </c>
      <c r="F1924" s="77" t="s">
        <v>10172</v>
      </c>
      <c r="G1924" s="22"/>
      <c r="H1924" s="22"/>
    </row>
    <row r="1925" spans="1:8" ht="13.35" customHeight="1">
      <c r="A1925" s="82">
        <v>3</v>
      </c>
      <c r="B1925" s="83" t="s">
        <v>6904</v>
      </c>
      <c r="C1925" s="67" t="s">
        <v>7654</v>
      </c>
      <c r="D1925" s="91">
        <v>219238700</v>
      </c>
      <c r="E1925" s="76">
        <v>6957825.0000000009</v>
      </c>
      <c r="F1925" s="77" t="s">
        <v>10172</v>
      </c>
      <c r="G1925" s="22"/>
      <c r="H1925" s="22"/>
    </row>
    <row r="1926" spans="1:8" ht="13.35" customHeight="1">
      <c r="A1926" s="82">
        <v>3</v>
      </c>
      <c r="B1926" s="83" t="s">
        <v>6905</v>
      </c>
      <c r="C1926" s="67" t="s">
        <v>7655</v>
      </c>
      <c r="D1926" s="91">
        <v>109585100</v>
      </c>
      <c r="E1926" s="76">
        <v>3477825.0000000005</v>
      </c>
      <c r="F1926" s="77" t="s">
        <v>10172</v>
      </c>
      <c r="G1926" s="22"/>
      <c r="H1926" s="22"/>
    </row>
    <row r="1927" spans="1:8" ht="13.35" customHeight="1">
      <c r="A1927" s="82">
        <v>3</v>
      </c>
      <c r="B1927" s="83" t="s">
        <v>3108</v>
      </c>
      <c r="C1927" s="67" t="s">
        <v>3109</v>
      </c>
      <c r="D1927" s="91">
        <v>1233534500</v>
      </c>
      <c r="E1927" s="76">
        <v>39147825.000000007</v>
      </c>
      <c r="F1927" s="77" t="s">
        <v>10172</v>
      </c>
      <c r="G1927" s="22"/>
      <c r="H1927" s="22"/>
    </row>
    <row r="1928" spans="1:8" ht="13.35" customHeight="1">
      <c r="A1928" s="82">
        <v>3</v>
      </c>
      <c r="B1928" s="83" t="s">
        <v>3110</v>
      </c>
      <c r="C1928" s="67" t="s">
        <v>3111</v>
      </c>
      <c r="D1928" s="91">
        <v>417985800</v>
      </c>
      <c r="E1928" s="76">
        <v>13265325.000000002</v>
      </c>
      <c r="F1928" s="77" t="s">
        <v>10172</v>
      </c>
      <c r="G1928" s="22"/>
      <c r="H1928" s="22"/>
    </row>
    <row r="1929" spans="1:8" ht="13.35" customHeight="1">
      <c r="A1929" s="82">
        <v>3</v>
      </c>
      <c r="B1929" s="83" t="s">
        <v>1526</v>
      </c>
      <c r="C1929" s="67" t="s">
        <v>1877</v>
      </c>
      <c r="D1929" s="91">
        <v>274065500</v>
      </c>
      <c r="E1929" s="76">
        <v>8697825.0000000019</v>
      </c>
      <c r="F1929" s="77" t="s">
        <v>10172</v>
      </c>
      <c r="G1929" s="22"/>
      <c r="H1929" s="22"/>
    </row>
    <row r="1930" spans="1:8" ht="13.35" customHeight="1">
      <c r="A1930" s="82">
        <v>3</v>
      </c>
      <c r="B1930" s="83" t="s">
        <v>2875</v>
      </c>
      <c r="C1930" s="67" t="s">
        <v>2876</v>
      </c>
      <c r="D1930" s="91">
        <v>219238700</v>
      </c>
      <c r="E1930" s="76">
        <v>6957825.0000000009</v>
      </c>
      <c r="F1930" s="77" t="s">
        <v>10172</v>
      </c>
      <c r="G1930" s="22"/>
      <c r="H1930" s="22"/>
    </row>
    <row r="1931" spans="1:8" ht="13.35" customHeight="1">
      <c r="A1931" s="82">
        <v>3</v>
      </c>
      <c r="B1931" s="83" t="s">
        <v>1525</v>
      </c>
      <c r="C1931" s="67" t="s">
        <v>5460</v>
      </c>
      <c r="D1931" s="91">
        <v>205532000</v>
      </c>
      <c r="E1931" s="76">
        <v>6522825.0000000009</v>
      </c>
      <c r="F1931" s="77" t="s">
        <v>10172</v>
      </c>
      <c r="G1931" s="22"/>
      <c r="H1931" s="22"/>
    </row>
    <row r="1932" spans="1:8" ht="13.35" customHeight="1">
      <c r="A1932" s="82">
        <v>3</v>
      </c>
      <c r="B1932" s="83" t="s">
        <v>3492</v>
      </c>
      <c r="C1932" s="67" t="s">
        <v>3493</v>
      </c>
      <c r="D1932" s="91">
        <v>197307900</v>
      </c>
      <c r="E1932" s="76">
        <v>6261825.0000000009</v>
      </c>
      <c r="F1932" s="77" t="s">
        <v>10172</v>
      </c>
      <c r="G1932" s="22"/>
      <c r="H1932" s="22"/>
    </row>
    <row r="1933" spans="1:8" ht="13.35" customHeight="1">
      <c r="A1933" s="82">
        <v>3</v>
      </c>
      <c r="B1933" s="83" t="s">
        <v>2881</v>
      </c>
      <c r="C1933" s="67" t="s">
        <v>2882</v>
      </c>
      <c r="D1933" s="91">
        <v>191825300</v>
      </c>
      <c r="E1933" s="76">
        <v>6087825.0000000009</v>
      </c>
      <c r="F1933" s="77" t="s">
        <v>10172</v>
      </c>
      <c r="G1933" s="22"/>
      <c r="H1933" s="22"/>
    </row>
    <row r="1934" spans="1:8" ht="13.35" customHeight="1">
      <c r="A1934" s="82">
        <v>3</v>
      </c>
      <c r="B1934" s="83" t="s">
        <v>3272</v>
      </c>
      <c r="C1934" s="67" t="s">
        <v>3273</v>
      </c>
      <c r="D1934" s="91">
        <v>183601200</v>
      </c>
      <c r="E1934" s="76">
        <v>5826825.0000000009</v>
      </c>
      <c r="F1934" s="77" t="s">
        <v>10172</v>
      </c>
      <c r="G1934" s="22"/>
      <c r="H1934" s="22"/>
    </row>
    <row r="1935" spans="1:8" ht="13.35" customHeight="1">
      <c r="A1935" s="82">
        <v>3</v>
      </c>
      <c r="B1935" s="83" t="s">
        <v>1524</v>
      </c>
      <c r="C1935" s="67" t="s">
        <v>5461</v>
      </c>
      <c r="D1935" s="91">
        <v>178118600</v>
      </c>
      <c r="E1935" s="76">
        <v>5652825.0000000009</v>
      </c>
      <c r="F1935" s="77" t="s">
        <v>10172</v>
      </c>
      <c r="G1935" s="22"/>
      <c r="H1935" s="22"/>
    </row>
    <row r="1936" spans="1:8" ht="13.35" customHeight="1">
      <c r="A1936" s="82">
        <v>3</v>
      </c>
      <c r="B1936" s="83" t="s">
        <v>1522</v>
      </c>
      <c r="C1936" s="67" t="s">
        <v>1523</v>
      </c>
      <c r="D1936" s="91">
        <v>150705200</v>
      </c>
      <c r="E1936" s="76">
        <v>4782825.0000000009</v>
      </c>
      <c r="F1936" s="77" t="s">
        <v>10172</v>
      </c>
      <c r="G1936" s="22"/>
      <c r="H1936" s="22"/>
    </row>
    <row r="1937" spans="1:8" ht="13.35" customHeight="1">
      <c r="A1937" s="82">
        <v>3</v>
      </c>
      <c r="B1937" s="83" t="s">
        <v>1520</v>
      </c>
      <c r="C1937" s="67" t="s">
        <v>1521</v>
      </c>
      <c r="D1937" s="91">
        <v>109585100</v>
      </c>
      <c r="E1937" s="76">
        <v>3477825.0000000005</v>
      </c>
      <c r="F1937" s="77" t="s">
        <v>10172</v>
      </c>
      <c r="G1937" s="22"/>
      <c r="H1937" s="22"/>
    </row>
    <row r="1938" spans="1:8" ht="13.35" customHeight="1">
      <c r="A1938" s="82">
        <v>3</v>
      </c>
      <c r="B1938" s="83" t="s">
        <v>4203</v>
      </c>
      <c r="C1938" s="67" t="s">
        <v>4204</v>
      </c>
      <c r="D1938" s="91">
        <v>109585100</v>
      </c>
      <c r="E1938" s="76">
        <v>3477825.0000000005</v>
      </c>
      <c r="F1938" s="77" t="s">
        <v>10172</v>
      </c>
      <c r="G1938" s="22"/>
      <c r="H1938" s="22"/>
    </row>
    <row r="1939" spans="1:8" ht="13.35" customHeight="1">
      <c r="A1939" s="82">
        <v>3</v>
      </c>
      <c r="B1939" s="83" t="s">
        <v>4977</v>
      </c>
      <c r="C1939" s="67" t="s">
        <v>4978</v>
      </c>
      <c r="D1939" s="91">
        <v>95878400</v>
      </c>
      <c r="E1939" s="76">
        <v>3042825.0000000005</v>
      </c>
      <c r="F1939" s="77" t="s">
        <v>10172</v>
      </c>
      <c r="G1939" s="22"/>
      <c r="H1939" s="22"/>
    </row>
    <row r="1940" spans="1:8" ht="13.35" customHeight="1">
      <c r="A1940" s="82">
        <v>3</v>
      </c>
      <c r="B1940" s="83" t="s">
        <v>5265</v>
      </c>
      <c r="C1940" s="67" t="s">
        <v>5266</v>
      </c>
      <c r="D1940" s="91">
        <v>82171700</v>
      </c>
      <c r="E1940" s="76">
        <v>2607825.0000000005</v>
      </c>
      <c r="F1940" s="77" t="s">
        <v>10172</v>
      </c>
      <c r="G1940" s="22"/>
      <c r="H1940" s="22"/>
    </row>
    <row r="1941" spans="1:8" ht="13.35" customHeight="1">
      <c r="A1941" s="82">
        <v>3</v>
      </c>
      <c r="B1941" s="83" t="s">
        <v>5270</v>
      </c>
      <c r="C1941" s="67" t="s">
        <v>7656</v>
      </c>
      <c r="D1941" s="91">
        <v>136998500</v>
      </c>
      <c r="E1941" s="76">
        <v>4347825.0000000009</v>
      </c>
      <c r="F1941" s="77" t="s">
        <v>10172</v>
      </c>
      <c r="G1941" s="22"/>
      <c r="H1941" s="22"/>
    </row>
    <row r="1942" spans="1:8" ht="13.35" customHeight="1">
      <c r="A1942" s="82">
        <v>3</v>
      </c>
      <c r="B1942" s="83" t="s">
        <v>3114</v>
      </c>
      <c r="C1942" s="67" t="s">
        <v>3115</v>
      </c>
      <c r="D1942" s="91">
        <v>94507700</v>
      </c>
      <c r="E1942" s="76">
        <v>2999325.0000000005</v>
      </c>
      <c r="F1942" s="77" t="s">
        <v>10172</v>
      </c>
      <c r="G1942" s="22"/>
      <c r="H1942" s="22"/>
    </row>
    <row r="1943" spans="1:8" ht="13.35" customHeight="1">
      <c r="A1943" s="82">
        <v>3</v>
      </c>
      <c r="B1943" s="83" t="s">
        <v>4227</v>
      </c>
      <c r="C1943" s="67" t="s">
        <v>4228</v>
      </c>
      <c r="D1943" s="91">
        <v>54758300</v>
      </c>
      <c r="E1943" s="76">
        <v>1737825.0000000002</v>
      </c>
      <c r="F1943" s="77" t="s">
        <v>10172</v>
      </c>
      <c r="G1943" s="22"/>
      <c r="H1943" s="22"/>
    </row>
    <row r="1944" spans="1:8" ht="13.35" customHeight="1">
      <c r="A1944" s="82">
        <v>3</v>
      </c>
      <c r="B1944" s="83" t="s">
        <v>858</v>
      </c>
      <c r="C1944" s="67" t="s">
        <v>859</v>
      </c>
      <c r="D1944" s="91">
        <v>616733000</v>
      </c>
      <c r="E1944" s="76">
        <v>19572825.000000004</v>
      </c>
      <c r="F1944" s="77" t="s">
        <v>10172</v>
      </c>
      <c r="G1944" s="22"/>
      <c r="H1944" s="22"/>
    </row>
    <row r="1945" spans="1:8" ht="13.35" customHeight="1">
      <c r="A1945" s="82">
        <v>3</v>
      </c>
      <c r="B1945" s="83" t="s">
        <v>6906</v>
      </c>
      <c r="C1945" s="67" t="s">
        <v>7657</v>
      </c>
      <c r="D1945" s="91">
        <v>592814800</v>
      </c>
      <c r="E1945" s="76">
        <v>18813750.000000004</v>
      </c>
      <c r="F1945" s="77" t="s">
        <v>10172</v>
      </c>
      <c r="G1945" s="22"/>
      <c r="H1945" s="22"/>
    </row>
    <row r="1946" spans="1:8" ht="13.35" customHeight="1">
      <c r="A1946" s="82">
        <v>3</v>
      </c>
      <c r="B1946" s="83" t="s">
        <v>6907</v>
      </c>
      <c r="C1946" s="67" t="s">
        <v>7658</v>
      </c>
      <c r="D1946" s="91">
        <v>547582700</v>
      </c>
      <c r="E1946" s="76">
        <v>17378250.000000004</v>
      </c>
      <c r="F1946" s="77" t="s">
        <v>10172</v>
      </c>
      <c r="G1946" s="22"/>
      <c r="H1946" s="22"/>
    </row>
    <row r="1947" spans="1:8" ht="13.35" customHeight="1">
      <c r="A1947" s="82">
        <v>3</v>
      </c>
      <c r="B1947" s="83" t="s">
        <v>3288</v>
      </c>
      <c r="C1947" s="67" t="s">
        <v>3289</v>
      </c>
      <c r="D1947" s="91">
        <v>465959300</v>
      </c>
      <c r="E1947" s="76">
        <v>14787825.000000002</v>
      </c>
      <c r="F1947" s="77" t="s">
        <v>10172</v>
      </c>
      <c r="G1947" s="22"/>
      <c r="H1947" s="22"/>
    </row>
    <row r="1948" spans="1:8" ht="13.35" customHeight="1">
      <c r="A1948" s="82">
        <v>3</v>
      </c>
      <c r="B1948" s="83" t="s">
        <v>5271</v>
      </c>
      <c r="C1948" s="67" t="s">
        <v>5272</v>
      </c>
      <c r="D1948" s="91">
        <v>274065500</v>
      </c>
      <c r="E1948" s="76">
        <v>8697825.0000000019</v>
      </c>
      <c r="F1948" s="77" t="s">
        <v>10172</v>
      </c>
      <c r="G1948" s="22"/>
      <c r="H1948" s="22"/>
    </row>
    <row r="1949" spans="1:8" ht="13.35" customHeight="1">
      <c r="A1949" s="82">
        <v>3</v>
      </c>
      <c r="B1949" s="83" t="s">
        <v>187</v>
      </c>
      <c r="C1949" s="67" t="s">
        <v>188</v>
      </c>
      <c r="D1949" s="91">
        <v>164411900</v>
      </c>
      <c r="E1949" s="76">
        <v>5217825.0000000009</v>
      </c>
      <c r="F1949" s="77" t="s">
        <v>10172</v>
      </c>
      <c r="G1949" s="22"/>
      <c r="H1949" s="22"/>
    </row>
    <row r="1950" spans="1:8" ht="13.35" customHeight="1">
      <c r="A1950" s="82">
        <v>3</v>
      </c>
      <c r="B1950" s="83" t="s">
        <v>185</v>
      </c>
      <c r="C1950" s="67" t="s">
        <v>186</v>
      </c>
      <c r="D1950" s="91">
        <v>150705200</v>
      </c>
      <c r="E1950" s="76">
        <v>4782825.0000000009</v>
      </c>
      <c r="F1950" s="77" t="s">
        <v>10172</v>
      </c>
      <c r="G1950" s="22"/>
      <c r="H1950" s="22"/>
    </row>
    <row r="1951" spans="1:8" ht="13.35" customHeight="1">
      <c r="A1951" s="82">
        <v>3</v>
      </c>
      <c r="B1951" s="83" t="s">
        <v>6225</v>
      </c>
      <c r="C1951" s="67" t="s">
        <v>6226</v>
      </c>
      <c r="D1951" s="91">
        <v>54758300</v>
      </c>
      <c r="E1951" s="76">
        <v>1737825.0000000002</v>
      </c>
      <c r="F1951" s="77" t="s">
        <v>10172</v>
      </c>
      <c r="G1951" s="22"/>
      <c r="H1951" s="22"/>
    </row>
    <row r="1952" spans="1:8" ht="13.35" customHeight="1">
      <c r="A1952" s="82">
        <v>3</v>
      </c>
      <c r="B1952" s="83" t="s">
        <v>3834</v>
      </c>
      <c r="C1952" s="67" t="s">
        <v>3835</v>
      </c>
      <c r="D1952" s="91">
        <v>41051600</v>
      </c>
      <c r="E1952" s="76">
        <v>1302825.0000000002</v>
      </c>
      <c r="F1952" s="77" t="s">
        <v>10172</v>
      </c>
      <c r="G1952" s="22"/>
      <c r="H1952" s="22"/>
    </row>
    <row r="1953" spans="1:8" ht="13.35" customHeight="1">
      <c r="A1953" s="82">
        <v>3</v>
      </c>
      <c r="B1953" s="83" t="s">
        <v>2401</v>
      </c>
      <c r="C1953" s="67" t="s">
        <v>2402</v>
      </c>
      <c r="D1953" s="91">
        <v>82171700</v>
      </c>
      <c r="E1953" s="76">
        <v>2607825.0000000005</v>
      </c>
      <c r="F1953" s="77" t="s">
        <v>10172</v>
      </c>
      <c r="G1953" s="22"/>
      <c r="H1953" s="22"/>
    </row>
    <row r="1954" spans="1:8" ht="13.35" customHeight="1">
      <c r="A1954" s="82">
        <v>3</v>
      </c>
      <c r="B1954" s="83" t="s">
        <v>291</v>
      </c>
      <c r="C1954" s="67" t="s">
        <v>292</v>
      </c>
      <c r="D1954" s="91">
        <v>68465000</v>
      </c>
      <c r="E1954" s="76">
        <v>2172825.0000000005</v>
      </c>
      <c r="F1954" s="77" t="s">
        <v>10172</v>
      </c>
      <c r="G1954" s="22"/>
      <c r="H1954" s="22"/>
    </row>
    <row r="1955" spans="1:8" ht="13.35" customHeight="1">
      <c r="A1955" s="82">
        <v>3</v>
      </c>
      <c r="B1955" s="83" t="s">
        <v>2383</v>
      </c>
      <c r="C1955" s="67" t="s">
        <v>2384</v>
      </c>
      <c r="D1955" s="91">
        <v>58870300</v>
      </c>
      <c r="E1955" s="76">
        <v>1868325.0000000002</v>
      </c>
      <c r="F1955" s="77" t="s">
        <v>10172</v>
      </c>
      <c r="G1955" s="22"/>
      <c r="H1955" s="22"/>
    </row>
    <row r="1956" spans="1:8" ht="13.35" customHeight="1">
      <c r="A1956" s="82">
        <v>3</v>
      </c>
      <c r="B1956" s="83" t="s">
        <v>1582</v>
      </c>
      <c r="C1956" s="67" t="s">
        <v>1583</v>
      </c>
      <c r="D1956" s="91">
        <v>54758300</v>
      </c>
      <c r="E1956" s="76">
        <v>1737825.0000000002</v>
      </c>
      <c r="F1956" s="77" t="s">
        <v>10172</v>
      </c>
      <c r="G1956" s="22"/>
      <c r="H1956" s="22"/>
    </row>
    <row r="1957" spans="1:8" ht="13.35" customHeight="1">
      <c r="A1957" s="82">
        <v>3</v>
      </c>
      <c r="B1957" s="83" t="s">
        <v>508</v>
      </c>
      <c r="C1957" s="67" t="s">
        <v>509</v>
      </c>
      <c r="D1957" s="91">
        <v>54758300</v>
      </c>
      <c r="E1957" s="76">
        <v>1737825.0000000002</v>
      </c>
      <c r="F1957" s="77" t="s">
        <v>10172</v>
      </c>
      <c r="G1957" s="22"/>
      <c r="H1957" s="22"/>
    </row>
    <row r="1958" spans="1:8" ht="13.35" customHeight="1">
      <c r="A1958" s="82">
        <v>3</v>
      </c>
      <c r="B1958" s="83" t="s">
        <v>6227</v>
      </c>
      <c r="C1958" s="67" t="s">
        <v>6228</v>
      </c>
      <c r="D1958" s="91">
        <v>47904900</v>
      </c>
      <c r="E1958" s="76">
        <v>1520325.0000000002</v>
      </c>
      <c r="F1958" s="77" t="s">
        <v>10172</v>
      </c>
      <c r="G1958" s="22"/>
      <c r="H1958" s="22"/>
    </row>
    <row r="1959" spans="1:8" ht="13.35" customHeight="1">
      <c r="A1959" s="82">
        <v>3</v>
      </c>
      <c r="B1959" s="83" t="s">
        <v>1580</v>
      </c>
      <c r="C1959" s="67" t="s">
        <v>1581</v>
      </c>
      <c r="D1959" s="91">
        <v>47904900</v>
      </c>
      <c r="E1959" s="76">
        <v>1520325.0000000002</v>
      </c>
      <c r="F1959" s="77" t="s">
        <v>10172</v>
      </c>
      <c r="G1959" s="22"/>
      <c r="H1959" s="22"/>
    </row>
    <row r="1960" spans="1:8" ht="13.35" customHeight="1">
      <c r="A1960" s="82">
        <v>3</v>
      </c>
      <c r="B1960" s="83" t="s">
        <v>880</v>
      </c>
      <c r="C1960" s="67" t="s">
        <v>4678</v>
      </c>
      <c r="D1960" s="91">
        <v>38310200</v>
      </c>
      <c r="E1960" s="76">
        <v>1215825.0000000002</v>
      </c>
      <c r="F1960" s="77" t="s">
        <v>10172</v>
      </c>
      <c r="G1960" s="22"/>
      <c r="H1960" s="22"/>
    </row>
    <row r="1961" spans="1:8" ht="13.35" customHeight="1">
      <c r="A1961" s="82">
        <v>3</v>
      </c>
      <c r="B1961" s="83" t="s">
        <v>731</v>
      </c>
      <c r="C1961" s="67" t="s">
        <v>732</v>
      </c>
      <c r="D1961" s="91">
        <v>41051600</v>
      </c>
      <c r="E1961" s="76">
        <v>1302825.0000000002</v>
      </c>
      <c r="F1961" s="77" t="s">
        <v>10172</v>
      </c>
      <c r="G1961" s="22"/>
      <c r="H1961" s="22"/>
    </row>
    <row r="1962" spans="1:8" ht="13.35" customHeight="1">
      <c r="A1962" s="82">
        <v>3</v>
      </c>
      <c r="B1962" s="83" t="s">
        <v>5267</v>
      </c>
      <c r="C1962" s="67" t="s">
        <v>5268</v>
      </c>
      <c r="D1962" s="91">
        <v>38310200</v>
      </c>
      <c r="E1962" s="76">
        <v>1215825.0000000002</v>
      </c>
      <c r="F1962" s="77" t="s">
        <v>10172</v>
      </c>
      <c r="G1962" s="22"/>
      <c r="H1962" s="22"/>
    </row>
    <row r="1963" spans="1:8" ht="13.35" customHeight="1">
      <c r="A1963" s="82">
        <v>3</v>
      </c>
      <c r="B1963" s="83" t="s">
        <v>222</v>
      </c>
      <c r="C1963" s="67" t="s">
        <v>223</v>
      </c>
      <c r="D1963" s="91">
        <v>34198200</v>
      </c>
      <c r="E1963" s="76">
        <v>1085325.0000000002</v>
      </c>
      <c r="F1963" s="77" t="s">
        <v>10172</v>
      </c>
      <c r="G1963" s="22"/>
      <c r="H1963" s="22"/>
    </row>
    <row r="1964" spans="1:8" ht="13.35" customHeight="1">
      <c r="A1964" s="82">
        <v>3</v>
      </c>
      <c r="B1964" s="83" t="s">
        <v>955</v>
      </c>
      <c r="C1964" s="67" t="s">
        <v>956</v>
      </c>
      <c r="D1964" s="91">
        <v>34198200</v>
      </c>
      <c r="E1964" s="76">
        <v>1085325.0000000002</v>
      </c>
      <c r="F1964" s="77" t="s">
        <v>10172</v>
      </c>
      <c r="G1964" s="22"/>
      <c r="H1964" s="22"/>
    </row>
    <row r="1965" spans="1:8" ht="13.35" customHeight="1">
      <c r="A1965" s="82">
        <v>3</v>
      </c>
      <c r="B1965" s="83" t="s">
        <v>4384</v>
      </c>
      <c r="C1965" s="67" t="s">
        <v>4385</v>
      </c>
      <c r="D1965" s="91">
        <v>472812600</v>
      </c>
      <c r="E1965" s="76">
        <v>15005325.000000002</v>
      </c>
      <c r="F1965" s="77" t="s">
        <v>10172</v>
      </c>
      <c r="G1965" s="22"/>
      <c r="H1965" s="22"/>
    </row>
    <row r="1966" spans="1:8" ht="13.35" customHeight="1">
      <c r="A1966" s="82">
        <v>3</v>
      </c>
      <c r="B1966" s="83" t="s">
        <v>6229</v>
      </c>
      <c r="C1966" s="67" t="s">
        <v>6230</v>
      </c>
      <c r="D1966" s="91">
        <v>20491500</v>
      </c>
      <c r="E1966" s="76">
        <v>650325.00000000012</v>
      </c>
      <c r="F1966" s="77" t="s">
        <v>10172</v>
      </c>
      <c r="G1966" s="22"/>
      <c r="H1966" s="22"/>
    </row>
    <row r="1967" spans="1:8" ht="13.35" customHeight="1">
      <c r="A1967" s="82">
        <v>3</v>
      </c>
      <c r="B1967" s="83" t="s">
        <v>175</v>
      </c>
      <c r="C1967" s="67" t="s">
        <v>176</v>
      </c>
      <c r="D1967" s="91">
        <v>205532000</v>
      </c>
      <c r="E1967" s="76">
        <v>6522825.0000000009</v>
      </c>
      <c r="F1967" s="77" t="s">
        <v>10172</v>
      </c>
      <c r="G1967" s="22"/>
      <c r="H1967" s="22"/>
    </row>
    <row r="1968" spans="1:8" ht="13.35" customHeight="1">
      <c r="A1968" s="82">
        <v>3</v>
      </c>
      <c r="B1968" s="83" t="s">
        <v>76</v>
      </c>
      <c r="C1968" s="67" t="s">
        <v>47</v>
      </c>
      <c r="D1968" s="91">
        <v>68465000</v>
      </c>
      <c r="E1968" s="76">
        <v>2172825.0000000005</v>
      </c>
      <c r="F1968" s="77" t="s">
        <v>10172</v>
      </c>
      <c r="G1968" s="22"/>
      <c r="H1968" s="22"/>
    </row>
    <row r="1969" spans="1:8" ht="13.35" customHeight="1">
      <c r="A1969" s="82">
        <v>3</v>
      </c>
      <c r="B1969" s="83" t="s">
        <v>136</v>
      </c>
      <c r="C1969" s="67" t="s">
        <v>137</v>
      </c>
      <c r="D1969" s="91">
        <v>82171700</v>
      </c>
      <c r="E1969" s="76">
        <v>2607825.0000000005</v>
      </c>
      <c r="F1969" s="77" t="s">
        <v>10172</v>
      </c>
      <c r="G1969" s="22"/>
      <c r="H1969" s="22"/>
    </row>
    <row r="1970" spans="1:8" ht="13.35" customHeight="1">
      <c r="A1970" s="82">
        <v>3</v>
      </c>
      <c r="B1970" s="83" t="s">
        <v>1093</v>
      </c>
      <c r="C1970" s="67" t="s">
        <v>109</v>
      </c>
      <c r="D1970" s="91">
        <v>61611600</v>
      </c>
      <c r="E1970" s="76">
        <v>1955325.0000000002</v>
      </c>
      <c r="F1970" s="77" t="s">
        <v>10172</v>
      </c>
      <c r="G1970" s="22"/>
      <c r="H1970" s="22"/>
    </row>
    <row r="1971" spans="1:8" ht="13.35" customHeight="1">
      <c r="A1971" s="82">
        <v>3</v>
      </c>
      <c r="B1971" s="83" t="s">
        <v>73</v>
      </c>
      <c r="C1971" s="67" t="s">
        <v>74</v>
      </c>
      <c r="D1971" s="91">
        <v>41037900</v>
      </c>
      <c r="E1971" s="76">
        <v>1302390.0000000002</v>
      </c>
      <c r="F1971" s="77" t="s">
        <v>10172</v>
      </c>
      <c r="G1971" s="22"/>
      <c r="H1971" s="22"/>
    </row>
    <row r="1972" spans="1:8" ht="13.35" customHeight="1">
      <c r="A1972" s="82">
        <v>3</v>
      </c>
      <c r="B1972" s="83" t="s">
        <v>167</v>
      </c>
      <c r="C1972" s="67" t="s">
        <v>168</v>
      </c>
      <c r="D1972" s="91">
        <v>41051600</v>
      </c>
      <c r="E1972" s="76">
        <v>1302825.0000000002</v>
      </c>
      <c r="F1972" s="77" t="s">
        <v>10172</v>
      </c>
      <c r="G1972" s="22"/>
      <c r="H1972" s="22"/>
    </row>
    <row r="1973" spans="1:8" ht="13.35" customHeight="1">
      <c r="A1973" s="82">
        <v>3</v>
      </c>
      <c r="B1973" s="83" t="s">
        <v>75</v>
      </c>
      <c r="C1973" s="67" t="s">
        <v>5468</v>
      </c>
      <c r="D1973" s="91">
        <v>16379500</v>
      </c>
      <c r="E1973" s="76">
        <v>519825.00000000006</v>
      </c>
      <c r="F1973" s="77" t="s">
        <v>10172</v>
      </c>
      <c r="G1973" s="22"/>
      <c r="H1973" s="22"/>
    </row>
    <row r="1974" spans="1:8" ht="13.35" customHeight="1">
      <c r="A1974" s="82">
        <v>3</v>
      </c>
      <c r="B1974" s="83" t="s">
        <v>1094</v>
      </c>
      <c r="C1974" s="67" t="s">
        <v>5469</v>
      </c>
      <c r="D1974" s="91">
        <v>13638200</v>
      </c>
      <c r="E1974" s="76">
        <v>432825.00000000006</v>
      </c>
      <c r="F1974" s="77" t="s">
        <v>10172</v>
      </c>
      <c r="G1974" s="22"/>
      <c r="H1974" s="22"/>
    </row>
    <row r="1975" spans="1:8" ht="13.35" customHeight="1">
      <c r="A1975" s="82">
        <v>3</v>
      </c>
      <c r="B1975" s="83" t="s">
        <v>241</v>
      </c>
      <c r="C1975" s="67" t="s">
        <v>242</v>
      </c>
      <c r="D1975" s="91">
        <v>27344900</v>
      </c>
      <c r="E1975" s="76">
        <v>867825.00000000012</v>
      </c>
      <c r="F1975" s="77" t="s">
        <v>10172</v>
      </c>
      <c r="G1975" s="22"/>
      <c r="H1975" s="22"/>
    </row>
    <row r="1976" spans="1:8" ht="13.35" customHeight="1">
      <c r="A1976" s="82">
        <v>3</v>
      </c>
      <c r="B1976" s="83" t="s">
        <v>1060</v>
      </c>
      <c r="C1976" s="67" t="s">
        <v>1061</v>
      </c>
      <c r="D1976" s="91">
        <v>27344900</v>
      </c>
      <c r="E1976" s="76">
        <v>867825.00000000012</v>
      </c>
      <c r="F1976" s="77" t="s">
        <v>10172</v>
      </c>
      <c r="G1976" s="22"/>
      <c r="H1976" s="22"/>
    </row>
    <row r="1977" spans="1:8" ht="13.35" customHeight="1">
      <c r="A1977" s="82">
        <v>3</v>
      </c>
      <c r="B1977" s="67" t="s">
        <v>5659</v>
      </c>
      <c r="C1977" s="67" t="s">
        <v>7659</v>
      </c>
      <c r="D1977" s="91">
        <v>40974800</v>
      </c>
      <c r="E1977" s="76">
        <v>1302825.0000000002</v>
      </c>
      <c r="F1977" s="77" t="s">
        <v>10172</v>
      </c>
      <c r="G1977" s="22"/>
      <c r="H1977" s="22"/>
    </row>
    <row r="1978" spans="1:8" ht="13.35" customHeight="1">
      <c r="A1978" s="82">
        <v>3</v>
      </c>
      <c r="B1978" s="83" t="s">
        <v>2396</v>
      </c>
      <c r="C1978" s="67" t="s">
        <v>2397</v>
      </c>
      <c r="D1978" s="91">
        <v>21821300</v>
      </c>
      <c r="E1978" s="76">
        <v>693825.00000000012</v>
      </c>
      <c r="F1978" s="77" t="s">
        <v>10172</v>
      </c>
      <c r="G1978" s="22"/>
      <c r="H1978" s="22"/>
    </row>
    <row r="1979" spans="1:8" ht="13.35" customHeight="1">
      <c r="A1979" s="82">
        <v>3</v>
      </c>
      <c r="B1979" s="83" t="s">
        <v>2594</v>
      </c>
      <c r="C1979" s="67" t="s">
        <v>2595</v>
      </c>
      <c r="D1979" s="91">
        <v>10876500</v>
      </c>
      <c r="E1979" s="76">
        <v>345825.00000000006</v>
      </c>
      <c r="F1979" s="77" t="s">
        <v>10172</v>
      </c>
      <c r="G1979" s="22"/>
      <c r="H1979" s="22"/>
    </row>
    <row r="1980" spans="1:8" ht="13.35" customHeight="1">
      <c r="A1980" s="82">
        <v>3</v>
      </c>
      <c r="B1980" s="83" t="s">
        <v>3290</v>
      </c>
      <c r="C1980" s="67" t="s">
        <v>3291</v>
      </c>
      <c r="D1980" s="91">
        <v>10602800</v>
      </c>
      <c r="E1980" s="76">
        <v>337125.00000000006</v>
      </c>
      <c r="F1980" s="77" t="s">
        <v>10172</v>
      </c>
      <c r="G1980" s="22"/>
      <c r="H1980" s="22"/>
    </row>
    <row r="1981" spans="1:8" ht="13.35" customHeight="1">
      <c r="A1981" s="82">
        <v>3</v>
      </c>
      <c r="B1981" s="83" t="s">
        <v>535</v>
      </c>
      <c r="C1981" s="67" t="s">
        <v>536</v>
      </c>
      <c r="D1981" s="91">
        <v>21821300</v>
      </c>
      <c r="E1981" s="76">
        <v>693825.00000000012</v>
      </c>
      <c r="F1981" s="77" t="s">
        <v>10172</v>
      </c>
      <c r="G1981" s="22"/>
      <c r="H1981" s="22"/>
    </row>
    <row r="1982" spans="1:8" ht="13.35" customHeight="1">
      <c r="A1982" s="82">
        <v>3</v>
      </c>
      <c r="B1982" s="83" t="s">
        <v>5243</v>
      </c>
      <c r="C1982" s="67" t="s">
        <v>7660</v>
      </c>
      <c r="D1982" s="91">
        <v>24557500</v>
      </c>
      <c r="E1982" s="76">
        <v>780825.00000000012</v>
      </c>
      <c r="F1982" s="77" t="s">
        <v>10172</v>
      </c>
      <c r="G1982" s="22"/>
      <c r="H1982" s="22"/>
    </row>
    <row r="1983" spans="1:8" ht="13.35" customHeight="1">
      <c r="A1983" s="82">
        <v>3</v>
      </c>
      <c r="B1983" s="83" t="s">
        <v>534</v>
      </c>
      <c r="C1983" s="67" t="s">
        <v>5472</v>
      </c>
      <c r="D1983" s="91">
        <v>10876500</v>
      </c>
      <c r="E1983" s="76">
        <v>345825.00000000006</v>
      </c>
      <c r="F1983" s="77" t="s">
        <v>10172</v>
      </c>
      <c r="G1983" s="22"/>
      <c r="H1983" s="22"/>
    </row>
    <row r="1984" spans="1:8" ht="13.35" customHeight="1">
      <c r="A1984" s="82">
        <v>3</v>
      </c>
      <c r="B1984" s="83" t="s">
        <v>5242</v>
      </c>
      <c r="C1984" s="67" t="s">
        <v>7661</v>
      </c>
      <c r="D1984" s="91">
        <v>13612700</v>
      </c>
      <c r="E1984" s="76">
        <v>432825.00000000006</v>
      </c>
      <c r="F1984" s="77" t="s">
        <v>10172</v>
      </c>
      <c r="G1984" s="22"/>
      <c r="H1984" s="22"/>
    </row>
    <row r="1985" spans="1:8" ht="13.35" customHeight="1">
      <c r="A1985" s="82">
        <v>3</v>
      </c>
      <c r="B1985" s="83" t="s">
        <v>3839</v>
      </c>
      <c r="C1985" s="67" t="s">
        <v>3840</v>
      </c>
      <c r="D1985" s="91">
        <v>14980800</v>
      </c>
      <c r="E1985" s="76">
        <v>476325.00000000006</v>
      </c>
      <c r="F1985" s="77" t="s">
        <v>10172</v>
      </c>
      <c r="G1985" s="22"/>
      <c r="H1985" s="22"/>
    </row>
    <row r="1986" spans="1:8" ht="13.35" customHeight="1">
      <c r="A1986" s="82">
        <v>3</v>
      </c>
      <c r="B1986" s="83" t="s">
        <v>4674</v>
      </c>
      <c r="C1986" s="67" t="s">
        <v>4675</v>
      </c>
      <c r="D1986" s="91">
        <v>14980800</v>
      </c>
      <c r="E1986" s="76">
        <v>476325.00000000006</v>
      </c>
      <c r="F1986" s="77" t="s">
        <v>10172</v>
      </c>
      <c r="G1986" s="22"/>
      <c r="H1986" s="22"/>
    </row>
    <row r="1987" spans="1:8" ht="13.35" customHeight="1">
      <c r="A1987" s="82">
        <v>3</v>
      </c>
      <c r="B1987" s="83" t="s">
        <v>4676</v>
      </c>
      <c r="C1987" s="67" t="s">
        <v>4677</v>
      </c>
      <c r="D1987" s="91">
        <v>13612700</v>
      </c>
      <c r="E1987" s="76">
        <v>432825.00000000006</v>
      </c>
      <c r="F1987" s="77" t="s">
        <v>10172</v>
      </c>
      <c r="G1987" s="22"/>
      <c r="H1987" s="22"/>
    </row>
    <row r="1988" spans="1:8" ht="13.35" customHeight="1">
      <c r="A1988" s="82">
        <v>3</v>
      </c>
      <c r="B1988" s="83" t="s">
        <v>5660</v>
      </c>
      <c r="C1988" s="67" t="s">
        <v>7662</v>
      </c>
      <c r="D1988" s="91">
        <v>14980800</v>
      </c>
      <c r="E1988" s="76">
        <v>476325.00000000006</v>
      </c>
      <c r="F1988" s="77" t="s">
        <v>10172</v>
      </c>
      <c r="G1988" s="22"/>
      <c r="H1988" s="22"/>
    </row>
    <row r="1989" spans="1:8" ht="13.35" customHeight="1">
      <c r="A1989" s="82">
        <v>3</v>
      </c>
      <c r="B1989" s="83" t="s">
        <v>2116</v>
      </c>
      <c r="C1989" s="67" t="s">
        <v>5281</v>
      </c>
      <c r="D1989" s="91">
        <v>12244600</v>
      </c>
      <c r="E1989" s="76">
        <v>389325.00000000006</v>
      </c>
      <c r="F1989" s="77" t="s">
        <v>10172</v>
      </c>
      <c r="G1989" s="22"/>
      <c r="H1989" s="22"/>
    </row>
    <row r="1990" spans="1:8" ht="13.35" customHeight="1">
      <c r="A1990" s="82">
        <v>3</v>
      </c>
      <c r="B1990" s="83" t="s">
        <v>45</v>
      </c>
      <c r="C1990" s="67" t="s">
        <v>5473</v>
      </c>
      <c r="D1990" s="91">
        <v>136742400</v>
      </c>
      <c r="E1990" s="76">
        <v>4347825.0000000009</v>
      </c>
      <c r="F1990" s="77" t="s">
        <v>10172</v>
      </c>
      <c r="G1990" s="22"/>
      <c r="H1990" s="22"/>
    </row>
    <row r="1991" spans="1:8" ht="13.35" customHeight="1">
      <c r="A1991" s="82">
        <v>3</v>
      </c>
      <c r="B1991" s="83" t="s">
        <v>24</v>
      </c>
      <c r="C1991" s="67" t="s">
        <v>5474</v>
      </c>
      <c r="D1991" s="91">
        <v>34134300</v>
      </c>
      <c r="E1991" s="76">
        <v>1085325.0000000002</v>
      </c>
      <c r="F1991" s="77" t="s">
        <v>10172</v>
      </c>
      <c r="G1991" s="22"/>
      <c r="H1991" s="22"/>
    </row>
    <row r="1992" spans="1:8" ht="13.35" customHeight="1">
      <c r="A1992" s="82">
        <v>3</v>
      </c>
      <c r="B1992" s="83" t="s">
        <v>1210</v>
      </c>
      <c r="C1992" s="67" t="s">
        <v>1211</v>
      </c>
      <c r="D1992" s="91">
        <v>37554600</v>
      </c>
      <c r="E1992" s="76">
        <v>1194075.0000000002</v>
      </c>
      <c r="F1992" s="77" t="s">
        <v>10172</v>
      </c>
      <c r="G1992" s="22"/>
      <c r="H1992" s="22"/>
    </row>
    <row r="1993" spans="1:8" ht="13.35" customHeight="1">
      <c r="A1993" s="82">
        <v>3</v>
      </c>
      <c r="B1993" s="83" t="s">
        <v>1212</v>
      </c>
      <c r="C1993" s="67" t="s">
        <v>1213</v>
      </c>
      <c r="D1993" s="91">
        <v>37554600</v>
      </c>
      <c r="E1993" s="76">
        <v>1194075.0000000002</v>
      </c>
      <c r="F1993" s="77" t="s">
        <v>10172</v>
      </c>
      <c r="G1993" s="22"/>
      <c r="H1993" s="22"/>
    </row>
    <row r="1994" spans="1:8" ht="13.35" customHeight="1">
      <c r="A1994" s="82">
        <v>3</v>
      </c>
      <c r="B1994" s="83" t="s">
        <v>1214</v>
      </c>
      <c r="C1994" s="67" t="s">
        <v>1215</v>
      </c>
      <c r="D1994" s="91">
        <v>14980800</v>
      </c>
      <c r="E1994" s="76">
        <v>476325.00000000006</v>
      </c>
      <c r="F1994" s="77" t="s">
        <v>10172</v>
      </c>
      <c r="G1994" s="22"/>
      <c r="H1994" s="22"/>
    </row>
    <row r="1995" spans="1:8" ht="13.35" customHeight="1">
      <c r="A1995" s="82">
        <v>3</v>
      </c>
      <c r="B1995" s="83" t="s">
        <v>1216</v>
      </c>
      <c r="C1995" s="67" t="s">
        <v>1217</v>
      </c>
      <c r="D1995" s="91">
        <v>14980800</v>
      </c>
      <c r="E1995" s="76">
        <v>476325.00000000006</v>
      </c>
      <c r="F1995" s="77" t="s">
        <v>10172</v>
      </c>
      <c r="G1995" s="22"/>
      <c r="H1995" s="22"/>
    </row>
    <row r="1996" spans="1:8" ht="13.35" customHeight="1">
      <c r="A1996" s="82">
        <v>3</v>
      </c>
      <c r="B1996" s="83" t="s">
        <v>17</v>
      </c>
      <c r="C1996" s="67" t="s">
        <v>5475</v>
      </c>
      <c r="D1996" s="91">
        <v>8140200</v>
      </c>
      <c r="E1996" s="76">
        <v>258825.00000000003</v>
      </c>
      <c r="F1996" s="77" t="s">
        <v>10172</v>
      </c>
      <c r="G1996" s="22"/>
      <c r="H1996" s="22"/>
    </row>
    <row r="1997" spans="1:8" ht="13.35" customHeight="1">
      <c r="A1997" s="82">
        <v>3</v>
      </c>
      <c r="B1997" s="83" t="s">
        <v>46</v>
      </c>
      <c r="C1997" s="67" t="s">
        <v>5476</v>
      </c>
      <c r="D1997" s="91">
        <v>6772100</v>
      </c>
      <c r="E1997" s="76">
        <v>215325.00000000003</v>
      </c>
      <c r="F1997" s="77" t="s">
        <v>10172</v>
      </c>
      <c r="G1997" s="22"/>
      <c r="H1997" s="22"/>
    </row>
    <row r="1998" spans="1:8" ht="13.35" customHeight="1">
      <c r="A1998" s="82">
        <v>3</v>
      </c>
      <c r="B1998" s="83" t="s">
        <v>5</v>
      </c>
      <c r="C1998" s="67" t="s">
        <v>25</v>
      </c>
      <c r="D1998" s="91">
        <v>6088100</v>
      </c>
      <c r="E1998" s="76">
        <v>193575.00000000003</v>
      </c>
      <c r="F1998" s="77" t="s">
        <v>10172</v>
      </c>
      <c r="G1998" s="22"/>
      <c r="H1998" s="22"/>
    </row>
    <row r="1999" spans="1:8" ht="13.35" customHeight="1">
      <c r="A1999" s="82">
        <v>3</v>
      </c>
      <c r="B1999" s="83" t="s">
        <v>20</v>
      </c>
      <c r="C1999" s="67" t="s">
        <v>28</v>
      </c>
      <c r="D1999" s="91">
        <v>5404000</v>
      </c>
      <c r="E1999" s="76">
        <v>171825.00000000003</v>
      </c>
      <c r="F1999" s="77" t="s">
        <v>10172</v>
      </c>
      <c r="G1999" s="22"/>
      <c r="H1999" s="22"/>
    </row>
    <row r="2000" spans="1:8" ht="13.35" customHeight="1">
      <c r="A2000" s="82">
        <v>3</v>
      </c>
      <c r="B2000" s="83" t="s">
        <v>21</v>
      </c>
      <c r="C2000" s="67" t="s">
        <v>30</v>
      </c>
      <c r="D2000" s="91">
        <v>3174000</v>
      </c>
      <c r="E2000" s="76">
        <v>100920.00000000001</v>
      </c>
      <c r="F2000" s="77" t="s">
        <v>10172</v>
      </c>
      <c r="G2000" s="22"/>
      <c r="H2000" s="22"/>
    </row>
    <row r="2001" spans="1:8" ht="13.35" customHeight="1">
      <c r="A2001" s="82">
        <v>3</v>
      </c>
      <c r="B2001" s="83" t="s">
        <v>18</v>
      </c>
      <c r="C2001" s="67" t="s">
        <v>19</v>
      </c>
      <c r="D2001" s="91">
        <v>2161600</v>
      </c>
      <c r="E2001" s="76">
        <v>68730.000000000015</v>
      </c>
      <c r="F2001" s="77" t="s">
        <v>10172</v>
      </c>
      <c r="G2001" s="22"/>
      <c r="H2001" s="22"/>
    </row>
    <row r="2002" spans="1:8" ht="13.35" customHeight="1">
      <c r="A2002" s="82">
        <v>3</v>
      </c>
      <c r="B2002" s="83" t="s">
        <v>2</v>
      </c>
      <c r="C2002" s="67" t="s">
        <v>26</v>
      </c>
      <c r="D2002" s="91">
        <v>1723800</v>
      </c>
      <c r="E2002" s="76">
        <v>54810.000000000007</v>
      </c>
      <c r="F2002" s="77" t="s">
        <v>10172</v>
      </c>
      <c r="G2002" s="22"/>
      <c r="H2002" s="22"/>
    </row>
    <row r="2003" spans="1:8" ht="13.35" customHeight="1">
      <c r="A2003" s="82">
        <v>3</v>
      </c>
      <c r="B2003" s="83" t="s">
        <v>5282</v>
      </c>
      <c r="C2003" s="67" t="s">
        <v>5283</v>
      </c>
      <c r="D2003" s="91">
        <v>6772100</v>
      </c>
      <c r="E2003" s="76">
        <v>215325.00000000003</v>
      </c>
      <c r="F2003" s="77" t="s">
        <v>10172</v>
      </c>
      <c r="G2003" s="22"/>
      <c r="H2003" s="22"/>
    </row>
    <row r="2004" spans="1:8" ht="13.35" customHeight="1">
      <c r="A2004" s="82">
        <v>3</v>
      </c>
      <c r="B2004" s="83" t="s">
        <v>202</v>
      </c>
      <c r="C2004" s="67" t="s">
        <v>203</v>
      </c>
      <c r="D2004" s="91">
        <v>136742400</v>
      </c>
      <c r="E2004" s="76">
        <v>4347825.0000000009</v>
      </c>
      <c r="F2004" s="77" t="s">
        <v>10172</v>
      </c>
      <c r="G2004" s="22"/>
      <c r="H2004" s="22"/>
    </row>
    <row r="2005" spans="1:8" ht="13.35" customHeight="1">
      <c r="A2005" s="82">
        <v>3</v>
      </c>
      <c r="B2005" s="67" t="s">
        <v>5693</v>
      </c>
      <c r="C2005" s="67" t="s">
        <v>7663</v>
      </c>
      <c r="D2005" s="91">
        <v>273553200</v>
      </c>
      <c r="E2005" s="76">
        <v>8697825.0000000019</v>
      </c>
      <c r="F2005" s="77" t="s">
        <v>10171</v>
      </c>
      <c r="G2005" s="22"/>
      <c r="H2005" s="22"/>
    </row>
    <row r="2006" spans="1:8" ht="13.35" customHeight="1">
      <c r="A2006" s="82">
        <v>3</v>
      </c>
      <c r="B2006" s="67" t="s">
        <v>5697</v>
      </c>
      <c r="C2006" s="67" t="s">
        <v>7664</v>
      </c>
      <c r="D2006" s="91">
        <v>273553200</v>
      </c>
      <c r="E2006" s="76">
        <v>8697825.0000000019</v>
      </c>
      <c r="F2006" s="77" t="s">
        <v>10171</v>
      </c>
      <c r="G2006" s="22"/>
      <c r="H2006" s="22"/>
    </row>
    <row r="2007" spans="1:8" ht="13.35" customHeight="1">
      <c r="A2007" s="82">
        <v>3</v>
      </c>
      <c r="B2007" s="67" t="s">
        <v>5698</v>
      </c>
      <c r="C2007" s="67" t="s">
        <v>7665</v>
      </c>
      <c r="D2007" s="91">
        <v>273553200</v>
      </c>
      <c r="E2007" s="76">
        <v>8697825.0000000019</v>
      </c>
      <c r="F2007" s="77" t="s">
        <v>10171</v>
      </c>
      <c r="G2007" s="22"/>
      <c r="H2007" s="22"/>
    </row>
    <row r="2008" spans="1:8" ht="13.35" customHeight="1">
      <c r="A2008" s="82">
        <v>3</v>
      </c>
      <c r="B2008" s="67" t="s">
        <v>5699</v>
      </c>
      <c r="C2008" s="67" t="s">
        <v>7666</v>
      </c>
      <c r="D2008" s="91">
        <v>273553200</v>
      </c>
      <c r="E2008" s="76">
        <v>8697825.0000000019</v>
      </c>
      <c r="F2008" s="77" t="s">
        <v>10171</v>
      </c>
      <c r="G2008" s="22"/>
      <c r="H2008" s="22"/>
    </row>
    <row r="2009" spans="1:8" ht="13.35" customHeight="1">
      <c r="A2009" s="82">
        <v>3</v>
      </c>
      <c r="B2009" s="67" t="s">
        <v>5691</v>
      </c>
      <c r="C2009" s="67" t="s">
        <v>7667</v>
      </c>
      <c r="D2009" s="91">
        <v>341958600</v>
      </c>
      <c r="E2009" s="76">
        <v>10872825.000000002</v>
      </c>
      <c r="F2009" s="77" t="s">
        <v>10171</v>
      </c>
      <c r="G2009" s="22"/>
      <c r="H2009" s="22"/>
    </row>
    <row r="2010" spans="1:8" ht="13.35" customHeight="1">
      <c r="A2010" s="82">
        <v>3</v>
      </c>
      <c r="B2010" s="67" t="s">
        <v>5692</v>
      </c>
      <c r="C2010" s="67" t="s">
        <v>7668</v>
      </c>
      <c r="D2010" s="91">
        <v>341958600</v>
      </c>
      <c r="E2010" s="76">
        <v>10872825.000000002</v>
      </c>
      <c r="F2010" s="77" t="s">
        <v>10171</v>
      </c>
      <c r="G2010" s="22"/>
      <c r="H2010" s="22"/>
    </row>
    <row r="2011" spans="1:8" ht="13.35" customHeight="1">
      <c r="A2011" s="82">
        <v>3</v>
      </c>
      <c r="B2011" s="67" t="s">
        <v>5694</v>
      </c>
      <c r="C2011" s="67" t="s">
        <v>7669</v>
      </c>
      <c r="D2011" s="91">
        <v>341958600</v>
      </c>
      <c r="E2011" s="76">
        <v>10872825.000000002</v>
      </c>
      <c r="F2011" s="77" t="s">
        <v>10171</v>
      </c>
      <c r="G2011" s="22"/>
      <c r="H2011" s="22"/>
    </row>
    <row r="2012" spans="1:8" ht="13.35" customHeight="1">
      <c r="A2012" s="82">
        <v>3</v>
      </c>
      <c r="B2012" s="67" t="s">
        <v>5695</v>
      </c>
      <c r="C2012" s="67" t="s">
        <v>7670</v>
      </c>
      <c r="D2012" s="91">
        <v>341958600</v>
      </c>
      <c r="E2012" s="76">
        <v>10872825.000000002</v>
      </c>
      <c r="F2012" s="77" t="s">
        <v>10171</v>
      </c>
      <c r="G2012" s="22"/>
      <c r="H2012" s="22"/>
    </row>
    <row r="2013" spans="1:8" ht="13.35" customHeight="1">
      <c r="A2013" s="82">
        <v>3</v>
      </c>
      <c r="B2013" s="67" t="s">
        <v>5696</v>
      </c>
      <c r="C2013" s="67" t="s">
        <v>7671</v>
      </c>
      <c r="D2013" s="91">
        <v>341958600</v>
      </c>
      <c r="E2013" s="76">
        <v>10872825.000000002</v>
      </c>
      <c r="F2013" s="77" t="s">
        <v>10171</v>
      </c>
      <c r="G2013" s="22"/>
      <c r="H2013" s="22"/>
    </row>
    <row r="2014" spans="1:8" ht="13.35" customHeight="1">
      <c r="A2014" s="82">
        <v>3</v>
      </c>
      <c r="B2014" s="83" t="s">
        <v>4209</v>
      </c>
      <c r="C2014" s="67" t="s">
        <v>4210</v>
      </c>
      <c r="D2014" s="91">
        <v>273553200</v>
      </c>
      <c r="E2014" s="76">
        <v>8697825.0000000019</v>
      </c>
      <c r="F2014" s="77" t="s">
        <v>10171</v>
      </c>
      <c r="G2014" s="22"/>
      <c r="H2014" s="22"/>
    </row>
    <row r="2015" spans="1:8" ht="13.35" customHeight="1">
      <c r="A2015" s="82">
        <v>3</v>
      </c>
      <c r="B2015" s="83" t="s">
        <v>4211</v>
      </c>
      <c r="C2015" s="67" t="s">
        <v>4212</v>
      </c>
      <c r="D2015" s="91">
        <v>273553200</v>
      </c>
      <c r="E2015" s="76">
        <v>8697825.0000000019</v>
      </c>
      <c r="F2015" s="77" t="s">
        <v>10171</v>
      </c>
      <c r="G2015" s="22"/>
      <c r="H2015" s="22"/>
    </row>
    <row r="2016" spans="1:8" ht="13.35" customHeight="1">
      <c r="A2016" s="82">
        <v>3</v>
      </c>
      <c r="B2016" s="83" t="s">
        <v>4213</v>
      </c>
      <c r="C2016" s="67" t="s">
        <v>4214</v>
      </c>
      <c r="D2016" s="91">
        <v>273553200</v>
      </c>
      <c r="E2016" s="76">
        <v>8697825.0000000019</v>
      </c>
      <c r="F2016" s="77" t="s">
        <v>10171</v>
      </c>
      <c r="G2016" s="22"/>
      <c r="H2016" s="22"/>
    </row>
    <row r="2017" spans="1:8" ht="13.35" customHeight="1">
      <c r="A2017" s="82">
        <v>3</v>
      </c>
      <c r="B2017" s="83" t="s">
        <v>4215</v>
      </c>
      <c r="C2017" s="67" t="s">
        <v>4216</v>
      </c>
      <c r="D2017" s="91">
        <v>273553200</v>
      </c>
      <c r="E2017" s="76">
        <v>8697825.0000000019</v>
      </c>
      <c r="F2017" s="77" t="s">
        <v>10171</v>
      </c>
      <c r="G2017" s="22"/>
      <c r="H2017" s="22"/>
    </row>
    <row r="2018" spans="1:8" ht="13.35" customHeight="1">
      <c r="A2018" s="82">
        <v>3</v>
      </c>
      <c r="B2018" s="83" t="s">
        <v>4217</v>
      </c>
      <c r="C2018" s="67" t="s">
        <v>4218</v>
      </c>
      <c r="D2018" s="91">
        <v>341958600</v>
      </c>
      <c r="E2018" s="76">
        <v>10872825.000000002</v>
      </c>
      <c r="F2018" s="77" t="s">
        <v>10171</v>
      </c>
      <c r="G2018" s="22"/>
      <c r="H2018" s="22"/>
    </row>
    <row r="2019" spans="1:8" ht="13.35" customHeight="1">
      <c r="A2019" s="82">
        <v>3</v>
      </c>
      <c r="B2019" s="83" t="s">
        <v>4219</v>
      </c>
      <c r="C2019" s="67" t="s">
        <v>4220</v>
      </c>
      <c r="D2019" s="91">
        <v>341958600</v>
      </c>
      <c r="E2019" s="76">
        <v>10872825.000000002</v>
      </c>
      <c r="F2019" s="77" t="s">
        <v>10171</v>
      </c>
      <c r="G2019" s="22"/>
      <c r="H2019" s="22"/>
    </row>
    <row r="2020" spans="1:8" ht="13.35" customHeight="1">
      <c r="A2020" s="82">
        <v>3</v>
      </c>
      <c r="B2020" s="83" t="s">
        <v>4221</v>
      </c>
      <c r="C2020" s="67" t="s">
        <v>4222</v>
      </c>
      <c r="D2020" s="91">
        <v>341958600</v>
      </c>
      <c r="E2020" s="76">
        <v>10872825.000000002</v>
      </c>
      <c r="F2020" s="77" t="s">
        <v>10171</v>
      </c>
      <c r="G2020" s="22"/>
      <c r="H2020" s="22"/>
    </row>
    <row r="2021" spans="1:8" ht="13.35" customHeight="1">
      <c r="A2021" s="82">
        <v>3</v>
      </c>
      <c r="B2021" s="83" t="s">
        <v>4223</v>
      </c>
      <c r="C2021" s="67" t="s">
        <v>4224</v>
      </c>
      <c r="D2021" s="91">
        <v>341958600</v>
      </c>
      <c r="E2021" s="76">
        <v>10872825.000000002</v>
      </c>
      <c r="F2021" s="77" t="s">
        <v>10171</v>
      </c>
      <c r="G2021" s="22"/>
      <c r="H2021" s="22"/>
    </row>
    <row r="2022" spans="1:8" ht="13.35" customHeight="1">
      <c r="A2022" s="82">
        <v>3</v>
      </c>
      <c r="B2022" s="83" t="s">
        <v>4225</v>
      </c>
      <c r="C2022" s="67" t="s">
        <v>4226</v>
      </c>
      <c r="D2022" s="91">
        <v>341958600</v>
      </c>
      <c r="E2022" s="76">
        <v>10872825.000000002</v>
      </c>
      <c r="F2022" s="77" t="s">
        <v>10171</v>
      </c>
      <c r="G2022" s="22"/>
      <c r="H2022" s="22"/>
    </row>
    <row r="2023" spans="1:8" ht="13.35" customHeight="1">
      <c r="A2023" s="82">
        <v>3</v>
      </c>
      <c r="B2023" s="83" t="s">
        <v>4975</v>
      </c>
      <c r="C2023" s="67" t="s">
        <v>4976</v>
      </c>
      <c r="D2023" s="91">
        <v>34134300</v>
      </c>
      <c r="E2023" s="76">
        <v>1085325.0000000002</v>
      </c>
      <c r="F2023" s="77" t="s">
        <v>10171</v>
      </c>
      <c r="G2023" s="22"/>
      <c r="H2023" s="22"/>
    </row>
    <row r="2024" spans="1:8" ht="13.35" customHeight="1">
      <c r="A2024" s="82">
        <v>3</v>
      </c>
      <c r="B2024" s="83" t="s">
        <v>4973</v>
      </c>
      <c r="C2024" s="67" t="s">
        <v>4974</v>
      </c>
      <c r="D2024" s="91">
        <v>34134300</v>
      </c>
      <c r="E2024" s="76">
        <v>1085325.0000000002</v>
      </c>
      <c r="F2024" s="77" t="s">
        <v>10171</v>
      </c>
      <c r="G2024" s="22"/>
      <c r="H2024" s="22"/>
    </row>
    <row r="2025" spans="1:8" ht="13.35" customHeight="1">
      <c r="A2025" s="82">
        <v>3</v>
      </c>
      <c r="B2025" s="83" t="s">
        <v>5670</v>
      </c>
      <c r="C2025" s="67" t="s">
        <v>7672</v>
      </c>
      <c r="D2025" s="91">
        <v>34134300</v>
      </c>
      <c r="E2025" s="76">
        <v>1085325.0000000002</v>
      </c>
      <c r="F2025" s="77" t="s">
        <v>10171</v>
      </c>
      <c r="G2025" s="22"/>
      <c r="H2025" s="22"/>
    </row>
    <row r="2026" spans="1:8" ht="13.35" customHeight="1">
      <c r="A2026" s="82">
        <v>3</v>
      </c>
      <c r="B2026" s="83" t="s">
        <v>5671</v>
      </c>
      <c r="C2026" s="67" t="s">
        <v>7673</v>
      </c>
      <c r="D2026" s="91">
        <v>34134300</v>
      </c>
      <c r="E2026" s="76">
        <v>1085325.0000000002</v>
      </c>
      <c r="F2026" s="77" t="s">
        <v>10171</v>
      </c>
      <c r="G2026" s="22"/>
      <c r="H2026" s="22"/>
    </row>
    <row r="2027" spans="1:8" ht="13.35" customHeight="1">
      <c r="A2027" s="82">
        <v>3</v>
      </c>
      <c r="B2027" s="83" t="s">
        <v>5672</v>
      </c>
      <c r="C2027" s="67" t="s">
        <v>7674</v>
      </c>
      <c r="D2027" s="91">
        <v>47815400</v>
      </c>
      <c r="E2027" s="76">
        <v>1520325.0000000002</v>
      </c>
      <c r="F2027" s="77" t="s">
        <v>10171</v>
      </c>
      <c r="G2027" s="22"/>
      <c r="H2027" s="22"/>
    </row>
    <row r="2028" spans="1:8" ht="13.35" customHeight="1">
      <c r="A2028" s="82">
        <v>3</v>
      </c>
      <c r="B2028" s="83" t="s">
        <v>6908</v>
      </c>
      <c r="C2028" s="67" t="s">
        <v>7675</v>
      </c>
      <c r="D2028" s="91">
        <v>54655900</v>
      </c>
      <c r="E2028" s="76">
        <v>1737825.0000000002</v>
      </c>
      <c r="F2028" s="77" t="s">
        <v>10171</v>
      </c>
      <c r="G2028" s="22"/>
      <c r="H2028" s="22"/>
    </row>
    <row r="2029" spans="1:8" ht="13.35" customHeight="1">
      <c r="A2029" s="82">
        <v>3</v>
      </c>
      <c r="B2029" s="83" t="s">
        <v>5661</v>
      </c>
      <c r="C2029" s="67" t="s">
        <v>7676</v>
      </c>
      <c r="D2029" s="91">
        <v>273553200</v>
      </c>
      <c r="E2029" s="76">
        <v>8697825.0000000019</v>
      </c>
      <c r="F2029" s="77" t="s">
        <v>10171</v>
      </c>
      <c r="G2029" s="22"/>
      <c r="H2029" s="22"/>
    </row>
    <row r="2030" spans="1:8" ht="13.35" customHeight="1">
      <c r="A2030" s="82">
        <v>3</v>
      </c>
      <c r="B2030" s="83" t="s">
        <v>5662</v>
      </c>
      <c r="C2030" s="67" t="s">
        <v>7677</v>
      </c>
      <c r="D2030" s="91">
        <v>273553200</v>
      </c>
      <c r="E2030" s="76">
        <v>8697825.0000000019</v>
      </c>
      <c r="F2030" s="77" t="s">
        <v>10171</v>
      </c>
      <c r="G2030" s="22"/>
      <c r="H2030" s="22"/>
    </row>
    <row r="2031" spans="1:8" ht="13.35" customHeight="1">
      <c r="A2031" s="82">
        <v>3</v>
      </c>
      <c r="B2031" s="83" t="s">
        <v>5663</v>
      </c>
      <c r="C2031" s="67" t="s">
        <v>7678</v>
      </c>
      <c r="D2031" s="91">
        <v>273553200</v>
      </c>
      <c r="E2031" s="76">
        <v>8697825.0000000019</v>
      </c>
      <c r="F2031" s="77" t="s">
        <v>10171</v>
      </c>
      <c r="G2031" s="22"/>
      <c r="H2031" s="22"/>
    </row>
    <row r="2032" spans="1:8" ht="13.35" customHeight="1">
      <c r="A2032" s="82">
        <v>3</v>
      </c>
      <c r="B2032" s="83" t="s">
        <v>5664</v>
      </c>
      <c r="C2032" s="67" t="s">
        <v>7679</v>
      </c>
      <c r="D2032" s="91">
        <v>273553200</v>
      </c>
      <c r="E2032" s="76">
        <v>8697825.0000000019</v>
      </c>
      <c r="F2032" s="77" t="s">
        <v>10171</v>
      </c>
      <c r="G2032" s="22"/>
      <c r="H2032" s="22"/>
    </row>
    <row r="2033" spans="1:8" ht="13.35" customHeight="1">
      <c r="A2033" s="82">
        <v>3</v>
      </c>
      <c r="B2033" s="83" t="s">
        <v>5665</v>
      </c>
      <c r="C2033" s="67" t="s">
        <v>7680</v>
      </c>
      <c r="D2033" s="91">
        <v>341958600</v>
      </c>
      <c r="E2033" s="76">
        <v>10872825.000000002</v>
      </c>
      <c r="F2033" s="77" t="s">
        <v>10171</v>
      </c>
      <c r="G2033" s="22"/>
      <c r="H2033" s="22"/>
    </row>
    <row r="2034" spans="1:8" ht="13.35" customHeight="1">
      <c r="A2034" s="82">
        <v>3</v>
      </c>
      <c r="B2034" s="83" t="s">
        <v>5666</v>
      </c>
      <c r="C2034" s="67" t="s">
        <v>7681</v>
      </c>
      <c r="D2034" s="91">
        <v>341958600</v>
      </c>
      <c r="E2034" s="76">
        <v>10872825.000000002</v>
      </c>
      <c r="F2034" s="77" t="s">
        <v>10171</v>
      </c>
      <c r="G2034" s="22"/>
      <c r="H2034" s="22"/>
    </row>
    <row r="2035" spans="1:8" ht="13.35" customHeight="1">
      <c r="A2035" s="82">
        <v>3</v>
      </c>
      <c r="B2035" s="83" t="s">
        <v>5667</v>
      </c>
      <c r="C2035" s="67" t="s">
        <v>7682</v>
      </c>
      <c r="D2035" s="91">
        <v>341958600</v>
      </c>
      <c r="E2035" s="76">
        <v>10872825.000000002</v>
      </c>
      <c r="F2035" s="77" t="s">
        <v>10171</v>
      </c>
      <c r="G2035" s="22"/>
      <c r="H2035" s="22"/>
    </row>
    <row r="2036" spans="1:8" ht="13.35" customHeight="1">
      <c r="A2036" s="82">
        <v>3</v>
      </c>
      <c r="B2036" s="83" t="s">
        <v>5668</v>
      </c>
      <c r="C2036" s="67" t="s">
        <v>7683</v>
      </c>
      <c r="D2036" s="91">
        <v>341958600</v>
      </c>
      <c r="E2036" s="76">
        <v>10872825.000000002</v>
      </c>
      <c r="F2036" s="77" t="s">
        <v>10171</v>
      </c>
      <c r="G2036" s="22"/>
      <c r="H2036" s="22"/>
    </row>
    <row r="2037" spans="1:8" ht="13.35" customHeight="1">
      <c r="A2037" s="82">
        <v>3</v>
      </c>
      <c r="B2037" s="83" t="s">
        <v>5669</v>
      </c>
      <c r="C2037" s="67" t="s">
        <v>7684</v>
      </c>
      <c r="D2037" s="91">
        <v>341958600</v>
      </c>
      <c r="E2037" s="76">
        <v>10872825.000000002</v>
      </c>
      <c r="F2037" s="77" t="s">
        <v>10171</v>
      </c>
      <c r="G2037" s="22"/>
      <c r="H2037" s="22"/>
    </row>
    <row r="2038" spans="1:8" ht="13.35" customHeight="1">
      <c r="A2038" s="82">
        <v>3</v>
      </c>
      <c r="B2038" s="83" t="s">
        <v>5720</v>
      </c>
      <c r="C2038" s="67" t="s">
        <v>7685</v>
      </c>
      <c r="D2038" s="91">
        <v>273553200</v>
      </c>
      <c r="E2038" s="76">
        <v>8697825.0000000019</v>
      </c>
      <c r="F2038" s="77" t="s">
        <v>10171</v>
      </c>
      <c r="G2038" s="22"/>
      <c r="H2038" s="22"/>
    </row>
    <row r="2039" spans="1:8" ht="13.35" customHeight="1">
      <c r="A2039" s="82">
        <v>3</v>
      </c>
      <c r="B2039" s="83" t="s">
        <v>5724</v>
      </c>
      <c r="C2039" s="67" t="s">
        <v>7686</v>
      </c>
      <c r="D2039" s="91">
        <v>273553200</v>
      </c>
      <c r="E2039" s="76">
        <v>8697825.0000000019</v>
      </c>
      <c r="F2039" s="77" t="s">
        <v>10171</v>
      </c>
      <c r="G2039" s="22"/>
      <c r="H2039" s="22"/>
    </row>
    <row r="2040" spans="1:8" ht="13.35" customHeight="1">
      <c r="A2040" s="82">
        <v>3</v>
      </c>
      <c r="B2040" s="83" t="s">
        <v>5725</v>
      </c>
      <c r="C2040" s="67" t="s">
        <v>7687</v>
      </c>
      <c r="D2040" s="91">
        <v>273553200</v>
      </c>
      <c r="E2040" s="76">
        <v>8697825.0000000019</v>
      </c>
      <c r="F2040" s="77" t="s">
        <v>10171</v>
      </c>
      <c r="G2040" s="22"/>
      <c r="H2040" s="22"/>
    </row>
    <row r="2041" spans="1:8" ht="13.35" customHeight="1">
      <c r="A2041" s="82">
        <v>3</v>
      </c>
      <c r="B2041" s="83" t="s">
        <v>5726</v>
      </c>
      <c r="C2041" s="67" t="s">
        <v>7688</v>
      </c>
      <c r="D2041" s="91">
        <v>273553200</v>
      </c>
      <c r="E2041" s="76">
        <v>8697825.0000000019</v>
      </c>
      <c r="F2041" s="77" t="s">
        <v>10171</v>
      </c>
      <c r="G2041" s="22"/>
      <c r="H2041" s="22"/>
    </row>
    <row r="2042" spans="1:8" ht="13.35" customHeight="1">
      <c r="A2042" s="82">
        <v>3</v>
      </c>
      <c r="B2042" s="83" t="s">
        <v>5718</v>
      </c>
      <c r="C2042" s="67" t="s">
        <v>7689</v>
      </c>
      <c r="D2042" s="91">
        <v>341958600</v>
      </c>
      <c r="E2042" s="76">
        <v>10872825.000000002</v>
      </c>
      <c r="F2042" s="77" t="s">
        <v>10171</v>
      </c>
      <c r="G2042" s="22"/>
      <c r="H2042" s="22"/>
    </row>
    <row r="2043" spans="1:8" ht="13.35" customHeight="1">
      <c r="A2043" s="82">
        <v>3</v>
      </c>
      <c r="B2043" s="83" t="s">
        <v>5719</v>
      </c>
      <c r="C2043" s="67" t="s">
        <v>7690</v>
      </c>
      <c r="D2043" s="91">
        <v>341958600</v>
      </c>
      <c r="E2043" s="76">
        <v>10872825.000000002</v>
      </c>
      <c r="F2043" s="77" t="s">
        <v>10171</v>
      </c>
      <c r="G2043" s="22"/>
      <c r="H2043" s="22"/>
    </row>
    <row r="2044" spans="1:8" ht="13.35" customHeight="1">
      <c r="A2044" s="82">
        <v>3</v>
      </c>
      <c r="B2044" s="83" t="s">
        <v>5721</v>
      </c>
      <c r="C2044" s="67" t="s">
        <v>7691</v>
      </c>
      <c r="D2044" s="91">
        <v>341958600</v>
      </c>
      <c r="E2044" s="76">
        <v>10872825.000000002</v>
      </c>
      <c r="F2044" s="77" t="s">
        <v>10171</v>
      </c>
      <c r="G2044" s="22"/>
      <c r="H2044" s="22"/>
    </row>
    <row r="2045" spans="1:8" ht="13.35" customHeight="1">
      <c r="A2045" s="82">
        <v>3</v>
      </c>
      <c r="B2045" s="83" t="s">
        <v>5722</v>
      </c>
      <c r="C2045" s="67" t="s">
        <v>7692</v>
      </c>
      <c r="D2045" s="91">
        <v>341958600</v>
      </c>
      <c r="E2045" s="76">
        <v>10872825.000000002</v>
      </c>
      <c r="F2045" s="77" t="s">
        <v>10171</v>
      </c>
      <c r="G2045" s="22"/>
      <c r="H2045" s="22"/>
    </row>
    <row r="2046" spans="1:8" ht="13.35" customHeight="1">
      <c r="A2046" s="82">
        <v>3</v>
      </c>
      <c r="B2046" s="83" t="s">
        <v>5723</v>
      </c>
      <c r="C2046" s="67" t="s">
        <v>7693</v>
      </c>
      <c r="D2046" s="91">
        <v>341958600</v>
      </c>
      <c r="E2046" s="76">
        <v>10872825.000000002</v>
      </c>
      <c r="F2046" s="77" t="s">
        <v>10171</v>
      </c>
      <c r="G2046" s="22"/>
      <c r="H2046" s="22"/>
    </row>
    <row r="2047" spans="1:8" ht="13.35" customHeight="1">
      <c r="A2047" s="82">
        <v>3</v>
      </c>
      <c r="B2047" s="83" t="s">
        <v>4672</v>
      </c>
      <c r="C2047" s="67" t="s">
        <v>5457</v>
      </c>
      <c r="D2047" s="91">
        <v>341958600</v>
      </c>
      <c r="E2047" s="76">
        <v>10872825.000000002</v>
      </c>
      <c r="F2047" s="77" t="s">
        <v>10171</v>
      </c>
      <c r="G2047" s="22"/>
      <c r="H2047" s="22"/>
    </row>
    <row r="2048" spans="1:8" ht="13.35" customHeight="1">
      <c r="A2048" s="82">
        <v>3</v>
      </c>
      <c r="B2048" s="83" t="s">
        <v>4671</v>
      </c>
      <c r="C2048" s="67" t="s">
        <v>5458</v>
      </c>
      <c r="D2048" s="91">
        <v>273553200</v>
      </c>
      <c r="E2048" s="76">
        <v>8697825.0000000019</v>
      </c>
      <c r="F2048" s="77" t="s">
        <v>10171</v>
      </c>
      <c r="G2048" s="22"/>
      <c r="H2048" s="22"/>
    </row>
    <row r="2049" spans="1:8" ht="13.35" customHeight="1">
      <c r="A2049" s="82">
        <v>3</v>
      </c>
      <c r="B2049" s="83" t="s">
        <v>4969</v>
      </c>
      <c r="C2049" s="67" t="s">
        <v>4970</v>
      </c>
      <c r="D2049" s="91">
        <v>246191000</v>
      </c>
      <c r="E2049" s="76">
        <v>7827825.0000000009</v>
      </c>
      <c r="F2049" s="77" t="s">
        <v>10171</v>
      </c>
      <c r="G2049" s="22"/>
      <c r="H2049" s="22"/>
    </row>
    <row r="2050" spans="1:8" ht="13.35" customHeight="1">
      <c r="A2050" s="82">
        <v>3</v>
      </c>
      <c r="B2050" s="83" t="s">
        <v>4673</v>
      </c>
      <c r="C2050" s="67" t="s">
        <v>7694</v>
      </c>
      <c r="D2050" s="91">
        <v>218828900</v>
      </c>
      <c r="E2050" s="76">
        <v>6957825.0000000009</v>
      </c>
      <c r="F2050" s="77" t="s">
        <v>10171</v>
      </c>
      <c r="G2050" s="22"/>
      <c r="H2050" s="22"/>
    </row>
    <row r="2051" spans="1:8" ht="13.35" customHeight="1">
      <c r="A2051" s="82">
        <v>3</v>
      </c>
      <c r="B2051" s="83" t="s">
        <v>6221</v>
      </c>
      <c r="C2051" s="67" t="s">
        <v>6222</v>
      </c>
      <c r="D2051" s="91">
        <v>177785600</v>
      </c>
      <c r="E2051" s="76">
        <v>5652825.0000000009</v>
      </c>
      <c r="F2051" s="77" t="s">
        <v>10178</v>
      </c>
      <c r="G2051" s="22"/>
      <c r="H2051" s="22"/>
    </row>
    <row r="2052" spans="1:8" ht="13.35" customHeight="1">
      <c r="A2052" s="82">
        <v>3</v>
      </c>
      <c r="B2052" s="83" t="s">
        <v>6223</v>
      </c>
      <c r="C2052" s="67" t="s">
        <v>6224</v>
      </c>
      <c r="D2052" s="91">
        <v>142214800</v>
      </c>
      <c r="E2052" s="76">
        <v>4521825.0000000009</v>
      </c>
      <c r="F2052" s="77" t="s">
        <v>10178</v>
      </c>
      <c r="G2052" s="22"/>
      <c r="H2052" s="22"/>
    </row>
    <row r="2053" spans="1:8" ht="13.35" customHeight="1">
      <c r="A2053" s="82">
        <v>3</v>
      </c>
      <c r="B2053" s="83" t="s">
        <v>6909</v>
      </c>
      <c r="C2053" s="67" t="s">
        <v>7695</v>
      </c>
      <c r="D2053" s="91">
        <v>142214800</v>
      </c>
      <c r="E2053" s="76">
        <v>4521825.0000000009</v>
      </c>
      <c r="F2053" s="77" t="s">
        <v>10178</v>
      </c>
      <c r="G2053" s="22"/>
      <c r="H2053" s="22"/>
    </row>
    <row r="2054" spans="1:8" ht="13.35" customHeight="1">
      <c r="A2054" s="82">
        <v>3</v>
      </c>
      <c r="B2054" s="83" t="s">
        <v>5675</v>
      </c>
      <c r="C2054" s="67" t="s">
        <v>7696</v>
      </c>
      <c r="D2054" s="91">
        <v>95699200</v>
      </c>
      <c r="E2054" s="76">
        <v>3042825.0000000005</v>
      </c>
      <c r="F2054" s="77" t="s">
        <v>10171</v>
      </c>
      <c r="G2054" s="22"/>
      <c r="H2054" s="22"/>
    </row>
    <row r="2055" spans="1:8" ht="13.35" customHeight="1">
      <c r="A2055" s="82">
        <v>3</v>
      </c>
      <c r="B2055" s="83" t="s">
        <v>5679</v>
      </c>
      <c r="C2055" s="67" t="s">
        <v>7697</v>
      </c>
      <c r="D2055" s="91">
        <v>95699200</v>
      </c>
      <c r="E2055" s="76">
        <v>3042825.0000000005</v>
      </c>
      <c r="F2055" s="77" t="s">
        <v>10171</v>
      </c>
      <c r="G2055" s="22"/>
      <c r="H2055" s="22"/>
    </row>
    <row r="2056" spans="1:8" ht="13.35" customHeight="1">
      <c r="A2056" s="82">
        <v>3</v>
      </c>
      <c r="B2056" s="83" t="s">
        <v>5680</v>
      </c>
      <c r="C2056" s="67" t="s">
        <v>7698</v>
      </c>
      <c r="D2056" s="91">
        <v>95699200</v>
      </c>
      <c r="E2056" s="76">
        <v>3042825.0000000005</v>
      </c>
      <c r="F2056" s="77" t="s">
        <v>10171</v>
      </c>
      <c r="G2056" s="22"/>
      <c r="H2056" s="22"/>
    </row>
    <row r="2057" spans="1:8" ht="13.35" customHeight="1">
      <c r="A2057" s="82">
        <v>3</v>
      </c>
      <c r="B2057" s="83" t="s">
        <v>5681</v>
      </c>
      <c r="C2057" s="67" t="s">
        <v>7699</v>
      </c>
      <c r="D2057" s="91">
        <v>95699200</v>
      </c>
      <c r="E2057" s="76">
        <v>3042825.0000000005</v>
      </c>
      <c r="F2057" s="77" t="s">
        <v>10171</v>
      </c>
      <c r="G2057" s="22"/>
      <c r="H2057" s="22"/>
    </row>
    <row r="2058" spans="1:8" ht="13.35" customHeight="1">
      <c r="A2058" s="82">
        <v>3</v>
      </c>
      <c r="B2058" s="83" t="s">
        <v>5673</v>
      </c>
      <c r="C2058" s="67" t="s">
        <v>7700</v>
      </c>
      <c r="D2058" s="91">
        <v>95699200</v>
      </c>
      <c r="E2058" s="76">
        <v>3042825.0000000005</v>
      </c>
      <c r="F2058" s="77" t="s">
        <v>10171</v>
      </c>
      <c r="G2058" s="22"/>
      <c r="H2058" s="22"/>
    </row>
    <row r="2059" spans="1:8" ht="13.35" customHeight="1">
      <c r="A2059" s="82">
        <v>3</v>
      </c>
      <c r="B2059" s="83" t="s">
        <v>5674</v>
      </c>
      <c r="C2059" s="67" t="s">
        <v>7701</v>
      </c>
      <c r="D2059" s="91">
        <v>95699200</v>
      </c>
      <c r="E2059" s="76">
        <v>3042825.0000000005</v>
      </c>
      <c r="F2059" s="77" t="s">
        <v>10171</v>
      </c>
      <c r="G2059" s="22"/>
      <c r="H2059" s="22"/>
    </row>
    <row r="2060" spans="1:8" ht="13.35" customHeight="1">
      <c r="A2060" s="82">
        <v>3</v>
      </c>
      <c r="B2060" s="83" t="s">
        <v>5676</v>
      </c>
      <c r="C2060" s="67" t="s">
        <v>7702</v>
      </c>
      <c r="D2060" s="91">
        <v>95699200</v>
      </c>
      <c r="E2060" s="76">
        <v>3042825.0000000005</v>
      </c>
      <c r="F2060" s="77" t="s">
        <v>10171</v>
      </c>
      <c r="G2060" s="22"/>
      <c r="H2060" s="22"/>
    </row>
    <row r="2061" spans="1:8" ht="13.35" customHeight="1">
      <c r="A2061" s="82">
        <v>3</v>
      </c>
      <c r="B2061" s="83" t="s">
        <v>5677</v>
      </c>
      <c r="C2061" s="67" t="s">
        <v>7703</v>
      </c>
      <c r="D2061" s="91">
        <v>95699200</v>
      </c>
      <c r="E2061" s="76">
        <v>3042825.0000000005</v>
      </c>
      <c r="F2061" s="77" t="s">
        <v>10171</v>
      </c>
      <c r="G2061" s="22"/>
      <c r="H2061" s="22"/>
    </row>
    <row r="2062" spans="1:8" ht="13.35" customHeight="1">
      <c r="A2062" s="82">
        <v>3</v>
      </c>
      <c r="B2062" s="83" t="s">
        <v>5678</v>
      </c>
      <c r="C2062" s="67" t="s">
        <v>7704</v>
      </c>
      <c r="D2062" s="91">
        <v>109380200</v>
      </c>
      <c r="E2062" s="76">
        <v>3477825.0000000005</v>
      </c>
      <c r="F2062" s="77" t="s">
        <v>10171</v>
      </c>
      <c r="G2062" s="22"/>
      <c r="H2062" s="22"/>
    </row>
    <row r="2063" spans="1:8" ht="13.35" customHeight="1">
      <c r="A2063" s="82">
        <v>3</v>
      </c>
      <c r="B2063" s="83" t="s">
        <v>5684</v>
      </c>
      <c r="C2063" s="67" t="s">
        <v>7705</v>
      </c>
      <c r="D2063" s="91">
        <v>95699200</v>
      </c>
      <c r="E2063" s="76">
        <v>3042825.0000000005</v>
      </c>
      <c r="F2063" s="77" t="s">
        <v>10171</v>
      </c>
      <c r="G2063" s="22"/>
      <c r="H2063" s="22"/>
    </row>
    <row r="2064" spans="1:8" ht="13.35" customHeight="1">
      <c r="A2064" s="82">
        <v>3</v>
      </c>
      <c r="B2064" s="83" t="s">
        <v>5688</v>
      </c>
      <c r="C2064" s="67" t="s">
        <v>7706</v>
      </c>
      <c r="D2064" s="91">
        <v>95699200</v>
      </c>
      <c r="E2064" s="76">
        <v>3042825.0000000005</v>
      </c>
      <c r="F2064" s="77" t="s">
        <v>10171</v>
      </c>
      <c r="G2064" s="22"/>
      <c r="H2064" s="22"/>
    </row>
    <row r="2065" spans="1:8" ht="13.35" customHeight="1">
      <c r="A2065" s="82">
        <v>3</v>
      </c>
      <c r="B2065" s="83" t="s">
        <v>5689</v>
      </c>
      <c r="C2065" s="67" t="s">
        <v>7707</v>
      </c>
      <c r="D2065" s="91">
        <v>95699200</v>
      </c>
      <c r="E2065" s="76">
        <v>3042825.0000000005</v>
      </c>
      <c r="F2065" s="77" t="s">
        <v>10171</v>
      </c>
      <c r="G2065" s="22"/>
      <c r="H2065" s="22"/>
    </row>
    <row r="2066" spans="1:8" ht="13.35" customHeight="1">
      <c r="A2066" s="82">
        <v>3</v>
      </c>
      <c r="B2066" s="83" t="s">
        <v>5690</v>
      </c>
      <c r="C2066" s="67" t="s">
        <v>7708</v>
      </c>
      <c r="D2066" s="91">
        <v>95699200</v>
      </c>
      <c r="E2066" s="76">
        <v>3042825.0000000005</v>
      </c>
      <c r="F2066" s="77" t="s">
        <v>10171</v>
      </c>
      <c r="G2066" s="22"/>
      <c r="H2066" s="22"/>
    </row>
    <row r="2067" spans="1:8" ht="13.35" customHeight="1">
      <c r="A2067" s="82">
        <v>3</v>
      </c>
      <c r="B2067" s="83" t="s">
        <v>5682</v>
      </c>
      <c r="C2067" s="67" t="s">
        <v>7709</v>
      </c>
      <c r="D2067" s="91">
        <v>95699200</v>
      </c>
      <c r="E2067" s="76">
        <v>3042825.0000000005</v>
      </c>
      <c r="F2067" s="77" t="s">
        <v>10171</v>
      </c>
      <c r="G2067" s="22"/>
      <c r="H2067" s="22"/>
    </row>
    <row r="2068" spans="1:8" ht="13.35" customHeight="1">
      <c r="A2068" s="82">
        <v>3</v>
      </c>
      <c r="B2068" s="83" t="s">
        <v>5683</v>
      </c>
      <c r="C2068" s="67" t="s">
        <v>7710</v>
      </c>
      <c r="D2068" s="91">
        <v>95699200</v>
      </c>
      <c r="E2068" s="76">
        <v>3042825.0000000005</v>
      </c>
      <c r="F2068" s="77" t="s">
        <v>10171</v>
      </c>
      <c r="G2068" s="22"/>
      <c r="H2068" s="22"/>
    </row>
    <row r="2069" spans="1:8" ht="13.35" customHeight="1">
      <c r="A2069" s="82">
        <v>3</v>
      </c>
      <c r="B2069" s="83" t="s">
        <v>5685</v>
      </c>
      <c r="C2069" s="67" t="s">
        <v>7711</v>
      </c>
      <c r="D2069" s="91">
        <v>95699200</v>
      </c>
      <c r="E2069" s="76">
        <v>3042825.0000000005</v>
      </c>
      <c r="F2069" s="77" t="s">
        <v>10171</v>
      </c>
      <c r="G2069" s="22"/>
      <c r="H2069" s="22"/>
    </row>
    <row r="2070" spans="1:8" ht="13.35" customHeight="1">
      <c r="A2070" s="82">
        <v>3</v>
      </c>
      <c r="B2070" s="83" t="s">
        <v>5686</v>
      </c>
      <c r="C2070" s="67" t="s">
        <v>7712</v>
      </c>
      <c r="D2070" s="91">
        <v>95699200</v>
      </c>
      <c r="E2070" s="76">
        <v>3042825.0000000005</v>
      </c>
      <c r="F2070" s="77" t="s">
        <v>10171</v>
      </c>
      <c r="G2070" s="22"/>
      <c r="H2070" s="22"/>
    </row>
    <row r="2071" spans="1:8" ht="13.35" customHeight="1">
      <c r="A2071" s="82">
        <v>3</v>
      </c>
      <c r="B2071" s="83" t="s">
        <v>5687</v>
      </c>
      <c r="C2071" s="67" t="s">
        <v>7713</v>
      </c>
      <c r="D2071" s="91">
        <v>109380200</v>
      </c>
      <c r="E2071" s="76">
        <v>3477825.0000000005</v>
      </c>
      <c r="F2071" s="77" t="s">
        <v>10171</v>
      </c>
      <c r="G2071" s="22"/>
      <c r="H2071" s="22"/>
    </row>
    <row r="2072" spans="1:8" ht="13.35" customHeight="1">
      <c r="A2072" s="82">
        <v>3</v>
      </c>
      <c r="B2072" s="83" t="s">
        <v>5702</v>
      </c>
      <c r="C2072" s="67" t="s">
        <v>7714</v>
      </c>
      <c r="D2072" s="91">
        <v>95699200</v>
      </c>
      <c r="E2072" s="76">
        <v>3042825.0000000005</v>
      </c>
      <c r="F2072" s="77" t="s">
        <v>10171</v>
      </c>
      <c r="G2072" s="22"/>
      <c r="H2072" s="22"/>
    </row>
    <row r="2073" spans="1:8" ht="13.35" customHeight="1">
      <c r="A2073" s="82">
        <v>3</v>
      </c>
      <c r="B2073" s="83" t="s">
        <v>5706</v>
      </c>
      <c r="C2073" s="67" t="s">
        <v>7715</v>
      </c>
      <c r="D2073" s="91">
        <v>95699200</v>
      </c>
      <c r="E2073" s="76">
        <v>3042825.0000000005</v>
      </c>
      <c r="F2073" s="77" t="s">
        <v>10171</v>
      </c>
      <c r="G2073" s="22"/>
      <c r="H2073" s="22"/>
    </row>
    <row r="2074" spans="1:8" ht="13.35" customHeight="1">
      <c r="A2074" s="82">
        <v>3</v>
      </c>
      <c r="B2074" s="83" t="s">
        <v>5707</v>
      </c>
      <c r="C2074" s="67" t="s">
        <v>7716</v>
      </c>
      <c r="D2074" s="91">
        <v>95699200</v>
      </c>
      <c r="E2074" s="76">
        <v>3042825.0000000005</v>
      </c>
      <c r="F2074" s="77" t="s">
        <v>10171</v>
      </c>
      <c r="G2074" s="22"/>
      <c r="H2074" s="22"/>
    </row>
    <row r="2075" spans="1:8" ht="13.35" customHeight="1">
      <c r="A2075" s="82">
        <v>3</v>
      </c>
      <c r="B2075" s="83" t="s">
        <v>5708</v>
      </c>
      <c r="C2075" s="67" t="s">
        <v>7717</v>
      </c>
      <c r="D2075" s="91">
        <v>95699200</v>
      </c>
      <c r="E2075" s="76">
        <v>3042825.0000000005</v>
      </c>
      <c r="F2075" s="77" t="s">
        <v>10171</v>
      </c>
      <c r="G2075" s="22"/>
      <c r="H2075" s="22"/>
    </row>
    <row r="2076" spans="1:8" ht="13.35" customHeight="1">
      <c r="A2076" s="82">
        <v>3</v>
      </c>
      <c r="B2076" s="83" t="s">
        <v>5700</v>
      </c>
      <c r="C2076" s="67" t="s">
        <v>7718</v>
      </c>
      <c r="D2076" s="91">
        <v>95699200</v>
      </c>
      <c r="E2076" s="76">
        <v>3042825.0000000005</v>
      </c>
      <c r="F2076" s="77" t="s">
        <v>10171</v>
      </c>
      <c r="G2076" s="22"/>
      <c r="H2076" s="22"/>
    </row>
    <row r="2077" spans="1:8" ht="13.35" customHeight="1">
      <c r="A2077" s="82">
        <v>3</v>
      </c>
      <c r="B2077" s="83" t="s">
        <v>5701</v>
      </c>
      <c r="C2077" s="67" t="s">
        <v>7719</v>
      </c>
      <c r="D2077" s="91">
        <v>95699200</v>
      </c>
      <c r="E2077" s="76">
        <v>3042825.0000000005</v>
      </c>
      <c r="F2077" s="77" t="s">
        <v>10171</v>
      </c>
      <c r="G2077" s="22"/>
      <c r="H2077" s="22"/>
    </row>
    <row r="2078" spans="1:8" ht="13.35" customHeight="1">
      <c r="A2078" s="82">
        <v>3</v>
      </c>
      <c r="B2078" s="83" t="s">
        <v>5703</v>
      </c>
      <c r="C2078" s="67" t="s">
        <v>7720</v>
      </c>
      <c r="D2078" s="91">
        <v>95699200</v>
      </c>
      <c r="E2078" s="76">
        <v>3042825.0000000005</v>
      </c>
      <c r="F2078" s="77" t="s">
        <v>10171</v>
      </c>
      <c r="G2078" s="22"/>
      <c r="H2078" s="22"/>
    </row>
    <row r="2079" spans="1:8" ht="13.35" customHeight="1">
      <c r="A2079" s="82">
        <v>3</v>
      </c>
      <c r="B2079" s="83" t="s">
        <v>5704</v>
      </c>
      <c r="C2079" s="67" t="s">
        <v>7721</v>
      </c>
      <c r="D2079" s="91">
        <v>95699200</v>
      </c>
      <c r="E2079" s="76">
        <v>3042825.0000000005</v>
      </c>
      <c r="F2079" s="77" t="s">
        <v>10171</v>
      </c>
      <c r="G2079" s="22"/>
      <c r="H2079" s="22"/>
    </row>
    <row r="2080" spans="1:8" ht="13.35" customHeight="1">
      <c r="A2080" s="82">
        <v>3</v>
      </c>
      <c r="B2080" s="83" t="s">
        <v>5705</v>
      </c>
      <c r="C2080" s="67" t="s">
        <v>7722</v>
      </c>
      <c r="D2080" s="91">
        <v>109380200</v>
      </c>
      <c r="E2080" s="76">
        <v>3477825.0000000005</v>
      </c>
      <c r="F2080" s="77" t="s">
        <v>10171</v>
      </c>
      <c r="G2080" s="22"/>
      <c r="H2080" s="22"/>
    </row>
    <row r="2081" spans="1:8" ht="13.35" customHeight="1">
      <c r="A2081" s="82">
        <v>3</v>
      </c>
      <c r="B2081" s="83" t="s">
        <v>5711</v>
      </c>
      <c r="C2081" s="67" t="s">
        <v>7723</v>
      </c>
      <c r="D2081" s="91">
        <v>95699200</v>
      </c>
      <c r="E2081" s="76">
        <v>3042825.0000000005</v>
      </c>
      <c r="F2081" s="77" t="s">
        <v>10171</v>
      </c>
      <c r="G2081" s="22"/>
      <c r="H2081" s="22"/>
    </row>
    <row r="2082" spans="1:8" ht="13.35" customHeight="1">
      <c r="A2082" s="82">
        <v>3</v>
      </c>
      <c r="B2082" s="83" t="s">
        <v>5715</v>
      </c>
      <c r="C2082" s="67" t="s">
        <v>7724</v>
      </c>
      <c r="D2082" s="91">
        <v>95699200</v>
      </c>
      <c r="E2082" s="76">
        <v>3042825.0000000005</v>
      </c>
      <c r="F2082" s="77" t="s">
        <v>10171</v>
      </c>
      <c r="G2082" s="22"/>
      <c r="H2082" s="22"/>
    </row>
    <row r="2083" spans="1:8" ht="13.35" customHeight="1">
      <c r="A2083" s="82">
        <v>3</v>
      </c>
      <c r="B2083" s="83" t="s">
        <v>5716</v>
      </c>
      <c r="C2083" s="67" t="s">
        <v>7725</v>
      </c>
      <c r="D2083" s="91">
        <v>95699200</v>
      </c>
      <c r="E2083" s="76">
        <v>3042825.0000000005</v>
      </c>
      <c r="F2083" s="77" t="s">
        <v>10171</v>
      </c>
      <c r="G2083" s="22"/>
      <c r="H2083" s="22"/>
    </row>
    <row r="2084" spans="1:8" ht="13.35" customHeight="1">
      <c r="A2084" s="82">
        <v>3</v>
      </c>
      <c r="B2084" s="83" t="s">
        <v>5717</v>
      </c>
      <c r="C2084" s="67" t="s">
        <v>7726</v>
      </c>
      <c r="D2084" s="91">
        <v>95699200</v>
      </c>
      <c r="E2084" s="76">
        <v>3042825.0000000005</v>
      </c>
      <c r="F2084" s="77" t="s">
        <v>10171</v>
      </c>
      <c r="G2084" s="22"/>
      <c r="H2084" s="22"/>
    </row>
    <row r="2085" spans="1:8" ht="13.35" customHeight="1">
      <c r="A2085" s="82">
        <v>3</v>
      </c>
      <c r="B2085" s="83" t="s">
        <v>5709</v>
      </c>
      <c r="C2085" s="67" t="s">
        <v>7727</v>
      </c>
      <c r="D2085" s="91">
        <v>95699200</v>
      </c>
      <c r="E2085" s="76">
        <v>3042825.0000000005</v>
      </c>
      <c r="F2085" s="77" t="s">
        <v>10171</v>
      </c>
      <c r="G2085" s="22"/>
      <c r="H2085" s="22"/>
    </row>
    <row r="2086" spans="1:8" ht="13.35" customHeight="1">
      <c r="A2086" s="82">
        <v>3</v>
      </c>
      <c r="B2086" s="83" t="s">
        <v>5710</v>
      </c>
      <c r="C2086" s="67" t="s">
        <v>7728</v>
      </c>
      <c r="D2086" s="91">
        <v>95699200</v>
      </c>
      <c r="E2086" s="76">
        <v>3042825.0000000005</v>
      </c>
      <c r="F2086" s="77" t="s">
        <v>10171</v>
      </c>
      <c r="G2086" s="22"/>
      <c r="H2086" s="22"/>
    </row>
    <row r="2087" spans="1:8" ht="13.35" customHeight="1">
      <c r="A2087" s="82">
        <v>3</v>
      </c>
      <c r="B2087" s="83" t="s">
        <v>5712</v>
      </c>
      <c r="C2087" s="67" t="s">
        <v>7729</v>
      </c>
      <c r="D2087" s="91">
        <v>95699200</v>
      </c>
      <c r="E2087" s="76">
        <v>3042825.0000000005</v>
      </c>
      <c r="F2087" s="77" t="s">
        <v>10171</v>
      </c>
      <c r="G2087" s="22"/>
      <c r="H2087" s="22"/>
    </row>
    <row r="2088" spans="1:8" ht="13.35" customHeight="1">
      <c r="A2088" s="82">
        <v>3</v>
      </c>
      <c r="B2088" s="83" t="s">
        <v>5713</v>
      </c>
      <c r="C2088" s="67" t="s">
        <v>7730</v>
      </c>
      <c r="D2088" s="91">
        <v>95699200</v>
      </c>
      <c r="E2088" s="76">
        <v>3042825.0000000005</v>
      </c>
      <c r="F2088" s="77" t="s">
        <v>10171</v>
      </c>
      <c r="G2088" s="22"/>
      <c r="H2088" s="22"/>
    </row>
    <row r="2089" spans="1:8" ht="13.35" customHeight="1">
      <c r="A2089" s="82">
        <v>3</v>
      </c>
      <c r="B2089" s="83" t="s">
        <v>5714</v>
      </c>
      <c r="C2089" s="67" t="s">
        <v>7731</v>
      </c>
      <c r="D2089" s="91">
        <v>109380200</v>
      </c>
      <c r="E2089" s="76">
        <v>3477825.0000000005</v>
      </c>
      <c r="F2089" s="77" t="s">
        <v>10171</v>
      </c>
      <c r="G2089" s="22"/>
      <c r="H2089" s="22"/>
    </row>
    <row r="2090" spans="1:8" ht="13.35" customHeight="1">
      <c r="A2090" s="82">
        <v>3</v>
      </c>
      <c r="B2090" s="83" t="s">
        <v>4981</v>
      </c>
      <c r="C2090" s="67" t="s">
        <v>4982</v>
      </c>
      <c r="D2090" s="91">
        <v>1641661200</v>
      </c>
      <c r="E2090" s="76">
        <v>52197825.000000007</v>
      </c>
      <c r="F2090" s="77" t="s">
        <v>10171</v>
      </c>
      <c r="G2090" s="22"/>
      <c r="H2090" s="22"/>
    </row>
    <row r="2091" spans="1:8" ht="13.35" customHeight="1">
      <c r="A2091" s="82">
        <v>3</v>
      </c>
      <c r="B2091" s="83" t="s">
        <v>4207</v>
      </c>
      <c r="C2091" s="67" t="s">
        <v>4208</v>
      </c>
      <c r="D2091" s="91">
        <v>1231228800</v>
      </c>
      <c r="E2091" s="76">
        <v>39147825.000000007</v>
      </c>
      <c r="F2091" s="77" t="s">
        <v>10171</v>
      </c>
      <c r="G2091" s="22"/>
      <c r="H2091" s="22"/>
    </row>
    <row r="2092" spans="1:8" ht="13.35" customHeight="1">
      <c r="A2092" s="82">
        <v>3</v>
      </c>
      <c r="B2092" s="83" t="s">
        <v>6910</v>
      </c>
      <c r="C2092" s="67" t="s">
        <v>7732</v>
      </c>
      <c r="D2092" s="91">
        <v>683985600</v>
      </c>
      <c r="E2092" s="76">
        <v>21747825.000000004</v>
      </c>
      <c r="F2092" s="77" t="s">
        <v>10171</v>
      </c>
      <c r="G2092" s="22"/>
      <c r="H2092" s="22"/>
    </row>
    <row r="2093" spans="1:8" ht="13.35" customHeight="1">
      <c r="A2093" s="82">
        <v>3</v>
      </c>
      <c r="B2093" s="67" t="s">
        <v>6911</v>
      </c>
      <c r="C2093" s="67" t="s">
        <v>7733</v>
      </c>
      <c r="D2093" s="91">
        <v>478769400</v>
      </c>
      <c r="E2093" s="76">
        <v>15222825.000000002</v>
      </c>
      <c r="F2093" s="77" t="s">
        <v>10171</v>
      </c>
      <c r="G2093" s="22"/>
      <c r="H2093" s="22"/>
    </row>
    <row r="2094" spans="1:8" ht="13.35" customHeight="1">
      <c r="A2094" s="82">
        <v>3</v>
      </c>
      <c r="B2094" s="83" t="s">
        <v>2873</v>
      </c>
      <c r="C2094" s="67" t="s">
        <v>2874</v>
      </c>
      <c r="D2094" s="91">
        <v>430885600</v>
      </c>
      <c r="E2094" s="76">
        <v>13700325.000000002</v>
      </c>
      <c r="F2094" s="77" t="s">
        <v>10171</v>
      </c>
      <c r="G2094" s="22"/>
      <c r="H2094" s="22"/>
    </row>
    <row r="2095" spans="1:8" ht="13.35" customHeight="1">
      <c r="A2095" s="82">
        <v>3</v>
      </c>
      <c r="B2095" s="83" t="s">
        <v>2879</v>
      </c>
      <c r="C2095" s="67" t="s">
        <v>2880</v>
      </c>
      <c r="D2095" s="91">
        <v>218828900</v>
      </c>
      <c r="E2095" s="76">
        <v>6957825.0000000009</v>
      </c>
      <c r="F2095" s="77" t="s">
        <v>10171</v>
      </c>
      <c r="G2095" s="22"/>
      <c r="H2095" s="22"/>
    </row>
    <row r="2096" spans="1:8" ht="13.35" customHeight="1">
      <c r="A2096" s="82">
        <v>3</v>
      </c>
      <c r="B2096" s="83" t="s">
        <v>1568</v>
      </c>
      <c r="C2096" s="67" t="s">
        <v>5462</v>
      </c>
      <c r="D2096" s="91">
        <v>205147800</v>
      </c>
      <c r="E2096" s="76">
        <v>6522825.0000000009</v>
      </c>
      <c r="F2096" s="77" t="s">
        <v>10171</v>
      </c>
      <c r="G2096" s="22"/>
      <c r="H2096" s="22"/>
    </row>
    <row r="2097" spans="1:8" ht="13.35" customHeight="1">
      <c r="A2097" s="82">
        <v>3</v>
      </c>
      <c r="B2097" s="83" t="s">
        <v>3494</v>
      </c>
      <c r="C2097" s="67" t="s">
        <v>3495</v>
      </c>
      <c r="D2097" s="91">
        <v>196939100</v>
      </c>
      <c r="E2097" s="76">
        <v>6261825.0000000009</v>
      </c>
      <c r="F2097" s="77" t="s">
        <v>10171</v>
      </c>
      <c r="G2097" s="22"/>
      <c r="H2097" s="22"/>
    </row>
    <row r="2098" spans="1:8" ht="13.35" customHeight="1">
      <c r="A2098" s="82">
        <v>3</v>
      </c>
      <c r="B2098" s="83" t="s">
        <v>2877</v>
      </c>
      <c r="C2098" s="67" t="s">
        <v>2878</v>
      </c>
      <c r="D2098" s="91">
        <v>191466700</v>
      </c>
      <c r="E2098" s="76">
        <v>6087825.0000000009</v>
      </c>
      <c r="F2098" s="77" t="s">
        <v>10171</v>
      </c>
      <c r="G2098" s="22"/>
      <c r="H2098" s="22"/>
    </row>
    <row r="2099" spans="1:8" ht="13.35" customHeight="1">
      <c r="A2099" s="82">
        <v>3</v>
      </c>
      <c r="B2099" s="83" t="s">
        <v>3274</v>
      </c>
      <c r="C2099" s="67" t="s">
        <v>3275</v>
      </c>
      <c r="D2099" s="91">
        <v>183258100</v>
      </c>
      <c r="E2099" s="76">
        <v>5826825.0000000009</v>
      </c>
      <c r="F2099" s="77" t="s">
        <v>10171</v>
      </c>
      <c r="G2099" s="22"/>
      <c r="H2099" s="22"/>
    </row>
    <row r="2100" spans="1:8" ht="13.35" customHeight="1">
      <c r="A2100" s="82">
        <v>3</v>
      </c>
      <c r="B2100" s="83" t="s">
        <v>1567</v>
      </c>
      <c r="C2100" s="67" t="s">
        <v>5463</v>
      </c>
      <c r="D2100" s="91">
        <v>177785600</v>
      </c>
      <c r="E2100" s="76">
        <v>5652825.0000000009</v>
      </c>
      <c r="F2100" s="77" t="s">
        <v>10171</v>
      </c>
      <c r="G2100" s="22"/>
      <c r="H2100" s="22"/>
    </row>
    <row r="2101" spans="1:8" ht="13.35" customHeight="1">
      <c r="A2101" s="82">
        <v>3</v>
      </c>
      <c r="B2101" s="83" t="s">
        <v>1566</v>
      </c>
      <c r="C2101" s="67" t="s">
        <v>5464</v>
      </c>
      <c r="D2101" s="91">
        <v>150423500</v>
      </c>
      <c r="E2101" s="76">
        <v>4782825.0000000009</v>
      </c>
      <c r="F2101" s="77" t="s">
        <v>10171</v>
      </c>
      <c r="G2101" s="22"/>
      <c r="H2101" s="22"/>
    </row>
    <row r="2102" spans="1:8" ht="13.35" customHeight="1">
      <c r="A2102" s="82">
        <v>3</v>
      </c>
      <c r="B2102" s="83" t="s">
        <v>1634</v>
      </c>
      <c r="C2102" s="67" t="s">
        <v>2382</v>
      </c>
      <c r="D2102" s="91">
        <v>109380200</v>
      </c>
      <c r="E2102" s="76">
        <v>3477825.0000000005</v>
      </c>
      <c r="F2102" s="77" t="s">
        <v>10171</v>
      </c>
      <c r="G2102" s="22"/>
      <c r="H2102" s="22"/>
    </row>
    <row r="2103" spans="1:8" ht="13.35" customHeight="1">
      <c r="A2103" s="82">
        <v>3</v>
      </c>
      <c r="B2103" s="83" t="s">
        <v>4205</v>
      </c>
      <c r="C2103" s="67" t="s">
        <v>4206</v>
      </c>
      <c r="D2103" s="91">
        <v>109380200</v>
      </c>
      <c r="E2103" s="76">
        <v>3477825.0000000005</v>
      </c>
      <c r="F2103" s="77" t="s">
        <v>10171</v>
      </c>
      <c r="G2103" s="22"/>
      <c r="H2103" s="22"/>
    </row>
    <row r="2104" spans="1:8" ht="13.35" customHeight="1">
      <c r="A2104" s="82">
        <v>3</v>
      </c>
      <c r="B2104" s="83" t="s">
        <v>4979</v>
      </c>
      <c r="C2104" s="67" t="s">
        <v>4980</v>
      </c>
      <c r="D2104" s="91">
        <v>95699200</v>
      </c>
      <c r="E2104" s="76">
        <v>3042825.0000000005</v>
      </c>
      <c r="F2104" s="77" t="s">
        <v>10171</v>
      </c>
      <c r="G2104" s="22"/>
      <c r="H2104" s="22"/>
    </row>
    <row r="2105" spans="1:8" ht="13.35" customHeight="1">
      <c r="A2105" s="82">
        <v>3</v>
      </c>
      <c r="B2105" s="83" t="s">
        <v>5263</v>
      </c>
      <c r="C2105" s="67" t="s">
        <v>5264</v>
      </c>
      <c r="D2105" s="91">
        <v>82018100</v>
      </c>
      <c r="E2105" s="76">
        <v>2607825.0000000005</v>
      </c>
      <c r="F2105" s="77" t="s">
        <v>10171</v>
      </c>
      <c r="G2105" s="22"/>
      <c r="H2105" s="22"/>
    </row>
    <row r="2106" spans="1:8" ht="13.35" customHeight="1">
      <c r="A2106" s="82">
        <v>3</v>
      </c>
      <c r="B2106" s="83" t="s">
        <v>2857</v>
      </c>
      <c r="C2106" s="67" t="s">
        <v>2858</v>
      </c>
      <c r="D2106" s="91">
        <v>177785600</v>
      </c>
      <c r="E2106" s="76">
        <v>5652825.0000000009</v>
      </c>
      <c r="F2106" s="77" t="s">
        <v>10171</v>
      </c>
      <c r="G2106" s="22"/>
      <c r="H2106" s="22"/>
    </row>
    <row r="2107" spans="1:8" ht="13.35" customHeight="1">
      <c r="A2107" s="82">
        <v>3</v>
      </c>
      <c r="B2107" s="83" t="s">
        <v>2859</v>
      </c>
      <c r="C2107" s="67" t="s">
        <v>2860</v>
      </c>
      <c r="D2107" s="91">
        <v>177785600</v>
      </c>
      <c r="E2107" s="76">
        <v>5652825.0000000009</v>
      </c>
      <c r="F2107" s="77" t="s">
        <v>10171</v>
      </c>
      <c r="G2107" s="22"/>
      <c r="H2107" s="22"/>
    </row>
    <row r="2108" spans="1:8" ht="13.35" customHeight="1">
      <c r="A2108" s="82">
        <v>3</v>
      </c>
      <c r="B2108" s="83" t="s">
        <v>2861</v>
      </c>
      <c r="C2108" s="67" t="s">
        <v>2862</v>
      </c>
      <c r="D2108" s="91">
        <v>177785600</v>
      </c>
      <c r="E2108" s="76">
        <v>5652825.0000000009</v>
      </c>
      <c r="F2108" s="77" t="s">
        <v>10171</v>
      </c>
      <c r="G2108" s="22"/>
      <c r="H2108" s="22"/>
    </row>
    <row r="2109" spans="1:8" ht="13.35" customHeight="1">
      <c r="A2109" s="82">
        <v>3</v>
      </c>
      <c r="B2109" s="83" t="s">
        <v>2863</v>
      </c>
      <c r="C2109" s="67" t="s">
        <v>2864</v>
      </c>
      <c r="D2109" s="91">
        <v>205147800</v>
      </c>
      <c r="E2109" s="76">
        <v>6522825.0000000009</v>
      </c>
      <c r="F2109" s="77" t="s">
        <v>10171</v>
      </c>
      <c r="G2109" s="22"/>
      <c r="H2109" s="22"/>
    </row>
    <row r="2110" spans="1:8" ht="13.35" customHeight="1">
      <c r="A2110" s="82">
        <v>3</v>
      </c>
      <c r="B2110" s="83" t="s">
        <v>2865</v>
      </c>
      <c r="C2110" s="67" t="s">
        <v>2866</v>
      </c>
      <c r="D2110" s="91">
        <v>177785600</v>
      </c>
      <c r="E2110" s="76">
        <v>5652825.0000000009</v>
      </c>
      <c r="F2110" s="77" t="s">
        <v>10171</v>
      </c>
      <c r="G2110" s="22"/>
      <c r="H2110" s="22"/>
    </row>
    <row r="2111" spans="1:8" ht="13.35" customHeight="1">
      <c r="A2111" s="82">
        <v>3</v>
      </c>
      <c r="B2111" s="83" t="s">
        <v>2867</v>
      </c>
      <c r="C2111" s="67" t="s">
        <v>2868</v>
      </c>
      <c r="D2111" s="91">
        <v>177785600</v>
      </c>
      <c r="E2111" s="76">
        <v>5652825.0000000009</v>
      </c>
      <c r="F2111" s="77" t="s">
        <v>10171</v>
      </c>
      <c r="G2111" s="22"/>
      <c r="H2111" s="22"/>
    </row>
    <row r="2112" spans="1:8" ht="13.35" customHeight="1">
      <c r="A2112" s="82">
        <v>3</v>
      </c>
      <c r="B2112" s="83" t="s">
        <v>2869</v>
      </c>
      <c r="C2112" s="67" t="s">
        <v>2870</v>
      </c>
      <c r="D2112" s="91">
        <v>177785600</v>
      </c>
      <c r="E2112" s="76">
        <v>5652825.0000000009</v>
      </c>
      <c r="F2112" s="77" t="s">
        <v>10171</v>
      </c>
      <c r="G2112" s="22"/>
      <c r="H2112" s="22"/>
    </row>
    <row r="2113" spans="1:8" ht="13.35" customHeight="1">
      <c r="A2113" s="82">
        <v>3</v>
      </c>
      <c r="B2113" s="83" t="s">
        <v>2871</v>
      </c>
      <c r="C2113" s="67" t="s">
        <v>2872</v>
      </c>
      <c r="D2113" s="91">
        <v>205147800</v>
      </c>
      <c r="E2113" s="76">
        <v>6522825.0000000009</v>
      </c>
      <c r="F2113" s="77" t="s">
        <v>10171</v>
      </c>
      <c r="G2113" s="22"/>
      <c r="H2113" s="22"/>
    </row>
    <row r="2114" spans="1:8" ht="13.35" customHeight="1">
      <c r="A2114" s="82">
        <v>3</v>
      </c>
      <c r="B2114" s="83" t="s">
        <v>5269</v>
      </c>
      <c r="C2114" s="67" t="s">
        <v>7734</v>
      </c>
      <c r="D2114" s="91">
        <v>136742400</v>
      </c>
      <c r="E2114" s="76">
        <v>4347825.0000000009</v>
      </c>
      <c r="F2114" s="77" t="s">
        <v>10171</v>
      </c>
      <c r="G2114" s="22"/>
      <c r="H2114" s="22"/>
    </row>
    <row r="2115" spans="1:8" ht="13.35" customHeight="1">
      <c r="A2115" s="82">
        <v>3</v>
      </c>
      <c r="B2115" s="83" t="s">
        <v>4664</v>
      </c>
      <c r="C2115" s="67" t="s">
        <v>4665</v>
      </c>
      <c r="D2115" s="91">
        <v>9508400</v>
      </c>
      <c r="E2115" s="76">
        <v>302325.00000000006</v>
      </c>
      <c r="F2115" s="77" t="s">
        <v>10171</v>
      </c>
      <c r="G2115" s="22"/>
      <c r="H2115" s="22"/>
    </row>
    <row r="2116" spans="1:8" ht="13.35" customHeight="1">
      <c r="A2116" s="82">
        <v>3</v>
      </c>
      <c r="B2116" s="83" t="s">
        <v>4662</v>
      </c>
      <c r="C2116" s="67" t="s">
        <v>4663</v>
      </c>
      <c r="D2116" s="91">
        <v>8140200</v>
      </c>
      <c r="E2116" s="76">
        <v>258825.00000000003</v>
      </c>
      <c r="F2116" s="77" t="s">
        <v>10171</v>
      </c>
      <c r="G2116" s="22"/>
      <c r="H2116" s="22"/>
    </row>
    <row r="2117" spans="1:8" ht="13.35" customHeight="1">
      <c r="A2117" s="82">
        <v>3</v>
      </c>
      <c r="B2117" s="83" t="s">
        <v>4660</v>
      </c>
      <c r="C2117" s="67" t="s">
        <v>4661</v>
      </c>
      <c r="D2117" s="91">
        <v>6772100</v>
      </c>
      <c r="E2117" s="76">
        <v>215325.00000000003</v>
      </c>
      <c r="F2117" s="77" t="s">
        <v>10171</v>
      </c>
      <c r="G2117" s="22"/>
      <c r="H2117" s="22"/>
    </row>
    <row r="2118" spans="1:8" ht="13.35" customHeight="1">
      <c r="A2118" s="82">
        <v>3</v>
      </c>
      <c r="B2118" s="83" t="s">
        <v>3500</v>
      </c>
      <c r="C2118" s="67" t="s">
        <v>3501</v>
      </c>
      <c r="D2118" s="91">
        <v>14980800</v>
      </c>
      <c r="E2118" s="76">
        <v>476325.00000000006</v>
      </c>
      <c r="F2118" s="77" t="s">
        <v>10171</v>
      </c>
      <c r="G2118" s="22"/>
      <c r="H2118" s="22"/>
    </row>
    <row r="2119" spans="1:8" ht="13.35" customHeight="1">
      <c r="A2119" s="82">
        <v>3</v>
      </c>
      <c r="B2119" s="83" t="s">
        <v>3498</v>
      </c>
      <c r="C2119" s="67" t="s">
        <v>3499</v>
      </c>
      <c r="D2119" s="91">
        <v>10876500</v>
      </c>
      <c r="E2119" s="76">
        <v>345825.00000000006</v>
      </c>
      <c r="F2119" s="77" t="s">
        <v>10171</v>
      </c>
      <c r="G2119" s="22"/>
      <c r="H2119" s="22"/>
    </row>
    <row r="2120" spans="1:8" ht="13.35" customHeight="1">
      <c r="A2120" s="82">
        <v>3</v>
      </c>
      <c r="B2120" s="83" t="s">
        <v>3496</v>
      </c>
      <c r="C2120" s="67" t="s">
        <v>3497</v>
      </c>
      <c r="D2120" s="91">
        <v>9508400</v>
      </c>
      <c r="E2120" s="76">
        <v>302325.00000000006</v>
      </c>
      <c r="F2120" s="77" t="s">
        <v>10171</v>
      </c>
      <c r="G2120" s="22"/>
      <c r="H2120" s="22"/>
    </row>
    <row r="2121" spans="1:8" ht="13.35" customHeight="1">
      <c r="A2121" s="82">
        <v>3</v>
      </c>
      <c r="B2121" s="83" t="s">
        <v>5255</v>
      </c>
      <c r="C2121" s="67" t="s">
        <v>5256</v>
      </c>
      <c r="D2121" s="91">
        <v>95699200</v>
      </c>
      <c r="E2121" s="76">
        <v>3042825.0000000005</v>
      </c>
      <c r="F2121" s="77" t="s">
        <v>10171</v>
      </c>
      <c r="G2121" s="22"/>
      <c r="H2121" s="22"/>
    </row>
    <row r="2122" spans="1:8" ht="13.35" customHeight="1">
      <c r="A2122" s="82">
        <v>3</v>
      </c>
      <c r="B2122" s="83" t="s">
        <v>5257</v>
      </c>
      <c r="C2122" s="67" t="s">
        <v>5258</v>
      </c>
      <c r="D2122" s="91">
        <v>95699200</v>
      </c>
      <c r="E2122" s="76">
        <v>3042825.0000000005</v>
      </c>
      <c r="F2122" s="77" t="s">
        <v>10171</v>
      </c>
      <c r="G2122" s="22"/>
      <c r="H2122" s="22"/>
    </row>
    <row r="2123" spans="1:8" ht="13.35" customHeight="1">
      <c r="A2123" s="82">
        <v>3</v>
      </c>
      <c r="B2123" s="83" t="s">
        <v>5259</v>
      </c>
      <c r="C2123" s="67" t="s">
        <v>5260</v>
      </c>
      <c r="D2123" s="91">
        <v>95699200</v>
      </c>
      <c r="E2123" s="76">
        <v>3042825.0000000005</v>
      </c>
      <c r="F2123" s="77" t="s">
        <v>10171</v>
      </c>
      <c r="G2123" s="22"/>
      <c r="H2123" s="22"/>
    </row>
    <row r="2124" spans="1:8" ht="13.35" customHeight="1">
      <c r="A2124" s="82">
        <v>3</v>
      </c>
      <c r="B2124" s="83" t="s">
        <v>5261</v>
      </c>
      <c r="C2124" s="67" t="s">
        <v>5262</v>
      </c>
      <c r="D2124" s="91">
        <v>95699200</v>
      </c>
      <c r="E2124" s="76">
        <v>3042825.0000000005</v>
      </c>
      <c r="F2124" s="77" t="s">
        <v>10171</v>
      </c>
      <c r="G2124" s="22"/>
      <c r="H2124" s="22"/>
    </row>
    <row r="2125" spans="1:8" ht="13.35" customHeight="1">
      <c r="A2125" s="82">
        <v>3</v>
      </c>
      <c r="B2125" s="83" t="s">
        <v>5245</v>
      </c>
      <c r="C2125" s="67" t="s">
        <v>5246</v>
      </c>
      <c r="D2125" s="91">
        <v>88858600</v>
      </c>
      <c r="E2125" s="76">
        <v>2825325.0000000005</v>
      </c>
      <c r="F2125" s="77" t="s">
        <v>10171</v>
      </c>
      <c r="G2125" s="22"/>
      <c r="H2125" s="22"/>
    </row>
    <row r="2126" spans="1:8" ht="13.35" customHeight="1">
      <c r="A2126" s="82">
        <v>3</v>
      </c>
      <c r="B2126" s="83" t="s">
        <v>5247</v>
      </c>
      <c r="C2126" s="67" t="s">
        <v>5248</v>
      </c>
      <c r="D2126" s="91">
        <v>88858600</v>
      </c>
      <c r="E2126" s="76">
        <v>2825325.0000000005</v>
      </c>
      <c r="F2126" s="77" t="s">
        <v>10171</v>
      </c>
      <c r="G2126" s="22"/>
      <c r="H2126" s="22"/>
    </row>
    <row r="2127" spans="1:8" ht="13.35" customHeight="1">
      <c r="A2127" s="82">
        <v>3</v>
      </c>
      <c r="B2127" s="83" t="s">
        <v>5249</v>
      </c>
      <c r="C2127" s="67" t="s">
        <v>5250</v>
      </c>
      <c r="D2127" s="91">
        <v>88858600</v>
      </c>
      <c r="E2127" s="76">
        <v>2825325.0000000005</v>
      </c>
      <c r="F2127" s="77" t="s">
        <v>10171</v>
      </c>
      <c r="G2127" s="22"/>
      <c r="H2127" s="22"/>
    </row>
    <row r="2128" spans="1:8" ht="13.35" customHeight="1">
      <c r="A2128" s="82">
        <v>3</v>
      </c>
      <c r="B2128" s="83" t="s">
        <v>5251</v>
      </c>
      <c r="C2128" s="67" t="s">
        <v>5252</v>
      </c>
      <c r="D2128" s="91">
        <v>88858600</v>
      </c>
      <c r="E2128" s="76">
        <v>2825325.0000000005</v>
      </c>
      <c r="F2128" s="77" t="s">
        <v>10171</v>
      </c>
      <c r="G2128" s="22"/>
      <c r="H2128" s="22"/>
    </row>
    <row r="2129" spans="1:8" ht="13.35" customHeight="1">
      <c r="A2129" s="82">
        <v>3</v>
      </c>
      <c r="B2129" s="83" t="s">
        <v>5253</v>
      </c>
      <c r="C2129" s="67" t="s">
        <v>5254</v>
      </c>
      <c r="D2129" s="91">
        <v>88858600</v>
      </c>
      <c r="E2129" s="76">
        <v>2825325.0000000005</v>
      </c>
      <c r="F2129" s="77" t="s">
        <v>10171</v>
      </c>
      <c r="G2129" s="22"/>
      <c r="H2129" s="22"/>
    </row>
    <row r="2130" spans="1:8" ht="13.35" customHeight="1">
      <c r="A2130" s="82">
        <v>3</v>
      </c>
      <c r="B2130" s="83" t="s">
        <v>3286</v>
      </c>
      <c r="C2130" s="67" t="s">
        <v>3287</v>
      </c>
      <c r="D2130" s="91">
        <v>13612700</v>
      </c>
      <c r="E2130" s="76">
        <v>432825.00000000006</v>
      </c>
      <c r="F2130" s="77" t="s">
        <v>10171</v>
      </c>
      <c r="G2130" s="22"/>
      <c r="H2130" s="22"/>
    </row>
    <row r="2131" spans="1:8" ht="13.35" customHeight="1">
      <c r="A2131" s="82">
        <v>3</v>
      </c>
      <c r="B2131" s="83" t="s">
        <v>3284</v>
      </c>
      <c r="C2131" s="67" t="s">
        <v>3285</v>
      </c>
      <c r="D2131" s="91">
        <v>9508400</v>
      </c>
      <c r="E2131" s="76">
        <v>302325.00000000006</v>
      </c>
      <c r="F2131" s="77" t="s">
        <v>10171</v>
      </c>
      <c r="G2131" s="22"/>
      <c r="H2131" s="22"/>
    </row>
    <row r="2132" spans="1:8" ht="13.35" customHeight="1">
      <c r="A2132" s="82">
        <v>3</v>
      </c>
      <c r="B2132" s="83" t="s">
        <v>3282</v>
      </c>
      <c r="C2132" s="67" t="s">
        <v>3283</v>
      </c>
      <c r="D2132" s="91">
        <v>8140200</v>
      </c>
      <c r="E2132" s="76">
        <v>258825.00000000003</v>
      </c>
      <c r="F2132" s="77" t="s">
        <v>10171</v>
      </c>
      <c r="G2132" s="22"/>
      <c r="H2132" s="22"/>
    </row>
    <row r="2133" spans="1:8" ht="13.35" customHeight="1">
      <c r="A2133" s="82">
        <v>3</v>
      </c>
      <c r="B2133" s="83" t="s">
        <v>1638</v>
      </c>
      <c r="C2133" s="67" t="s">
        <v>4383</v>
      </c>
      <c r="D2133" s="91">
        <v>1354400</v>
      </c>
      <c r="E2133" s="76">
        <v>43065.000000000007</v>
      </c>
      <c r="F2133" s="77" t="s">
        <v>10178</v>
      </c>
      <c r="G2133" s="22"/>
      <c r="H2133" s="22"/>
    </row>
    <row r="2134" spans="1:8" ht="13.35" customHeight="1">
      <c r="A2134" s="82">
        <v>3</v>
      </c>
      <c r="B2134" s="83" t="s">
        <v>4161</v>
      </c>
      <c r="C2134" s="67" t="s">
        <v>4162</v>
      </c>
      <c r="D2134" s="91">
        <v>7456200</v>
      </c>
      <c r="E2134" s="76">
        <v>237075.00000000003</v>
      </c>
      <c r="F2134" s="77" t="s">
        <v>10171</v>
      </c>
      <c r="G2134" s="22"/>
      <c r="H2134" s="22"/>
    </row>
    <row r="2135" spans="1:8" ht="13.35" customHeight="1">
      <c r="A2135" s="82">
        <v>3</v>
      </c>
      <c r="B2135" s="83" t="s">
        <v>4163</v>
      </c>
      <c r="C2135" s="67" t="s">
        <v>4164</v>
      </c>
      <c r="D2135" s="91">
        <v>8824300</v>
      </c>
      <c r="E2135" s="76">
        <v>280575.00000000006</v>
      </c>
      <c r="F2135" s="77" t="s">
        <v>10171</v>
      </c>
      <c r="G2135" s="22"/>
      <c r="H2135" s="22"/>
    </row>
    <row r="2136" spans="1:8" ht="13.35" customHeight="1">
      <c r="A2136" s="82">
        <v>3</v>
      </c>
      <c r="B2136" s="83" t="s">
        <v>4165</v>
      </c>
      <c r="C2136" s="67" t="s">
        <v>4166</v>
      </c>
      <c r="D2136" s="91">
        <v>13612700</v>
      </c>
      <c r="E2136" s="76">
        <v>432825.00000000006</v>
      </c>
      <c r="F2136" s="77" t="s">
        <v>10171</v>
      </c>
      <c r="G2136" s="22"/>
      <c r="H2136" s="22"/>
    </row>
    <row r="2137" spans="1:8" ht="13.35" customHeight="1">
      <c r="A2137" s="82">
        <v>3</v>
      </c>
      <c r="B2137" s="83" t="s">
        <v>4167</v>
      </c>
      <c r="C2137" s="67" t="s">
        <v>4168</v>
      </c>
      <c r="D2137" s="91">
        <v>9918800</v>
      </c>
      <c r="E2137" s="76">
        <v>315375.00000000006</v>
      </c>
      <c r="F2137" s="77" t="s">
        <v>10171</v>
      </c>
      <c r="G2137" s="22"/>
      <c r="H2137" s="22"/>
    </row>
    <row r="2138" spans="1:8" ht="13.35" customHeight="1">
      <c r="A2138" s="82">
        <v>3</v>
      </c>
      <c r="B2138" s="83" t="s">
        <v>4169</v>
      </c>
      <c r="C2138" s="67" t="s">
        <v>4170</v>
      </c>
      <c r="D2138" s="91">
        <v>11286900</v>
      </c>
      <c r="E2138" s="76">
        <v>358875.00000000006</v>
      </c>
      <c r="F2138" s="77" t="s">
        <v>10171</v>
      </c>
      <c r="G2138" s="22"/>
      <c r="H2138" s="22"/>
    </row>
    <row r="2139" spans="1:8" ht="13.35" customHeight="1">
      <c r="A2139" s="82">
        <v>3</v>
      </c>
      <c r="B2139" s="83" t="s">
        <v>4171</v>
      </c>
      <c r="C2139" s="67" t="s">
        <v>4172</v>
      </c>
      <c r="D2139" s="91">
        <v>13612700</v>
      </c>
      <c r="E2139" s="76">
        <v>432825.00000000006</v>
      </c>
      <c r="F2139" s="77" t="s">
        <v>10171</v>
      </c>
      <c r="G2139" s="22"/>
      <c r="H2139" s="22"/>
    </row>
    <row r="2140" spans="1:8" ht="13.35" customHeight="1">
      <c r="A2140" s="82">
        <v>3</v>
      </c>
      <c r="B2140" s="83" t="s">
        <v>4173</v>
      </c>
      <c r="C2140" s="67" t="s">
        <v>4174</v>
      </c>
      <c r="D2140" s="91">
        <v>7456200</v>
      </c>
      <c r="E2140" s="76">
        <v>237075.00000000003</v>
      </c>
      <c r="F2140" s="77" t="s">
        <v>10171</v>
      </c>
      <c r="G2140" s="22"/>
      <c r="H2140" s="22"/>
    </row>
    <row r="2141" spans="1:8" ht="13.35" customHeight="1">
      <c r="A2141" s="82">
        <v>3</v>
      </c>
      <c r="B2141" s="83" t="s">
        <v>4175</v>
      </c>
      <c r="C2141" s="67" t="s">
        <v>4176</v>
      </c>
      <c r="D2141" s="91">
        <v>8824300</v>
      </c>
      <c r="E2141" s="76">
        <v>280575.00000000006</v>
      </c>
      <c r="F2141" s="77" t="s">
        <v>10171</v>
      </c>
      <c r="G2141" s="22"/>
      <c r="H2141" s="22"/>
    </row>
    <row r="2142" spans="1:8" ht="13.35" customHeight="1">
      <c r="A2142" s="82">
        <v>3</v>
      </c>
      <c r="B2142" s="83" t="s">
        <v>4177</v>
      </c>
      <c r="C2142" s="67" t="s">
        <v>4178</v>
      </c>
      <c r="D2142" s="91">
        <v>13612700</v>
      </c>
      <c r="E2142" s="76">
        <v>432825.00000000006</v>
      </c>
      <c r="F2142" s="77" t="s">
        <v>10171</v>
      </c>
      <c r="G2142" s="22"/>
      <c r="H2142" s="22"/>
    </row>
    <row r="2143" spans="1:8" ht="13.35" customHeight="1">
      <c r="A2143" s="82">
        <v>3</v>
      </c>
      <c r="B2143" s="83" t="s">
        <v>4179</v>
      </c>
      <c r="C2143" s="67" t="s">
        <v>4180</v>
      </c>
      <c r="D2143" s="91">
        <v>7456200</v>
      </c>
      <c r="E2143" s="76">
        <v>237075.00000000003</v>
      </c>
      <c r="F2143" s="77" t="s">
        <v>10171</v>
      </c>
      <c r="G2143" s="22"/>
      <c r="H2143" s="22"/>
    </row>
    <row r="2144" spans="1:8" ht="13.35" customHeight="1">
      <c r="A2144" s="82">
        <v>3</v>
      </c>
      <c r="B2144" s="83" t="s">
        <v>4181</v>
      </c>
      <c r="C2144" s="67" t="s">
        <v>4182</v>
      </c>
      <c r="D2144" s="91">
        <v>8824300</v>
      </c>
      <c r="E2144" s="76">
        <v>280575.00000000006</v>
      </c>
      <c r="F2144" s="77" t="s">
        <v>10171</v>
      </c>
      <c r="G2144" s="22"/>
      <c r="H2144" s="22"/>
    </row>
    <row r="2145" spans="1:8" ht="13.35" customHeight="1">
      <c r="A2145" s="82">
        <v>3</v>
      </c>
      <c r="B2145" s="83" t="s">
        <v>4183</v>
      </c>
      <c r="C2145" s="67" t="s">
        <v>4184</v>
      </c>
      <c r="D2145" s="91">
        <v>13612700</v>
      </c>
      <c r="E2145" s="76">
        <v>432825.00000000006</v>
      </c>
      <c r="F2145" s="77" t="s">
        <v>10171</v>
      </c>
      <c r="G2145" s="22"/>
      <c r="H2145" s="22"/>
    </row>
    <row r="2146" spans="1:8" ht="13.35" customHeight="1">
      <c r="A2146" s="82">
        <v>3</v>
      </c>
      <c r="B2146" s="83" t="s">
        <v>4185</v>
      </c>
      <c r="C2146" s="67" t="s">
        <v>4186</v>
      </c>
      <c r="D2146" s="91">
        <v>9918800</v>
      </c>
      <c r="E2146" s="76">
        <v>315375.00000000006</v>
      </c>
      <c r="F2146" s="77" t="s">
        <v>10171</v>
      </c>
      <c r="G2146" s="22"/>
      <c r="H2146" s="22"/>
    </row>
    <row r="2147" spans="1:8" ht="13.35" customHeight="1">
      <c r="A2147" s="82">
        <v>3</v>
      </c>
      <c r="B2147" s="83" t="s">
        <v>4187</v>
      </c>
      <c r="C2147" s="67" t="s">
        <v>4188</v>
      </c>
      <c r="D2147" s="91">
        <v>11286900</v>
      </c>
      <c r="E2147" s="76">
        <v>358875.00000000006</v>
      </c>
      <c r="F2147" s="77" t="s">
        <v>10171</v>
      </c>
      <c r="G2147" s="22"/>
      <c r="H2147" s="22"/>
    </row>
    <row r="2148" spans="1:8" ht="13.35" customHeight="1">
      <c r="A2148" s="82">
        <v>3</v>
      </c>
      <c r="B2148" s="83" t="s">
        <v>4189</v>
      </c>
      <c r="C2148" s="67" t="s">
        <v>4190</v>
      </c>
      <c r="D2148" s="91">
        <v>13612700</v>
      </c>
      <c r="E2148" s="76">
        <v>432825.00000000006</v>
      </c>
      <c r="F2148" s="77" t="s">
        <v>10171</v>
      </c>
      <c r="G2148" s="22"/>
      <c r="H2148" s="22"/>
    </row>
    <row r="2149" spans="1:8" ht="13.35" customHeight="1">
      <c r="A2149" s="82">
        <v>3</v>
      </c>
      <c r="B2149" s="83" t="s">
        <v>4191</v>
      </c>
      <c r="C2149" s="67" t="s">
        <v>4192</v>
      </c>
      <c r="D2149" s="91">
        <v>7456200</v>
      </c>
      <c r="E2149" s="76">
        <v>237075.00000000003</v>
      </c>
      <c r="F2149" s="77" t="s">
        <v>10171</v>
      </c>
      <c r="G2149" s="22"/>
      <c r="H2149" s="22"/>
    </row>
    <row r="2150" spans="1:8" ht="13.35" customHeight="1">
      <c r="A2150" s="82">
        <v>3</v>
      </c>
      <c r="B2150" s="83" t="s">
        <v>4193</v>
      </c>
      <c r="C2150" s="67" t="s">
        <v>4194</v>
      </c>
      <c r="D2150" s="91">
        <v>8824300</v>
      </c>
      <c r="E2150" s="76">
        <v>280575.00000000006</v>
      </c>
      <c r="F2150" s="77" t="s">
        <v>10171</v>
      </c>
      <c r="G2150" s="22"/>
      <c r="H2150" s="22"/>
    </row>
    <row r="2151" spans="1:8" ht="13.35" customHeight="1">
      <c r="A2151" s="82">
        <v>3</v>
      </c>
      <c r="B2151" s="83" t="s">
        <v>4195</v>
      </c>
      <c r="C2151" s="67" t="s">
        <v>4196</v>
      </c>
      <c r="D2151" s="91">
        <v>13612700</v>
      </c>
      <c r="E2151" s="76">
        <v>432825.00000000006</v>
      </c>
      <c r="F2151" s="77" t="s">
        <v>10171</v>
      </c>
      <c r="G2151" s="22"/>
      <c r="H2151" s="22"/>
    </row>
    <row r="2152" spans="1:8" ht="13.35" customHeight="1">
      <c r="A2152" s="82">
        <v>3</v>
      </c>
      <c r="B2152" s="67" t="s">
        <v>5244</v>
      </c>
      <c r="C2152" s="67" t="s">
        <v>7735</v>
      </c>
      <c r="D2152" s="91">
        <v>68337000</v>
      </c>
      <c r="E2152" s="76">
        <v>2172825.0000000005</v>
      </c>
      <c r="F2152" s="77" t="s">
        <v>10171</v>
      </c>
      <c r="G2152" s="22"/>
      <c r="H2152" s="22"/>
    </row>
    <row r="2153" spans="1:8" ht="13.35" customHeight="1">
      <c r="A2153" s="82">
        <v>4</v>
      </c>
      <c r="B2153" s="67" t="s">
        <v>6575</v>
      </c>
      <c r="C2153" s="67" t="s">
        <v>6576</v>
      </c>
      <c r="D2153" s="91">
        <v>14433500</v>
      </c>
      <c r="E2153" s="76">
        <v>566007.5</v>
      </c>
      <c r="F2153" s="77" t="s">
        <v>10173</v>
      </c>
      <c r="G2153" s="22"/>
      <c r="H2153" s="22"/>
    </row>
    <row r="2154" spans="1:8" ht="13.35" customHeight="1">
      <c r="A2154" s="82">
        <v>4</v>
      </c>
      <c r="B2154" s="67" t="s">
        <v>6577</v>
      </c>
      <c r="C2154" s="67" t="s">
        <v>6578</v>
      </c>
      <c r="D2154" s="91">
        <v>3844400</v>
      </c>
      <c r="E2154" s="76">
        <v>150756.5</v>
      </c>
      <c r="F2154" s="77" t="s">
        <v>10173</v>
      </c>
      <c r="G2154" s="22"/>
      <c r="H2154" s="22"/>
    </row>
    <row r="2155" spans="1:8" ht="13.35" customHeight="1">
      <c r="A2155" s="82">
        <v>4</v>
      </c>
      <c r="B2155" s="67" t="s">
        <v>6579</v>
      </c>
      <c r="C2155" s="67" t="s">
        <v>6580</v>
      </c>
      <c r="D2155" s="91">
        <v>2161600</v>
      </c>
      <c r="E2155" s="76">
        <v>84767</v>
      </c>
      <c r="F2155" s="77" t="s">
        <v>10173</v>
      </c>
      <c r="G2155" s="22"/>
      <c r="H2155" s="22"/>
    </row>
    <row r="2156" spans="1:8" ht="13.35" customHeight="1">
      <c r="A2156" s="82">
        <v>4</v>
      </c>
      <c r="B2156" s="67" t="s">
        <v>6581</v>
      </c>
      <c r="C2156" s="67" t="s">
        <v>6582</v>
      </c>
      <c r="D2156" s="91">
        <v>1504900</v>
      </c>
      <c r="E2156" s="76">
        <v>59015.000000000007</v>
      </c>
      <c r="F2156" s="77" t="s">
        <v>10173</v>
      </c>
      <c r="G2156" s="22"/>
      <c r="H2156" s="22"/>
    </row>
    <row r="2157" spans="1:8" ht="13.35" customHeight="1">
      <c r="A2157" s="82">
        <v>4</v>
      </c>
      <c r="B2157" s="67" t="s">
        <v>6583</v>
      </c>
      <c r="C2157" s="67" t="s">
        <v>6584</v>
      </c>
      <c r="D2157" s="91">
        <v>725100</v>
      </c>
      <c r="E2157" s="76">
        <v>28434.5</v>
      </c>
      <c r="F2157" s="77" t="s">
        <v>10173</v>
      </c>
      <c r="G2157" s="22"/>
      <c r="H2157" s="22"/>
    </row>
    <row r="2158" spans="1:8" ht="13.35" customHeight="1">
      <c r="A2158" s="82">
        <v>4</v>
      </c>
      <c r="B2158" s="67" t="s">
        <v>6585</v>
      </c>
      <c r="C2158" s="67" t="s">
        <v>6586</v>
      </c>
      <c r="D2158" s="91">
        <v>478800</v>
      </c>
      <c r="E2158" s="76">
        <v>18777.5</v>
      </c>
      <c r="F2158" s="77" t="s">
        <v>10173</v>
      </c>
      <c r="G2158" s="22"/>
      <c r="H2158" s="22"/>
    </row>
    <row r="2159" spans="1:8" ht="13.35" customHeight="1">
      <c r="A2159" s="82">
        <v>4</v>
      </c>
      <c r="B2159" s="67" t="s">
        <v>6587</v>
      </c>
      <c r="C2159" s="67" t="s">
        <v>6588</v>
      </c>
      <c r="D2159" s="91">
        <v>301000</v>
      </c>
      <c r="E2159" s="76">
        <v>11803</v>
      </c>
      <c r="F2159" s="77" t="s">
        <v>10173</v>
      </c>
      <c r="G2159" s="22"/>
      <c r="H2159" s="22"/>
    </row>
    <row r="2160" spans="1:8" ht="13.35" customHeight="1">
      <c r="A2160" s="82">
        <v>4</v>
      </c>
      <c r="B2160" s="67" t="s">
        <v>6589</v>
      </c>
      <c r="C2160" s="67" t="s">
        <v>6590</v>
      </c>
      <c r="D2160" s="91">
        <v>205200</v>
      </c>
      <c r="E2160" s="76">
        <v>8047.5</v>
      </c>
      <c r="F2160" s="77" t="s">
        <v>10173</v>
      </c>
      <c r="G2160" s="22"/>
      <c r="H2160" s="22"/>
    </row>
    <row r="2161" spans="1:8" ht="13.35" customHeight="1">
      <c r="A2161" s="82">
        <v>4</v>
      </c>
      <c r="B2161" s="67" t="s">
        <v>6591</v>
      </c>
      <c r="C2161" s="67" t="s">
        <v>6592</v>
      </c>
      <c r="D2161" s="91">
        <v>82100</v>
      </c>
      <c r="E2161" s="76">
        <v>3218.9999999999995</v>
      </c>
      <c r="F2161" s="77" t="s">
        <v>10173</v>
      </c>
      <c r="G2161" s="22"/>
      <c r="H2161" s="22"/>
    </row>
    <row r="2162" spans="1:8" ht="13.35" customHeight="1">
      <c r="A2162" s="82">
        <v>4</v>
      </c>
      <c r="B2162" s="83" t="s">
        <v>5309</v>
      </c>
      <c r="C2162" s="67" t="s">
        <v>5310</v>
      </c>
      <c r="D2162" s="91">
        <v>96998900</v>
      </c>
      <c r="E2162" s="76">
        <v>3803785.0000000005</v>
      </c>
      <c r="F2162" s="77" t="s">
        <v>10173</v>
      </c>
      <c r="G2162" s="22"/>
      <c r="H2162" s="22"/>
    </row>
    <row r="2163" spans="1:8" ht="13.35" customHeight="1">
      <c r="A2163" s="82">
        <v>4</v>
      </c>
      <c r="B2163" s="83" t="s">
        <v>5307</v>
      </c>
      <c r="C2163" s="67" t="s">
        <v>5308</v>
      </c>
      <c r="D2163" s="91">
        <v>57255300</v>
      </c>
      <c r="E2163" s="76">
        <v>2245252.5</v>
      </c>
      <c r="F2163" s="77" t="s">
        <v>10173</v>
      </c>
      <c r="G2163" s="22"/>
      <c r="H2163" s="22"/>
    </row>
    <row r="2164" spans="1:8" ht="13.35" customHeight="1">
      <c r="A2164" s="82">
        <v>4</v>
      </c>
      <c r="B2164" s="83" t="s">
        <v>5305</v>
      </c>
      <c r="C2164" s="67" t="s">
        <v>5306</v>
      </c>
      <c r="D2164" s="91">
        <v>22642200</v>
      </c>
      <c r="E2164" s="76">
        <v>887907.5</v>
      </c>
      <c r="F2164" s="77" t="s">
        <v>10173</v>
      </c>
      <c r="G2164" s="22"/>
      <c r="H2164" s="22"/>
    </row>
    <row r="2165" spans="1:8" ht="13.35" customHeight="1">
      <c r="A2165" s="82">
        <v>4</v>
      </c>
      <c r="B2165" s="83" t="s">
        <v>5303</v>
      </c>
      <c r="C2165" s="67" t="s">
        <v>5304</v>
      </c>
      <c r="D2165" s="91">
        <v>17853800</v>
      </c>
      <c r="E2165" s="76">
        <v>700132.5</v>
      </c>
      <c r="F2165" s="77" t="s">
        <v>10173</v>
      </c>
      <c r="G2165" s="22"/>
      <c r="H2165" s="22"/>
    </row>
    <row r="2166" spans="1:8" ht="13.35" customHeight="1">
      <c r="A2166" s="82">
        <v>4</v>
      </c>
      <c r="B2166" s="83" t="s">
        <v>5301</v>
      </c>
      <c r="C2166" s="67" t="s">
        <v>5302</v>
      </c>
      <c r="D2166" s="91">
        <v>14091500</v>
      </c>
      <c r="E2166" s="76">
        <v>552595</v>
      </c>
      <c r="F2166" s="77" t="s">
        <v>10173</v>
      </c>
      <c r="G2166" s="22"/>
      <c r="H2166" s="22"/>
    </row>
    <row r="2167" spans="1:8" ht="13.35" customHeight="1">
      <c r="A2167" s="82">
        <v>4</v>
      </c>
      <c r="B2167" s="83" t="s">
        <v>6912</v>
      </c>
      <c r="C2167" s="67" t="s">
        <v>7736</v>
      </c>
      <c r="D2167" s="91">
        <v>4035900</v>
      </c>
      <c r="E2167" s="76">
        <v>158267.5</v>
      </c>
      <c r="F2167" s="77" t="s">
        <v>10173</v>
      </c>
      <c r="G2167" s="22"/>
      <c r="H2167" s="22"/>
    </row>
    <row r="2168" spans="1:8" ht="13.35" customHeight="1">
      <c r="A2168" s="82">
        <v>4</v>
      </c>
      <c r="B2168" s="83" t="s">
        <v>6913</v>
      </c>
      <c r="C2168" s="67" t="s">
        <v>7737</v>
      </c>
      <c r="D2168" s="91">
        <v>4788400</v>
      </c>
      <c r="E2168" s="76">
        <v>187775</v>
      </c>
      <c r="F2168" s="77" t="s">
        <v>10173</v>
      </c>
      <c r="G2168" s="22"/>
      <c r="H2168" s="22"/>
    </row>
    <row r="2169" spans="1:8" ht="13.35" customHeight="1">
      <c r="A2169" s="82">
        <v>4</v>
      </c>
      <c r="B2169" s="83" t="s">
        <v>6914</v>
      </c>
      <c r="C2169" s="67" t="s">
        <v>7738</v>
      </c>
      <c r="D2169" s="91">
        <v>7182600</v>
      </c>
      <c r="E2169" s="76">
        <v>281662.5</v>
      </c>
      <c r="F2169" s="77" t="s">
        <v>10173</v>
      </c>
      <c r="G2169" s="22"/>
      <c r="H2169" s="22"/>
    </row>
    <row r="2170" spans="1:8" ht="13.35" customHeight="1">
      <c r="A2170" s="82">
        <v>4</v>
      </c>
      <c r="B2170" s="83" t="s">
        <v>6915</v>
      </c>
      <c r="C2170" s="67" t="s">
        <v>7739</v>
      </c>
      <c r="D2170" s="91">
        <v>10397600</v>
      </c>
      <c r="E2170" s="76">
        <v>407740</v>
      </c>
      <c r="F2170" s="77" t="s">
        <v>10173</v>
      </c>
      <c r="G2170" s="22"/>
      <c r="H2170" s="22"/>
    </row>
    <row r="2171" spans="1:8" ht="13.35" customHeight="1">
      <c r="A2171" s="82">
        <v>4</v>
      </c>
      <c r="B2171" s="83" t="s">
        <v>6916</v>
      </c>
      <c r="C2171" s="67" t="s">
        <v>7740</v>
      </c>
      <c r="D2171" s="91">
        <v>16075300</v>
      </c>
      <c r="E2171" s="76">
        <v>630387.5</v>
      </c>
      <c r="F2171" s="77" t="s">
        <v>10173</v>
      </c>
      <c r="G2171" s="22"/>
      <c r="H2171" s="22"/>
    </row>
    <row r="2172" spans="1:8" ht="13.35" customHeight="1">
      <c r="A2172" s="82">
        <v>4</v>
      </c>
      <c r="B2172" s="83" t="s">
        <v>6917</v>
      </c>
      <c r="C2172" s="67" t="s">
        <v>7741</v>
      </c>
      <c r="D2172" s="91">
        <v>23531500</v>
      </c>
      <c r="E2172" s="76">
        <v>922780</v>
      </c>
      <c r="F2172" s="77" t="s">
        <v>10173</v>
      </c>
      <c r="G2172" s="22"/>
      <c r="H2172" s="22"/>
    </row>
    <row r="2173" spans="1:8" ht="13.35" customHeight="1">
      <c r="A2173" s="82">
        <v>4</v>
      </c>
      <c r="B2173" s="83" t="s">
        <v>6918</v>
      </c>
      <c r="C2173" s="67" t="s">
        <v>7742</v>
      </c>
      <c r="D2173" s="91">
        <v>2832000</v>
      </c>
      <c r="E2173" s="76">
        <v>111055.5</v>
      </c>
      <c r="F2173" s="77" t="s">
        <v>10173</v>
      </c>
      <c r="G2173" s="22"/>
      <c r="H2173" s="22"/>
    </row>
    <row r="2174" spans="1:8" ht="13.35" customHeight="1">
      <c r="A2174" s="82">
        <v>4</v>
      </c>
      <c r="B2174" s="83" t="s">
        <v>6919</v>
      </c>
      <c r="C2174" s="67" t="s">
        <v>7743</v>
      </c>
      <c r="D2174" s="91">
        <v>3406600</v>
      </c>
      <c r="E2174" s="76">
        <v>133588.5</v>
      </c>
      <c r="F2174" s="77" t="s">
        <v>10173</v>
      </c>
      <c r="G2174" s="22"/>
      <c r="H2174" s="22"/>
    </row>
    <row r="2175" spans="1:8" ht="13.35" customHeight="1">
      <c r="A2175" s="82">
        <v>4</v>
      </c>
      <c r="B2175" s="83" t="s">
        <v>6920</v>
      </c>
      <c r="C2175" s="67" t="s">
        <v>7744</v>
      </c>
      <c r="D2175" s="91">
        <v>5130400</v>
      </c>
      <c r="E2175" s="76">
        <v>201187.5</v>
      </c>
      <c r="F2175" s="77" t="s">
        <v>10173</v>
      </c>
      <c r="G2175" s="22"/>
      <c r="H2175" s="22"/>
    </row>
    <row r="2176" spans="1:8" ht="13.35" customHeight="1">
      <c r="A2176" s="82">
        <v>4</v>
      </c>
      <c r="B2176" s="83" t="s">
        <v>6921</v>
      </c>
      <c r="C2176" s="67" t="s">
        <v>7745</v>
      </c>
      <c r="D2176" s="91">
        <v>7387800</v>
      </c>
      <c r="E2176" s="76">
        <v>289710</v>
      </c>
      <c r="F2176" s="77" t="s">
        <v>10173</v>
      </c>
      <c r="G2176" s="22"/>
      <c r="H2176" s="22"/>
    </row>
    <row r="2177" spans="1:8" ht="13.35" customHeight="1">
      <c r="A2177" s="82">
        <v>4</v>
      </c>
      <c r="B2177" s="83" t="s">
        <v>6922</v>
      </c>
      <c r="C2177" s="67" t="s">
        <v>7746</v>
      </c>
      <c r="D2177" s="91">
        <v>11492100</v>
      </c>
      <c r="E2177" s="76">
        <v>450660</v>
      </c>
      <c r="F2177" s="77" t="s">
        <v>10173</v>
      </c>
      <c r="G2177" s="22"/>
      <c r="H2177" s="22"/>
    </row>
    <row r="2178" spans="1:8" ht="13.35" customHeight="1">
      <c r="A2178" s="82">
        <v>4</v>
      </c>
      <c r="B2178" s="83" t="s">
        <v>6923</v>
      </c>
      <c r="C2178" s="67" t="s">
        <v>7747</v>
      </c>
      <c r="D2178" s="91">
        <v>16759300</v>
      </c>
      <c r="E2178" s="76">
        <v>657212.5</v>
      </c>
      <c r="F2178" s="77" t="s">
        <v>10173</v>
      </c>
      <c r="G2178" s="22"/>
      <c r="H2178" s="22"/>
    </row>
    <row r="2179" spans="1:8" ht="13.35" customHeight="1">
      <c r="A2179" s="82">
        <v>4</v>
      </c>
      <c r="B2179" s="83" t="s">
        <v>6924</v>
      </c>
      <c r="C2179" s="67" t="s">
        <v>7748</v>
      </c>
      <c r="D2179" s="91">
        <v>1888000</v>
      </c>
      <c r="E2179" s="76">
        <v>74037</v>
      </c>
      <c r="F2179" s="77" t="s">
        <v>10173</v>
      </c>
      <c r="G2179" s="22"/>
      <c r="H2179" s="22"/>
    </row>
    <row r="2180" spans="1:8" ht="13.35" customHeight="1">
      <c r="A2180" s="82">
        <v>4</v>
      </c>
      <c r="B2180" s="83" t="s">
        <v>6925</v>
      </c>
      <c r="C2180" s="67" t="s">
        <v>7749</v>
      </c>
      <c r="D2180" s="91">
        <v>2271100</v>
      </c>
      <c r="E2180" s="76">
        <v>89059</v>
      </c>
      <c r="F2180" s="77" t="s">
        <v>10173</v>
      </c>
      <c r="G2180" s="22"/>
      <c r="H2180" s="22"/>
    </row>
    <row r="2181" spans="1:8" ht="13.35" customHeight="1">
      <c r="A2181" s="82">
        <v>4</v>
      </c>
      <c r="B2181" s="83" t="s">
        <v>6926</v>
      </c>
      <c r="C2181" s="67" t="s">
        <v>7750</v>
      </c>
      <c r="D2181" s="91">
        <v>3392900</v>
      </c>
      <c r="E2181" s="76">
        <v>133052</v>
      </c>
      <c r="F2181" s="77" t="s">
        <v>10173</v>
      </c>
      <c r="G2181" s="22"/>
      <c r="H2181" s="22"/>
    </row>
    <row r="2182" spans="1:8" ht="13.35" customHeight="1">
      <c r="A2182" s="82">
        <v>4</v>
      </c>
      <c r="B2182" s="83" t="s">
        <v>6927</v>
      </c>
      <c r="C2182" s="67" t="s">
        <v>7751</v>
      </c>
      <c r="D2182" s="91">
        <v>4993600</v>
      </c>
      <c r="E2182" s="76">
        <v>195822.50000000003</v>
      </c>
      <c r="F2182" s="77" t="s">
        <v>10173</v>
      </c>
      <c r="G2182" s="22"/>
      <c r="H2182" s="22"/>
    </row>
    <row r="2183" spans="1:8" ht="13.35" customHeight="1">
      <c r="A2183" s="82">
        <v>4</v>
      </c>
      <c r="B2183" s="83" t="s">
        <v>6928</v>
      </c>
      <c r="C2183" s="67" t="s">
        <v>7752</v>
      </c>
      <c r="D2183" s="91">
        <v>7661400</v>
      </c>
      <c r="E2183" s="76">
        <v>300440</v>
      </c>
      <c r="F2183" s="77" t="s">
        <v>10173</v>
      </c>
      <c r="G2183" s="22"/>
      <c r="H2183" s="22"/>
    </row>
    <row r="2184" spans="1:8" ht="13.35" customHeight="1">
      <c r="A2184" s="82">
        <v>4</v>
      </c>
      <c r="B2184" s="83" t="s">
        <v>6929</v>
      </c>
      <c r="C2184" s="67" t="s">
        <v>7753</v>
      </c>
      <c r="D2184" s="91">
        <v>11218500</v>
      </c>
      <c r="E2184" s="76">
        <v>439929.99999999994</v>
      </c>
      <c r="F2184" s="77" t="s">
        <v>10173</v>
      </c>
      <c r="G2184" s="22"/>
      <c r="H2184" s="22"/>
    </row>
    <row r="2185" spans="1:8" ht="13.35" customHeight="1">
      <c r="A2185" s="82">
        <v>4</v>
      </c>
      <c r="B2185" s="83" t="s">
        <v>6930</v>
      </c>
      <c r="C2185" s="67" t="s">
        <v>7754</v>
      </c>
      <c r="D2185" s="91">
        <v>1641700</v>
      </c>
      <c r="E2185" s="76">
        <v>64380</v>
      </c>
      <c r="F2185" s="77" t="s">
        <v>10173</v>
      </c>
      <c r="G2185" s="22"/>
      <c r="H2185" s="22"/>
    </row>
    <row r="2186" spans="1:8" ht="13.35" customHeight="1">
      <c r="A2186" s="82">
        <v>4</v>
      </c>
      <c r="B2186" s="83" t="s">
        <v>6931</v>
      </c>
      <c r="C2186" s="67" t="s">
        <v>7755</v>
      </c>
      <c r="D2186" s="91">
        <v>1983800</v>
      </c>
      <c r="E2186" s="76">
        <v>77792.5</v>
      </c>
      <c r="F2186" s="77" t="s">
        <v>10173</v>
      </c>
      <c r="G2186" s="22"/>
      <c r="H2186" s="22"/>
    </row>
    <row r="2187" spans="1:8" ht="13.35" customHeight="1">
      <c r="A2187" s="82">
        <v>4</v>
      </c>
      <c r="B2187" s="83" t="s">
        <v>6932</v>
      </c>
      <c r="C2187" s="67" t="s">
        <v>7756</v>
      </c>
      <c r="D2187" s="91">
        <v>2968800</v>
      </c>
      <c r="E2187" s="76">
        <v>116420.49999999999</v>
      </c>
      <c r="F2187" s="77" t="s">
        <v>10173</v>
      </c>
      <c r="G2187" s="22"/>
      <c r="H2187" s="22"/>
    </row>
    <row r="2188" spans="1:8" ht="13.35" customHeight="1">
      <c r="A2188" s="82">
        <v>4</v>
      </c>
      <c r="B2188" s="83" t="s">
        <v>6933</v>
      </c>
      <c r="C2188" s="67" t="s">
        <v>7757</v>
      </c>
      <c r="D2188" s="91">
        <v>4309500</v>
      </c>
      <c r="E2188" s="76">
        <v>168997.5</v>
      </c>
      <c r="F2188" s="77" t="s">
        <v>10173</v>
      </c>
      <c r="G2188" s="22"/>
      <c r="H2188" s="22"/>
    </row>
    <row r="2189" spans="1:8" ht="13.35" customHeight="1">
      <c r="A2189" s="82">
        <v>4</v>
      </c>
      <c r="B2189" s="83" t="s">
        <v>6934</v>
      </c>
      <c r="C2189" s="67" t="s">
        <v>7758</v>
      </c>
      <c r="D2189" s="91">
        <v>6635300</v>
      </c>
      <c r="E2189" s="76">
        <v>260202.49999999997</v>
      </c>
      <c r="F2189" s="77" t="s">
        <v>10173</v>
      </c>
      <c r="G2189" s="22"/>
      <c r="H2189" s="22"/>
    </row>
    <row r="2190" spans="1:8" ht="13.35" customHeight="1">
      <c r="A2190" s="82">
        <v>4</v>
      </c>
      <c r="B2190" s="83" t="s">
        <v>6935</v>
      </c>
      <c r="C2190" s="67" t="s">
        <v>7759</v>
      </c>
      <c r="D2190" s="91">
        <v>9782000</v>
      </c>
      <c r="E2190" s="76">
        <v>383597.5</v>
      </c>
      <c r="F2190" s="77" t="s">
        <v>10173</v>
      </c>
      <c r="G2190" s="22"/>
      <c r="H2190" s="22"/>
    </row>
    <row r="2191" spans="1:8" ht="13.35" customHeight="1">
      <c r="A2191" s="82">
        <v>4</v>
      </c>
      <c r="B2191" s="83" t="s">
        <v>6936</v>
      </c>
      <c r="C2191" s="67" t="s">
        <v>7760</v>
      </c>
      <c r="D2191" s="91">
        <v>1217600</v>
      </c>
      <c r="E2191" s="76">
        <v>47748.5</v>
      </c>
      <c r="F2191" s="77" t="s">
        <v>10173</v>
      </c>
      <c r="G2191" s="22"/>
      <c r="H2191" s="22"/>
    </row>
    <row r="2192" spans="1:8" ht="13.35" customHeight="1">
      <c r="A2192" s="82">
        <v>4</v>
      </c>
      <c r="B2192" s="83" t="s">
        <v>6937</v>
      </c>
      <c r="C2192" s="67" t="s">
        <v>7761</v>
      </c>
      <c r="D2192" s="91">
        <v>1463900</v>
      </c>
      <c r="E2192" s="76">
        <v>57405.499999999993</v>
      </c>
      <c r="F2192" s="77" t="s">
        <v>10173</v>
      </c>
      <c r="G2192" s="22"/>
      <c r="H2192" s="22"/>
    </row>
    <row r="2193" spans="1:8" ht="13.35" customHeight="1">
      <c r="A2193" s="82">
        <v>4</v>
      </c>
      <c r="B2193" s="83" t="s">
        <v>6938</v>
      </c>
      <c r="C2193" s="67" t="s">
        <v>7762</v>
      </c>
      <c r="D2193" s="91">
        <v>2189000</v>
      </c>
      <c r="E2193" s="76">
        <v>85840</v>
      </c>
      <c r="F2193" s="77" t="s">
        <v>10173</v>
      </c>
      <c r="G2193" s="22"/>
      <c r="H2193" s="22"/>
    </row>
    <row r="2194" spans="1:8" ht="13.35" customHeight="1">
      <c r="A2194" s="82">
        <v>4</v>
      </c>
      <c r="B2194" s="83" t="s">
        <v>6939</v>
      </c>
      <c r="C2194" s="67" t="s">
        <v>7763</v>
      </c>
      <c r="D2194" s="91">
        <v>3160300</v>
      </c>
      <c r="E2194" s="76">
        <v>123931.5</v>
      </c>
      <c r="F2194" s="77" t="s">
        <v>10173</v>
      </c>
      <c r="G2194" s="22"/>
      <c r="H2194" s="22"/>
    </row>
    <row r="2195" spans="1:8" ht="13.35" customHeight="1">
      <c r="A2195" s="82">
        <v>4</v>
      </c>
      <c r="B2195" s="83" t="s">
        <v>6940</v>
      </c>
      <c r="C2195" s="67" t="s">
        <v>7764</v>
      </c>
      <c r="D2195" s="91">
        <v>4925200</v>
      </c>
      <c r="E2195" s="76">
        <v>193139.99999999997</v>
      </c>
      <c r="F2195" s="77" t="s">
        <v>10173</v>
      </c>
      <c r="G2195" s="22"/>
      <c r="H2195" s="22"/>
    </row>
    <row r="2196" spans="1:8" ht="13.35" customHeight="1">
      <c r="A2196" s="82">
        <v>4</v>
      </c>
      <c r="B2196" s="83" t="s">
        <v>6941</v>
      </c>
      <c r="C2196" s="67" t="s">
        <v>7765</v>
      </c>
      <c r="D2196" s="91">
        <v>7182600</v>
      </c>
      <c r="E2196" s="76">
        <v>281662.5</v>
      </c>
      <c r="F2196" s="77" t="s">
        <v>10173</v>
      </c>
      <c r="G2196" s="22"/>
      <c r="H2196" s="22"/>
    </row>
    <row r="2197" spans="1:8" ht="13.35" customHeight="1">
      <c r="A2197" s="82">
        <v>4</v>
      </c>
      <c r="B2197" s="83" t="s">
        <v>6942</v>
      </c>
      <c r="C2197" s="67" t="s">
        <v>7766</v>
      </c>
      <c r="D2197" s="91">
        <v>834500</v>
      </c>
      <c r="E2197" s="76">
        <v>32726.5</v>
      </c>
      <c r="F2197" s="77" t="s">
        <v>10173</v>
      </c>
      <c r="G2197" s="22"/>
      <c r="H2197" s="22"/>
    </row>
    <row r="2198" spans="1:8" ht="13.35" customHeight="1">
      <c r="A2198" s="82">
        <v>4</v>
      </c>
      <c r="B2198" s="83" t="s">
        <v>6943</v>
      </c>
      <c r="C2198" s="67" t="s">
        <v>7767</v>
      </c>
      <c r="D2198" s="91">
        <v>998700</v>
      </c>
      <c r="E2198" s="76">
        <v>39164.5</v>
      </c>
      <c r="F2198" s="77" t="s">
        <v>10173</v>
      </c>
      <c r="G2198" s="22"/>
      <c r="H2198" s="22"/>
    </row>
    <row r="2199" spans="1:8" ht="13.35" customHeight="1">
      <c r="A2199" s="82">
        <v>4</v>
      </c>
      <c r="B2199" s="83" t="s">
        <v>6944</v>
      </c>
      <c r="C2199" s="67" t="s">
        <v>7768</v>
      </c>
      <c r="D2199" s="91">
        <v>1491200</v>
      </c>
      <c r="E2199" s="76">
        <v>58478.5</v>
      </c>
      <c r="F2199" s="77" t="s">
        <v>10173</v>
      </c>
      <c r="G2199" s="22"/>
      <c r="H2199" s="22"/>
    </row>
    <row r="2200" spans="1:8" ht="13.35" customHeight="1">
      <c r="A2200" s="82">
        <v>4</v>
      </c>
      <c r="B2200" s="83" t="s">
        <v>6945</v>
      </c>
      <c r="C2200" s="67" t="s">
        <v>7769</v>
      </c>
      <c r="D2200" s="91">
        <v>2161600</v>
      </c>
      <c r="E2200" s="76">
        <v>84767</v>
      </c>
      <c r="F2200" s="77" t="s">
        <v>10173</v>
      </c>
      <c r="G2200" s="22"/>
      <c r="H2200" s="22"/>
    </row>
    <row r="2201" spans="1:8" ht="13.35" customHeight="1">
      <c r="A2201" s="82">
        <v>4</v>
      </c>
      <c r="B2201" s="83" t="s">
        <v>6946</v>
      </c>
      <c r="C2201" s="67" t="s">
        <v>7770</v>
      </c>
      <c r="D2201" s="91">
        <v>3351900</v>
      </c>
      <c r="E2201" s="76">
        <v>131442.5</v>
      </c>
      <c r="F2201" s="77" t="s">
        <v>10173</v>
      </c>
      <c r="G2201" s="22"/>
      <c r="H2201" s="22"/>
    </row>
    <row r="2202" spans="1:8" ht="13.35" customHeight="1">
      <c r="A2202" s="82">
        <v>4</v>
      </c>
      <c r="B2202" s="83" t="s">
        <v>6947</v>
      </c>
      <c r="C2202" s="67" t="s">
        <v>7771</v>
      </c>
      <c r="D2202" s="91">
        <v>4925200</v>
      </c>
      <c r="E2202" s="76">
        <v>193139.99999999997</v>
      </c>
      <c r="F2202" s="77" t="s">
        <v>10173</v>
      </c>
      <c r="G2202" s="22"/>
      <c r="H2202" s="22"/>
    </row>
    <row r="2203" spans="1:8" ht="13.35" customHeight="1">
      <c r="A2203" s="82">
        <v>4</v>
      </c>
      <c r="B2203" s="83" t="s">
        <v>6948</v>
      </c>
      <c r="C2203" s="67" t="s">
        <v>7772</v>
      </c>
      <c r="D2203" s="91">
        <v>834500</v>
      </c>
      <c r="E2203" s="76">
        <v>32726.5</v>
      </c>
      <c r="F2203" s="77" t="s">
        <v>10173</v>
      </c>
      <c r="G2203" s="22"/>
      <c r="H2203" s="22"/>
    </row>
    <row r="2204" spans="1:8" ht="13.35" customHeight="1">
      <c r="A2204" s="82">
        <v>4</v>
      </c>
      <c r="B2204" s="83" t="s">
        <v>6949</v>
      </c>
      <c r="C2204" s="67" t="s">
        <v>7773</v>
      </c>
      <c r="D2204" s="91">
        <v>998700</v>
      </c>
      <c r="E2204" s="76">
        <v>39164.5</v>
      </c>
      <c r="F2204" s="77" t="s">
        <v>10173</v>
      </c>
      <c r="G2204" s="22"/>
      <c r="H2204" s="22"/>
    </row>
    <row r="2205" spans="1:8" ht="13.35" customHeight="1">
      <c r="A2205" s="82">
        <v>4</v>
      </c>
      <c r="B2205" s="83" t="s">
        <v>6950</v>
      </c>
      <c r="C2205" s="67" t="s">
        <v>7774</v>
      </c>
      <c r="D2205" s="91">
        <v>1491200</v>
      </c>
      <c r="E2205" s="76">
        <v>58478.5</v>
      </c>
      <c r="F2205" s="77" t="s">
        <v>10173</v>
      </c>
      <c r="G2205" s="22"/>
      <c r="H2205" s="22"/>
    </row>
    <row r="2206" spans="1:8" ht="13.35" customHeight="1">
      <c r="A2206" s="82">
        <v>4</v>
      </c>
      <c r="B2206" s="83" t="s">
        <v>6951</v>
      </c>
      <c r="C2206" s="67" t="s">
        <v>7775</v>
      </c>
      <c r="D2206" s="91">
        <v>2161600</v>
      </c>
      <c r="E2206" s="76">
        <v>84767</v>
      </c>
      <c r="F2206" s="77" t="s">
        <v>10173</v>
      </c>
      <c r="G2206" s="22"/>
      <c r="H2206" s="22"/>
    </row>
    <row r="2207" spans="1:8" ht="13.35" customHeight="1">
      <c r="A2207" s="82">
        <v>4</v>
      </c>
      <c r="B2207" s="83" t="s">
        <v>6952</v>
      </c>
      <c r="C2207" s="67" t="s">
        <v>7776</v>
      </c>
      <c r="D2207" s="91">
        <v>3351900</v>
      </c>
      <c r="E2207" s="76">
        <v>131442.5</v>
      </c>
      <c r="F2207" s="77" t="s">
        <v>10173</v>
      </c>
      <c r="G2207" s="22"/>
      <c r="H2207" s="22"/>
    </row>
    <row r="2208" spans="1:8" ht="13.35" customHeight="1">
      <c r="A2208" s="82">
        <v>4</v>
      </c>
      <c r="B2208" s="83" t="s">
        <v>6953</v>
      </c>
      <c r="C2208" s="67" t="s">
        <v>7777</v>
      </c>
      <c r="D2208" s="91">
        <v>4925200</v>
      </c>
      <c r="E2208" s="76">
        <v>193139.99999999997</v>
      </c>
      <c r="F2208" s="77" t="s">
        <v>10173</v>
      </c>
      <c r="G2208" s="22"/>
      <c r="H2208" s="22"/>
    </row>
    <row r="2209" spans="1:8" ht="13.35" customHeight="1">
      <c r="A2209" s="82">
        <v>4</v>
      </c>
      <c r="B2209" s="83" t="s">
        <v>6954</v>
      </c>
      <c r="C2209" s="67" t="s">
        <v>7778</v>
      </c>
      <c r="D2209" s="91">
        <v>588300</v>
      </c>
      <c r="E2209" s="76">
        <v>23069.5</v>
      </c>
      <c r="F2209" s="77" t="s">
        <v>10173</v>
      </c>
      <c r="G2209" s="22"/>
      <c r="H2209" s="22"/>
    </row>
    <row r="2210" spans="1:8" ht="13.35" customHeight="1">
      <c r="A2210" s="82">
        <v>4</v>
      </c>
      <c r="B2210" s="83" t="s">
        <v>6955</v>
      </c>
      <c r="C2210" s="67" t="s">
        <v>7779</v>
      </c>
      <c r="D2210" s="91">
        <v>711400</v>
      </c>
      <c r="E2210" s="76">
        <v>27897.999999999996</v>
      </c>
      <c r="F2210" s="77" t="s">
        <v>10173</v>
      </c>
      <c r="G2210" s="22"/>
      <c r="H2210" s="22"/>
    </row>
    <row r="2211" spans="1:8" ht="13.35" customHeight="1">
      <c r="A2211" s="82">
        <v>4</v>
      </c>
      <c r="B2211" s="83" t="s">
        <v>6956</v>
      </c>
      <c r="C2211" s="67" t="s">
        <v>7780</v>
      </c>
      <c r="D2211" s="91">
        <v>1067100</v>
      </c>
      <c r="E2211" s="76">
        <v>41847</v>
      </c>
      <c r="F2211" s="77" t="s">
        <v>10173</v>
      </c>
      <c r="G2211" s="22"/>
      <c r="H2211" s="22"/>
    </row>
    <row r="2212" spans="1:8" ht="13.35" customHeight="1">
      <c r="A2212" s="82">
        <v>4</v>
      </c>
      <c r="B2212" s="83" t="s">
        <v>6957</v>
      </c>
      <c r="C2212" s="67" t="s">
        <v>7781</v>
      </c>
      <c r="D2212" s="91">
        <v>1532300</v>
      </c>
      <c r="E2212" s="76">
        <v>60088</v>
      </c>
      <c r="F2212" s="77" t="s">
        <v>10173</v>
      </c>
      <c r="G2212" s="22"/>
      <c r="H2212" s="22"/>
    </row>
    <row r="2213" spans="1:8" ht="13.35" customHeight="1">
      <c r="A2213" s="82">
        <v>4</v>
      </c>
      <c r="B2213" s="83" t="s">
        <v>6958</v>
      </c>
      <c r="C2213" s="67" t="s">
        <v>7782</v>
      </c>
      <c r="D2213" s="91">
        <v>2380500</v>
      </c>
      <c r="E2213" s="76">
        <v>93351</v>
      </c>
      <c r="F2213" s="77" t="s">
        <v>10173</v>
      </c>
      <c r="G2213" s="22"/>
      <c r="H2213" s="22"/>
    </row>
    <row r="2214" spans="1:8" ht="13.35" customHeight="1">
      <c r="A2214" s="82">
        <v>4</v>
      </c>
      <c r="B2214" s="83" t="s">
        <v>6959</v>
      </c>
      <c r="C2214" s="67" t="s">
        <v>7783</v>
      </c>
      <c r="D2214" s="91">
        <v>3475000</v>
      </c>
      <c r="E2214" s="76">
        <v>136271</v>
      </c>
      <c r="F2214" s="77" t="s">
        <v>10173</v>
      </c>
      <c r="G2214" s="22"/>
      <c r="H2214" s="22"/>
    </row>
    <row r="2215" spans="1:8" ht="13.35" customHeight="1">
      <c r="A2215" s="82">
        <v>4</v>
      </c>
      <c r="B2215" s="83" t="s">
        <v>6960</v>
      </c>
      <c r="C2215" s="67" t="s">
        <v>7784</v>
      </c>
      <c r="D2215" s="91">
        <v>410400</v>
      </c>
      <c r="E2215" s="76">
        <v>16095</v>
      </c>
      <c r="F2215" s="77" t="s">
        <v>10173</v>
      </c>
      <c r="G2215" s="22"/>
      <c r="H2215" s="22"/>
    </row>
    <row r="2216" spans="1:8" ht="13.35" customHeight="1">
      <c r="A2216" s="82">
        <v>4</v>
      </c>
      <c r="B2216" s="83" t="s">
        <v>6961</v>
      </c>
      <c r="C2216" s="67" t="s">
        <v>7785</v>
      </c>
      <c r="D2216" s="91">
        <v>478800</v>
      </c>
      <c r="E2216" s="76">
        <v>18777.5</v>
      </c>
      <c r="F2216" s="77" t="s">
        <v>10173</v>
      </c>
      <c r="G2216" s="22"/>
      <c r="H2216" s="22"/>
    </row>
    <row r="2217" spans="1:8" ht="13.35" customHeight="1">
      <c r="A2217" s="82">
        <v>4</v>
      </c>
      <c r="B2217" s="83" t="s">
        <v>6962</v>
      </c>
      <c r="C2217" s="67" t="s">
        <v>7786</v>
      </c>
      <c r="D2217" s="91">
        <v>711400</v>
      </c>
      <c r="E2217" s="76">
        <v>27897.999999999996</v>
      </c>
      <c r="F2217" s="77" t="s">
        <v>10173</v>
      </c>
      <c r="G2217" s="22"/>
      <c r="H2217" s="22"/>
    </row>
    <row r="2218" spans="1:8" ht="13.35" customHeight="1">
      <c r="A2218" s="82">
        <v>4</v>
      </c>
      <c r="B2218" s="83" t="s">
        <v>6963</v>
      </c>
      <c r="C2218" s="67" t="s">
        <v>7787</v>
      </c>
      <c r="D2218" s="91">
        <v>1039800</v>
      </c>
      <c r="E2218" s="76">
        <v>40774</v>
      </c>
      <c r="F2218" s="77" t="s">
        <v>10173</v>
      </c>
      <c r="G2218" s="22"/>
      <c r="H2218" s="22"/>
    </row>
    <row r="2219" spans="1:8" ht="13.35" customHeight="1">
      <c r="A2219" s="82">
        <v>4</v>
      </c>
      <c r="B2219" s="83" t="s">
        <v>6964</v>
      </c>
      <c r="C2219" s="67" t="s">
        <v>7788</v>
      </c>
      <c r="D2219" s="91">
        <v>1600700</v>
      </c>
      <c r="E2219" s="76">
        <v>62770.5</v>
      </c>
      <c r="F2219" s="77" t="s">
        <v>10173</v>
      </c>
      <c r="G2219" s="22"/>
      <c r="H2219" s="22"/>
    </row>
    <row r="2220" spans="1:8" ht="13.35" customHeight="1">
      <c r="A2220" s="82">
        <v>4</v>
      </c>
      <c r="B2220" s="83" t="s">
        <v>6965</v>
      </c>
      <c r="C2220" s="67" t="s">
        <v>7789</v>
      </c>
      <c r="D2220" s="91">
        <v>2353100</v>
      </c>
      <c r="E2220" s="76">
        <v>92278</v>
      </c>
      <c r="F2220" s="77" t="s">
        <v>10173</v>
      </c>
      <c r="G2220" s="22"/>
      <c r="H2220" s="22"/>
    </row>
    <row r="2221" spans="1:8" ht="13.35" customHeight="1">
      <c r="A2221" s="82">
        <v>4</v>
      </c>
      <c r="B2221" s="83" t="s">
        <v>6966</v>
      </c>
      <c r="C2221" s="67" t="s">
        <v>7790</v>
      </c>
      <c r="D2221" s="91">
        <v>4856800</v>
      </c>
      <c r="E2221" s="76">
        <v>190457.5</v>
      </c>
      <c r="F2221" s="77" t="s">
        <v>10173</v>
      </c>
      <c r="G2221" s="22"/>
      <c r="H2221" s="22"/>
    </row>
    <row r="2222" spans="1:8" ht="13.35" customHeight="1">
      <c r="A2222" s="82">
        <v>4</v>
      </c>
      <c r="B2222" s="83" t="s">
        <v>6967</v>
      </c>
      <c r="C2222" s="67" t="s">
        <v>7791</v>
      </c>
      <c r="D2222" s="91">
        <v>5814500</v>
      </c>
      <c r="E2222" s="76">
        <v>228012.5</v>
      </c>
      <c r="F2222" s="77" t="s">
        <v>10173</v>
      </c>
      <c r="G2222" s="22"/>
      <c r="H2222" s="22"/>
    </row>
    <row r="2223" spans="1:8" ht="13.35" customHeight="1">
      <c r="A2223" s="82">
        <v>4</v>
      </c>
      <c r="B2223" s="83" t="s">
        <v>6968</v>
      </c>
      <c r="C2223" s="67" t="s">
        <v>7792</v>
      </c>
      <c r="D2223" s="91">
        <v>8687500</v>
      </c>
      <c r="E2223" s="76">
        <v>340677.5</v>
      </c>
      <c r="F2223" s="77" t="s">
        <v>10173</v>
      </c>
      <c r="G2223" s="22"/>
      <c r="H2223" s="22"/>
    </row>
    <row r="2224" spans="1:8" ht="13.35" customHeight="1">
      <c r="A2224" s="82">
        <v>4</v>
      </c>
      <c r="B2224" s="83" t="s">
        <v>6969</v>
      </c>
      <c r="C2224" s="67" t="s">
        <v>7793</v>
      </c>
      <c r="D2224" s="91">
        <v>12586600</v>
      </c>
      <c r="E2224" s="76">
        <v>493579.99999999994</v>
      </c>
      <c r="F2224" s="77" t="s">
        <v>10173</v>
      </c>
      <c r="G2224" s="22"/>
      <c r="H2224" s="22"/>
    </row>
    <row r="2225" spans="1:8" ht="13.35" customHeight="1">
      <c r="A2225" s="82">
        <v>4</v>
      </c>
      <c r="B2225" s="83" t="s">
        <v>6970</v>
      </c>
      <c r="C2225" s="67" t="s">
        <v>7794</v>
      </c>
      <c r="D2225" s="91">
        <v>19427100</v>
      </c>
      <c r="E2225" s="76">
        <v>761830</v>
      </c>
      <c r="F2225" s="77" t="s">
        <v>10173</v>
      </c>
      <c r="G2225" s="22"/>
      <c r="H2225" s="22"/>
    </row>
    <row r="2226" spans="1:8" ht="13.35" customHeight="1">
      <c r="A2226" s="82">
        <v>4</v>
      </c>
      <c r="B2226" s="83" t="s">
        <v>6971</v>
      </c>
      <c r="C2226" s="67" t="s">
        <v>7795</v>
      </c>
      <c r="D2226" s="91">
        <v>28456600</v>
      </c>
      <c r="E2226" s="76">
        <v>1115920</v>
      </c>
      <c r="F2226" s="77" t="s">
        <v>10173</v>
      </c>
      <c r="G2226" s="22"/>
      <c r="H2226" s="22"/>
    </row>
    <row r="2227" spans="1:8" ht="13.35" customHeight="1">
      <c r="A2227" s="82">
        <v>4</v>
      </c>
      <c r="B2227" s="83" t="s">
        <v>6972</v>
      </c>
      <c r="C2227" s="67" t="s">
        <v>7796</v>
      </c>
      <c r="D2227" s="91">
        <v>3406600</v>
      </c>
      <c r="E2227" s="76">
        <v>133588.5</v>
      </c>
      <c r="F2227" s="77" t="s">
        <v>10173</v>
      </c>
      <c r="G2227" s="22"/>
      <c r="H2227" s="22"/>
    </row>
    <row r="2228" spans="1:8" ht="13.35" customHeight="1">
      <c r="A2228" s="82">
        <v>4</v>
      </c>
      <c r="B2228" s="83" t="s">
        <v>6973</v>
      </c>
      <c r="C2228" s="67" t="s">
        <v>7797</v>
      </c>
      <c r="D2228" s="91">
        <v>4172700</v>
      </c>
      <c r="E2228" s="76">
        <v>163632.5</v>
      </c>
      <c r="F2228" s="77" t="s">
        <v>10173</v>
      </c>
      <c r="G2228" s="22"/>
      <c r="H2228" s="22"/>
    </row>
    <row r="2229" spans="1:8" ht="13.35" customHeight="1">
      <c r="A2229" s="82">
        <v>4</v>
      </c>
      <c r="B2229" s="83" t="s">
        <v>6974</v>
      </c>
      <c r="C2229" s="67" t="s">
        <v>7798</v>
      </c>
      <c r="D2229" s="91">
        <v>6156500</v>
      </c>
      <c r="E2229" s="76">
        <v>241425</v>
      </c>
      <c r="F2229" s="77" t="s">
        <v>10173</v>
      </c>
      <c r="G2229" s="22"/>
      <c r="H2229" s="22"/>
    </row>
    <row r="2230" spans="1:8" ht="13.35" customHeight="1">
      <c r="A2230" s="82">
        <v>4</v>
      </c>
      <c r="B2230" s="83" t="s">
        <v>6975</v>
      </c>
      <c r="C2230" s="67" t="s">
        <v>7799</v>
      </c>
      <c r="D2230" s="91">
        <v>8961100</v>
      </c>
      <c r="E2230" s="76">
        <v>351407.5</v>
      </c>
      <c r="F2230" s="77" t="s">
        <v>10173</v>
      </c>
      <c r="G2230" s="22"/>
      <c r="H2230" s="22"/>
    </row>
    <row r="2231" spans="1:8" ht="13.35" customHeight="1">
      <c r="A2231" s="82">
        <v>4</v>
      </c>
      <c r="B2231" s="83" t="s">
        <v>6976</v>
      </c>
      <c r="C2231" s="67" t="s">
        <v>7800</v>
      </c>
      <c r="D2231" s="91">
        <v>13817900</v>
      </c>
      <c r="E2231" s="76">
        <v>541865</v>
      </c>
      <c r="F2231" s="77" t="s">
        <v>10173</v>
      </c>
      <c r="G2231" s="22"/>
      <c r="H2231" s="22"/>
    </row>
    <row r="2232" spans="1:8" ht="13.35" customHeight="1">
      <c r="A2232" s="82">
        <v>4</v>
      </c>
      <c r="B2232" s="83" t="s">
        <v>6977</v>
      </c>
      <c r="C2232" s="67" t="s">
        <v>7801</v>
      </c>
      <c r="D2232" s="91">
        <v>20248000</v>
      </c>
      <c r="E2232" s="76">
        <v>794020</v>
      </c>
      <c r="F2232" s="77" t="s">
        <v>10173</v>
      </c>
      <c r="G2232" s="22"/>
      <c r="H2232" s="22"/>
    </row>
    <row r="2233" spans="1:8" ht="13.35" customHeight="1">
      <c r="A2233" s="82">
        <v>4</v>
      </c>
      <c r="B2233" s="83" t="s">
        <v>6978</v>
      </c>
      <c r="C2233" s="67" t="s">
        <v>7802</v>
      </c>
      <c r="D2233" s="91">
        <v>2284700</v>
      </c>
      <c r="E2233" s="76">
        <v>89595.5</v>
      </c>
      <c r="F2233" s="77" t="s">
        <v>10173</v>
      </c>
      <c r="G2233" s="22"/>
      <c r="H2233" s="22"/>
    </row>
    <row r="2234" spans="1:8" ht="13.35" customHeight="1">
      <c r="A2234" s="82">
        <v>4</v>
      </c>
      <c r="B2234" s="83" t="s">
        <v>6979</v>
      </c>
      <c r="C2234" s="67" t="s">
        <v>7803</v>
      </c>
      <c r="D2234" s="91">
        <v>2749900</v>
      </c>
      <c r="E2234" s="76">
        <v>107836.5</v>
      </c>
      <c r="F2234" s="77" t="s">
        <v>10173</v>
      </c>
      <c r="G2234" s="22"/>
      <c r="H2234" s="22"/>
    </row>
    <row r="2235" spans="1:8" ht="13.35" customHeight="1">
      <c r="A2235" s="82">
        <v>4</v>
      </c>
      <c r="B2235" s="83" t="s">
        <v>6980</v>
      </c>
      <c r="C2235" s="67" t="s">
        <v>7804</v>
      </c>
      <c r="D2235" s="91">
        <v>4104300</v>
      </c>
      <c r="E2235" s="76">
        <v>160950</v>
      </c>
      <c r="F2235" s="77" t="s">
        <v>10173</v>
      </c>
      <c r="G2235" s="22"/>
      <c r="H2235" s="22"/>
    </row>
    <row r="2236" spans="1:8" ht="13.35" customHeight="1">
      <c r="A2236" s="82">
        <v>4</v>
      </c>
      <c r="B2236" s="83" t="s">
        <v>6981</v>
      </c>
      <c r="C2236" s="67" t="s">
        <v>7805</v>
      </c>
      <c r="D2236" s="91">
        <v>6019700</v>
      </c>
      <c r="E2236" s="76">
        <v>236060.00000000003</v>
      </c>
      <c r="F2236" s="77" t="s">
        <v>10173</v>
      </c>
      <c r="G2236" s="22"/>
      <c r="H2236" s="22"/>
    </row>
    <row r="2237" spans="1:8" ht="13.35" customHeight="1">
      <c r="A2237" s="82">
        <v>4</v>
      </c>
      <c r="B2237" s="83" t="s">
        <v>6982</v>
      </c>
      <c r="C2237" s="67" t="s">
        <v>7806</v>
      </c>
      <c r="D2237" s="91">
        <v>9234700</v>
      </c>
      <c r="E2237" s="76">
        <v>362137.5</v>
      </c>
      <c r="F2237" s="77" t="s">
        <v>10173</v>
      </c>
      <c r="G2237" s="22"/>
      <c r="H2237" s="22"/>
    </row>
    <row r="2238" spans="1:8" ht="13.35" customHeight="1">
      <c r="A2238" s="82">
        <v>4</v>
      </c>
      <c r="B2238" s="83" t="s">
        <v>6983</v>
      </c>
      <c r="C2238" s="67" t="s">
        <v>7807</v>
      </c>
      <c r="D2238" s="91">
        <v>13544300</v>
      </c>
      <c r="E2238" s="76">
        <v>531135</v>
      </c>
      <c r="F2238" s="77" t="s">
        <v>10173</v>
      </c>
      <c r="G2238" s="22"/>
      <c r="H2238" s="22"/>
    </row>
    <row r="2239" spans="1:8" ht="13.35" customHeight="1">
      <c r="A2239" s="82">
        <v>4</v>
      </c>
      <c r="B2239" s="83" t="s">
        <v>5791</v>
      </c>
      <c r="C2239" s="67" t="s">
        <v>7808</v>
      </c>
      <c r="D2239" s="91">
        <v>6908900</v>
      </c>
      <c r="E2239" s="76">
        <v>270932.5</v>
      </c>
      <c r="F2239" s="77" t="s">
        <v>10173</v>
      </c>
      <c r="G2239" s="22"/>
      <c r="H2239" s="22"/>
    </row>
    <row r="2240" spans="1:8" ht="13.35" customHeight="1">
      <c r="A2240" s="82">
        <v>4</v>
      </c>
      <c r="B2240" s="83" t="s">
        <v>5774</v>
      </c>
      <c r="C2240" s="67" t="s">
        <v>7809</v>
      </c>
      <c r="D2240" s="91">
        <v>82100</v>
      </c>
      <c r="E2240" s="76">
        <v>3218.9999999999995</v>
      </c>
      <c r="F2240" s="77" t="s">
        <v>10173</v>
      </c>
      <c r="G2240" s="22"/>
      <c r="H2240" s="22"/>
    </row>
    <row r="2241" spans="1:8" ht="13.35" customHeight="1">
      <c r="A2241" s="82">
        <v>4</v>
      </c>
      <c r="B2241" s="83" t="s">
        <v>6984</v>
      </c>
      <c r="C2241" s="67" t="s">
        <v>7810</v>
      </c>
      <c r="D2241" s="91">
        <v>793500</v>
      </c>
      <c r="E2241" s="76">
        <v>31117</v>
      </c>
      <c r="F2241" s="77" t="s">
        <v>10173</v>
      </c>
      <c r="G2241" s="22"/>
      <c r="H2241" s="22"/>
    </row>
    <row r="2242" spans="1:8" ht="13.35" customHeight="1">
      <c r="A2242" s="82">
        <v>4</v>
      </c>
      <c r="B2242" s="83" t="s">
        <v>6985</v>
      </c>
      <c r="C2242" s="67" t="s">
        <v>7811</v>
      </c>
      <c r="D2242" s="91">
        <v>574600</v>
      </c>
      <c r="E2242" s="76">
        <v>22533</v>
      </c>
      <c r="F2242" s="77" t="s">
        <v>10173</v>
      </c>
      <c r="G2242" s="22"/>
      <c r="H2242" s="22"/>
    </row>
    <row r="2243" spans="1:8" ht="13.35" customHeight="1">
      <c r="A2243" s="82">
        <v>4</v>
      </c>
      <c r="B2243" s="83" t="s">
        <v>6986</v>
      </c>
      <c r="C2243" s="67" t="s">
        <v>7812</v>
      </c>
      <c r="D2243" s="91">
        <v>437800</v>
      </c>
      <c r="E2243" s="76">
        <v>17168</v>
      </c>
      <c r="F2243" s="77" t="s">
        <v>10173</v>
      </c>
      <c r="G2243" s="22"/>
      <c r="H2243" s="22"/>
    </row>
    <row r="2244" spans="1:8" ht="13.35" customHeight="1">
      <c r="A2244" s="82">
        <v>4</v>
      </c>
      <c r="B2244" s="83" t="s">
        <v>6987</v>
      </c>
      <c r="C2244" s="67" t="s">
        <v>7813</v>
      </c>
      <c r="D2244" s="91">
        <v>342000</v>
      </c>
      <c r="E2244" s="76">
        <v>13412.5</v>
      </c>
      <c r="F2244" s="77" t="s">
        <v>10173</v>
      </c>
      <c r="G2244" s="22"/>
      <c r="H2244" s="22"/>
    </row>
    <row r="2245" spans="1:8" ht="13.35" customHeight="1">
      <c r="A2245" s="82">
        <v>4</v>
      </c>
      <c r="B2245" s="83" t="s">
        <v>6988</v>
      </c>
      <c r="C2245" s="67" t="s">
        <v>7814</v>
      </c>
      <c r="D2245" s="91">
        <v>301000</v>
      </c>
      <c r="E2245" s="76">
        <v>11803</v>
      </c>
      <c r="F2245" s="77" t="s">
        <v>10173</v>
      </c>
      <c r="G2245" s="22"/>
      <c r="H2245" s="22"/>
    </row>
    <row r="2246" spans="1:8" ht="13.35" customHeight="1">
      <c r="A2246" s="82">
        <v>4</v>
      </c>
      <c r="B2246" s="83" t="s">
        <v>6989</v>
      </c>
      <c r="C2246" s="67" t="s">
        <v>7815</v>
      </c>
      <c r="D2246" s="91">
        <v>232600</v>
      </c>
      <c r="E2246" s="76">
        <v>9120.5</v>
      </c>
      <c r="F2246" s="77" t="s">
        <v>10173</v>
      </c>
      <c r="G2246" s="22"/>
      <c r="H2246" s="22"/>
    </row>
    <row r="2247" spans="1:8" ht="13.35" customHeight="1">
      <c r="A2247" s="82">
        <v>4</v>
      </c>
      <c r="B2247" s="83" t="s">
        <v>5735</v>
      </c>
      <c r="C2247" s="67" t="s">
        <v>7816</v>
      </c>
      <c r="D2247" s="91">
        <v>985000</v>
      </c>
      <c r="E2247" s="76">
        <v>38628</v>
      </c>
      <c r="F2247" s="77" t="s">
        <v>10173</v>
      </c>
      <c r="G2247" s="22"/>
      <c r="H2247" s="22"/>
    </row>
    <row r="2248" spans="1:8" ht="13.35" customHeight="1">
      <c r="A2248" s="82">
        <v>4</v>
      </c>
      <c r="B2248" s="83" t="s">
        <v>5736</v>
      </c>
      <c r="C2248" s="67" t="s">
        <v>7817</v>
      </c>
      <c r="D2248" s="91">
        <v>711400</v>
      </c>
      <c r="E2248" s="76">
        <v>27897.999999999996</v>
      </c>
      <c r="F2248" s="77" t="s">
        <v>10173</v>
      </c>
      <c r="G2248" s="22"/>
      <c r="H2248" s="22"/>
    </row>
    <row r="2249" spans="1:8" ht="13.35" customHeight="1">
      <c r="A2249" s="82">
        <v>4</v>
      </c>
      <c r="B2249" s="83" t="s">
        <v>5737</v>
      </c>
      <c r="C2249" s="67" t="s">
        <v>7818</v>
      </c>
      <c r="D2249" s="91">
        <v>478800</v>
      </c>
      <c r="E2249" s="76">
        <v>18777.5</v>
      </c>
      <c r="F2249" s="77" t="s">
        <v>10173</v>
      </c>
      <c r="G2249" s="22"/>
      <c r="H2249" s="22"/>
    </row>
    <row r="2250" spans="1:8" ht="13.35" customHeight="1">
      <c r="A2250" s="82">
        <v>4</v>
      </c>
      <c r="B2250" s="83" t="s">
        <v>5738</v>
      </c>
      <c r="C2250" s="67" t="s">
        <v>7819</v>
      </c>
      <c r="D2250" s="91">
        <v>519900</v>
      </c>
      <c r="E2250" s="76">
        <v>20387</v>
      </c>
      <c r="F2250" s="77" t="s">
        <v>10173</v>
      </c>
      <c r="G2250" s="22"/>
      <c r="H2250" s="22"/>
    </row>
    <row r="2251" spans="1:8" ht="13.35" customHeight="1">
      <c r="A2251" s="82">
        <v>4</v>
      </c>
      <c r="B2251" s="83" t="s">
        <v>5739</v>
      </c>
      <c r="C2251" s="67" t="s">
        <v>7820</v>
      </c>
      <c r="D2251" s="91">
        <v>369400</v>
      </c>
      <c r="E2251" s="76">
        <v>14485.5</v>
      </c>
      <c r="F2251" s="77" t="s">
        <v>10173</v>
      </c>
      <c r="G2251" s="22"/>
      <c r="H2251" s="22"/>
    </row>
    <row r="2252" spans="1:8" ht="13.35" customHeight="1">
      <c r="A2252" s="82">
        <v>4</v>
      </c>
      <c r="B2252" s="83" t="s">
        <v>5740</v>
      </c>
      <c r="C2252" s="67" t="s">
        <v>7821</v>
      </c>
      <c r="D2252" s="91">
        <v>259900</v>
      </c>
      <c r="E2252" s="76">
        <v>10193.5</v>
      </c>
      <c r="F2252" s="77" t="s">
        <v>10173</v>
      </c>
      <c r="G2252" s="22"/>
      <c r="H2252" s="22"/>
    </row>
    <row r="2253" spans="1:8" ht="13.35" customHeight="1">
      <c r="A2253" s="82">
        <v>4</v>
      </c>
      <c r="B2253" s="83" t="s">
        <v>5741</v>
      </c>
      <c r="C2253" s="67" t="s">
        <v>7822</v>
      </c>
      <c r="D2253" s="91">
        <v>1436500</v>
      </c>
      <c r="E2253" s="76">
        <v>56332.5</v>
      </c>
      <c r="F2253" s="77" t="s">
        <v>10173</v>
      </c>
      <c r="G2253" s="22"/>
      <c r="H2253" s="22"/>
    </row>
    <row r="2254" spans="1:8" ht="13.35" customHeight="1">
      <c r="A2254" s="82">
        <v>4</v>
      </c>
      <c r="B2254" s="83" t="s">
        <v>5742</v>
      </c>
      <c r="C2254" s="67" t="s">
        <v>7823</v>
      </c>
      <c r="D2254" s="91">
        <v>1039800</v>
      </c>
      <c r="E2254" s="76">
        <v>40774</v>
      </c>
      <c r="F2254" s="77" t="s">
        <v>10173</v>
      </c>
      <c r="G2254" s="22"/>
      <c r="H2254" s="22"/>
    </row>
    <row r="2255" spans="1:8" ht="13.35" customHeight="1">
      <c r="A2255" s="82">
        <v>4</v>
      </c>
      <c r="B2255" s="83" t="s">
        <v>5743</v>
      </c>
      <c r="C2255" s="67" t="s">
        <v>7824</v>
      </c>
      <c r="D2255" s="91">
        <v>711400</v>
      </c>
      <c r="E2255" s="76">
        <v>27897.999999999996</v>
      </c>
      <c r="F2255" s="77" t="s">
        <v>10173</v>
      </c>
      <c r="G2255" s="22"/>
      <c r="H2255" s="22"/>
    </row>
    <row r="2256" spans="1:8" ht="13.35" customHeight="1">
      <c r="A2256" s="82">
        <v>4</v>
      </c>
      <c r="B2256" s="83" t="s">
        <v>5744</v>
      </c>
      <c r="C2256" s="67" t="s">
        <v>7825</v>
      </c>
      <c r="D2256" s="91">
        <v>684100</v>
      </c>
      <c r="E2256" s="76">
        <v>26825</v>
      </c>
      <c r="F2256" s="77" t="s">
        <v>10173</v>
      </c>
      <c r="G2256" s="22"/>
      <c r="H2256" s="22"/>
    </row>
    <row r="2257" spans="1:8" ht="13.35" customHeight="1">
      <c r="A2257" s="82">
        <v>4</v>
      </c>
      <c r="B2257" s="83" t="s">
        <v>5745</v>
      </c>
      <c r="C2257" s="67" t="s">
        <v>7826</v>
      </c>
      <c r="D2257" s="91">
        <v>492500</v>
      </c>
      <c r="E2257" s="76">
        <v>19314</v>
      </c>
      <c r="F2257" s="77" t="s">
        <v>10173</v>
      </c>
      <c r="G2257" s="22"/>
      <c r="H2257" s="22"/>
    </row>
    <row r="2258" spans="1:8" ht="13.35" customHeight="1">
      <c r="A2258" s="82">
        <v>4</v>
      </c>
      <c r="B2258" s="83" t="s">
        <v>5746</v>
      </c>
      <c r="C2258" s="67" t="s">
        <v>7827</v>
      </c>
      <c r="D2258" s="91">
        <v>342000</v>
      </c>
      <c r="E2258" s="76">
        <v>13412.5</v>
      </c>
      <c r="F2258" s="77" t="s">
        <v>10173</v>
      </c>
      <c r="G2258" s="22"/>
      <c r="H2258" s="22"/>
    </row>
    <row r="2259" spans="1:8" ht="13.35" customHeight="1">
      <c r="A2259" s="82">
        <v>4</v>
      </c>
      <c r="B2259" s="83" t="s">
        <v>5747</v>
      </c>
      <c r="C2259" s="67" t="s">
        <v>7828</v>
      </c>
      <c r="D2259" s="91">
        <v>1805900</v>
      </c>
      <c r="E2259" s="76">
        <v>70818</v>
      </c>
      <c r="F2259" s="77" t="s">
        <v>10173</v>
      </c>
      <c r="G2259" s="22"/>
      <c r="H2259" s="22"/>
    </row>
    <row r="2260" spans="1:8" ht="13.35" customHeight="1">
      <c r="A2260" s="82">
        <v>4</v>
      </c>
      <c r="B2260" s="83" t="s">
        <v>5748</v>
      </c>
      <c r="C2260" s="67" t="s">
        <v>7829</v>
      </c>
      <c r="D2260" s="91">
        <v>1299700</v>
      </c>
      <c r="E2260" s="76">
        <v>50967.5</v>
      </c>
      <c r="F2260" s="77" t="s">
        <v>10173</v>
      </c>
      <c r="G2260" s="22"/>
      <c r="H2260" s="22"/>
    </row>
    <row r="2261" spans="1:8" ht="13.35" customHeight="1">
      <c r="A2261" s="82">
        <v>4</v>
      </c>
      <c r="B2261" s="83" t="s">
        <v>5749</v>
      </c>
      <c r="C2261" s="67" t="s">
        <v>7830</v>
      </c>
      <c r="D2261" s="91">
        <v>889300</v>
      </c>
      <c r="E2261" s="76">
        <v>34872.5</v>
      </c>
      <c r="F2261" s="77" t="s">
        <v>10173</v>
      </c>
      <c r="G2261" s="22"/>
      <c r="H2261" s="22"/>
    </row>
    <row r="2262" spans="1:8" ht="13.35" customHeight="1">
      <c r="A2262" s="82">
        <v>4</v>
      </c>
      <c r="B2262" s="83" t="s">
        <v>5750</v>
      </c>
      <c r="C2262" s="67" t="s">
        <v>7831</v>
      </c>
      <c r="D2262" s="91">
        <v>834500</v>
      </c>
      <c r="E2262" s="76">
        <v>32726.5</v>
      </c>
      <c r="F2262" s="77" t="s">
        <v>10173</v>
      </c>
      <c r="G2262" s="22"/>
      <c r="H2262" s="22"/>
    </row>
    <row r="2263" spans="1:8" ht="13.35" customHeight="1">
      <c r="A2263" s="82">
        <v>4</v>
      </c>
      <c r="B2263" s="83" t="s">
        <v>5751</v>
      </c>
      <c r="C2263" s="67" t="s">
        <v>7832</v>
      </c>
      <c r="D2263" s="91">
        <v>602000</v>
      </c>
      <c r="E2263" s="76">
        <v>23606</v>
      </c>
      <c r="F2263" s="77" t="s">
        <v>10173</v>
      </c>
      <c r="G2263" s="22"/>
      <c r="H2263" s="22"/>
    </row>
    <row r="2264" spans="1:8" ht="13.35" customHeight="1">
      <c r="A2264" s="82">
        <v>4</v>
      </c>
      <c r="B2264" s="83" t="s">
        <v>5752</v>
      </c>
      <c r="C2264" s="67" t="s">
        <v>7833</v>
      </c>
      <c r="D2264" s="91">
        <v>410400</v>
      </c>
      <c r="E2264" s="76">
        <v>16095</v>
      </c>
      <c r="F2264" s="77" t="s">
        <v>10173</v>
      </c>
      <c r="G2264" s="22"/>
      <c r="H2264" s="22"/>
    </row>
    <row r="2265" spans="1:8" ht="13.35" customHeight="1">
      <c r="A2265" s="82">
        <v>4</v>
      </c>
      <c r="B2265" s="83" t="s">
        <v>6990</v>
      </c>
      <c r="C2265" s="67" t="s">
        <v>7834</v>
      </c>
      <c r="D2265" s="91">
        <v>177900</v>
      </c>
      <c r="E2265" s="76">
        <v>6974.4999999999991</v>
      </c>
      <c r="F2265" s="77" t="s">
        <v>10173</v>
      </c>
      <c r="G2265" s="22"/>
      <c r="H2265" s="22"/>
    </row>
    <row r="2266" spans="1:8" ht="13.35" customHeight="1">
      <c r="A2266" s="82">
        <v>4</v>
      </c>
      <c r="B2266" s="83" t="s">
        <v>6991</v>
      </c>
      <c r="C2266" s="67" t="s">
        <v>7835</v>
      </c>
      <c r="D2266" s="91">
        <v>971400</v>
      </c>
      <c r="E2266" s="76">
        <v>38091.5</v>
      </c>
      <c r="F2266" s="77" t="s">
        <v>10173</v>
      </c>
      <c r="G2266" s="22"/>
      <c r="H2266" s="22"/>
    </row>
    <row r="2267" spans="1:8" ht="13.35" customHeight="1">
      <c r="A2267" s="82">
        <v>4</v>
      </c>
      <c r="B2267" s="83" t="s">
        <v>6992</v>
      </c>
      <c r="C2267" s="67" t="s">
        <v>7836</v>
      </c>
      <c r="D2267" s="91">
        <v>123100</v>
      </c>
      <c r="E2267" s="76">
        <v>4828.5</v>
      </c>
      <c r="F2267" s="77" t="s">
        <v>10173</v>
      </c>
      <c r="G2267" s="22"/>
      <c r="H2267" s="22"/>
    </row>
    <row r="2268" spans="1:8" ht="13.35" customHeight="1">
      <c r="A2268" s="82">
        <v>4</v>
      </c>
      <c r="B2268" s="83" t="s">
        <v>6993</v>
      </c>
      <c r="C2268" s="67" t="s">
        <v>7837</v>
      </c>
      <c r="D2268" s="91">
        <v>697700</v>
      </c>
      <c r="E2268" s="76">
        <v>27361.5</v>
      </c>
      <c r="F2268" s="77" t="s">
        <v>10173</v>
      </c>
      <c r="G2268" s="22"/>
      <c r="H2268" s="22"/>
    </row>
    <row r="2269" spans="1:8" ht="13.35" customHeight="1">
      <c r="A2269" s="82">
        <v>4</v>
      </c>
      <c r="B2269" s="83" t="s">
        <v>6994</v>
      </c>
      <c r="C2269" s="67" t="s">
        <v>7838</v>
      </c>
      <c r="D2269" s="91">
        <v>82100</v>
      </c>
      <c r="E2269" s="76">
        <v>3218.9999999999995</v>
      </c>
      <c r="F2269" s="77" t="s">
        <v>10173</v>
      </c>
      <c r="G2269" s="22"/>
      <c r="H2269" s="22"/>
    </row>
    <row r="2270" spans="1:8" ht="13.35" customHeight="1">
      <c r="A2270" s="82">
        <v>4</v>
      </c>
      <c r="B2270" s="83" t="s">
        <v>6995</v>
      </c>
      <c r="C2270" s="67" t="s">
        <v>7839</v>
      </c>
      <c r="D2270" s="91">
        <v>519900</v>
      </c>
      <c r="E2270" s="76">
        <v>20387</v>
      </c>
      <c r="F2270" s="77" t="s">
        <v>10173</v>
      </c>
      <c r="G2270" s="22"/>
      <c r="H2270" s="22"/>
    </row>
    <row r="2271" spans="1:8" ht="13.35" customHeight="1">
      <c r="A2271" s="82">
        <v>4</v>
      </c>
      <c r="B2271" s="83" t="s">
        <v>5964</v>
      </c>
      <c r="C2271" s="67" t="s">
        <v>7840</v>
      </c>
      <c r="D2271" s="91">
        <v>205200</v>
      </c>
      <c r="E2271" s="76">
        <v>8047.5</v>
      </c>
      <c r="F2271" s="77" t="s">
        <v>10173</v>
      </c>
      <c r="G2271" s="22"/>
      <c r="H2271" s="22"/>
    </row>
    <row r="2272" spans="1:8" ht="13.35" customHeight="1">
      <c r="A2272" s="82">
        <v>4</v>
      </c>
      <c r="B2272" s="83" t="s">
        <v>5965</v>
      </c>
      <c r="C2272" s="67" t="s">
        <v>7841</v>
      </c>
      <c r="D2272" s="91">
        <v>1190300</v>
      </c>
      <c r="E2272" s="76">
        <v>46675.5</v>
      </c>
      <c r="F2272" s="77" t="s">
        <v>10173</v>
      </c>
      <c r="G2272" s="22"/>
      <c r="H2272" s="22"/>
    </row>
    <row r="2273" spans="1:8" ht="13.35" customHeight="1">
      <c r="A2273" s="82">
        <v>4</v>
      </c>
      <c r="B2273" s="83" t="s">
        <v>5966</v>
      </c>
      <c r="C2273" s="67" t="s">
        <v>7842</v>
      </c>
      <c r="D2273" s="91">
        <v>150500</v>
      </c>
      <c r="E2273" s="76">
        <v>5901.5</v>
      </c>
      <c r="F2273" s="77" t="s">
        <v>10173</v>
      </c>
      <c r="G2273" s="22"/>
      <c r="H2273" s="22"/>
    </row>
    <row r="2274" spans="1:8" ht="13.35" customHeight="1">
      <c r="A2274" s="82">
        <v>4</v>
      </c>
      <c r="B2274" s="83" t="s">
        <v>5967</v>
      </c>
      <c r="C2274" s="67" t="s">
        <v>7843</v>
      </c>
      <c r="D2274" s="91">
        <v>861900</v>
      </c>
      <c r="E2274" s="76">
        <v>33799.5</v>
      </c>
      <c r="F2274" s="77" t="s">
        <v>10173</v>
      </c>
      <c r="G2274" s="22"/>
      <c r="H2274" s="22"/>
    </row>
    <row r="2275" spans="1:8" ht="13.35" customHeight="1">
      <c r="A2275" s="82">
        <v>4</v>
      </c>
      <c r="B2275" s="83" t="s">
        <v>5968</v>
      </c>
      <c r="C2275" s="67" t="s">
        <v>7844</v>
      </c>
      <c r="D2275" s="91">
        <v>95800</v>
      </c>
      <c r="E2275" s="76">
        <v>3755.5</v>
      </c>
      <c r="F2275" s="77" t="s">
        <v>10173</v>
      </c>
      <c r="G2275" s="22"/>
      <c r="H2275" s="22"/>
    </row>
    <row r="2276" spans="1:8" ht="13.35" customHeight="1">
      <c r="A2276" s="82">
        <v>4</v>
      </c>
      <c r="B2276" s="83" t="s">
        <v>5969</v>
      </c>
      <c r="C2276" s="67" t="s">
        <v>7845</v>
      </c>
      <c r="D2276" s="91">
        <v>574600</v>
      </c>
      <c r="E2276" s="76">
        <v>22533</v>
      </c>
      <c r="F2276" s="77" t="s">
        <v>10173</v>
      </c>
      <c r="G2276" s="22"/>
      <c r="H2276" s="22"/>
    </row>
    <row r="2277" spans="1:8" ht="13.35" customHeight="1">
      <c r="A2277" s="82">
        <v>4</v>
      </c>
      <c r="B2277" s="83" t="s">
        <v>5970</v>
      </c>
      <c r="C2277" s="67" t="s">
        <v>7846</v>
      </c>
      <c r="D2277" s="91">
        <v>301000</v>
      </c>
      <c r="E2277" s="76">
        <v>11803</v>
      </c>
      <c r="F2277" s="77" t="s">
        <v>10173</v>
      </c>
      <c r="G2277" s="22"/>
      <c r="H2277" s="22"/>
    </row>
    <row r="2278" spans="1:8" ht="13.35" customHeight="1">
      <c r="A2278" s="82">
        <v>4</v>
      </c>
      <c r="B2278" s="83" t="s">
        <v>5971</v>
      </c>
      <c r="C2278" s="67" t="s">
        <v>7847</v>
      </c>
      <c r="D2278" s="91">
        <v>1737500</v>
      </c>
      <c r="E2278" s="76">
        <v>68135.5</v>
      </c>
      <c r="F2278" s="77" t="s">
        <v>10173</v>
      </c>
      <c r="G2278" s="22"/>
      <c r="H2278" s="22"/>
    </row>
    <row r="2279" spans="1:8" ht="13.35" customHeight="1">
      <c r="A2279" s="82">
        <v>4</v>
      </c>
      <c r="B2279" s="83" t="s">
        <v>5972</v>
      </c>
      <c r="C2279" s="67" t="s">
        <v>7848</v>
      </c>
      <c r="D2279" s="91">
        <v>218900</v>
      </c>
      <c r="E2279" s="76">
        <v>8584</v>
      </c>
      <c r="F2279" s="77" t="s">
        <v>10173</v>
      </c>
      <c r="G2279" s="22"/>
      <c r="H2279" s="22"/>
    </row>
    <row r="2280" spans="1:8" ht="13.35" customHeight="1">
      <c r="A2280" s="82">
        <v>4</v>
      </c>
      <c r="B2280" s="83" t="s">
        <v>5973</v>
      </c>
      <c r="C2280" s="67" t="s">
        <v>7849</v>
      </c>
      <c r="D2280" s="91">
        <v>1258700</v>
      </c>
      <c r="E2280" s="76">
        <v>49358</v>
      </c>
      <c r="F2280" s="77" t="s">
        <v>10173</v>
      </c>
      <c r="G2280" s="22"/>
      <c r="H2280" s="22"/>
    </row>
    <row r="2281" spans="1:8" ht="13.35" customHeight="1">
      <c r="A2281" s="82">
        <v>4</v>
      </c>
      <c r="B2281" s="83" t="s">
        <v>5974</v>
      </c>
      <c r="C2281" s="67" t="s">
        <v>7850</v>
      </c>
      <c r="D2281" s="91">
        <v>150500</v>
      </c>
      <c r="E2281" s="76">
        <v>5901.5</v>
      </c>
      <c r="F2281" s="77" t="s">
        <v>10173</v>
      </c>
      <c r="G2281" s="22"/>
      <c r="H2281" s="22"/>
    </row>
    <row r="2282" spans="1:8" ht="13.35" customHeight="1">
      <c r="A2282" s="82">
        <v>4</v>
      </c>
      <c r="B2282" s="83" t="s">
        <v>5975</v>
      </c>
      <c r="C2282" s="67" t="s">
        <v>7851</v>
      </c>
      <c r="D2282" s="91">
        <v>861900</v>
      </c>
      <c r="E2282" s="76">
        <v>33799.5</v>
      </c>
      <c r="F2282" s="77" t="s">
        <v>10173</v>
      </c>
      <c r="G2282" s="22"/>
      <c r="H2282" s="22"/>
    </row>
    <row r="2283" spans="1:8" ht="13.35" customHeight="1">
      <c r="A2283" s="82">
        <v>4</v>
      </c>
      <c r="B2283" s="83" t="s">
        <v>5976</v>
      </c>
      <c r="C2283" s="67" t="s">
        <v>7852</v>
      </c>
      <c r="D2283" s="91">
        <v>383100</v>
      </c>
      <c r="E2283" s="76">
        <v>15022</v>
      </c>
      <c r="F2283" s="77" t="s">
        <v>10173</v>
      </c>
      <c r="G2283" s="22"/>
      <c r="H2283" s="22"/>
    </row>
    <row r="2284" spans="1:8" ht="13.35" customHeight="1">
      <c r="A2284" s="82">
        <v>4</v>
      </c>
      <c r="B2284" s="83" t="s">
        <v>5977</v>
      </c>
      <c r="C2284" s="67" t="s">
        <v>7853</v>
      </c>
      <c r="D2284" s="91">
        <v>2189000</v>
      </c>
      <c r="E2284" s="76">
        <v>85840</v>
      </c>
      <c r="F2284" s="77" t="s">
        <v>10173</v>
      </c>
      <c r="G2284" s="22"/>
      <c r="H2284" s="22"/>
    </row>
    <row r="2285" spans="1:8" ht="13.35" customHeight="1">
      <c r="A2285" s="82">
        <v>4</v>
      </c>
      <c r="B2285" s="83" t="s">
        <v>5978</v>
      </c>
      <c r="C2285" s="67" t="s">
        <v>7854</v>
      </c>
      <c r="D2285" s="91">
        <v>273600</v>
      </c>
      <c r="E2285" s="76">
        <v>10730</v>
      </c>
      <c r="F2285" s="77" t="s">
        <v>10173</v>
      </c>
      <c r="G2285" s="22"/>
      <c r="H2285" s="22"/>
    </row>
    <row r="2286" spans="1:8" ht="13.35" customHeight="1">
      <c r="A2286" s="82">
        <v>4</v>
      </c>
      <c r="B2286" s="83" t="s">
        <v>5979</v>
      </c>
      <c r="C2286" s="67" t="s">
        <v>7855</v>
      </c>
      <c r="D2286" s="91">
        <v>1573300</v>
      </c>
      <c r="E2286" s="76">
        <v>61697.499999999993</v>
      </c>
      <c r="F2286" s="77" t="s">
        <v>10173</v>
      </c>
      <c r="G2286" s="22"/>
      <c r="H2286" s="22"/>
    </row>
    <row r="2287" spans="1:8" ht="13.35" customHeight="1">
      <c r="A2287" s="82">
        <v>4</v>
      </c>
      <c r="B2287" s="83" t="s">
        <v>5980</v>
      </c>
      <c r="C2287" s="67" t="s">
        <v>7856</v>
      </c>
      <c r="D2287" s="91">
        <v>191500</v>
      </c>
      <c r="E2287" s="76">
        <v>7511</v>
      </c>
      <c r="F2287" s="77" t="s">
        <v>10173</v>
      </c>
      <c r="G2287" s="22"/>
      <c r="H2287" s="22"/>
    </row>
    <row r="2288" spans="1:8" ht="13.35" customHeight="1">
      <c r="A2288" s="82">
        <v>4</v>
      </c>
      <c r="B2288" s="83" t="s">
        <v>5981</v>
      </c>
      <c r="C2288" s="67" t="s">
        <v>7857</v>
      </c>
      <c r="D2288" s="91">
        <v>1080800</v>
      </c>
      <c r="E2288" s="76">
        <v>42383.5</v>
      </c>
      <c r="F2288" s="77" t="s">
        <v>10173</v>
      </c>
      <c r="G2288" s="22"/>
      <c r="H2288" s="22"/>
    </row>
    <row r="2289" spans="1:8" ht="13.35" customHeight="1">
      <c r="A2289" s="82">
        <v>4</v>
      </c>
      <c r="B2289" s="83" t="s">
        <v>5982</v>
      </c>
      <c r="C2289" s="67" t="s">
        <v>7858</v>
      </c>
      <c r="D2289" s="91">
        <v>588300</v>
      </c>
      <c r="E2289" s="76">
        <v>23069.5</v>
      </c>
      <c r="F2289" s="77" t="s">
        <v>10173</v>
      </c>
      <c r="G2289" s="22"/>
      <c r="H2289" s="22"/>
    </row>
    <row r="2290" spans="1:8" ht="13.35" customHeight="1">
      <c r="A2290" s="82">
        <v>4</v>
      </c>
      <c r="B2290" s="83" t="s">
        <v>5983</v>
      </c>
      <c r="C2290" s="67" t="s">
        <v>7859</v>
      </c>
      <c r="D2290" s="91">
        <v>3406600</v>
      </c>
      <c r="E2290" s="76">
        <v>133588.5</v>
      </c>
      <c r="F2290" s="77" t="s">
        <v>10173</v>
      </c>
      <c r="G2290" s="22"/>
      <c r="H2290" s="22"/>
    </row>
    <row r="2291" spans="1:8" ht="13.35" customHeight="1">
      <c r="A2291" s="82">
        <v>4</v>
      </c>
      <c r="B2291" s="83" t="s">
        <v>5984</v>
      </c>
      <c r="C2291" s="67" t="s">
        <v>7860</v>
      </c>
      <c r="D2291" s="91">
        <v>410400</v>
      </c>
      <c r="E2291" s="76">
        <v>16095</v>
      </c>
      <c r="F2291" s="77" t="s">
        <v>10173</v>
      </c>
      <c r="G2291" s="22"/>
      <c r="H2291" s="22"/>
    </row>
    <row r="2292" spans="1:8" ht="13.35" customHeight="1">
      <c r="A2292" s="82">
        <v>4</v>
      </c>
      <c r="B2292" s="83" t="s">
        <v>5985</v>
      </c>
      <c r="C2292" s="67" t="s">
        <v>7861</v>
      </c>
      <c r="D2292" s="91">
        <v>2407900</v>
      </c>
      <c r="E2292" s="76">
        <v>94424</v>
      </c>
      <c r="F2292" s="77" t="s">
        <v>10173</v>
      </c>
      <c r="G2292" s="22"/>
      <c r="H2292" s="22"/>
    </row>
    <row r="2293" spans="1:8" ht="13.35" customHeight="1">
      <c r="A2293" s="82">
        <v>4</v>
      </c>
      <c r="B2293" s="83" t="s">
        <v>5986</v>
      </c>
      <c r="C2293" s="67" t="s">
        <v>7862</v>
      </c>
      <c r="D2293" s="91">
        <v>287300</v>
      </c>
      <c r="E2293" s="76">
        <v>11266.5</v>
      </c>
      <c r="F2293" s="77" t="s">
        <v>10173</v>
      </c>
      <c r="G2293" s="22"/>
      <c r="H2293" s="22"/>
    </row>
    <row r="2294" spans="1:8" ht="13.35" customHeight="1">
      <c r="A2294" s="82">
        <v>4</v>
      </c>
      <c r="B2294" s="83" t="s">
        <v>5987</v>
      </c>
      <c r="C2294" s="67" t="s">
        <v>7863</v>
      </c>
      <c r="D2294" s="91">
        <v>1669100</v>
      </c>
      <c r="E2294" s="76">
        <v>65453</v>
      </c>
      <c r="F2294" s="77" t="s">
        <v>10173</v>
      </c>
      <c r="G2294" s="22"/>
      <c r="H2294" s="22"/>
    </row>
    <row r="2295" spans="1:8" ht="13.35" customHeight="1">
      <c r="A2295" s="82">
        <v>4</v>
      </c>
      <c r="B2295" s="83" t="s">
        <v>3165</v>
      </c>
      <c r="C2295" s="67" t="s">
        <v>7864</v>
      </c>
      <c r="D2295" s="91">
        <v>2818300</v>
      </c>
      <c r="E2295" s="76">
        <v>110519</v>
      </c>
      <c r="F2295" s="77" t="s">
        <v>10173</v>
      </c>
      <c r="G2295" s="22"/>
      <c r="H2295" s="22"/>
    </row>
    <row r="2296" spans="1:8" ht="13.35" customHeight="1">
      <c r="A2296" s="82">
        <v>4</v>
      </c>
      <c r="B2296" s="83" t="s">
        <v>3166</v>
      </c>
      <c r="C2296" s="67" t="s">
        <v>7865</v>
      </c>
      <c r="D2296" s="91">
        <v>1997400</v>
      </c>
      <c r="E2296" s="76">
        <v>78329</v>
      </c>
      <c r="F2296" s="77" t="s">
        <v>10173</v>
      </c>
      <c r="G2296" s="22"/>
      <c r="H2296" s="22"/>
    </row>
    <row r="2297" spans="1:8" ht="13.35" customHeight="1">
      <c r="A2297" s="82">
        <v>4</v>
      </c>
      <c r="B2297" s="83" t="s">
        <v>3167</v>
      </c>
      <c r="C2297" s="67" t="s">
        <v>7866</v>
      </c>
      <c r="D2297" s="91">
        <v>1381800</v>
      </c>
      <c r="E2297" s="76">
        <v>54186.499999999993</v>
      </c>
      <c r="F2297" s="77" t="s">
        <v>10173</v>
      </c>
      <c r="G2297" s="22"/>
      <c r="H2297" s="22"/>
    </row>
    <row r="2298" spans="1:8" ht="13.35" customHeight="1">
      <c r="A2298" s="82">
        <v>4</v>
      </c>
      <c r="B2298" s="83" t="s">
        <v>2973</v>
      </c>
      <c r="C2298" s="67" t="s">
        <v>7867</v>
      </c>
      <c r="D2298" s="91">
        <v>1299700</v>
      </c>
      <c r="E2298" s="76">
        <v>50967.5</v>
      </c>
      <c r="F2298" s="77" t="s">
        <v>10173</v>
      </c>
      <c r="G2298" s="22"/>
      <c r="H2298" s="22"/>
    </row>
    <row r="2299" spans="1:8" ht="13.35" customHeight="1">
      <c r="A2299" s="82">
        <v>4</v>
      </c>
      <c r="B2299" s="83" t="s">
        <v>2974</v>
      </c>
      <c r="C2299" s="67" t="s">
        <v>7868</v>
      </c>
      <c r="D2299" s="91">
        <v>957700</v>
      </c>
      <c r="E2299" s="76">
        <v>37555</v>
      </c>
      <c r="F2299" s="77" t="s">
        <v>10173</v>
      </c>
      <c r="G2299" s="22"/>
      <c r="H2299" s="22"/>
    </row>
    <row r="2300" spans="1:8" ht="13.35" customHeight="1">
      <c r="A2300" s="82">
        <v>4</v>
      </c>
      <c r="B2300" s="83" t="s">
        <v>2975</v>
      </c>
      <c r="C2300" s="67" t="s">
        <v>7869</v>
      </c>
      <c r="D2300" s="91">
        <v>643000</v>
      </c>
      <c r="E2300" s="76">
        <v>25215.5</v>
      </c>
      <c r="F2300" s="77" t="s">
        <v>10173</v>
      </c>
      <c r="G2300" s="22"/>
      <c r="H2300" s="22"/>
    </row>
    <row r="2301" spans="1:8" ht="13.35" customHeight="1">
      <c r="A2301" s="82">
        <v>4</v>
      </c>
      <c r="B2301" s="83" t="s">
        <v>2734</v>
      </c>
      <c r="C2301" s="67" t="s">
        <v>7870</v>
      </c>
      <c r="D2301" s="91">
        <v>1956400</v>
      </c>
      <c r="E2301" s="76">
        <v>76719.5</v>
      </c>
      <c r="F2301" s="77" t="s">
        <v>10173</v>
      </c>
      <c r="G2301" s="22"/>
      <c r="H2301" s="22"/>
    </row>
    <row r="2302" spans="1:8" ht="13.35" customHeight="1">
      <c r="A2302" s="82">
        <v>4</v>
      </c>
      <c r="B2302" s="83" t="s">
        <v>5771</v>
      </c>
      <c r="C2302" s="67" t="s">
        <v>7871</v>
      </c>
      <c r="D2302" s="91">
        <v>355700</v>
      </c>
      <c r="E2302" s="76">
        <v>13948.999999999998</v>
      </c>
      <c r="F2302" s="77" t="s">
        <v>10173</v>
      </c>
      <c r="G2302" s="22"/>
      <c r="H2302" s="22"/>
    </row>
    <row r="2303" spans="1:8" ht="13.35" customHeight="1">
      <c r="A2303" s="82">
        <v>4</v>
      </c>
      <c r="B2303" s="83" t="s">
        <v>5772</v>
      </c>
      <c r="C2303" s="67" t="s">
        <v>7872</v>
      </c>
      <c r="D2303" s="91">
        <v>355700</v>
      </c>
      <c r="E2303" s="76">
        <v>13948.999999999998</v>
      </c>
      <c r="F2303" s="77" t="s">
        <v>10173</v>
      </c>
      <c r="G2303" s="22"/>
      <c r="H2303" s="22"/>
    </row>
    <row r="2304" spans="1:8" ht="13.35" customHeight="1">
      <c r="A2304" s="82">
        <v>4</v>
      </c>
      <c r="B2304" s="83" t="s">
        <v>5773</v>
      </c>
      <c r="C2304" s="67" t="s">
        <v>7873</v>
      </c>
      <c r="D2304" s="91">
        <v>355700</v>
      </c>
      <c r="E2304" s="76">
        <v>13948.999999999998</v>
      </c>
      <c r="F2304" s="77" t="s">
        <v>10173</v>
      </c>
      <c r="G2304" s="22"/>
      <c r="H2304" s="22"/>
    </row>
    <row r="2305" spans="1:8" ht="13.35" customHeight="1">
      <c r="A2305" s="82">
        <v>4</v>
      </c>
      <c r="B2305" s="67" t="s">
        <v>5793</v>
      </c>
      <c r="C2305" s="67" t="s">
        <v>7874</v>
      </c>
      <c r="D2305" s="91">
        <v>4651600</v>
      </c>
      <c r="E2305" s="76">
        <v>182410</v>
      </c>
      <c r="F2305" s="77" t="s">
        <v>10173</v>
      </c>
      <c r="G2305" s="22"/>
      <c r="H2305" s="22"/>
    </row>
    <row r="2306" spans="1:8" ht="13.35" customHeight="1">
      <c r="A2306" s="82">
        <v>4</v>
      </c>
      <c r="B2306" s="83" t="s">
        <v>6996</v>
      </c>
      <c r="C2306" s="67" t="s">
        <v>7875</v>
      </c>
      <c r="D2306" s="91">
        <v>1997400</v>
      </c>
      <c r="E2306" s="76">
        <v>78329</v>
      </c>
      <c r="F2306" s="77" t="s">
        <v>10173</v>
      </c>
      <c r="G2306" s="22"/>
      <c r="H2306" s="22"/>
    </row>
    <row r="2307" spans="1:8" ht="13.35" customHeight="1">
      <c r="A2307" s="82">
        <v>4</v>
      </c>
      <c r="B2307" s="83" t="s">
        <v>5311</v>
      </c>
      <c r="C2307" s="67" t="s">
        <v>5312</v>
      </c>
      <c r="D2307" s="91">
        <v>8550700</v>
      </c>
      <c r="E2307" s="76">
        <v>335312.5</v>
      </c>
      <c r="F2307" s="77" t="s">
        <v>10173</v>
      </c>
      <c r="G2307" s="22"/>
      <c r="H2307" s="22"/>
    </row>
    <row r="2308" spans="1:8" ht="13.35" customHeight="1">
      <c r="A2308" s="82">
        <v>4</v>
      </c>
      <c r="B2308" s="83" t="s">
        <v>4701</v>
      </c>
      <c r="C2308" s="67" t="s">
        <v>4702</v>
      </c>
      <c r="D2308" s="91">
        <v>2230000</v>
      </c>
      <c r="E2308" s="76">
        <v>87449.5</v>
      </c>
      <c r="F2308" s="77" t="s">
        <v>10173</v>
      </c>
      <c r="G2308" s="22"/>
      <c r="H2308" s="22"/>
    </row>
    <row r="2309" spans="1:8" ht="13.35" customHeight="1">
      <c r="A2309" s="82">
        <v>4</v>
      </c>
      <c r="B2309" s="83" t="s">
        <v>5780</v>
      </c>
      <c r="C2309" s="67" t="s">
        <v>7876</v>
      </c>
      <c r="D2309" s="91">
        <v>1108200</v>
      </c>
      <c r="E2309" s="76">
        <v>43456.5</v>
      </c>
      <c r="F2309" s="77" t="s">
        <v>10173</v>
      </c>
      <c r="G2309" s="22"/>
      <c r="H2309" s="22"/>
    </row>
    <row r="2310" spans="1:8" ht="13.35" customHeight="1">
      <c r="A2310" s="82">
        <v>4</v>
      </c>
      <c r="B2310" s="83" t="s">
        <v>1951</v>
      </c>
      <c r="C2310" s="67" t="s">
        <v>1952</v>
      </c>
      <c r="D2310" s="91">
        <v>16165495700</v>
      </c>
      <c r="E2310" s="76">
        <v>633925717.5</v>
      </c>
      <c r="F2310" s="77" t="s">
        <v>10173</v>
      </c>
      <c r="G2310" s="22"/>
      <c r="H2310" s="22"/>
    </row>
    <row r="2311" spans="1:8" ht="13.35" customHeight="1">
      <c r="A2311" s="82">
        <v>4</v>
      </c>
      <c r="B2311" s="83" t="s">
        <v>5988</v>
      </c>
      <c r="C2311" s="67" t="s">
        <v>7877</v>
      </c>
      <c r="D2311" s="91">
        <v>82100</v>
      </c>
      <c r="E2311" s="76">
        <v>3218.9999999999995</v>
      </c>
      <c r="F2311" s="77" t="s">
        <v>10173</v>
      </c>
      <c r="G2311" s="22"/>
      <c r="H2311" s="22"/>
    </row>
    <row r="2312" spans="1:8" ht="13.35" customHeight="1">
      <c r="A2312" s="82">
        <v>4</v>
      </c>
      <c r="B2312" s="83" t="s">
        <v>5989</v>
      </c>
      <c r="C2312" s="67" t="s">
        <v>7878</v>
      </c>
      <c r="D2312" s="91">
        <v>6908900</v>
      </c>
      <c r="E2312" s="76">
        <v>270932.5</v>
      </c>
      <c r="F2312" s="77" t="s">
        <v>10173</v>
      </c>
      <c r="G2312" s="22"/>
      <c r="H2312" s="22"/>
    </row>
    <row r="2313" spans="1:8" ht="13.35" customHeight="1">
      <c r="A2313" s="82">
        <v>4</v>
      </c>
      <c r="B2313" s="83" t="s">
        <v>6997</v>
      </c>
      <c r="C2313" s="67" t="s">
        <v>7879</v>
      </c>
      <c r="D2313" s="91">
        <v>3023500</v>
      </c>
      <c r="E2313" s="76">
        <v>118566.5</v>
      </c>
      <c r="F2313" s="77" t="s">
        <v>10173</v>
      </c>
      <c r="G2313" s="22"/>
      <c r="H2313" s="22"/>
    </row>
    <row r="2314" spans="1:8" ht="13.35" customHeight="1">
      <c r="A2314" s="82">
        <v>4</v>
      </c>
      <c r="B2314" s="83" t="s">
        <v>6998</v>
      </c>
      <c r="C2314" s="67" t="s">
        <v>7880</v>
      </c>
      <c r="D2314" s="91">
        <v>3652800</v>
      </c>
      <c r="E2314" s="76">
        <v>143245.5</v>
      </c>
      <c r="F2314" s="77" t="s">
        <v>10173</v>
      </c>
      <c r="G2314" s="22"/>
      <c r="H2314" s="22"/>
    </row>
    <row r="2315" spans="1:8" ht="13.35" customHeight="1">
      <c r="A2315" s="82">
        <v>4</v>
      </c>
      <c r="B2315" s="83" t="s">
        <v>6999</v>
      </c>
      <c r="C2315" s="67" t="s">
        <v>7881</v>
      </c>
      <c r="D2315" s="91">
        <v>5472400</v>
      </c>
      <c r="E2315" s="76">
        <v>214600</v>
      </c>
      <c r="F2315" s="77" t="s">
        <v>10173</v>
      </c>
      <c r="G2315" s="22"/>
      <c r="H2315" s="22"/>
    </row>
    <row r="2316" spans="1:8" ht="13.35" customHeight="1">
      <c r="A2316" s="82">
        <v>4</v>
      </c>
      <c r="B2316" s="83" t="s">
        <v>7000</v>
      </c>
      <c r="C2316" s="67" t="s">
        <v>7882</v>
      </c>
      <c r="D2316" s="91">
        <v>7935000</v>
      </c>
      <c r="E2316" s="76">
        <v>311170</v>
      </c>
      <c r="F2316" s="77" t="s">
        <v>10173</v>
      </c>
      <c r="G2316" s="22"/>
      <c r="H2316" s="22"/>
    </row>
    <row r="2317" spans="1:8" ht="13.35" customHeight="1">
      <c r="A2317" s="82">
        <v>4</v>
      </c>
      <c r="B2317" s="83" t="s">
        <v>7001</v>
      </c>
      <c r="C2317" s="67" t="s">
        <v>7883</v>
      </c>
      <c r="D2317" s="91">
        <v>12244600</v>
      </c>
      <c r="E2317" s="76">
        <v>480167.49999999994</v>
      </c>
      <c r="F2317" s="77" t="s">
        <v>10173</v>
      </c>
      <c r="G2317" s="22"/>
      <c r="H2317" s="22"/>
    </row>
    <row r="2318" spans="1:8" ht="13.35" customHeight="1">
      <c r="A2318" s="82">
        <v>4</v>
      </c>
      <c r="B2318" s="83" t="s">
        <v>7002</v>
      </c>
      <c r="C2318" s="67" t="s">
        <v>7884</v>
      </c>
      <c r="D2318" s="91">
        <v>17990600</v>
      </c>
      <c r="E2318" s="76">
        <v>705497.5</v>
      </c>
      <c r="F2318" s="77" t="s">
        <v>10173</v>
      </c>
      <c r="G2318" s="22"/>
      <c r="H2318" s="22"/>
    </row>
    <row r="2319" spans="1:8" ht="13.35" customHeight="1">
      <c r="A2319" s="82">
        <v>4</v>
      </c>
      <c r="B2319" s="83" t="s">
        <v>7003</v>
      </c>
      <c r="C2319" s="67" t="s">
        <v>7885</v>
      </c>
      <c r="D2319" s="91">
        <v>2366800</v>
      </c>
      <c r="E2319" s="76">
        <v>92814.500000000015</v>
      </c>
      <c r="F2319" s="77" t="s">
        <v>10173</v>
      </c>
      <c r="G2319" s="22"/>
      <c r="H2319" s="22"/>
    </row>
    <row r="2320" spans="1:8" ht="13.35" customHeight="1">
      <c r="A2320" s="82">
        <v>4</v>
      </c>
      <c r="B2320" s="83" t="s">
        <v>7004</v>
      </c>
      <c r="C2320" s="67" t="s">
        <v>7886</v>
      </c>
      <c r="D2320" s="91">
        <v>2845700</v>
      </c>
      <c r="E2320" s="76">
        <v>111591.99999999999</v>
      </c>
      <c r="F2320" s="77" t="s">
        <v>10173</v>
      </c>
      <c r="G2320" s="22"/>
      <c r="H2320" s="22"/>
    </row>
    <row r="2321" spans="1:8" ht="13.35" customHeight="1">
      <c r="A2321" s="82">
        <v>4</v>
      </c>
      <c r="B2321" s="83" t="s">
        <v>7005</v>
      </c>
      <c r="C2321" s="67" t="s">
        <v>7887</v>
      </c>
      <c r="D2321" s="91">
        <v>4241100</v>
      </c>
      <c r="E2321" s="76">
        <v>166315</v>
      </c>
      <c r="F2321" s="77" t="s">
        <v>10173</v>
      </c>
      <c r="G2321" s="22"/>
      <c r="H2321" s="22"/>
    </row>
    <row r="2322" spans="1:8" ht="13.35" customHeight="1">
      <c r="A2322" s="82">
        <v>4</v>
      </c>
      <c r="B2322" s="83" t="s">
        <v>7006</v>
      </c>
      <c r="C2322" s="67" t="s">
        <v>7888</v>
      </c>
      <c r="D2322" s="91">
        <v>6224900</v>
      </c>
      <c r="E2322" s="76">
        <v>244107.5</v>
      </c>
      <c r="F2322" s="77" t="s">
        <v>10173</v>
      </c>
      <c r="G2322" s="22"/>
      <c r="H2322" s="22"/>
    </row>
    <row r="2323" spans="1:8" ht="13.35" customHeight="1">
      <c r="A2323" s="82">
        <v>4</v>
      </c>
      <c r="B2323" s="83" t="s">
        <v>7007</v>
      </c>
      <c r="C2323" s="67" t="s">
        <v>7889</v>
      </c>
      <c r="D2323" s="91">
        <v>9576800</v>
      </c>
      <c r="E2323" s="76">
        <v>375550</v>
      </c>
      <c r="F2323" s="77" t="s">
        <v>10173</v>
      </c>
      <c r="G2323" s="22"/>
      <c r="H2323" s="22"/>
    </row>
    <row r="2324" spans="1:8" ht="13.35" customHeight="1">
      <c r="A2324" s="82">
        <v>4</v>
      </c>
      <c r="B2324" s="83" t="s">
        <v>7008</v>
      </c>
      <c r="C2324" s="67" t="s">
        <v>7890</v>
      </c>
      <c r="D2324" s="91">
        <v>13954700</v>
      </c>
      <c r="E2324" s="76">
        <v>547230</v>
      </c>
      <c r="F2324" s="77" t="s">
        <v>10173</v>
      </c>
      <c r="G2324" s="22"/>
      <c r="H2324" s="22"/>
    </row>
    <row r="2325" spans="1:8" ht="13.35" customHeight="1">
      <c r="A2325" s="82">
        <v>4</v>
      </c>
      <c r="B2325" s="83" t="s">
        <v>7009</v>
      </c>
      <c r="C2325" s="67" t="s">
        <v>7891</v>
      </c>
      <c r="D2325" s="91">
        <v>1696500</v>
      </c>
      <c r="E2325" s="76">
        <v>66526</v>
      </c>
      <c r="F2325" s="77" t="s">
        <v>10173</v>
      </c>
      <c r="G2325" s="22"/>
      <c r="H2325" s="22"/>
    </row>
    <row r="2326" spans="1:8" ht="13.35" customHeight="1">
      <c r="A2326" s="82">
        <v>4</v>
      </c>
      <c r="B2326" s="83" t="s">
        <v>7010</v>
      </c>
      <c r="C2326" s="67" t="s">
        <v>7892</v>
      </c>
      <c r="D2326" s="91">
        <v>2024800</v>
      </c>
      <c r="E2326" s="76">
        <v>79402</v>
      </c>
      <c r="F2326" s="77" t="s">
        <v>10173</v>
      </c>
      <c r="G2326" s="22"/>
      <c r="H2326" s="22"/>
    </row>
    <row r="2327" spans="1:8" ht="13.35" customHeight="1">
      <c r="A2327" s="82">
        <v>4</v>
      </c>
      <c r="B2327" s="83" t="s">
        <v>7011</v>
      </c>
      <c r="C2327" s="67" t="s">
        <v>7893</v>
      </c>
      <c r="D2327" s="91">
        <v>3023500</v>
      </c>
      <c r="E2327" s="76">
        <v>118566.5</v>
      </c>
      <c r="F2327" s="77" t="s">
        <v>10173</v>
      </c>
      <c r="G2327" s="22"/>
      <c r="H2327" s="22"/>
    </row>
    <row r="2328" spans="1:8" ht="13.35" customHeight="1">
      <c r="A2328" s="82">
        <v>4</v>
      </c>
      <c r="B2328" s="83" t="s">
        <v>7012</v>
      </c>
      <c r="C2328" s="67" t="s">
        <v>7894</v>
      </c>
      <c r="D2328" s="91">
        <v>4446400</v>
      </c>
      <c r="E2328" s="76">
        <v>174362.5</v>
      </c>
      <c r="F2328" s="77" t="s">
        <v>10173</v>
      </c>
      <c r="G2328" s="22"/>
      <c r="H2328" s="22"/>
    </row>
    <row r="2329" spans="1:8" ht="13.35" customHeight="1">
      <c r="A2329" s="82">
        <v>4</v>
      </c>
      <c r="B2329" s="83" t="s">
        <v>7013</v>
      </c>
      <c r="C2329" s="67" t="s">
        <v>7895</v>
      </c>
      <c r="D2329" s="91">
        <v>6840500</v>
      </c>
      <c r="E2329" s="76">
        <v>268250</v>
      </c>
      <c r="F2329" s="77" t="s">
        <v>10173</v>
      </c>
      <c r="G2329" s="22"/>
      <c r="H2329" s="22"/>
    </row>
    <row r="2330" spans="1:8" ht="13.35" customHeight="1">
      <c r="A2330" s="82">
        <v>4</v>
      </c>
      <c r="B2330" s="83" t="s">
        <v>7014</v>
      </c>
      <c r="C2330" s="67" t="s">
        <v>7896</v>
      </c>
      <c r="D2330" s="91">
        <v>9987200</v>
      </c>
      <c r="E2330" s="76">
        <v>391645.00000000006</v>
      </c>
      <c r="F2330" s="77" t="s">
        <v>10173</v>
      </c>
      <c r="G2330" s="22"/>
      <c r="H2330" s="22"/>
    </row>
    <row r="2331" spans="1:8" ht="13.35" customHeight="1">
      <c r="A2331" s="82">
        <v>4</v>
      </c>
      <c r="B2331" s="83" t="s">
        <v>7015</v>
      </c>
      <c r="C2331" s="67" t="s">
        <v>7897</v>
      </c>
      <c r="D2331" s="91">
        <v>1272300</v>
      </c>
      <c r="E2331" s="76">
        <v>49894.499999999993</v>
      </c>
      <c r="F2331" s="77" t="s">
        <v>10173</v>
      </c>
      <c r="G2331" s="22"/>
      <c r="H2331" s="22"/>
    </row>
    <row r="2332" spans="1:8" ht="13.35" customHeight="1">
      <c r="A2332" s="82">
        <v>4</v>
      </c>
      <c r="B2332" s="83" t="s">
        <v>7016</v>
      </c>
      <c r="C2332" s="67" t="s">
        <v>7898</v>
      </c>
      <c r="D2332" s="91">
        <v>1532300</v>
      </c>
      <c r="E2332" s="76">
        <v>60088</v>
      </c>
      <c r="F2332" s="77" t="s">
        <v>10173</v>
      </c>
      <c r="G2332" s="22"/>
      <c r="H2332" s="22"/>
    </row>
    <row r="2333" spans="1:8" ht="13.35" customHeight="1">
      <c r="A2333" s="82">
        <v>4</v>
      </c>
      <c r="B2333" s="83" t="s">
        <v>7017</v>
      </c>
      <c r="C2333" s="67" t="s">
        <v>7899</v>
      </c>
      <c r="D2333" s="91">
        <v>2284700</v>
      </c>
      <c r="E2333" s="76">
        <v>89595.5</v>
      </c>
      <c r="F2333" s="77" t="s">
        <v>10173</v>
      </c>
      <c r="G2333" s="22"/>
      <c r="H2333" s="22"/>
    </row>
    <row r="2334" spans="1:8" ht="13.35" customHeight="1">
      <c r="A2334" s="82">
        <v>4</v>
      </c>
      <c r="B2334" s="83" t="s">
        <v>7018</v>
      </c>
      <c r="C2334" s="67" t="s">
        <v>7900</v>
      </c>
      <c r="D2334" s="91">
        <v>3338200</v>
      </c>
      <c r="E2334" s="76">
        <v>130906</v>
      </c>
      <c r="F2334" s="77" t="s">
        <v>10173</v>
      </c>
      <c r="G2334" s="22"/>
      <c r="H2334" s="22"/>
    </row>
    <row r="2335" spans="1:8" ht="13.35" customHeight="1">
      <c r="A2335" s="82">
        <v>4</v>
      </c>
      <c r="B2335" s="83" t="s">
        <v>7019</v>
      </c>
      <c r="C2335" s="67" t="s">
        <v>7901</v>
      </c>
      <c r="D2335" s="91">
        <v>5198800</v>
      </c>
      <c r="E2335" s="76">
        <v>203870</v>
      </c>
      <c r="F2335" s="77" t="s">
        <v>10173</v>
      </c>
      <c r="G2335" s="22"/>
      <c r="H2335" s="22"/>
    </row>
    <row r="2336" spans="1:8" ht="13.35" customHeight="1">
      <c r="A2336" s="82">
        <v>4</v>
      </c>
      <c r="B2336" s="83" t="s">
        <v>7020</v>
      </c>
      <c r="C2336" s="67" t="s">
        <v>7902</v>
      </c>
      <c r="D2336" s="91">
        <v>7593000</v>
      </c>
      <c r="E2336" s="76">
        <v>297757.5</v>
      </c>
      <c r="F2336" s="77" t="s">
        <v>10173</v>
      </c>
      <c r="G2336" s="22"/>
      <c r="H2336" s="22"/>
    </row>
    <row r="2337" spans="1:8" ht="13.35" customHeight="1">
      <c r="A2337" s="82">
        <v>4</v>
      </c>
      <c r="B2337" s="83" t="s">
        <v>7021</v>
      </c>
      <c r="C2337" s="67" t="s">
        <v>7903</v>
      </c>
      <c r="D2337" s="91">
        <v>1012400</v>
      </c>
      <c r="E2337" s="76">
        <v>39701</v>
      </c>
      <c r="F2337" s="77" t="s">
        <v>10173</v>
      </c>
      <c r="G2337" s="22"/>
      <c r="H2337" s="22"/>
    </row>
    <row r="2338" spans="1:8" ht="13.35" customHeight="1">
      <c r="A2338" s="82">
        <v>4</v>
      </c>
      <c r="B2338" s="83" t="s">
        <v>7022</v>
      </c>
      <c r="C2338" s="67" t="s">
        <v>7904</v>
      </c>
      <c r="D2338" s="91">
        <v>1217600</v>
      </c>
      <c r="E2338" s="76">
        <v>47748.5</v>
      </c>
      <c r="F2338" s="77" t="s">
        <v>10173</v>
      </c>
      <c r="G2338" s="22"/>
      <c r="H2338" s="22"/>
    </row>
    <row r="2339" spans="1:8" ht="13.35" customHeight="1">
      <c r="A2339" s="82">
        <v>4</v>
      </c>
      <c r="B2339" s="83" t="s">
        <v>7023</v>
      </c>
      <c r="C2339" s="67" t="s">
        <v>7905</v>
      </c>
      <c r="D2339" s="91">
        <v>1819600</v>
      </c>
      <c r="E2339" s="76">
        <v>71354.5</v>
      </c>
      <c r="F2339" s="77" t="s">
        <v>10173</v>
      </c>
      <c r="G2339" s="22"/>
      <c r="H2339" s="22"/>
    </row>
    <row r="2340" spans="1:8" ht="13.35" customHeight="1">
      <c r="A2340" s="82">
        <v>4</v>
      </c>
      <c r="B2340" s="83" t="s">
        <v>7024</v>
      </c>
      <c r="C2340" s="67" t="s">
        <v>7906</v>
      </c>
      <c r="D2340" s="91">
        <v>2640400</v>
      </c>
      <c r="E2340" s="76">
        <v>103544.5</v>
      </c>
      <c r="F2340" s="77" t="s">
        <v>10173</v>
      </c>
      <c r="G2340" s="22"/>
      <c r="H2340" s="22"/>
    </row>
    <row r="2341" spans="1:8" ht="13.35" customHeight="1">
      <c r="A2341" s="82">
        <v>4</v>
      </c>
      <c r="B2341" s="83" t="s">
        <v>7025</v>
      </c>
      <c r="C2341" s="67" t="s">
        <v>7907</v>
      </c>
      <c r="D2341" s="91">
        <v>4104300</v>
      </c>
      <c r="E2341" s="76">
        <v>160950</v>
      </c>
      <c r="F2341" s="77" t="s">
        <v>10173</v>
      </c>
      <c r="G2341" s="22"/>
      <c r="H2341" s="22"/>
    </row>
    <row r="2342" spans="1:8" ht="13.35" customHeight="1">
      <c r="A2342" s="82">
        <v>4</v>
      </c>
      <c r="B2342" s="83" t="s">
        <v>7026</v>
      </c>
      <c r="C2342" s="67" t="s">
        <v>7908</v>
      </c>
      <c r="D2342" s="91">
        <v>6019700</v>
      </c>
      <c r="E2342" s="76">
        <v>236060.00000000003</v>
      </c>
      <c r="F2342" s="77" t="s">
        <v>10173</v>
      </c>
      <c r="G2342" s="22"/>
      <c r="H2342" s="22"/>
    </row>
    <row r="2343" spans="1:8" ht="13.35" customHeight="1">
      <c r="A2343" s="82">
        <v>4</v>
      </c>
      <c r="B2343" s="83" t="s">
        <v>7027</v>
      </c>
      <c r="C2343" s="67" t="s">
        <v>7909</v>
      </c>
      <c r="D2343" s="91">
        <v>738800</v>
      </c>
      <c r="E2343" s="76">
        <v>28971</v>
      </c>
      <c r="F2343" s="77" t="s">
        <v>10173</v>
      </c>
      <c r="G2343" s="22"/>
      <c r="H2343" s="22"/>
    </row>
    <row r="2344" spans="1:8" ht="13.35" customHeight="1">
      <c r="A2344" s="82">
        <v>4</v>
      </c>
      <c r="B2344" s="83" t="s">
        <v>7028</v>
      </c>
      <c r="C2344" s="67" t="s">
        <v>7910</v>
      </c>
      <c r="D2344" s="91">
        <v>889300</v>
      </c>
      <c r="E2344" s="76">
        <v>34872.5</v>
      </c>
      <c r="F2344" s="77" t="s">
        <v>10173</v>
      </c>
      <c r="G2344" s="22"/>
      <c r="H2344" s="22"/>
    </row>
    <row r="2345" spans="1:8" ht="13.35" customHeight="1">
      <c r="A2345" s="82">
        <v>4</v>
      </c>
      <c r="B2345" s="83" t="s">
        <v>7029</v>
      </c>
      <c r="C2345" s="67" t="s">
        <v>7911</v>
      </c>
      <c r="D2345" s="91">
        <v>1340700</v>
      </c>
      <c r="E2345" s="76">
        <v>52577</v>
      </c>
      <c r="F2345" s="77" t="s">
        <v>10173</v>
      </c>
      <c r="G2345" s="22"/>
      <c r="H2345" s="22"/>
    </row>
    <row r="2346" spans="1:8" ht="13.35" customHeight="1">
      <c r="A2346" s="82">
        <v>4</v>
      </c>
      <c r="B2346" s="83" t="s">
        <v>7030</v>
      </c>
      <c r="C2346" s="67" t="s">
        <v>7912</v>
      </c>
      <c r="D2346" s="91">
        <v>1942700</v>
      </c>
      <c r="E2346" s="76">
        <v>76183</v>
      </c>
      <c r="F2346" s="77" t="s">
        <v>10173</v>
      </c>
      <c r="G2346" s="22"/>
      <c r="H2346" s="22"/>
    </row>
    <row r="2347" spans="1:8" ht="13.35" customHeight="1">
      <c r="A2347" s="82">
        <v>4</v>
      </c>
      <c r="B2347" s="83" t="s">
        <v>7031</v>
      </c>
      <c r="C2347" s="67" t="s">
        <v>7913</v>
      </c>
      <c r="D2347" s="91">
        <v>2996200</v>
      </c>
      <c r="E2347" s="76">
        <v>117493.5</v>
      </c>
      <c r="F2347" s="77" t="s">
        <v>10173</v>
      </c>
      <c r="G2347" s="22"/>
      <c r="H2347" s="22"/>
    </row>
    <row r="2348" spans="1:8" ht="13.35" customHeight="1">
      <c r="A2348" s="82">
        <v>4</v>
      </c>
      <c r="B2348" s="83" t="s">
        <v>7032</v>
      </c>
      <c r="C2348" s="67" t="s">
        <v>7914</v>
      </c>
      <c r="D2348" s="91">
        <v>4377900</v>
      </c>
      <c r="E2348" s="76">
        <v>171680</v>
      </c>
      <c r="F2348" s="77" t="s">
        <v>10173</v>
      </c>
      <c r="G2348" s="22"/>
      <c r="H2348" s="22"/>
    </row>
    <row r="2349" spans="1:8" ht="13.35" customHeight="1">
      <c r="A2349" s="82">
        <v>4</v>
      </c>
      <c r="B2349" s="83" t="s">
        <v>7033</v>
      </c>
      <c r="C2349" s="67" t="s">
        <v>7915</v>
      </c>
      <c r="D2349" s="91">
        <v>615600</v>
      </c>
      <c r="E2349" s="76">
        <v>24142.499999999996</v>
      </c>
      <c r="F2349" s="77" t="s">
        <v>10173</v>
      </c>
      <c r="G2349" s="22"/>
      <c r="H2349" s="22"/>
    </row>
    <row r="2350" spans="1:8" ht="13.35" customHeight="1">
      <c r="A2350" s="82">
        <v>4</v>
      </c>
      <c r="B2350" s="83" t="s">
        <v>7034</v>
      </c>
      <c r="C2350" s="67" t="s">
        <v>7916</v>
      </c>
      <c r="D2350" s="91">
        <v>478800</v>
      </c>
      <c r="E2350" s="76">
        <v>18777.5</v>
      </c>
      <c r="F2350" s="77" t="s">
        <v>10173</v>
      </c>
      <c r="G2350" s="22"/>
      <c r="H2350" s="22"/>
    </row>
    <row r="2351" spans="1:8" ht="13.35" customHeight="1">
      <c r="A2351" s="82">
        <v>4</v>
      </c>
      <c r="B2351" s="83" t="s">
        <v>7035</v>
      </c>
      <c r="C2351" s="67" t="s">
        <v>7917</v>
      </c>
      <c r="D2351" s="91">
        <v>396800</v>
      </c>
      <c r="E2351" s="76">
        <v>15558.5</v>
      </c>
      <c r="F2351" s="77" t="s">
        <v>10173</v>
      </c>
      <c r="G2351" s="22"/>
      <c r="H2351" s="22"/>
    </row>
    <row r="2352" spans="1:8" ht="13.35" customHeight="1">
      <c r="A2352" s="82">
        <v>4</v>
      </c>
      <c r="B2352" s="83" t="s">
        <v>7036</v>
      </c>
      <c r="C2352" s="67" t="s">
        <v>7918</v>
      </c>
      <c r="D2352" s="91">
        <v>301000</v>
      </c>
      <c r="E2352" s="76">
        <v>11803</v>
      </c>
      <c r="F2352" s="77" t="s">
        <v>10173</v>
      </c>
      <c r="G2352" s="22"/>
      <c r="H2352" s="22"/>
    </row>
    <row r="2353" spans="1:8" ht="13.35" customHeight="1">
      <c r="A2353" s="82">
        <v>4</v>
      </c>
      <c r="B2353" s="83" t="s">
        <v>7037</v>
      </c>
      <c r="C2353" s="67" t="s">
        <v>7919</v>
      </c>
      <c r="D2353" s="91">
        <v>246300</v>
      </c>
      <c r="E2353" s="76">
        <v>9657</v>
      </c>
      <c r="F2353" s="77" t="s">
        <v>10173</v>
      </c>
      <c r="G2353" s="22"/>
      <c r="H2353" s="22"/>
    </row>
    <row r="2354" spans="1:8" ht="13.35" customHeight="1">
      <c r="A2354" s="82">
        <v>4</v>
      </c>
      <c r="B2354" s="83" t="s">
        <v>7038</v>
      </c>
      <c r="C2354" s="67" t="s">
        <v>7920</v>
      </c>
      <c r="D2354" s="91">
        <v>191500</v>
      </c>
      <c r="E2354" s="76">
        <v>7511</v>
      </c>
      <c r="F2354" s="77" t="s">
        <v>10173</v>
      </c>
      <c r="G2354" s="22"/>
      <c r="H2354" s="22"/>
    </row>
    <row r="2355" spans="1:8" ht="13.35" customHeight="1">
      <c r="A2355" s="82">
        <v>4</v>
      </c>
      <c r="B2355" s="83" t="s">
        <v>5753</v>
      </c>
      <c r="C2355" s="67" t="s">
        <v>7921</v>
      </c>
      <c r="D2355" s="91">
        <v>752500</v>
      </c>
      <c r="E2355" s="76">
        <v>29507.500000000004</v>
      </c>
      <c r="F2355" s="77" t="s">
        <v>10173</v>
      </c>
      <c r="G2355" s="22"/>
      <c r="H2355" s="22"/>
    </row>
    <row r="2356" spans="1:8" ht="13.35" customHeight="1">
      <c r="A2356" s="82">
        <v>4</v>
      </c>
      <c r="B2356" s="83" t="s">
        <v>5754</v>
      </c>
      <c r="C2356" s="67" t="s">
        <v>7922</v>
      </c>
      <c r="D2356" s="91">
        <v>588300</v>
      </c>
      <c r="E2356" s="76">
        <v>23069.5</v>
      </c>
      <c r="F2356" s="77" t="s">
        <v>10173</v>
      </c>
      <c r="G2356" s="22"/>
      <c r="H2356" s="22"/>
    </row>
    <row r="2357" spans="1:8" ht="13.35" customHeight="1">
      <c r="A2357" s="82">
        <v>4</v>
      </c>
      <c r="B2357" s="83" t="s">
        <v>5755</v>
      </c>
      <c r="C2357" s="67" t="s">
        <v>7923</v>
      </c>
      <c r="D2357" s="91">
        <v>437800</v>
      </c>
      <c r="E2357" s="76">
        <v>17168</v>
      </c>
      <c r="F2357" s="77" t="s">
        <v>10173</v>
      </c>
      <c r="G2357" s="22"/>
      <c r="H2357" s="22"/>
    </row>
    <row r="2358" spans="1:8" ht="13.35" customHeight="1">
      <c r="A2358" s="82">
        <v>4</v>
      </c>
      <c r="B2358" s="83" t="s">
        <v>5756</v>
      </c>
      <c r="C2358" s="67" t="s">
        <v>7924</v>
      </c>
      <c r="D2358" s="91">
        <v>396800</v>
      </c>
      <c r="E2358" s="76">
        <v>15558.5</v>
      </c>
      <c r="F2358" s="77" t="s">
        <v>10173</v>
      </c>
      <c r="G2358" s="22"/>
      <c r="H2358" s="22"/>
    </row>
    <row r="2359" spans="1:8" ht="13.35" customHeight="1">
      <c r="A2359" s="82">
        <v>4</v>
      </c>
      <c r="B2359" s="83" t="s">
        <v>5757</v>
      </c>
      <c r="C2359" s="67" t="s">
        <v>7925</v>
      </c>
      <c r="D2359" s="91">
        <v>314700</v>
      </c>
      <c r="E2359" s="76">
        <v>12339.5</v>
      </c>
      <c r="F2359" s="77" t="s">
        <v>10173</v>
      </c>
      <c r="G2359" s="22"/>
      <c r="H2359" s="22"/>
    </row>
    <row r="2360" spans="1:8" ht="13.35" customHeight="1">
      <c r="A2360" s="82">
        <v>4</v>
      </c>
      <c r="B2360" s="83" t="s">
        <v>5758</v>
      </c>
      <c r="C2360" s="67" t="s">
        <v>7926</v>
      </c>
      <c r="D2360" s="91">
        <v>218900</v>
      </c>
      <c r="E2360" s="76">
        <v>8584</v>
      </c>
      <c r="F2360" s="77" t="s">
        <v>10173</v>
      </c>
      <c r="G2360" s="22"/>
      <c r="H2360" s="22"/>
    </row>
    <row r="2361" spans="1:8" ht="13.35" customHeight="1">
      <c r="A2361" s="82">
        <v>4</v>
      </c>
      <c r="B2361" s="83" t="s">
        <v>5759</v>
      </c>
      <c r="C2361" s="67" t="s">
        <v>7927</v>
      </c>
      <c r="D2361" s="91">
        <v>1094500</v>
      </c>
      <c r="E2361" s="76">
        <v>42920</v>
      </c>
      <c r="F2361" s="77" t="s">
        <v>10173</v>
      </c>
      <c r="G2361" s="22"/>
      <c r="H2361" s="22"/>
    </row>
    <row r="2362" spans="1:8" ht="13.35" customHeight="1">
      <c r="A2362" s="82">
        <v>4</v>
      </c>
      <c r="B2362" s="83" t="s">
        <v>5760</v>
      </c>
      <c r="C2362" s="67" t="s">
        <v>7928</v>
      </c>
      <c r="D2362" s="91">
        <v>861900</v>
      </c>
      <c r="E2362" s="76">
        <v>33799.5</v>
      </c>
      <c r="F2362" s="77" t="s">
        <v>10173</v>
      </c>
      <c r="G2362" s="22"/>
      <c r="H2362" s="22"/>
    </row>
    <row r="2363" spans="1:8" ht="13.35" customHeight="1">
      <c r="A2363" s="82">
        <v>4</v>
      </c>
      <c r="B2363" s="83" t="s">
        <v>5761</v>
      </c>
      <c r="C2363" s="67" t="s">
        <v>7929</v>
      </c>
      <c r="D2363" s="91">
        <v>629300</v>
      </c>
      <c r="E2363" s="76">
        <v>24679</v>
      </c>
      <c r="F2363" s="77" t="s">
        <v>10173</v>
      </c>
      <c r="G2363" s="22"/>
      <c r="H2363" s="22"/>
    </row>
    <row r="2364" spans="1:8" ht="13.35" customHeight="1">
      <c r="A2364" s="82">
        <v>4</v>
      </c>
      <c r="B2364" s="83" t="s">
        <v>5762</v>
      </c>
      <c r="C2364" s="67" t="s">
        <v>7930</v>
      </c>
      <c r="D2364" s="91">
        <v>519900</v>
      </c>
      <c r="E2364" s="76">
        <v>20387</v>
      </c>
      <c r="F2364" s="77" t="s">
        <v>10173</v>
      </c>
      <c r="G2364" s="22"/>
      <c r="H2364" s="22"/>
    </row>
    <row r="2365" spans="1:8" ht="13.35" customHeight="1">
      <c r="A2365" s="82">
        <v>4</v>
      </c>
      <c r="B2365" s="83" t="s">
        <v>5763</v>
      </c>
      <c r="C2365" s="67" t="s">
        <v>7931</v>
      </c>
      <c r="D2365" s="91">
        <v>410400</v>
      </c>
      <c r="E2365" s="76">
        <v>16095</v>
      </c>
      <c r="F2365" s="77" t="s">
        <v>10173</v>
      </c>
      <c r="G2365" s="22"/>
      <c r="H2365" s="22"/>
    </row>
    <row r="2366" spans="1:8" ht="13.35" customHeight="1">
      <c r="A2366" s="82">
        <v>4</v>
      </c>
      <c r="B2366" s="83" t="s">
        <v>5764</v>
      </c>
      <c r="C2366" s="67" t="s">
        <v>7932</v>
      </c>
      <c r="D2366" s="91">
        <v>287300</v>
      </c>
      <c r="E2366" s="76">
        <v>11266.5</v>
      </c>
      <c r="F2366" s="77" t="s">
        <v>10173</v>
      </c>
      <c r="G2366" s="22"/>
      <c r="H2366" s="22"/>
    </row>
    <row r="2367" spans="1:8" ht="13.35" customHeight="1">
      <c r="A2367" s="82">
        <v>4</v>
      </c>
      <c r="B2367" s="83" t="s">
        <v>5765</v>
      </c>
      <c r="C2367" s="67" t="s">
        <v>7933</v>
      </c>
      <c r="D2367" s="91">
        <v>1368100</v>
      </c>
      <c r="E2367" s="76">
        <v>53650</v>
      </c>
      <c r="F2367" s="77" t="s">
        <v>10173</v>
      </c>
      <c r="G2367" s="22"/>
      <c r="H2367" s="22"/>
    </row>
    <row r="2368" spans="1:8" ht="13.35" customHeight="1">
      <c r="A2368" s="82">
        <v>4</v>
      </c>
      <c r="B2368" s="83" t="s">
        <v>5766</v>
      </c>
      <c r="C2368" s="67" t="s">
        <v>7934</v>
      </c>
      <c r="D2368" s="91">
        <v>1080800</v>
      </c>
      <c r="E2368" s="76">
        <v>42383.5</v>
      </c>
      <c r="F2368" s="77" t="s">
        <v>10173</v>
      </c>
      <c r="G2368" s="22"/>
      <c r="H2368" s="22"/>
    </row>
    <row r="2369" spans="1:8" ht="13.35" customHeight="1">
      <c r="A2369" s="82">
        <v>4</v>
      </c>
      <c r="B2369" s="83" t="s">
        <v>5767</v>
      </c>
      <c r="C2369" s="67" t="s">
        <v>7935</v>
      </c>
      <c r="D2369" s="91">
        <v>793500</v>
      </c>
      <c r="E2369" s="76">
        <v>31117</v>
      </c>
      <c r="F2369" s="77" t="s">
        <v>10173</v>
      </c>
      <c r="G2369" s="22"/>
      <c r="H2369" s="22"/>
    </row>
    <row r="2370" spans="1:8" ht="13.35" customHeight="1">
      <c r="A2370" s="82">
        <v>4</v>
      </c>
      <c r="B2370" s="83" t="s">
        <v>5768</v>
      </c>
      <c r="C2370" s="67" t="s">
        <v>7936</v>
      </c>
      <c r="D2370" s="91">
        <v>643000</v>
      </c>
      <c r="E2370" s="76">
        <v>25215.5</v>
      </c>
      <c r="F2370" s="77" t="s">
        <v>10173</v>
      </c>
      <c r="G2370" s="22"/>
      <c r="H2370" s="22"/>
    </row>
    <row r="2371" spans="1:8" ht="13.35" customHeight="1">
      <c r="A2371" s="82">
        <v>4</v>
      </c>
      <c r="B2371" s="83" t="s">
        <v>5769</v>
      </c>
      <c r="C2371" s="67" t="s">
        <v>7937</v>
      </c>
      <c r="D2371" s="91">
        <v>506200</v>
      </c>
      <c r="E2371" s="76">
        <v>19850.5</v>
      </c>
      <c r="F2371" s="77" t="s">
        <v>10173</v>
      </c>
      <c r="G2371" s="22"/>
      <c r="H2371" s="22"/>
    </row>
    <row r="2372" spans="1:8" ht="13.35" customHeight="1">
      <c r="A2372" s="82">
        <v>4</v>
      </c>
      <c r="B2372" s="83" t="s">
        <v>5770</v>
      </c>
      <c r="C2372" s="67" t="s">
        <v>7938</v>
      </c>
      <c r="D2372" s="91">
        <v>355700</v>
      </c>
      <c r="E2372" s="76">
        <v>13948.999999999998</v>
      </c>
      <c r="F2372" s="77" t="s">
        <v>10173</v>
      </c>
      <c r="G2372" s="22"/>
      <c r="H2372" s="22"/>
    </row>
    <row r="2373" spans="1:8" ht="13.35" customHeight="1">
      <c r="A2373" s="82">
        <v>4</v>
      </c>
      <c r="B2373" s="83" t="s">
        <v>2427</v>
      </c>
      <c r="C2373" s="67" t="s">
        <v>4511</v>
      </c>
      <c r="D2373" s="91">
        <v>2147900</v>
      </c>
      <c r="E2373" s="76">
        <v>84230.5</v>
      </c>
      <c r="F2373" s="77" t="s">
        <v>10173</v>
      </c>
      <c r="G2373" s="22"/>
      <c r="H2373" s="22"/>
    </row>
    <row r="2374" spans="1:8" ht="13.35" customHeight="1">
      <c r="A2374" s="82">
        <v>4</v>
      </c>
      <c r="B2374" s="83" t="s">
        <v>3163</v>
      </c>
      <c r="C2374" s="67" t="s">
        <v>7939</v>
      </c>
      <c r="D2374" s="91">
        <v>1655400</v>
      </c>
      <c r="E2374" s="76">
        <v>64916.499999999993</v>
      </c>
      <c r="F2374" s="77" t="s">
        <v>10173</v>
      </c>
      <c r="G2374" s="22"/>
      <c r="H2374" s="22"/>
    </row>
    <row r="2375" spans="1:8" ht="13.35" customHeight="1">
      <c r="A2375" s="82">
        <v>4</v>
      </c>
      <c r="B2375" s="83" t="s">
        <v>3164</v>
      </c>
      <c r="C2375" s="67" t="s">
        <v>7940</v>
      </c>
      <c r="D2375" s="91">
        <v>1190300</v>
      </c>
      <c r="E2375" s="76">
        <v>46675.5</v>
      </c>
      <c r="F2375" s="77" t="s">
        <v>10173</v>
      </c>
      <c r="G2375" s="22"/>
      <c r="H2375" s="22"/>
    </row>
    <row r="2376" spans="1:8" ht="13.35" customHeight="1">
      <c r="A2376" s="82">
        <v>4</v>
      </c>
      <c r="B2376" s="83" t="s">
        <v>2428</v>
      </c>
      <c r="C2376" s="67" t="s">
        <v>4512</v>
      </c>
      <c r="D2376" s="91">
        <v>1012400</v>
      </c>
      <c r="E2376" s="76">
        <v>39701</v>
      </c>
      <c r="F2376" s="77" t="s">
        <v>10173</v>
      </c>
      <c r="G2376" s="22"/>
      <c r="H2376" s="22"/>
    </row>
    <row r="2377" spans="1:8" ht="13.35" customHeight="1">
      <c r="A2377" s="82">
        <v>4</v>
      </c>
      <c r="B2377" s="83" t="s">
        <v>3312</v>
      </c>
      <c r="C2377" s="67" t="s">
        <v>7941</v>
      </c>
      <c r="D2377" s="91">
        <v>793500</v>
      </c>
      <c r="E2377" s="76">
        <v>31117</v>
      </c>
      <c r="F2377" s="77" t="s">
        <v>10173</v>
      </c>
      <c r="G2377" s="22"/>
      <c r="H2377" s="22"/>
    </row>
    <row r="2378" spans="1:8" ht="13.35" customHeight="1">
      <c r="A2378" s="82">
        <v>4</v>
      </c>
      <c r="B2378" s="83" t="s">
        <v>3313</v>
      </c>
      <c r="C2378" s="67" t="s">
        <v>7942</v>
      </c>
      <c r="D2378" s="91">
        <v>574600</v>
      </c>
      <c r="E2378" s="76">
        <v>22533</v>
      </c>
      <c r="F2378" s="77" t="s">
        <v>10173</v>
      </c>
      <c r="G2378" s="22"/>
      <c r="H2378" s="22"/>
    </row>
    <row r="2379" spans="1:8" ht="13.35" customHeight="1">
      <c r="A2379" s="82">
        <v>4</v>
      </c>
      <c r="B2379" s="83" t="s">
        <v>208</v>
      </c>
      <c r="C2379" s="67" t="s">
        <v>7943</v>
      </c>
      <c r="D2379" s="91">
        <v>1600700</v>
      </c>
      <c r="E2379" s="76">
        <v>62770.5</v>
      </c>
      <c r="F2379" s="77" t="s">
        <v>10173</v>
      </c>
      <c r="G2379" s="22"/>
      <c r="H2379" s="22"/>
    </row>
    <row r="2380" spans="1:8" ht="13.35" customHeight="1">
      <c r="A2380" s="82">
        <v>4</v>
      </c>
      <c r="B2380" s="83" t="s">
        <v>5730</v>
      </c>
      <c r="C2380" s="67" t="s">
        <v>7944</v>
      </c>
      <c r="D2380" s="91">
        <v>16417300</v>
      </c>
      <c r="E2380" s="76">
        <v>643800</v>
      </c>
      <c r="F2380" s="77" t="s">
        <v>10173</v>
      </c>
      <c r="G2380" s="22"/>
      <c r="H2380" s="22"/>
    </row>
    <row r="2381" spans="1:8" ht="13.35" customHeight="1">
      <c r="A2381" s="82">
        <v>4</v>
      </c>
      <c r="B2381" s="83" t="s">
        <v>5733</v>
      </c>
      <c r="C2381" s="67" t="s">
        <v>7945</v>
      </c>
      <c r="D2381" s="91">
        <v>41180100</v>
      </c>
      <c r="E2381" s="76">
        <v>1614865</v>
      </c>
      <c r="F2381" s="77" t="s">
        <v>10173</v>
      </c>
      <c r="G2381" s="22"/>
      <c r="H2381" s="22"/>
    </row>
    <row r="2382" spans="1:8" ht="13.35" customHeight="1">
      <c r="A2382" s="82">
        <v>4</v>
      </c>
      <c r="B2382" s="83" t="s">
        <v>5731</v>
      </c>
      <c r="C2382" s="67" t="s">
        <v>7946</v>
      </c>
      <c r="D2382" s="91">
        <v>69773500</v>
      </c>
      <c r="E2382" s="76">
        <v>2736150</v>
      </c>
      <c r="F2382" s="77" t="s">
        <v>10173</v>
      </c>
      <c r="G2382" s="22"/>
      <c r="H2382" s="22"/>
    </row>
    <row r="2383" spans="1:8" ht="13.35" customHeight="1">
      <c r="A2383" s="82">
        <v>4</v>
      </c>
      <c r="B2383" s="83" t="s">
        <v>5732</v>
      </c>
      <c r="C2383" s="67" t="s">
        <v>7947</v>
      </c>
      <c r="D2383" s="91">
        <v>175254600</v>
      </c>
      <c r="E2383" s="76">
        <v>6872565</v>
      </c>
      <c r="F2383" s="77" t="s">
        <v>10173</v>
      </c>
      <c r="G2383" s="22"/>
      <c r="H2383" s="22"/>
    </row>
    <row r="2384" spans="1:8" ht="13.35" customHeight="1">
      <c r="A2384" s="82">
        <v>4</v>
      </c>
      <c r="B2384" s="83" t="s">
        <v>5734</v>
      </c>
      <c r="C2384" s="67" t="s">
        <v>7948</v>
      </c>
      <c r="D2384" s="91">
        <v>12860200</v>
      </c>
      <c r="E2384" s="76">
        <v>504310</v>
      </c>
      <c r="F2384" s="77" t="s">
        <v>10173</v>
      </c>
      <c r="G2384" s="22"/>
      <c r="H2384" s="22"/>
    </row>
    <row r="2385" spans="1:8" ht="13.35" customHeight="1">
      <c r="A2385" s="82">
        <v>4</v>
      </c>
      <c r="B2385" s="67" t="s">
        <v>5792</v>
      </c>
      <c r="C2385" s="67" t="s">
        <v>7949</v>
      </c>
      <c r="D2385" s="91">
        <v>3475000</v>
      </c>
      <c r="E2385" s="76">
        <v>136271</v>
      </c>
      <c r="F2385" s="77" t="s">
        <v>10173</v>
      </c>
      <c r="G2385" s="22"/>
      <c r="H2385" s="22"/>
    </row>
    <row r="2386" spans="1:8" ht="13.35" customHeight="1">
      <c r="A2386" s="82">
        <v>4</v>
      </c>
      <c r="B2386" s="83" t="s">
        <v>7039</v>
      </c>
      <c r="C2386" s="67" t="s">
        <v>7950</v>
      </c>
      <c r="D2386" s="91">
        <v>1532300</v>
      </c>
      <c r="E2386" s="76">
        <v>60088</v>
      </c>
      <c r="F2386" s="77" t="s">
        <v>10173</v>
      </c>
      <c r="G2386" s="22"/>
      <c r="H2386" s="22"/>
    </row>
    <row r="2387" spans="1:8" ht="13.35" customHeight="1">
      <c r="A2387" s="82">
        <v>4</v>
      </c>
      <c r="B2387" s="83" t="s">
        <v>5313</v>
      </c>
      <c r="C2387" s="67" t="s">
        <v>5314</v>
      </c>
      <c r="D2387" s="91">
        <v>6430100</v>
      </c>
      <c r="E2387" s="76">
        <v>252155</v>
      </c>
      <c r="F2387" s="77" t="s">
        <v>10173</v>
      </c>
      <c r="G2387" s="22"/>
      <c r="H2387" s="22"/>
    </row>
    <row r="2388" spans="1:8" ht="13.35" customHeight="1">
      <c r="A2388" s="82">
        <v>4</v>
      </c>
      <c r="B2388" s="83" t="s">
        <v>4703</v>
      </c>
      <c r="C2388" s="67" t="s">
        <v>4704</v>
      </c>
      <c r="D2388" s="91">
        <v>1764900</v>
      </c>
      <c r="E2388" s="76">
        <v>69208.5</v>
      </c>
      <c r="F2388" s="77" t="s">
        <v>10173</v>
      </c>
      <c r="G2388" s="22"/>
      <c r="H2388" s="22"/>
    </row>
    <row r="2389" spans="1:8" ht="13.35" customHeight="1">
      <c r="A2389" s="82">
        <v>4</v>
      </c>
      <c r="B2389" s="83" t="s">
        <v>5781</v>
      </c>
      <c r="C2389" s="67" t="s">
        <v>7951</v>
      </c>
      <c r="D2389" s="91">
        <v>848200</v>
      </c>
      <c r="E2389" s="76">
        <v>33263</v>
      </c>
      <c r="F2389" s="77" t="s">
        <v>10173</v>
      </c>
      <c r="G2389" s="22"/>
      <c r="H2389" s="22"/>
    </row>
    <row r="2390" spans="1:8" ht="13.35" customHeight="1">
      <c r="A2390" s="82">
        <v>4</v>
      </c>
      <c r="B2390" s="83" t="s">
        <v>207</v>
      </c>
      <c r="C2390" s="67" t="s">
        <v>5399</v>
      </c>
      <c r="D2390" s="91">
        <v>16143700</v>
      </c>
      <c r="E2390" s="76">
        <v>633070</v>
      </c>
      <c r="F2390" s="77" t="s">
        <v>10173</v>
      </c>
      <c r="G2390" s="22"/>
      <c r="H2390" s="22"/>
    </row>
    <row r="2391" spans="1:8" ht="13.35" customHeight="1">
      <c r="A2391" s="82">
        <v>4</v>
      </c>
      <c r="B2391" s="83" t="s">
        <v>206</v>
      </c>
      <c r="C2391" s="67" t="s">
        <v>5400</v>
      </c>
      <c r="D2391" s="91">
        <v>12107800</v>
      </c>
      <c r="E2391" s="76">
        <v>474802.5</v>
      </c>
      <c r="F2391" s="77" t="s">
        <v>10173</v>
      </c>
      <c r="G2391" s="22"/>
      <c r="H2391" s="22"/>
    </row>
    <row r="2392" spans="1:8" ht="13.35" customHeight="1">
      <c r="A2392" s="82">
        <v>4</v>
      </c>
      <c r="B2392" s="83" t="s">
        <v>2083</v>
      </c>
      <c r="C2392" s="67" t="s">
        <v>5401</v>
      </c>
      <c r="D2392" s="91">
        <v>21342500</v>
      </c>
      <c r="E2392" s="76">
        <v>836940.00000000012</v>
      </c>
      <c r="F2392" s="77" t="s">
        <v>10173</v>
      </c>
      <c r="G2392" s="22"/>
      <c r="H2392" s="22"/>
    </row>
    <row r="2393" spans="1:8" ht="13.35" customHeight="1">
      <c r="A2393" s="82">
        <v>4</v>
      </c>
      <c r="B2393" s="83" t="s">
        <v>2082</v>
      </c>
      <c r="C2393" s="67" t="s">
        <v>5402</v>
      </c>
      <c r="D2393" s="91">
        <v>7729800</v>
      </c>
      <c r="E2393" s="76">
        <v>303122.5</v>
      </c>
      <c r="F2393" s="77" t="s">
        <v>10173</v>
      </c>
      <c r="G2393" s="22"/>
      <c r="H2393" s="22"/>
    </row>
    <row r="2394" spans="1:8" ht="13.35" customHeight="1">
      <c r="A2394" s="82">
        <v>4</v>
      </c>
      <c r="B2394" s="83" t="s">
        <v>2378</v>
      </c>
      <c r="C2394" s="67" t="s">
        <v>2486</v>
      </c>
      <c r="D2394" s="91">
        <v>22163300</v>
      </c>
      <c r="E2394" s="76">
        <v>869130</v>
      </c>
      <c r="F2394" s="77" t="s">
        <v>10173</v>
      </c>
      <c r="G2394" s="22"/>
      <c r="H2394" s="22"/>
    </row>
    <row r="2395" spans="1:8" ht="13.35" customHeight="1">
      <c r="A2395" s="82">
        <v>4</v>
      </c>
      <c r="B2395" s="83" t="s">
        <v>2377</v>
      </c>
      <c r="C2395" s="67" t="s">
        <v>2485</v>
      </c>
      <c r="D2395" s="91">
        <v>8071800</v>
      </c>
      <c r="E2395" s="76">
        <v>316535</v>
      </c>
      <c r="F2395" s="77" t="s">
        <v>10173</v>
      </c>
      <c r="G2395" s="22"/>
      <c r="H2395" s="22"/>
    </row>
    <row r="2396" spans="1:8" ht="13.35" customHeight="1">
      <c r="A2396" s="82">
        <v>4</v>
      </c>
      <c r="B2396" s="83" t="s">
        <v>2379</v>
      </c>
      <c r="C2396" s="67" t="s">
        <v>2487</v>
      </c>
      <c r="D2396" s="91">
        <v>17717000</v>
      </c>
      <c r="E2396" s="76">
        <v>694767.5</v>
      </c>
      <c r="F2396" s="77" t="s">
        <v>10173</v>
      </c>
      <c r="G2396" s="22"/>
      <c r="H2396" s="22"/>
    </row>
    <row r="2397" spans="1:8" ht="13.35" customHeight="1">
      <c r="A2397" s="82">
        <v>4</v>
      </c>
      <c r="B2397" s="83" t="s">
        <v>2380</v>
      </c>
      <c r="C2397" s="67" t="s">
        <v>2381</v>
      </c>
      <c r="D2397" s="91">
        <v>16896100</v>
      </c>
      <c r="E2397" s="76">
        <v>662577.5</v>
      </c>
      <c r="F2397" s="77" t="s">
        <v>10173</v>
      </c>
      <c r="G2397" s="22"/>
      <c r="H2397" s="22"/>
    </row>
    <row r="2398" spans="1:8" ht="13.35" customHeight="1">
      <c r="A2398" s="82">
        <v>4</v>
      </c>
      <c r="B2398" s="83" t="s">
        <v>4699</v>
      </c>
      <c r="C2398" s="67" t="s">
        <v>4700</v>
      </c>
      <c r="D2398" s="91">
        <v>1162900</v>
      </c>
      <c r="E2398" s="76">
        <v>45602.5</v>
      </c>
      <c r="F2398" s="77" t="s">
        <v>10173</v>
      </c>
      <c r="G2398" s="22"/>
      <c r="H2398" s="22"/>
    </row>
    <row r="2399" spans="1:8" ht="13.35" customHeight="1">
      <c r="A2399" s="82">
        <v>4</v>
      </c>
      <c r="B2399" s="83" t="s">
        <v>4697</v>
      </c>
      <c r="C2399" s="67" t="s">
        <v>4698</v>
      </c>
      <c r="D2399" s="91">
        <v>1026100</v>
      </c>
      <c r="E2399" s="76">
        <v>40237.5</v>
      </c>
      <c r="F2399" s="77" t="s">
        <v>10173</v>
      </c>
      <c r="G2399" s="22"/>
      <c r="H2399" s="22"/>
    </row>
    <row r="2400" spans="1:8" ht="13.35" customHeight="1">
      <c r="A2400" s="82">
        <v>4</v>
      </c>
      <c r="B2400" s="83" t="s">
        <v>5297</v>
      </c>
      <c r="C2400" s="67" t="s">
        <v>5298</v>
      </c>
      <c r="D2400" s="91">
        <v>36090700</v>
      </c>
      <c r="E2400" s="76">
        <v>1415287</v>
      </c>
      <c r="F2400" s="77" t="s">
        <v>10173</v>
      </c>
      <c r="G2400" s="22"/>
      <c r="H2400" s="22"/>
    </row>
    <row r="2401" spans="1:8" ht="13.35" customHeight="1">
      <c r="A2401" s="82">
        <v>4</v>
      </c>
      <c r="B2401" s="83" t="s">
        <v>5299</v>
      </c>
      <c r="C2401" s="67" t="s">
        <v>5300</v>
      </c>
      <c r="D2401" s="91">
        <v>144335400</v>
      </c>
      <c r="E2401" s="76">
        <v>5660075</v>
      </c>
      <c r="F2401" s="77" t="s">
        <v>10173</v>
      </c>
      <c r="G2401" s="22"/>
      <c r="H2401" s="22"/>
    </row>
    <row r="2402" spans="1:8" ht="13.35" customHeight="1">
      <c r="A2402" s="82">
        <v>4</v>
      </c>
      <c r="B2402" s="67" t="s">
        <v>5778</v>
      </c>
      <c r="C2402" s="67" t="s">
        <v>7952</v>
      </c>
      <c r="D2402" s="91">
        <v>4377900</v>
      </c>
      <c r="E2402" s="76">
        <v>171680</v>
      </c>
      <c r="F2402" s="77" t="s">
        <v>10173</v>
      </c>
      <c r="G2402" s="22"/>
      <c r="H2402" s="22"/>
    </row>
    <row r="2403" spans="1:8" ht="13.35" customHeight="1">
      <c r="A2403" s="82">
        <v>4</v>
      </c>
      <c r="B2403" s="67" t="s">
        <v>5777</v>
      </c>
      <c r="C2403" s="67" t="s">
        <v>7953</v>
      </c>
      <c r="D2403" s="91">
        <v>11834100</v>
      </c>
      <c r="E2403" s="76">
        <v>464072.5</v>
      </c>
      <c r="F2403" s="77" t="s">
        <v>10173</v>
      </c>
      <c r="G2403" s="22"/>
      <c r="H2403" s="22"/>
    </row>
    <row r="2404" spans="1:8" ht="13.35" customHeight="1">
      <c r="A2404" s="82">
        <v>4</v>
      </c>
      <c r="B2404" s="67" t="s">
        <v>5776</v>
      </c>
      <c r="C2404" s="67" t="s">
        <v>7954</v>
      </c>
      <c r="D2404" s="91">
        <v>4104300</v>
      </c>
      <c r="E2404" s="76">
        <v>160950</v>
      </c>
      <c r="F2404" s="77" t="s">
        <v>10173</v>
      </c>
      <c r="G2404" s="22"/>
      <c r="H2404" s="22"/>
    </row>
    <row r="2405" spans="1:8" ht="13.35" customHeight="1">
      <c r="A2405" s="82">
        <v>4</v>
      </c>
      <c r="B2405" s="67" t="s">
        <v>5775</v>
      </c>
      <c r="C2405" s="67" t="s">
        <v>7955</v>
      </c>
      <c r="D2405" s="91">
        <v>11150100</v>
      </c>
      <c r="E2405" s="76">
        <v>437247.5</v>
      </c>
      <c r="F2405" s="77" t="s">
        <v>10173</v>
      </c>
      <c r="G2405" s="22"/>
      <c r="H2405" s="22"/>
    </row>
    <row r="2406" spans="1:8" ht="13.35" customHeight="1">
      <c r="A2406" s="82">
        <v>4</v>
      </c>
      <c r="B2406" s="83" t="s">
        <v>4517</v>
      </c>
      <c r="C2406" s="67" t="s">
        <v>5323</v>
      </c>
      <c r="D2406" s="91">
        <v>66394300</v>
      </c>
      <c r="E2406" s="76">
        <v>2603634.5</v>
      </c>
      <c r="F2406" s="77" t="s">
        <v>10173</v>
      </c>
      <c r="G2406" s="22"/>
      <c r="H2406" s="22"/>
    </row>
    <row r="2407" spans="1:8" ht="13.35" customHeight="1">
      <c r="A2407" s="82">
        <v>4</v>
      </c>
      <c r="B2407" s="83" t="s">
        <v>4516</v>
      </c>
      <c r="C2407" s="67" t="s">
        <v>5322</v>
      </c>
      <c r="D2407" s="91">
        <v>53410900</v>
      </c>
      <c r="E2407" s="76">
        <v>2094496</v>
      </c>
      <c r="F2407" s="77" t="s">
        <v>10173</v>
      </c>
      <c r="G2407" s="22"/>
      <c r="H2407" s="22"/>
    </row>
    <row r="2408" spans="1:8" ht="13.35" customHeight="1">
      <c r="A2408" s="82">
        <v>4</v>
      </c>
      <c r="B2408" s="83" t="s">
        <v>4247</v>
      </c>
      <c r="C2408" s="67" t="s">
        <v>5324</v>
      </c>
      <c r="D2408" s="91">
        <v>44750800</v>
      </c>
      <c r="E2408" s="76">
        <v>1754891.5</v>
      </c>
      <c r="F2408" s="77" t="s">
        <v>10173</v>
      </c>
      <c r="G2408" s="22"/>
      <c r="H2408" s="22"/>
    </row>
    <row r="2409" spans="1:8" ht="13.35" customHeight="1">
      <c r="A2409" s="82">
        <v>4</v>
      </c>
      <c r="B2409" s="83" t="s">
        <v>2979</v>
      </c>
      <c r="C2409" s="67" t="s">
        <v>5328</v>
      </c>
      <c r="D2409" s="91">
        <v>39702500</v>
      </c>
      <c r="E2409" s="76">
        <v>1556923</v>
      </c>
      <c r="F2409" s="77" t="s">
        <v>10173</v>
      </c>
      <c r="G2409" s="22"/>
      <c r="H2409" s="22"/>
    </row>
    <row r="2410" spans="1:8" ht="13.35" customHeight="1">
      <c r="A2410" s="82">
        <v>4</v>
      </c>
      <c r="B2410" s="83" t="s">
        <v>2978</v>
      </c>
      <c r="C2410" s="67" t="s">
        <v>5327</v>
      </c>
      <c r="D2410" s="91">
        <v>33135600</v>
      </c>
      <c r="E2410" s="76">
        <v>1299403</v>
      </c>
      <c r="F2410" s="77" t="s">
        <v>10173</v>
      </c>
      <c r="G2410" s="22"/>
      <c r="H2410" s="22"/>
    </row>
    <row r="2411" spans="1:8" ht="13.35" customHeight="1">
      <c r="A2411" s="82">
        <v>4</v>
      </c>
      <c r="B2411" s="83" t="s">
        <v>2977</v>
      </c>
      <c r="C2411" s="67" t="s">
        <v>5326</v>
      </c>
      <c r="D2411" s="91">
        <v>26472900</v>
      </c>
      <c r="E2411" s="76">
        <v>1038127.5000000001</v>
      </c>
      <c r="F2411" s="77" t="s">
        <v>10173</v>
      </c>
      <c r="G2411" s="22"/>
      <c r="H2411" s="22"/>
    </row>
    <row r="2412" spans="1:8" ht="13.35" customHeight="1">
      <c r="A2412" s="82">
        <v>4</v>
      </c>
      <c r="B2412" s="83" t="s">
        <v>4515</v>
      </c>
      <c r="C2412" s="67" t="s">
        <v>5321</v>
      </c>
      <c r="D2412" s="91">
        <v>16554100</v>
      </c>
      <c r="E2412" s="76">
        <v>649165</v>
      </c>
      <c r="F2412" s="77" t="s">
        <v>10173</v>
      </c>
      <c r="G2412" s="22"/>
      <c r="H2412" s="22"/>
    </row>
    <row r="2413" spans="1:8" ht="13.35" customHeight="1">
      <c r="A2413" s="82">
        <v>4</v>
      </c>
      <c r="B2413" s="83" t="s">
        <v>2976</v>
      </c>
      <c r="C2413" s="67" t="s">
        <v>5325</v>
      </c>
      <c r="D2413" s="91">
        <v>13243300</v>
      </c>
      <c r="E2413" s="76">
        <v>519331.99999999994</v>
      </c>
      <c r="F2413" s="77" t="s">
        <v>10173</v>
      </c>
      <c r="G2413" s="22"/>
      <c r="H2413" s="22"/>
    </row>
    <row r="2414" spans="1:8" ht="13.35" customHeight="1">
      <c r="A2414" s="82">
        <v>4</v>
      </c>
      <c r="B2414" s="83" t="s">
        <v>4513</v>
      </c>
      <c r="C2414" s="67" t="s">
        <v>4514</v>
      </c>
      <c r="D2414" s="91">
        <v>9275800</v>
      </c>
      <c r="E2414" s="76">
        <v>363747</v>
      </c>
      <c r="F2414" s="77" t="s">
        <v>10173</v>
      </c>
      <c r="G2414" s="22"/>
      <c r="H2414" s="22"/>
    </row>
    <row r="2415" spans="1:8" ht="13.35" customHeight="1">
      <c r="A2415" s="82">
        <v>4</v>
      </c>
      <c r="B2415" s="83" t="s">
        <v>5319</v>
      </c>
      <c r="C2415" s="67" t="s">
        <v>5320</v>
      </c>
      <c r="D2415" s="91">
        <v>6908900</v>
      </c>
      <c r="E2415" s="76">
        <v>270932.5</v>
      </c>
      <c r="F2415" s="77" t="s">
        <v>10173</v>
      </c>
      <c r="G2415" s="22"/>
      <c r="H2415" s="22"/>
    </row>
    <row r="2416" spans="1:8" ht="13.35" customHeight="1">
      <c r="A2416" s="82">
        <v>4</v>
      </c>
      <c r="B2416" s="83" t="s">
        <v>3314</v>
      </c>
      <c r="C2416" s="67" t="s">
        <v>3315</v>
      </c>
      <c r="D2416" s="91">
        <v>793500</v>
      </c>
      <c r="E2416" s="76">
        <v>31117</v>
      </c>
      <c r="F2416" s="77" t="s">
        <v>10173</v>
      </c>
      <c r="G2416" s="22"/>
      <c r="H2416" s="22"/>
    </row>
    <row r="2417" spans="1:8" ht="13.35" customHeight="1">
      <c r="A2417" s="82">
        <v>4</v>
      </c>
      <c r="B2417" s="83" t="s">
        <v>3956</v>
      </c>
      <c r="C2417" s="67" t="s">
        <v>4060</v>
      </c>
      <c r="D2417" s="91">
        <v>17101400</v>
      </c>
      <c r="E2417" s="76">
        <v>670625</v>
      </c>
      <c r="F2417" s="77" t="s">
        <v>10173</v>
      </c>
      <c r="G2417" s="22"/>
      <c r="H2417" s="22"/>
    </row>
    <row r="2418" spans="1:8" ht="13.35" customHeight="1">
      <c r="A2418" s="82">
        <v>4</v>
      </c>
      <c r="B2418" s="83" t="s">
        <v>2955</v>
      </c>
      <c r="C2418" s="67" t="s">
        <v>2956</v>
      </c>
      <c r="D2418" s="91">
        <v>9371500</v>
      </c>
      <c r="E2418" s="76">
        <v>367502.5</v>
      </c>
      <c r="F2418" s="77" t="s">
        <v>10173</v>
      </c>
      <c r="G2418" s="22"/>
      <c r="H2418" s="22"/>
    </row>
    <row r="2419" spans="1:8" ht="13.35" customHeight="1">
      <c r="A2419" s="82">
        <v>4</v>
      </c>
      <c r="B2419" s="83" t="s">
        <v>2953</v>
      </c>
      <c r="C2419" s="67" t="s">
        <v>2954</v>
      </c>
      <c r="D2419" s="91">
        <v>6772100</v>
      </c>
      <c r="E2419" s="76">
        <v>265567.5</v>
      </c>
      <c r="F2419" s="77" t="s">
        <v>10173</v>
      </c>
      <c r="G2419" s="22"/>
      <c r="H2419" s="22"/>
    </row>
    <row r="2420" spans="1:8" ht="13.35" customHeight="1">
      <c r="A2420" s="82">
        <v>4</v>
      </c>
      <c r="B2420" s="83" t="s">
        <v>2951</v>
      </c>
      <c r="C2420" s="67" t="s">
        <v>2952</v>
      </c>
      <c r="D2420" s="91">
        <v>4514800</v>
      </c>
      <c r="E2420" s="76">
        <v>177045</v>
      </c>
      <c r="F2420" s="77" t="s">
        <v>10173</v>
      </c>
      <c r="G2420" s="22"/>
      <c r="H2420" s="22"/>
    </row>
    <row r="2421" spans="1:8" ht="13.35" customHeight="1">
      <c r="A2421" s="82">
        <v>4</v>
      </c>
      <c r="B2421" s="83" t="s">
        <v>3951</v>
      </c>
      <c r="C2421" s="67" t="s">
        <v>4061</v>
      </c>
      <c r="D2421" s="91">
        <v>17101400</v>
      </c>
      <c r="E2421" s="76">
        <v>670625</v>
      </c>
      <c r="F2421" s="77" t="s">
        <v>10173</v>
      </c>
      <c r="G2421" s="22"/>
      <c r="H2421" s="22"/>
    </row>
    <row r="2422" spans="1:8" ht="13.35" customHeight="1">
      <c r="A2422" s="82">
        <v>4</v>
      </c>
      <c r="B2422" s="83" t="s">
        <v>1095</v>
      </c>
      <c r="C2422" s="67" t="s">
        <v>5318</v>
      </c>
      <c r="D2422" s="91">
        <v>259900</v>
      </c>
      <c r="E2422" s="76">
        <v>10193.5</v>
      </c>
      <c r="F2422" s="77" t="s">
        <v>10173</v>
      </c>
      <c r="G2422" s="22"/>
      <c r="H2422" s="22"/>
    </row>
    <row r="2423" spans="1:8" ht="13.35" customHeight="1">
      <c r="A2423" s="82">
        <v>4</v>
      </c>
      <c r="B2423" s="83" t="s">
        <v>1071</v>
      </c>
      <c r="C2423" s="67" t="s">
        <v>1072</v>
      </c>
      <c r="D2423" s="91">
        <v>259900</v>
      </c>
      <c r="E2423" s="76">
        <v>10193.5</v>
      </c>
      <c r="F2423" s="77" t="s">
        <v>10173</v>
      </c>
      <c r="G2423" s="22"/>
      <c r="H2423" s="22"/>
    </row>
    <row r="2424" spans="1:8" ht="13.35" customHeight="1">
      <c r="A2424" s="82">
        <v>4</v>
      </c>
      <c r="B2424" s="83" t="s">
        <v>3864</v>
      </c>
      <c r="C2424" s="67" t="s">
        <v>3865</v>
      </c>
      <c r="D2424" s="91">
        <v>7223600</v>
      </c>
      <c r="E2424" s="76">
        <v>283272</v>
      </c>
      <c r="F2424" s="77" t="s">
        <v>10173</v>
      </c>
      <c r="G2424" s="22"/>
      <c r="H2424" s="22"/>
    </row>
    <row r="2425" spans="1:8" ht="13.35" customHeight="1">
      <c r="A2425" s="82">
        <v>4</v>
      </c>
      <c r="B2425" s="83" t="s">
        <v>3860</v>
      </c>
      <c r="C2425" s="67" t="s">
        <v>3861</v>
      </c>
      <c r="D2425" s="91">
        <v>4336900</v>
      </c>
      <c r="E2425" s="76">
        <v>170070.5</v>
      </c>
      <c r="F2425" s="77" t="s">
        <v>10173</v>
      </c>
      <c r="G2425" s="22"/>
      <c r="H2425" s="22"/>
    </row>
    <row r="2426" spans="1:8" ht="13.35" customHeight="1">
      <c r="A2426" s="82">
        <v>4</v>
      </c>
      <c r="B2426" s="83" t="s">
        <v>3852</v>
      </c>
      <c r="C2426" s="67" t="s">
        <v>3853</v>
      </c>
      <c r="D2426" s="91">
        <v>4336900</v>
      </c>
      <c r="E2426" s="76">
        <v>170070.5</v>
      </c>
      <c r="F2426" s="77" t="s">
        <v>10173</v>
      </c>
      <c r="G2426" s="22"/>
      <c r="H2426" s="22"/>
    </row>
    <row r="2427" spans="1:8" ht="13.35" customHeight="1">
      <c r="A2427" s="82">
        <v>4</v>
      </c>
      <c r="B2427" s="83" t="s">
        <v>3850</v>
      </c>
      <c r="C2427" s="67" t="s">
        <v>3851</v>
      </c>
      <c r="D2427" s="91">
        <v>3625500</v>
      </c>
      <c r="E2427" s="76">
        <v>142172.5</v>
      </c>
      <c r="F2427" s="77" t="s">
        <v>10173</v>
      </c>
      <c r="G2427" s="22"/>
      <c r="H2427" s="22"/>
    </row>
    <row r="2428" spans="1:8" ht="13.35" customHeight="1">
      <c r="A2428" s="82">
        <v>4</v>
      </c>
      <c r="B2428" s="83" t="s">
        <v>3862</v>
      </c>
      <c r="C2428" s="67" t="s">
        <v>3863</v>
      </c>
      <c r="D2428" s="91">
        <v>2531000</v>
      </c>
      <c r="E2428" s="76">
        <v>99252.5</v>
      </c>
      <c r="F2428" s="77" t="s">
        <v>10173</v>
      </c>
      <c r="G2428" s="22"/>
      <c r="H2428" s="22"/>
    </row>
    <row r="2429" spans="1:8" ht="13.35" customHeight="1">
      <c r="A2429" s="82">
        <v>4</v>
      </c>
      <c r="B2429" s="83" t="s">
        <v>3848</v>
      </c>
      <c r="C2429" s="67" t="s">
        <v>3849</v>
      </c>
      <c r="D2429" s="91">
        <v>2531000</v>
      </c>
      <c r="E2429" s="76">
        <v>99252.5</v>
      </c>
      <c r="F2429" s="77" t="s">
        <v>10173</v>
      </c>
      <c r="G2429" s="22"/>
      <c r="H2429" s="22"/>
    </row>
    <row r="2430" spans="1:8" ht="13.35" customHeight="1">
      <c r="A2430" s="82">
        <v>4</v>
      </c>
      <c r="B2430" s="83" t="s">
        <v>3858</v>
      </c>
      <c r="C2430" s="67" t="s">
        <v>3859</v>
      </c>
      <c r="D2430" s="91">
        <v>1805900</v>
      </c>
      <c r="E2430" s="76">
        <v>70818</v>
      </c>
      <c r="F2430" s="77" t="s">
        <v>10173</v>
      </c>
      <c r="G2430" s="22"/>
      <c r="H2430" s="22"/>
    </row>
    <row r="2431" spans="1:8" ht="13.35" customHeight="1">
      <c r="A2431" s="82">
        <v>4</v>
      </c>
      <c r="B2431" s="83" t="s">
        <v>4590</v>
      </c>
      <c r="C2431" s="67" t="s">
        <v>4591</v>
      </c>
      <c r="D2431" s="91">
        <v>1436500</v>
      </c>
      <c r="E2431" s="76">
        <v>56332.5</v>
      </c>
      <c r="F2431" s="77" t="s">
        <v>10173</v>
      </c>
      <c r="G2431" s="22"/>
      <c r="H2431" s="22"/>
    </row>
    <row r="2432" spans="1:8" ht="13.35" customHeight="1">
      <c r="A2432" s="82">
        <v>4</v>
      </c>
      <c r="B2432" s="83" t="s">
        <v>3856</v>
      </c>
      <c r="C2432" s="67" t="s">
        <v>3857</v>
      </c>
      <c r="D2432" s="91">
        <v>1436500</v>
      </c>
      <c r="E2432" s="76">
        <v>56332.5</v>
      </c>
      <c r="F2432" s="77" t="s">
        <v>10173</v>
      </c>
      <c r="G2432" s="22"/>
      <c r="H2432" s="22"/>
    </row>
    <row r="2433" spans="1:8" ht="13.35" customHeight="1">
      <c r="A2433" s="82">
        <v>4</v>
      </c>
      <c r="B2433" s="83" t="s">
        <v>3854</v>
      </c>
      <c r="C2433" s="67" t="s">
        <v>3855</v>
      </c>
      <c r="D2433" s="91">
        <v>725100</v>
      </c>
      <c r="E2433" s="76">
        <v>28434.5</v>
      </c>
      <c r="F2433" s="77" t="s">
        <v>10173</v>
      </c>
      <c r="G2433" s="22"/>
      <c r="H2433" s="22"/>
    </row>
    <row r="2434" spans="1:8" ht="13.35" customHeight="1">
      <c r="A2434" s="82">
        <v>4</v>
      </c>
      <c r="B2434" s="83" t="s">
        <v>204</v>
      </c>
      <c r="C2434" s="67" t="s">
        <v>617</v>
      </c>
      <c r="D2434" s="91">
        <v>8413900</v>
      </c>
      <c r="E2434" s="76">
        <v>329947.5</v>
      </c>
      <c r="F2434" s="77" t="s">
        <v>10173</v>
      </c>
      <c r="G2434" s="22"/>
      <c r="H2434" s="22"/>
    </row>
    <row r="2435" spans="1:8" ht="13.35" customHeight="1">
      <c r="A2435" s="82">
        <v>4</v>
      </c>
      <c r="B2435" s="83" t="s">
        <v>205</v>
      </c>
      <c r="C2435" s="67" t="s">
        <v>618</v>
      </c>
      <c r="D2435" s="91">
        <v>12586600</v>
      </c>
      <c r="E2435" s="76">
        <v>493579.99999999994</v>
      </c>
      <c r="F2435" s="77" t="s">
        <v>10173</v>
      </c>
      <c r="G2435" s="22"/>
      <c r="H2435" s="22"/>
    </row>
    <row r="2436" spans="1:8" ht="13.35" customHeight="1">
      <c r="A2436" s="82">
        <v>4</v>
      </c>
      <c r="B2436" s="67" t="s">
        <v>5787</v>
      </c>
      <c r="C2436" s="67" t="s">
        <v>7960</v>
      </c>
      <c r="D2436" s="91">
        <v>180453400</v>
      </c>
      <c r="E2436" s="76">
        <v>7076435</v>
      </c>
      <c r="F2436" s="77" t="s">
        <v>10173</v>
      </c>
      <c r="G2436" s="22"/>
      <c r="H2436" s="22"/>
    </row>
    <row r="2437" spans="1:8" ht="13.35" customHeight="1">
      <c r="A2437" s="82">
        <v>4</v>
      </c>
      <c r="B2437" s="67" t="s">
        <v>5782</v>
      </c>
      <c r="C2437" s="67" t="s">
        <v>7961</v>
      </c>
      <c r="D2437" s="91">
        <v>25310000</v>
      </c>
      <c r="E2437" s="76">
        <v>992525</v>
      </c>
      <c r="F2437" s="77" t="s">
        <v>10173</v>
      </c>
      <c r="G2437" s="22"/>
      <c r="H2437" s="22"/>
    </row>
    <row r="2438" spans="1:8" ht="13.35" customHeight="1">
      <c r="A2438" s="82">
        <v>4</v>
      </c>
      <c r="B2438" s="83" t="s">
        <v>3729</v>
      </c>
      <c r="C2438" s="67" t="s">
        <v>4387</v>
      </c>
      <c r="D2438" s="91">
        <v>1299700</v>
      </c>
      <c r="E2438" s="76">
        <v>50967.5</v>
      </c>
      <c r="F2438" s="77" t="s">
        <v>10173</v>
      </c>
      <c r="G2438" s="22"/>
      <c r="H2438" s="22"/>
    </row>
    <row r="2439" spans="1:8" ht="13.35" customHeight="1">
      <c r="A2439" s="82">
        <v>4</v>
      </c>
      <c r="B2439" s="83" t="s">
        <v>4242</v>
      </c>
      <c r="C2439" s="67" t="s">
        <v>4243</v>
      </c>
      <c r="D2439" s="91">
        <v>1012400</v>
      </c>
      <c r="E2439" s="76">
        <v>39701</v>
      </c>
      <c r="F2439" s="77" t="s">
        <v>10173</v>
      </c>
      <c r="G2439" s="22"/>
      <c r="H2439" s="22"/>
    </row>
    <row r="2440" spans="1:8" ht="13.35" customHeight="1">
      <c r="A2440" s="82">
        <v>4</v>
      </c>
      <c r="B2440" s="83" t="s">
        <v>4729</v>
      </c>
      <c r="C2440" s="67" t="s">
        <v>4244</v>
      </c>
      <c r="D2440" s="91">
        <v>861900</v>
      </c>
      <c r="E2440" s="76">
        <v>33799.5</v>
      </c>
      <c r="F2440" s="77" t="s">
        <v>10173</v>
      </c>
      <c r="G2440" s="22"/>
      <c r="H2440" s="22"/>
    </row>
    <row r="2441" spans="1:8" ht="13.35" customHeight="1">
      <c r="A2441" s="82">
        <v>4</v>
      </c>
      <c r="B2441" s="83" t="s">
        <v>2957</v>
      </c>
      <c r="C2441" s="67" t="s">
        <v>2958</v>
      </c>
      <c r="D2441" s="91">
        <v>90213000</v>
      </c>
      <c r="E2441" s="76">
        <v>3537680.9999999995</v>
      </c>
      <c r="F2441" s="77" t="s">
        <v>10173</v>
      </c>
      <c r="G2441" s="22"/>
      <c r="H2441" s="22"/>
    </row>
    <row r="2442" spans="1:8" ht="13.35" customHeight="1">
      <c r="A2442" s="82">
        <v>4</v>
      </c>
      <c r="B2442" s="83" t="s">
        <v>2959</v>
      </c>
      <c r="C2442" s="67" t="s">
        <v>2960</v>
      </c>
      <c r="D2442" s="91">
        <v>88407100</v>
      </c>
      <c r="E2442" s="76">
        <v>3466863</v>
      </c>
      <c r="F2442" s="77" t="s">
        <v>10173</v>
      </c>
      <c r="G2442" s="22"/>
      <c r="H2442" s="22"/>
    </row>
    <row r="2443" spans="1:8" ht="13.35" customHeight="1">
      <c r="A2443" s="82">
        <v>4</v>
      </c>
      <c r="B2443" s="83" t="s">
        <v>2961</v>
      </c>
      <c r="C2443" s="67" t="s">
        <v>2962</v>
      </c>
      <c r="D2443" s="91">
        <v>180453400</v>
      </c>
      <c r="E2443" s="76">
        <v>7076435</v>
      </c>
      <c r="F2443" s="77" t="s">
        <v>10173</v>
      </c>
      <c r="G2443" s="22"/>
      <c r="H2443" s="22"/>
    </row>
    <row r="2444" spans="1:8" ht="13.35" customHeight="1">
      <c r="A2444" s="82">
        <v>4</v>
      </c>
      <c r="B2444" s="83" t="s">
        <v>4705</v>
      </c>
      <c r="C2444" s="67" t="s">
        <v>4706</v>
      </c>
      <c r="D2444" s="91">
        <v>40413900</v>
      </c>
      <c r="E2444" s="76">
        <v>1584821</v>
      </c>
      <c r="F2444" s="77" t="s">
        <v>10173</v>
      </c>
      <c r="G2444" s="22"/>
      <c r="H2444" s="22"/>
    </row>
    <row r="2445" spans="1:8" ht="13.35" customHeight="1">
      <c r="A2445" s="82">
        <v>4</v>
      </c>
      <c r="B2445" s="83" t="s">
        <v>2965</v>
      </c>
      <c r="C2445" s="67" t="s">
        <v>2966</v>
      </c>
      <c r="D2445" s="91">
        <v>25310000</v>
      </c>
      <c r="E2445" s="76">
        <v>992525</v>
      </c>
      <c r="F2445" s="77" t="s">
        <v>10173</v>
      </c>
      <c r="G2445" s="22"/>
      <c r="H2445" s="22"/>
    </row>
    <row r="2446" spans="1:8" ht="13.35" customHeight="1">
      <c r="A2446" s="82">
        <v>4</v>
      </c>
      <c r="B2446" s="83" t="s">
        <v>2963</v>
      </c>
      <c r="C2446" s="67" t="s">
        <v>2964</v>
      </c>
      <c r="D2446" s="91">
        <v>14433500</v>
      </c>
      <c r="E2446" s="76">
        <v>566007.5</v>
      </c>
      <c r="F2446" s="77" t="s">
        <v>10173</v>
      </c>
      <c r="G2446" s="22"/>
      <c r="H2446" s="22"/>
    </row>
    <row r="2447" spans="1:8" ht="13.35" customHeight="1">
      <c r="A2447" s="82">
        <v>4</v>
      </c>
      <c r="B2447" s="83" t="s">
        <v>4707</v>
      </c>
      <c r="C2447" s="67" t="s">
        <v>4708</v>
      </c>
      <c r="D2447" s="91">
        <v>25310000</v>
      </c>
      <c r="E2447" s="76">
        <v>992525</v>
      </c>
      <c r="F2447" s="77" t="s">
        <v>10173</v>
      </c>
      <c r="G2447" s="22"/>
      <c r="H2447" s="22"/>
    </row>
    <row r="2448" spans="1:8" ht="13.35" customHeight="1">
      <c r="A2448" s="82">
        <v>4</v>
      </c>
      <c r="B2448" s="83" t="s">
        <v>2967</v>
      </c>
      <c r="C2448" s="67" t="s">
        <v>2968</v>
      </c>
      <c r="D2448" s="91">
        <v>14433500</v>
      </c>
      <c r="E2448" s="76">
        <v>566007.5</v>
      </c>
      <c r="F2448" s="77" t="s">
        <v>10173</v>
      </c>
      <c r="G2448" s="22"/>
      <c r="H2448" s="22"/>
    </row>
    <row r="2449" spans="1:8" ht="13.35" customHeight="1">
      <c r="A2449" s="82">
        <v>4</v>
      </c>
      <c r="B2449" s="83" t="s">
        <v>2969</v>
      </c>
      <c r="C2449" s="67" t="s">
        <v>2970</v>
      </c>
      <c r="D2449" s="91">
        <v>14433500</v>
      </c>
      <c r="E2449" s="76">
        <v>566007.5</v>
      </c>
      <c r="F2449" s="77" t="s">
        <v>10173</v>
      </c>
      <c r="G2449" s="22"/>
      <c r="H2449" s="22"/>
    </row>
    <row r="2450" spans="1:8" ht="13.35" customHeight="1">
      <c r="A2450" s="82">
        <v>4</v>
      </c>
      <c r="B2450" s="83" t="s">
        <v>3306</v>
      </c>
      <c r="C2450" s="67" t="s">
        <v>3307</v>
      </c>
      <c r="D2450" s="91">
        <v>17101400</v>
      </c>
      <c r="E2450" s="76">
        <v>670625</v>
      </c>
      <c r="F2450" s="77" t="s">
        <v>10173</v>
      </c>
      <c r="G2450" s="22"/>
      <c r="H2450" s="22"/>
    </row>
    <row r="2451" spans="1:8" ht="13.35" customHeight="1">
      <c r="A2451" s="82">
        <v>4</v>
      </c>
      <c r="B2451" s="83" t="s">
        <v>3304</v>
      </c>
      <c r="C2451" s="67" t="s">
        <v>3305</v>
      </c>
      <c r="D2451" s="91">
        <v>8208600</v>
      </c>
      <c r="E2451" s="76">
        <v>321900</v>
      </c>
      <c r="F2451" s="77" t="s">
        <v>10173</v>
      </c>
      <c r="G2451" s="22"/>
      <c r="H2451" s="22"/>
    </row>
    <row r="2452" spans="1:8" ht="13.35" customHeight="1">
      <c r="A2452" s="82">
        <v>4</v>
      </c>
      <c r="B2452" s="83" t="s">
        <v>3310</v>
      </c>
      <c r="C2452" s="67" t="s">
        <v>3311</v>
      </c>
      <c r="D2452" s="91">
        <v>310355300</v>
      </c>
      <c r="E2452" s="76">
        <v>12170502.500000002</v>
      </c>
      <c r="F2452" s="77" t="s">
        <v>10173</v>
      </c>
      <c r="G2452" s="22"/>
      <c r="H2452" s="22"/>
    </row>
    <row r="2453" spans="1:8" ht="13.35" customHeight="1">
      <c r="A2453" s="82">
        <v>4</v>
      </c>
      <c r="B2453" s="83" t="s">
        <v>3308</v>
      </c>
      <c r="C2453" s="67" t="s">
        <v>3309</v>
      </c>
      <c r="D2453" s="91">
        <v>202069600</v>
      </c>
      <c r="E2453" s="76">
        <v>7924104.9999999991</v>
      </c>
      <c r="F2453" s="77" t="s">
        <v>10173</v>
      </c>
      <c r="G2453" s="22"/>
      <c r="H2453" s="22"/>
    </row>
    <row r="2454" spans="1:8" ht="13.35" customHeight="1">
      <c r="A2454" s="82">
        <v>4</v>
      </c>
      <c r="B2454" s="83" t="s">
        <v>4245</v>
      </c>
      <c r="C2454" s="67" t="s">
        <v>4246</v>
      </c>
      <c r="D2454" s="91">
        <v>126344800</v>
      </c>
      <c r="E2454" s="76">
        <v>4954577.5</v>
      </c>
      <c r="F2454" s="77" t="s">
        <v>10173</v>
      </c>
      <c r="G2454" s="22"/>
      <c r="H2454" s="22"/>
    </row>
    <row r="2455" spans="1:8" ht="13.35" customHeight="1">
      <c r="A2455" s="82">
        <v>4</v>
      </c>
      <c r="B2455" s="83" t="s">
        <v>3946</v>
      </c>
      <c r="C2455" s="67" t="s">
        <v>3947</v>
      </c>
      <c r="D2455" s="91">
        <v>4336900</v>
      </c>
      <c r="E2455" s="76">
        <v>170070.5</v>
      </c>
      <c r="F2455" s="77" t="s">
        <v>10173</v>
      </c>
      <c r="G2455" s="22"/>
      <c r="H2455" s="22"/>
    </row>
    <row r="2456" spans="1:8" ht="13.35" customHeight="1">
      <c r="A2456" s="82">
        <v>4</v>
      </c>
      <c r="B2456" s="83" t="s">
        <v>4238</v>
      </c>
      <c r="C2456" s="67" t="s">
        <v>3035</v>
      </c>
      <c r="D2456" s="91">
        <v>90226700</v>
      </c>
      <c r="E2456" s="76">
        <v>3538217.5</v>
      </c>
      <c r="F2456" s="77" t="s">
        <v>10173</v>
      </c>
      <c r="G2456" s="22"/>
      <c r="H2456" s="22"/>
    </row>
    <row r="2457" spans="1:8" ht="13.35" customHeight="1">
      <c r="A2457" s="82">
        <v>4</v>
      </c>
      <c r="B2457" s="83" t="s">
        <v>3525</v>
      </c>
      <c r="C2457" s="67" t="s">
        <v>3526</v>
      </c>
      <c r="D2457" s="91">
        <v>34681500</v>
      </c>
      <c r="E2457" s="76">
        <v>1360027.5</v>
      </c>
      <c r="F2457" s="77" t="s">
        <v>10173</v>
      </c>
      <c r="G2457" s="22"/>
      <c r="H2457" s="22"/>
    </row>
    <row r="2458" spans="1:8" ht="13.35" customHeight="1">
      <c r="A2458" s="82">
        <v>4</v>
      </c>
      <c r="B2458" s="83" t="s">
        <v>3523</v>
      </c>
      <c r="C2458" s="67" t="s">
        <v>3524</v>
      </c>
      <c r="D2458" s="91">
        <v>24557500</v>
      </c>
      <c r="E2458" s="76">
        <v>963017.5</v>
      </c>
      <c r="F2458" s="77" t="s">
        <v>10173</v>
      </c>
      <c r="G2458" s="22"/>
      <c r="H2458" s="22"/>
    </row>
    <row r="2459" spans="1:8" ht="13.35" customHeight="1">
      <c r="A2459" s="82">
        <v>4</v>
      </c>
      <c r="B2459" s="83" t="s">
        <v>3521</v>
      </c>
      <c r="C2459" s="67" t="s">
        <v>3522</v>
      </c>
      <c r="D2459" s="91">
        <v>17375000</v>
      </c>
      <c r="E2459" s="76">
        <v>681355</v>
      </c>
      <c r="F2459" s="77" t="s">
        <v>10173</v>
      </c>
      <c r="G2459" s="22"/>
      <c r="H2459" s="22"/>
    </row>
    <row r="2460" spans="1:8" ht="13.35" customHeight="1">
      <c r="A2460" s="82">
        <v>4</v>
      </c>
      <c r="B2460" s="83" t="s">
        <v>4240</v>
      </c>
      <c r="C2460" s="67" t="s">
        <v>3037</v>
      </c>
      <c r="D2460" s="91">
        <v>173202500</v>
      </c>
      <c r="E2460" s="76">
        <v>6792090</v>
      </c>
      <c r="F2460" s="77" t="s">
        <v>10173</v>
      </c>
      <c r="G2460" s="22"/>
      <c r="H2460" s="22"/>
    </row>
    <row r="2461" spans="1:8" ht="13.35" customHeight="1">
      <c r="A2461" s="82">
        <v>4</v>
      </c>
      <c r="B2461" s="83" t="s">
        <v>4239</v>
      </c>
      <c r="C2461" s="67" t="s">
        <v>3036</v>
      </c>
      <c r="D2461" s="91">
        <v>142214800</v>
      </c>
      <c r="E2461" s="76">
        <v>5576917.5</v>
      </c>
      <c r="F2461" s="77" t="s">
        <v>10173</v>
      </c>
      <c r="G2461" s="22"/>
      <c r="H2461" s="22"/>
    </row>
    <row r="2462" spans="1:8" ht="13.35" customHeight="1">
      <c r="A2462" s="82">
        <v>4</v>
      </c>
      <c r="B2462" s="83" t="s">
        <v>4241</v>
      </c>
      <c r="C2462" s="67" t="s">
        <v>3038</v>
      </c>
      <c r="D2462" s="91">
        <v>101034800</v>
      </c>
      <c r="E2462" s="76">
        <v>3962052.4999999995</v>
      </c>
      <c r="F2462" s="77" t="s">
        <v>10173</v>
      </c>
      <c r="G2462" s="22"/>
      <c r="H2462" s="22"/>
    </row>
    <row r="2463" spans="1:8" ht="13.35" customHeight="1">
      <c r="A2463" s="82">
        <v>4</v>
      </c>
      <c r="B2463" s="83" t="s">
        <v>5110</v>
      </c>
      <c r="C2463" s="67" t="s">
        <v>5111</v>
      </c>
      <c r="D2463" s="91">
        <v>574600</v>
      </c>
      <c r="E2463" s="76">
        <v>22533</v>
      </c>
      <c r="F2463" s="77" t="s">
        <v>10173</v>
      </c>
      <c r="G2463" s="22"/>
      <c r="H2463" s="22"/>
    </row>
    <row r="2464" spans="1:8" ht="13.35" customHeight="1">
      <c r="A2464" s="82">
        <v>4</v>
      </c>
      <c r="B2464" s="67" t="s">
        <v>6251</v>
      </c>
      <c r="C2464" s="67" t="s">
        <v>6252</v>
      </c>
      <c r="D2464" s="91">
        <v>191500</v>
      </c>
      <c r="E2464" s="76">
        <v>7511</v>
      </c>
      <c r="F2464" s="77" t="s">
        <v>10173</v>
      </c>
      <c r="G2464" s="22"/>
      <c r="H2464" s="22"/>
    </row>
    <row r="2465" spans="1:8" ht="13.35" customHeight="1">
      <c r="A2465" s="82">
        <v>4</v>
      </c>
      <c r="B2465" s="67" t="s">
        <v>6253</v>
      </c>
      <c r="C2465" s="67" t="s">
        <v>6254</v>
      </c>
      <c r="D2465" s="91">
        <v>164200</v>
      </c>
      <c r="E2465" s="76">
        <v>6437.9999999999991</v>
      </c>
      <c r="F2465" s="77" t="s">
        <v>10173</v>
      </c>
      <c r="G2465" s="22"/>
      <c r="H2465" s="22"/>
    </row>
    <row r="2466" spans="1:8" ht="13.35" customHeight="1">
      <c r="A2466" s="82">
        <v>4</v>
      </c>
      <c r="B2466" s="67" t="s">
        <v>7040</v>
      </c>
      <c r="C2466" s="67" t="s">
        <v>7962</v>
      </c>
      <c r="D2466" s="91">
        <v>574600</v>
      </c>
      <c r="E2466" s="76">
        <v>22533</v>
      </c>
      <c r="F2466" s="77" t="s">
        <v>10173</v>
      </c>
      <c r="G2466" s="22"/>
      <c r="H2466" s="22"/>
    </row>
    <row r="2467" spans="1:8" ht="13.35" customHeight="1">
      <c r="A2467" s="82">
        <v>4</v>
      </c>
      <c r="B2467" s="67" t="s">
        <v>5788</v>
      </c>
      <c r="C2467" s="67" t="s">
        <v>7963</v>
      </c>
      <c r="D2467" s="91">
        <v>1368100</v>
      </c>
      <c r="E2467" s="76">
        <v>53650</v>
      </c>
      <c r="F2467" s="77" t="s">
        <v>10173</v>
      </c>
      <c r="G2467" s="22"/>
      <c r="H2467" s="22"/>
    </row>
    <row r="2468" spans="1:8" ht="13.35" customHeight="1">
      <c r="A2468" s="82">
        <v>4</v>
      </c>
      <c r="B2468" s="67" t="s">
        <v>5789</v>
      </c>
      <c r="C2468" s="67" t="s">
        <v>7964</v>
      </c>
      <c r="D2468" s="91">
        <v>9782000</v>
      </c>
      <c r="E2468" s="76">
        <v>383597.5</v>
      </c>
      <c r="F2468" s="77" t="s">
        <v>10173</v>
      </c>
      <c r="G2468" s="22"/>
      <c r="H2468" s="22"/>
    </row>
    <row r="2469" spans="1:8" ht="13.35" customHeight="1">
      <c r="A2469" s="82">
        <v>4</v>
      </c>
      <c r="B2469" s="67" t="s">
        <v>5790</v>
      </c>
      <c r="C2469" s="67" t="s">
        <v>7965</v>
      </c>
      <c r="D2469" s="91">
        <v>26951700</v>
      </c>
      <c r="E2469" s="76">
        <v>1056905</v>
      </c>
      <c r="F2469" s="77" t="s">
        <v>10173</v>
      </c>
      <c r="G2469" s="22"/>
      <c r="H2469" s="22"/>
    </row>
    <row r="2470" spans="1:8" ht="13.35" customHeight="1">
      <c r="A2470" s="82">
        <v>4</v>
      </c>
      <c r="B2470" s="83" t="s">
        <v>5317</v>
      </c>
      <c r="C2470" s="67" t="s">
        <v>5316</v>
      </c>
      <c r="D2470" s="91">
        <v>60675600</v>
      </c>
      <c r="E2470" s="76">
        <v>2379377.5</v>
      </c>
      <c r="F2470" s="77" t="s">
        <v>10173</v>
      </c>
      <c r="G2470" s="22"/>
      <c r="H2470" s="22"/>
    </row>
    <row r="2471" spans="1:8" ht="13.35" customHeight="1">
      <c r="A2471" s="82">
        <v>4</v>
      </c>
      <c r="B2471" s="83" t="s">
        <v>5315</v>
      </c>
      <c r="C2471" s="67" t="s">
        <v>5316</v>
      </c>
      <c r="D2471" s="91">
        <v>11423700</v>
      </c>
      <c r="E2471" s="76">
        <v>447977.5</v>
      </c>
      <c r="F2471" s="77" t="s">
        <v>10173</v>
      </c>
      <c r="G2471" s="22"/>
      <c r="H2471" s="22"/>
    </row>
    <row r="2472" spans="1:8" ht="13.35" customHeight="1">
      <c r="A2472" s="82">
        <v>4</v>
      </c>
      <c r="B2472" s="83" t="s">
        <v>5779</v>
      </c>
      <c r="C2472" s="67" t="s">
        <v>7966</v>
      </c>
      <c r="D2472" s="91">
        <v>2996200</v>
      </c>
      <c r="E2472" s="76">
        <v>117493.5</v>
      </c>
      <c r="F2472" s="77" t="s">
        <v>10173</v>
      </c>
      <c r="G2472" s="22"/>
      <c r="H2472" s="22"/>
    </row>
    <row r="2473" spans="1:8" ht="13.35" customHeight="1">
      <c r="A2473" s="82">
        <v>4</v>
      </c>
      <c r="B2473" s="67" t="s">
        <v>6413</v>
      </c>
      <c r="C2473" s="67" t="s">
        <v>6414</v>
      </c>
      <c r="D2473" s="91">
        <v>106780800</v>
      </c>
      <c r="E2473" s="76">
        <v>4187382.5</v>
      </c>
      <c r="F2473" s="77" t="s">
        <v>10173</v>
      </c>
      <c r="G2473" s="22"/>
      <c r="H2473" s="22"/>
    </row>
    <row r="2474" spans="1:8" ht="13.35" customHeight="1">
      <c r="A2474" s="82">
        <v>4</v>
      </c>
      <c r="B2474" s="67" t="s">
        <v>6415</v>
      </c>
      <c r="C2474" s="67" t="s">
        <v>6416</v>
      </c>
      <c r="D2474" s="91">
        <v>49251900</v>
      </c>
      <c r="E2474" s="76">
        <v>1931400</v>
      </c>
      <c r="F2474" s="77" t="s">
        <v>10173</v>
      </c>
      <c r="G2474" s="22"/>
      <c r="H2474" s="22"/>
    </row>
    <row r="2475" spans="1:8" ht="13.35" customHeight="1">
      <c r="A2475" s="82">
        <v>4</v>
      </c>
      <c r="B2475" s="67" t="s">
        <v>6417</v>
      </c>
      <c r="C2475" s="67" t="s">
        <v>6418</v>
      </c>
      <c r="D2475" s="91">
        <v>18059000</v>
      </c>
      <c r="E2475" s="76">
        <v>708180</v>
      </c>
      <c r="F2475" s="77" t="s">
        <v>10173</v>
      </c>
      <c r="G2475" s="22"/>
      <c r="H2475" s="22"/>
    </row>
    <row r="2476" spans="1:8" ht="13.35" customHeight="1">
      <c r="A2476" s="82">
        <v>4</v>
      </c>
      <c r="B2476" s="67" t="s">
        <v>6419</v>
      </c>
      <c r="C2476" s="67" t="s">
        <v>6420</v>
      </c>
      <c r="D2476" s="91">
        <v>5062000</v>
      </c>
      <c r="E2476" s="76">
        <v>198505</v>
      </c>
      <c r="F2476" s="77" t="s">
        <v>10173</v>
      </c>
      <c r="G2476" s="22"/>
      <c r="H2476" s="22"/>
    </row>
    <row r="2477" spans="1:8" ht="13.35" customHeight="1">
      <c r="A2477" s="82">
        <v>4</v>
      </c>
      <c r="B2477" s="67" t="s">
        <v>6421</v>
      </c>
      <c r="C2477" s="67" t="s">
        <v>6422</v>
      </c>
      <c r="D2477" s="91">
        <v>4788400</v>
      </c>
      <c r="E2477" s="76">
        <v>187775</v>
      </c>
      <c r="F2477" s="77" t="s">
        <v>10173</v>
      </c>
      <c r="G2477" s="22"/>
      <c r="H2477" s="22"/>
    </row>
    <row r="2478" spans="1:8" ht="13.35" customHeight="1">
      <c r="A2478" s="82">
        <v>4</v>
      </c>
      <c r="B2478" s="67" t="s">
        <v>6423</v>
      </c>
      <c r="C2478" s="67" t="s">
        <v>6424</v>
      </c>
      <c r="D2478" s="91">
        <v>4446400</v>
      </c>
      <c r="E2478" s="76">
        <v>174362.5</v>
      </c>
      <c r="F2478" s="77" t="s">
        <v>10173</v>
      </c>
      <c r="G2478" s="22"/>
      <c r="H2478" s="22"/>
    </row>
    <row r="2479" spans="1:8" ht="13.35" customHeight="1">
      <c r="A2479" s="82">
        <v>4</v>
      </c>
      <c r="B2479" s="67" t="s">
        <v>6425</v>
      </c>
      <c r="C2479" s="67" t="s">
        <v>6426</v>
      </c>
      <c r="D2479" s="91">
        <v>2298400</v>
      </c>
      <c r="E2479" s="76">
        <v>90132</v>
      </c>
      <c r="F2479" s="77" t="s">
        <v>10173</v>
      </c>
      <c r="G2479" s="22"/>
      <c r="H2479" s="22"/>
    </row>
    <row r="2480" spans="1:8" ht="13.35" customHeight="1">
      <c r="A2480" s="82">
        <v>4</v>
      </c>
      <c r="B2480" s="67" t="s">
        <v>6427</v>
      </c>
      <c r="C2480" s="67" t="s">
        <v>6428</v>
      </c>
      <c r="D2480" s="91">
        <v>1422800</v>
      </c>
      <c r="E2480" s="76">
        <v>55795.999999999993</v>
      </c>
      <c r="F2480" s="77" t="s">
        <v>10173</v>
      </c>
      <c r="G2480" s="22"/>
      <c r="H2480" s="22"/>
    </row>
    <row r="2481" spans="1:8" ht="13.35" customHeight="1">
      <c r="A2481" s="82">
        <v>4</v>
      </c>
      <c r="B2481" s="67" t="s">
        <v>6429</v>
      </c>
      <c r="C2481" s="67" t="s">
        <v>6430</v>
      </c>
      <c r="D2481" s="91">
        <v>1108200</v>
      </c>
      <c r="E2481" s="76">
        <v>43456.5</v>
      </c>
      <c r="F2481" s="77" t="s">
        <v>10173</v>
      </c>
      <c r="G2481" s="22"/>
      <c r="H2481" s="22"/>
    </row>
    <row r="2482" spans="1:8" ht="13.35" customHeight="1">
      <c r="A2482" s="82">
        <v>4</v>
      </c>
      <c r="B2482" s="67" t="s">
        <v>6431</v>
      </c>
      <c r="C2482" s="67" t="s">
        <v>6432</v>
      </c>
      <c r="D2482" s="91">
        <v>684100</v>
      </c>
      <c r="E2482" s="76">
        <v>26825</v>
      </c>
      <c r="F2482" s="77" t="s">
        <v>10173</v>
      </c>
      <c r="G2482" s="22"/>
      <c r="H2482" s="22"/>
    </row>
    <row r="2483" spans="1:8" ht="13.35" customHeight="1">
      <c r="A2483" s="82">
        <v>4</v>
      </c>
      <c r="B2483" s="67" t="s">
        <v>6433</v>
      </c>
      <c r="C2483" s="67" t="s">
        <v>6434</v>
      </c>
      <c r="D2483" s="91">
        <v>369400</v>
      </c>
      <c r="E2483" s="76">
        <v>14485.5</v>
      </c>
      <c r="F2483" s="77" t="s">
        <v>10173</v>
      </c>
      <c r="G2483" s="22"/>
      <c r="H2483" s="22"/>
    </row>
    <row r="2484" spans="1:8" ht="13.35" customHeight="1">
      <c r="A2484" s="82">
        <v>4</v>
      </c>
      <c r="B2484" s="67" t="s">
        <v>6435</v>
      </c>
      <c r="C2484" s="67" t="s">
        <v>6436</v>
      </c>
      <c r="D2484" s="91">
        <v>18948300</v>
      </c>
      <c r="E2484" s="76">
        <v>743052.50000000012</v>
      </c>
      <c r="F2484" s="77" t="s">
        <v>10173</v>
      </c>
      <c r="G2484" s="22"/>
      <c r="H2484" s="22"/>
    </row>
    <row r="2485" spans="1:8" ht="13.35" customHeight="1">
      <c r="A2485" s="82">
        <v>4</v>
      </c>
      <c r="B2485" s="67" t="s">
        <v>6437</v>
      </c>
      <c r="C2485" s="67" t="s">
        <v>6438</v>
      </c>
      <c r="D2485" s="91">
        <v>5746100</v>
      </c>
      <c r="E2485" s="76">
        <v>225330</v>
      </c>
      <c r="F2485" s="77" t="s">
        <v>10173</v>
      </c>
      <c r="G2485" s="22"/>
      <c r="H2485" s="22"/>
    </row>
    <row r="2486" spans="1:8" ht="13.35" customHeight="1">
      <c r="A2486" s="82">
        <v>4</v>
      </c>
      <c r="B2486" s="67" t="s">
        <v>6439</v>
      </c>
      <c r="C2486" s="67" t="s">
        <v>6440</v>
      </c>
      <c r="D2486" s="91">
        <v>5335600</v>
      </c>
      <c r="E2486" s="76">
        <v>209235.00000000003</v>
      </c>
      <c r="F2486" s="77" t="s">
        <v>10173</v>
      </c>
      <c r="G2486" s="22"/>
      <c r="H2486" s="22"/>
    </row>
    <row r="2487" spans="1:8" ht="13.35" customHeight="1">
      <c r="A2487" s="82">
        <v>4</v>
      </c>
      <c r="B2487" s="67" t="s">
        <v>6441</v>
      </c>
      <c r="C2487" s="67" t="s">
        <v>6442</v>
      </c>
      <c r="D2487" s="91">
        <v>4993600</v>
      </c>
      <c r="E2487" s="76">
        <v>195822.50000000003</v>
      </c>
      <c r="F2487" s="77" t="s">
        <v>10173</v>
      </c>
      <c r="G2487" s="22"/>
      <c r="H2487" s="22"/>
    </row>
    <row r="2488" spans="1:8" ht="13.35" customHeight="1">
      <c r="A2488" s="82">
        <v>4</v>
      </c>
      <c r="B2488" s="67" t="s">
        <v>6443</v>
      </c>
      <c r="C2488" s="67" t="s">
        <v>6444</v>
      </c>
      <c r="D2488" s="91">
        <v>2708900</v>
      </c>
      <c r="E2488" s="76">
        <v>106227.00000000001</v>
      </c>
      <c r="F2488" s="77" t="s">
        <v>10173</v>
      </c>
      <c r="G2488" s="22"/>
      <c r="H2488" s="22"/>
    </row>
    <row r="2489" spans="1:8" ht="13.35" customHeight="1">
      <c r="A2489" s="82">
        <v>4</v>
      </c>
      <c r="B2489" s="67" t="s">
        <v>6445</v>
      </c>
      <c r="C2489" s="67" t="s">
        <v>6446</v>
      </c>
      <c r="D2489" s="91">
        <v>1682800</v>
      </c>
      <c r="E2489" s="76">
        <v>65989.5</v>
      </c>
      <c r="F2489" s="77" t="s">
        <v>10173</v>
      </c>
      <c r="G2489" s="22"/>
      <c r="H2489" s="22"/>
    </row>
    <row r="2490" spans="1:8" ht="13.35" customHeight="1">
      <c r="A2490" s="82">
        <v>4</v>
      </c>
      <c r="B2490" s="67" t="s">
        <v>6447</v>
      </c>
      <c r="C2490" s="67" t="s">
        <v>6448</v>
      </c>
      <c r="D2490" s="91">
        <v>1286000</v>
      </c>
      <c r="E2490" s="76">
        <v>50431</v>
      </c>
      <c r="F2490" s="77" t="s">
        <v>10173</v>
      </c>
      <c r="G2490" s="22"/>
      <c r="H2490" s="22"/>
    </row>
    <row r="2491" spans="1:8" ht="13.35" customHeight="1">
      <c r="A2491" s="82">
        <v>4</v>
      </c>
      <c r="B2491" s="67" t="s">
        <v>6449</v>
      </c>
      <c r="C2491" s="67" t="s">
        <v>6450</v>
      </c>
      <c r="D2491" s="91">
        <v>848200</v>
      </c>
      <c r="E2491" s="76">
        <v>33263</v>
      </c>
      <c r="F2491" s="77" t="s">
        <v>10173</v>
      </c>
      <c r="G2491" s="22"/>
      <c r="H2491" s="22"/>
    </row>
    <row r="2492" spans="1:8" ht="13.35" customHeight="1">
      <c r="A2492" s="82">
        <v>4</v>
      </c>
      <c r="B2492" s="67" t="s">
        <v>6451</v>
      </c>
      <c r="C2492" s="67" t="s">
        <v>6452</v>
      </c>
      <c r="D2492" s="91">
        <v>478800</v>
      </c>
      <c r="E2492" s="76">
        <v>18777.5</v>
      </c>
      <c r="F2492" s="77" t="s">
        <v>10173</v>
      </c>
      <c r="G2492" s="22"/>
      <c r="H2492" s="22"/>
    </row>
    <row r="2493" spans="1:8" ht="13.35" customHeight="1">
      <c r="A2493" s="82">
        <v>4</v>
      </c>
      <c r="B2493" s="67" t="s">
        <v>6453</v>
      </c>
      <c r="C2493" s="67" t="s">
        <v>6454</v>
      </c>
      <c r="D2493" s="91">
        <v>18948300</v>
      </c>
      <c r="E2493" s="76">
        <v>743052.50000000012</v>
      </c>
      <c r="F2493" s="77" t="s">
        <v>10173</v>
      </c>
      <c r="G2493" s="22"/>
      <c r="H2493" s="22"/>
    </row>
    <row r="2494" spans="1:8" ht="13.35" customHeight="1">
      <c r="A2494" s="82">
        <v>4</v>
      </c>
      <c r="B2494" s="67" t="s">
        <v>6455</v>
      </c>
      <c r="C2494" s="67" t="s">
        <v>6456</v>
      </c>
      <c r="D2494" s="91">
        <v>5746100</v>
      </c>
      <c r="E2494" s="76">
        <v>225330</v>
      </c>
      <c r="F2494" s="77" t="s">
        <v>10173</v>
      </c>
      <c r="G2494" s="22"/>
      <c r="H2494" s="22"/>
    </row>
    <row r="2495" spans="1:8" ht="13.35" customHeight="1">
      <c r="A2495" s="82">
        <v>4</v>
      </c>
      <c r="B2495" s="67" t="s">
        <v>6457</v>
      </c>
      <c r="C2495" s="67" t="s">
        <v>6458</v>
      </c>
      <c r="D2495" s="91">
        <v>5335600</v>
      </c>
      <c r="E2495" s="76">
        <v>209235.00000000003</v>
      </c>
      <c r="F2495" s="77" t="s">
        <v>10173</v>
      </c>
      <c r="G2495" s="22"/>
      <c r="H2495" s="22"/>
    </row>
    <row r="2496" spans="1:8" ht="13.35" customHeight="1">
      <c r="A2496" s="82">
        <v>4</v>
      </c>
      <c r="B2496" s="67" t="s">
        <v>6459</v>
      </c>
      <c r="C2496" s="67" t="s">
        <v>6460</v>
      </c>
      <c r="D2496" s="91">
        <v>4993600</v>
      </c>
      <c r="E2496" s="76">
        <v>195822.50000000003</v>
      </c>
      <c r="F2496" s="77" t="s">
        <v>10173</v>
      </c>
      <c r="G2496" s="22"/>
      <c r="H2496" s="22"/>
    </row>
    <row r="2497" spans="1:8" ht="13.35" customHeight="1">
      <c r="A2497" s="82">
        <v>4</v>
      </c>
      <c r="B2497" s="67" t="s">
        <v>6461</v>
      </c>
      <c r="C2497" s="67" t="s">
        <v>6462</v>
      </c>
      <c r="D2497" s="91">
        <v>2708900</v>
      </c>
      <c r="E2497" s="76">
        <v>106227.00000000001</v>
      </c>
      <c r="F2497" s="77" t="s">
        <v>10173</v>
      </c>
      <c r="G2497" s="22"/>
      <c r="H2497" s="22"/>
    </row>
    <row r="2498" spans="1:8" ht="13.35" customHeight="1">
      <c r="A2498" s="82">
        <v>4</v>
      </c>
      <c r="B2498" s="67" t="s">
        <v>6463</v>
      </c>
      <c r="C2498" s="67" t="s">
        <v>6464</v>
      </c>
      <c r="D2498" s="91">
        <v>1682800</v>
      </c>
      <c r="E2498" s="76">
        <v>65989.5</v>
      </c>
      <c r="F2498" s="77" t="s">
        <v>10173</v>
      </c>
      <c r="G2498" s="22"/>
      <c r="H2498" s="22"/>
    </row>
    <row r="2499" spans="1:8" ht="13.35" customHeight="1">
      <c r="A2499" s="82">
        <v>4</v>
      </c>
      <c r="B2499" s="67" t="s">
        <v>6465</v>
      </c>
      <c r="C2499" s="67" t="s">
        <v>6466</v>
      </c>
      <c r="D2499" s="91">
        <v>1286000</v>
      </c>
      <c r="E2499" s="76">
        <v>50431</v>
      </c>
      <c r="F2499" s="77" t="s">
        <v>10173</v>
      </c>
      <c r="G2499" s="22"/>
      <c r="H2499" s="22"/>
    </row>
    <row r="2500" spans="1:8" ht="13.35" customHeight="1">
      <c r="A2500" s="82">
        <v>4</v>
      </c>
      <c r="B2500" s="67" t="s">
        <v>6467</v>
      </c>
      <c r="C2500" s="67" t="s">
        <v>6468</v>
      </c>
      <c r="D2500" s="91">
        <v>848200</v>
      </c>
      <c r="E2500" s="76">
        <v>33263</v>
      </c>
      <c r="F2500" s="77" t="s">
        <v>10173</v>
      </c>
      <c r="G2500" s="22"/>
      <c r="H2500" s="22"/>
    </row>
    <row r="2501" spans="1:8" ht="13.35" customHeight="1">
      <c r="A2501" s="82">
        <v>4</v>
      </c>
      <c r="B2501" s="67" t="s">
        <v>6469</v>
      </c>
      <c r="C2501" s="67" t="s">
        <v>6470</v>
      </c>
      <c r="D2501" s="91">
        <v>478800</v>
      </c>
      <c r="E2501" s="76">
        <v>18777.5</v>
      </c>
      <c r="F2501" s="77" t="s">
        <v>10173</v>
      </c>
      <c r="G2501" s="22"/>
      <c r="H2501" s="22"/>
    </row>
    <row r="2502" spans="1:8" ht="13.35" customHeight="1">
      <c r="A2502" s="82">
        <v>4</v>
      </c>
      <c r="B2502" s="67" t="s">
        <v>6471</v>
      </c>
      <c r="C2502" s="67" t="s">
        <v>6472</v>
      </c>
      <c r="D2502" s="91">
        <v>29140700</v>
      </c>
      <c r="E2502" s="76">
        <v>1142745</v>
      </c>
      <c r="F2502" s="77" t="s">
        <v>10173</v>
      </c>
      <c r="G2502" s="22"/>
      <c r="H2502" s="22"/>
    </row>
    <row r="2503" spans="1:8" ht="13.35" customHeight="1">
      <c r="A2503" s="82">
        <v>4</v>
      </c>
      <c r="B2503" s="67" t="s">
        <v>6473</v>
      </c>
      <c r="C2503" s="67" t="s">
        <v>6474</v>
      </c>
      <c r="D2503" s="91">
        <v>11765700</v>
      </c>
      <c r="E2503" s="76">
        <v>461390</v>
      </c>
      <c r="F2503" s="77" t="s">
        <v>10173</v>
      </c>
      <c r="G2503" s="22"/>
      <c r="H2503" s="22"/>
    </row>
    <row r="2504" spans="1:8" ht="13.35" customHeight="1">
      <c r="A2504" s="82">
        <v>4</v>
      </c>
      <c r="B2504" s="67" t="s">
        <v>6475</v>
      </c>
      <c r="C2504" s="67" t="s">
        <v>6476</v>
      </c>
      <c r="D2504" s="91">
        <v>9303100</v>
      </c>
      <c r="E2504" s="76">
        <v>364820</v>
      </c>
      <c r="F2504" s="77" t="s">
        <v>10173</v>
      </c>
      <c r="G2504" s="22"/>
      <c r="H2504" s="22"/>
    </row>
    <row r="2505" spans="1:8" ht="13.35" customHeight="1">
      <c r="A2505" s="82">
        <v>4</v>
      </c>
      <c r="B2505" s="67" t="s">
        <v>6477</v>
      </c>
      <c r="C2505" s="67" t="s">
        <v>6478</v>
      </c>
      <c r="D2505" s="91">
        <v>6772100</v>
      </c>
      <c r="E2505" s="76">
        <v>265567.5</v>
      </c>
      <c r="F2505" s="77" t="s">
        <v>10173</v>
      </c>
      <c r="G2505" s="22"/>
      <c r="H2505" s="22"/>
    </row>
    <row r="2506" spans="1:8" ht="13.35" customHeight="1">
      <c r="A2506" s="82">
        <v>4</v>
      </c>
      <c r="B2506" s="67" t="s">
        <v>6479</v>
      </c>
      <c r="C2506" s="67" t="s">
        <v>6480</v>
      </c>
      <c r="D2506" s="91">
        <v>3871700</v>
      </c>
      <c r="E2506" s="76">
        <v>151829.5</v>
      </c>
      <c r="F2506" s="77" t="s">
        <v>10173</v>
      </c>
      <c r="G2506" s="22"/>
      <c r="H2506" s="22"/>
    </row>
    <row r="2507" spans="1:8" ht="13.35" customHeight="1">
      <c r="A2507" s="82">
        <v>4</v>
      </c>
      <c r="B2507" s="67" t="s">
        <v>6481</v>
      </c>
      <c r="C2507" s="67" t="s">
        <v>6482</v>
      </c>
      <c r="D2507" s="91">
        <v>2243700</v>
      </c>
      <c r="E2507" s="76">
        <v>87986</v>
      </c>
      <c r="F2507" s="77" t="s">
        <v>10173</v>
      </c>
      <c r="G2507" s="22"/>
      <c r="H2507" s="22"/>
    </row>
    <row r="2508" spans="1:8" ht="13.35" customHeight="1">
      <c r="A2508" s="82">
        <v>4</v>
      </c>
      <c r="B2508" s="67" t="s">
        <v>6483</v>
      </c>
      <c r="C2508" s="67" t="s">
        <v>6484</v>
      </c>
      <c r="D2508" s="91">
        <v>1682800</v>
      </c>
      <c r="E2508" s="76">
        <v>65989.5</v>
      </c>
      <c r="F2508" s="77" t="s">
        <v>10173</v>
      </c>
      <c r="G2508" s="22"/>
      <c r="H2508" s="22"/>
    </row>
    <row r="2509" spans="1:8" ht="13.35" customHeight="1">
      <c r="A2509" s="82">
        <v>4</v>
      </c>
      <c r="B2509" s="67" t="s">
        <v>6485</v>
      </c>
      <c r="C2509" s="67" t="s">
        <v>6486</v>
      </c>
      <c r="D2509" s="91">
        <v>1067100</v>
      </c>
      <c r="E2509" s="76">
        <v>41847</v>
      </c>
      <c r="F2509" s="77" t="s">
        <v>10173</v>
      </c>
      <c r="G2509" s="22"/>
      <c r="H2509" s="22"/>
    </row>
    <row r="2510" spans="1:8" ht="13.35" customHeight="1">
      <c r="A2510" s="82">
        <v>4</v>
      </c>
      <c r="B2510" s="67" t="s">
        <v>6487</v>
      </c>
      <c r="C2510" s="67" t="s">
        <v>6488</v>
      </c>
      <c r="D2510" s="91">
        <v>643000</v>
      </c>
      <c r="E2510" s="76">
        <v>25215.5</v>
      </c>
      <c r="F2510" s="77" t="s">
        <v>10173</v>
      </c>
      <c r="G2510" s="22"/>
      <c r="H2510" s="22"/>
    </row>
    <row r="2511" spans="1:8" ht="13.35" customHeight="1">
      <c r="A2511" s="82">
        <v>4</v>
      </c>
      <c r="B2511" s="67" t="s">
        <v>6489</v>
      </c>
      <c r="C2511" s="67" t="s">
        <v>6490</v>
      </c>
      <c r="D2511" s="91">
        <v>20521600</v>
      </c>
      <c r="E2511" s="76">
        <v>804750</v>
      </c>
      <c r="F2511" s="77" t="s">
        <v>10173</v>
      </c>
      <c r="G2511" s="22"/>
      <c r="H2511" s="22"/>
    </row>
    <row r="2512" spans="1:8" ht="13.35" customHeight="1">
      <c r="A2512" s="82">
        <v>4</v>
      </c>
      <c r="B2512" s="67" t="s">
        <v>6491</v>
      </c>
      <c r="C2512" s="67" t="s">
        <v>6492</v>
      </c>
      <c r="D2512" s="91">
        <v>6361700</v>
      </c>
      <c r="E2512" s="76">
        <v>249472.50000000003</v>
      </c>
      <c r="F2512" s="77" t="s">
        <v>10173</v>
      </c>
      <c r="G2512" s="22"/>
      <c r="H2512" s="22"/>
    </row>
    <row r="2513" spans="1:8" ht="13.35" customHeight="1">
      <c r="A2513" s="82">
        <v>4</v>
      </c>
      <c r="B2513" s="67" t="s">
        <v>6493</v>
      </c>
      <c r="C2513" s="67" t="s">
        <v>6494</v>
      </c>
      <c r="D2513" s="91">
        <v>5882900</v>
      </c>
      <c r="E2513" s="76">
        <v>230695</v>
      </c>
      <c r="F2513" s="77" t="s">
        <v>10173</v>
      </c>
      <c r="G2513" s="22"/>
      <c r="H2513" s="22"/>
    </row>
    <row r="2514" spans="1:8" ht="13.35" customHeight="1">
      <c r="A2514" s="82">
        <v>4</v>
      </c>
      <c r="B2514" s="67" t="s">
        <v>6495</v>
      </c>
      <c r="C2514" s="67" t="s">
        <v>6496</v>
      </c>
      <c r="D2514" s="91">
        <v>5472400</v>
      </c>
      <c r="E2514" s="76">
        <v>214600</v>
      </c>
      <c r="F2514" s="77" t="s">
        <v>10173</v>
      </c>
      <c r="G2514" s="22"/>
      <c r="H2514" s="22"/>
    </row>
    <row r="2515" spans="1:8" ht="13.35" customHeight="1">
      <c r="A2515" s="82">
        <v>4</v>
      </c>
      <c r="B2515" s="67" t="s">
        <v>6497</v>
      </c>
      <c r="C2515" s="67" t="s">
        <v>6498</v>
      </c>
      <c r="D2515" s="91">
        <v>3023500</v>
      </c>
      <c r="E2515" s="76">
        <v>118566.5</v>
      </c>
      <c r="F2515" s="77" t="s">
        <v>10173</v>
      </c>
      <c r="G2515" s="22"/>
      <c r="H2515" s="22"/>
    </row>
    <row r="2516" spans="1:8" ht="13.35" customHeight="1">
      <c r="A2516" s="82">
        <v>4</v>
      </c>
      <c r="B2516" s="67" t="s">
        <v>6499</v>
      </c>
      <c r="C2516" s="67" t="s">
        <v>6500</v>
      </c>
      <c r="D2516" s="91">
        <v>1888000</v>
      </c>
      <c r="E2516" s="76">
        <v>74037</v>
      </c>
      <c r="F2516" s="77" t="s">
        <v>10173</v>
      </c>
      <c r="G2516" s="22"/>
      <c r="H2516" s="22"/>
    </row>
    <row r="2517" spans="1:8" ht="13.35" customHeight="1">
      <c r="A2517" s="82">
        <v>4</v>
      </c>
      <c r="B2517" s="67" t="s">
        <v>6501</v>
      </c>
      <c r="C2517" s="67" t="s">
        <v>6502</v>
      </c>
      <c r="D2517" s="91">
        <v>1422800</v>
      </c>
      <c r="E2517" s="76">
        <v>55795.999999999993</v>
      </c>
      <c r="F2517" s="77" t="s">
        <v>10173</v>
      </c>
      <c r="G2517" s="22"/>
      <c r="H2517" s="22"/>
    </row>
    <row r="2518" spans="1:8" ht="13.35" customHeight="1">
      <c r="A2518" s="82">
        <v>4</v>
      </c>
      <c r="B2518" s="67" t="s">
        <v>6503</v>
      </c>
      <c r="C2518" s="67" t="s">
        <v>6504</v>
      </c>
      <c r="D2518" s="91">
        <v>944000</v>
      </c>
      <c r="E2518" s="76">
        <v>37018.5</v>
      </c>
      <c r="F2518" s="77" t="s">
        <v>10173</v>
      </c>
      <c r="G2518" s="22"/>
      <c r="H2518" s="22"/>
    </row>
    <row r="2519" spans="1:8" ht="13.35" customHeight="1">
      <c r="A2519" s="82">
        <v>4</v>
      </c>
      <c r="B2519" s="67" t="s">
        <v>6505</v>
      </c>
      <c r="C2519" s="67" t="s">
        <v>6506</v>
      </c>
      <c r="D2519" s="91">
        <v>560900</v>
      </c>
      <c r="E2519" s="76">
        <v>21996.5</v>
      </c>
      <c r="F2519" s="77" t="s">
        <v>10173</v>
      </c>
      <c r="G2519" s="22"/>
      <c r="H2519" s="22"/>
    </row>
    <row r="2520" spans="1:8" ht="13.35" customHeight="1">
      <c r="A2520" s="82">
        <v>4</v>
      </c>
      <c r="B2520" s="67" t="s">
        <v>6507</v>
      </c>
      <c r="C2520" s="67" t="s">
        <v>6508</v>
      </c>
      <c r="D2520" s="91">
        <v>20521600</v>
      </c>
      <c r="E2520" s="76">
        <v>804750</v>
      </c>
      <c r="F2520" s="77" t="s">
        <v>10173</v>
      </c>
      <c r="G2520" s="22"/>
      <c r="H2520" s="22"/>
    </row>
    <row r="2521" spans="1:8" ht="13.35" customHeight="1">
      <c r="A2521" s="82">
        <v>4</v>
      </c>
      <c r="B2521" s="67" t="s">
        <v>6509</v>
      </c>
      <c r="C2521" s="67" t="s">
        <v>6510</v>
      </c>
      <c r="D2521" s="91">
        <v>6361700</v>
      </c>
      <c r="E2521" s="76">
        <v>249472.50000000003</v>
      </c>
      <c r="F2521" s="77" t="s">
        <v>10173</v>
      </c>
      <c r="G2521" s="22"/>
      <c r="H2521" s="22"/>
    </row>
    <row r="2522" spans="1:8" ht="13.35" customHeight="1">
      <c r="A2522" s="82">
        <v>4</v>
      </c>
      <c r="B2522" s="67" t="s">
        <v>6511</v>
      </c>
      <c r="C2522" s="67" t="s">
        <v>6512</v>
      </c>
      <c r="D2522" s="91">
        <v>5882900</v>
      </c>
      <c r="E2522" s="76">
        <v>230695</v>
      </c>
      <c r="F2522" s="77" t="s">
        <v>10173</v>
      </c>
      <c r="G2522" s="22"/>
      <c r="H2522" s="22"/>
    </row>
    <row r="2523" spans="1:8" ht="13.35" customHeight="1">
      <c r="A2523" s="82">
        <v>4</v>
      </c>
      <c r="B2523" s="67" t="s">
        <v>6513</v>
      </c>
      <c r="C2523" s="67" t="s">
        <v>6514</v>
      </c>
      <c r="D2523" s="91">
        <v>5472400</v>
      </c>
      <c r="E2523" s="76">
        <v>214600</v>
      </c>
      <c r="F2523" s="77" t="s">
        <v>10173</v>
      </c>
      <c r="G2523" s="22"/>
      <c r="H2523" s="22"/>
    </row>
    <row r="2524" spans="1:8" ht="13.35" customHeight="1">
      <c r="A2524" s="82">
        <v>4</v>
      </c>
      <c r="B2524" s="67" t="s">
        <v>6515</v>
      </c>
      <c r="C2524" s="67" t="s">
        <v>6516</v>
      </c>
      <c r="D2524" s="91">
        <v>3023500</v>
      </c>
      <c r="E2524" s="76">
        <v>118566.5</v>
      </c>
      <c r="F2524" s="77" t="s">
        <v>10173</v>
      </c>
      <c r="G2524" s="22"/>
      <c r="H2524" s="22"/>
    </row>
    <row r="2525" spans="1:8" ht="13.35" customHeight="1">
      <c r="A2525" s="82">
        <v>4</v>
      </c>
      <c r="B2525" s="67" t="s">
        <v>6517</v>
      </c>
      <c r="C2525" s="67" t="s">
        <v>6518</v>
      </c>
      <c r="D2525" s="91">
        <v>1888000</v>
      </c>
      <c r="E2525" s="76">
        <v>74037</v>
      </c>
      <c r="F2525" s="77" t="s">
        <v>10173</v>
      </c>
      <c r="G2525" s="22"/>
      <c r="H2525" s="22"/>
    </row>
    <row r="2526" spans="1:8" ht="13.35" customHeight="1">
      <c r="A2526" s="82">
        <v>4</v>
      </c>
      <c r="B2526" s="67" t="s">
        <v>6519</v>
      </c>
      <c r="C2526" s="67" t="s">
        <v>6520</v>
      </c>
      <c r="D2526" s="91">
        <v>1422800</v>
      </c>
      <c r="E2526" s="76">
        <v>55795.999999999993</v>
      </c>
      <c r="F2526" s="77" t="s">
        <v>10173</v>
      </c>
      <c r="G2526" s="22"/>
      <c r="H2526" s="22"/>
    </row>
    <row r="2527" spans="1:8" ht="13.35" customHeight="1">
      <c r="A2527" s="82">
        <v>4</v>
      </c>
      <c r="B2527" s="67" t="s">
        <v>6521</v>
      </c>
      <c r="C2527" s="67" t="s">
        <v>6522</v>
      </c>
      <c r="D2527" s="91">
        <v>944000</v>
      </c>
      <c r="E2527" s="76">
        <v>37018.5</v>
      </c>
      <c r="F2527" s="77" t="s">
        <v>10173</v>
      </c>
      <c r="G2527" s="22"/>
      <c r="H2527" s="22"/>
    </row>
    <row r="2528" spans="1:8" ht="13.35" customHeight="1">
      <c r="A2528" s="82">
        <v>4</v>
      </c>
      <c r="B2528" s="67" t="s">
        <v>6523</v>
      </c>
      <c r="C2528" s="67" t="s">
        <v>6524</v>
      </c>
      <c r="D2528" s="91">
        <v>560900</v>
      </c>
      <c r="E2528" s="76">
        <v>21996.5</v>
      </c>
      <c r="F2528" s="77" t="s">
        <v>10173</v>
      </c>
      <c r="G2528" s="22"/>
      <c r="H2528" s="22"/>
    </row>
    <row r="2529" spans="1:8" ht="13.35" customHeight="1">
      <c r="A2529" s="82">
        <v>4</v>
      </c>
      <c r="B2529" s="67" t="s">
        <v>6525</v>
      </c>
      <c r="C2529" s="67" t="s">
        <v>6526</v>
      </c>
      <c r="D2529" s="91">
        <v>8755900</v>
      </c>
      <c r="E2529" s="76">
        <v>343360</v>
      </c>
      <c r="F2529" s="77" t="s">
        <v>10173</v>
      </c>
      <c r="G2529" s="22"/>
      <c r="H2529" s="22"/>
    </row>
    <row r="2530" spans="1:8" ht="13.35" customHeight="1">
      <c r="A2530" s="82">
        <v>4</v>
      </c>
      <c r="B2530" s="67" t="s">
        <v>6527</v>
      </c>
      <c r="C2530" s="67" t="s">
        <v>6528</v>
      </c>
      <c r="D2530" s="91">
        <v>4583200</v>
      </c>
      <c r="E2530" s="76">
        <v>179727.5</v>
      </c>
      <c r="F2530" s="77" t="s">
        <v>10173</v>
      </c>
      <c r="G2530" s="22"/>
      <c r="H2530" s="22"/>
    </row>
    <row r="2531" spans="1:8" ht="13.35" customHeight="1">
      <c r="A2531" s="82">
        <v>4</v>
      </c>
      <c r="B2531" s="67" t="s">
        <v>6529</v>
      </c>
      <c r="C2531" s="67" t="s">
        <v>6530</v>
      </c>
      <c r="D2531" s="91">
        <v>2927800</v>
      </c>
      <c r="E2531" s="76">
        <v>114810.99999999999</v>
      </c>
      <c r="F2531" s="77" t="s">
        <v>10173</v>
      </c>
      <c r="G2531" s="22"/>
      <c r="H2531" s="22"/>
    </row>
    <row r="2532" spans="1:8" ht="13.35" customHeight="1">
      <c r="A2532" s="82">
        <v>4</v>
      </c>
      <c r="B2532" s="67" t="s">
        <v>6531</v>
      </c>
      <c r="C2532" s="67" t="s">
        <v>6532</v>
      </c>
      <c r="D2532" s="91">
        <v>1436500</v>
      </c>
      <c r="E2532" s="76">
        <v>56332.5</v>
      </c>
      <c r="F2532" s="77" t="s">
        <v>10173</v>
      </c>
      <c r="G2532" s="22"/>
      <c r="H2532" s="22"/>
    </row>
    <row r="2533" spans="1:8" ht="13.35" customHeight="1">
      <c r="A2533" s="82">
        <v>4</v>
      </c>
      <c r="B2533" s="67" t="s">
        <v>6533</v>
      </c>
      <c r="C2533" s="67" t="s">
        <v>6534</v>
      </c>
      <c r="D2533" s="91">
        <v>684100</v>
      </c>
      <c r="E2533" s="76">
        <v>26825</v>
      </c>
      <c r="F2533" s="77" t="s">
        <v>10173</v>
      </c>
      <c r="G2533" s="22"/>
      <c r="H2533" s="22"/>
    </row>
    <row r="2534" spans="1:8" ht="13.35" customHeight="1">
      <c r="A2534" s="82">
        <v>4</v>
      </c>
      <c r="B2534" s="67" t="s">
        <v>6535</v>
      </c>
      <c r="C2534" s="67" t="s">
        <v>6536</v>
      </c>
      <c r="D2534" s="91">
        <v>506200</v>
      </c>
      <c r="E2534" s="76">
        <v>19850.5</v>
      </c>
      <c r="F2534" s="77" t="s">
        <v>10173</v>
      </c>
      <c r="G2534" s="22"/>
      <c r="H2534" s="22"/>
    </row>
    <row r="2535" spans="1:8" ht="13.35" customHeight="1">
      <c r="A2535" s="82">
        <v>4</v>
      </c>
      <c r="B2535" s="67" t="s">
        <v>6537</v>
      </c>
      <c r="C2535" s="67" t="s">
        <v>6538</v>
      </c>
      <c r="D2535" s="91">
        <v>9645200</v>
      </c>
      <c r="E2535" s="76">
        <v>378232.50000000006</v>
      </c>
      <c r="F2535" s="77" t="s">
        <v>10173</v>
      </c>
      <c r="G2535" s="22"/>
      <c r="H2535" s="22"/>
    </row>
    <row r="2536" spans="1:8" ht="13.35" customHeight="1">
      <c r="A2536" s="82">
        <v>4</v>
      </c>
      <c r="B2536" s="67" t="s">
        <v>6539</v>
      </c>
      <c r="C2536" s="67" t="s">
        <v>6540</v>
      </c>
      <c r="D2536" s="91">
        <v>5267200</v>
      </c>
      <c r="E2536" s="76">
        <v>206552.49999999997</v>
      </c>
      <c r="F2536" s="77" t="s">
        <v>10173</v>
      </c>
      <c r="G2536" s="22"/>
      <c r="H2536" s="22"/>
    </row>
    <row r="2537" spans="1:8" ht="13.35" customHeight="1">
      <c r="A2537" s="82">
        <v>4</v>
      </c>
      <c r="B2537" s="67" t="s">
        <v>6541</v>
      </c>
      <c r="C2537" s="67" t="s">
        <v>6542</v>
      </c>
      <c r="D2537" s="91">
        <v>3543400</v>
      </c>
      <c r="E2537" s="76">
        <v>138953.5</v>
      </c>
      <c r="F2537" s="77" t="s">
        <v>10173</v>
      </c>
      <c r="G2537" s="22"/>
      <c r="H2537" s="22"/>
    </row>
    <row r="2538" spans="1:8" ht="13.35" customHeight="1">
      <c r="A2538" s="82">
        <v>4</v>
      </c>
      <c r="B2538" s="67" t="s">
        <v>6543</v>
      </c>
      <c r="C2538" s="67" t="s">
        <v>6544</v>
      </c>
      <c r="D2538" s="91">
        <v>1942700</v>
      </c>
      <c r="E2538" s="76">
        <v>76183</v>
      </c>
      <c r="F2538" s="77" t="s">
        <v>10173</v>
      </c>
      <c r="G2538" s="22"/>
      <c r="H2538" s="22"/>
    </row>
    <row r="2539" spans="1:8" ht="13.35" customHeight="1">
      <c r="A2539" s="82">
        <v>4</v>
      </c>
      <c r="B2539" s="67" t="s">
        <v>6545</v>
      </c>
      <c r="C2539" s="67" t="s">
        <v>6546</v>
      </c>
      <c r="D2539" s="91">
        <v>1203900</v>
      </c>
      <c r="E2539" s="76">
        <v>47212</v>
      </c>
      <c r="F2539" s="77" t="s">
        <v>10173</v>
      </c>
      <c r="G2539" s="22"/>
      <c r="H2539" s="22"/>
    </row>
    <row r="2540" spans="1:8" ht="13.35" customHeight="1">
      <c r="A2540" s="82">
        <v>4</v>
      </c>
      <c r="B2540" s="67" t="s">
        <v>6547</v>
      </c>
      <c r="C2540" s="67" t="s">
        <v>6548</v>
      </c>
      <c r="D2540" s="91">
        <v>834500</v>
      </c>
      <c r="E2540" s="76">
        <v>32726.5</v>
      </c>
      <c r="F2540" s="77" t="s">
        <v>10173</v>
      </c>
      <c r="G2540" s="22"/>
      <c r="H2540" s="22"/>
    </row>
    <row r="2541" spans="1:8" ht="13.35" customHeight="1">
      <c r="A2541" s="82">
        <v>4</v>
      </c>
      <c r="B2541" s="67" t="s">
        <v>6549</v>
      </c>
      <c r="C2541" s="67" t="s">
        <v>6550</v>
      </c>
      <c r="D2541" s="91">
        <v>9645200</v>
      </c>
      <c r="E2541" s="76">
        <v>378232.50000000006</v>
      </c>
      <c r="F2541" s="77" t="s">
        <v>10173</v>
      </c>
      <c r="G2541" s="22"/>
      <c r="H2541" s="22"/>
    </row>
    <row r="2542" spans="1:8" ht="13.35" customHeight="1">
      <c r="A2542" s="82">
        <v>4</v>
      </c>
      <c r="B2542" s="67" t="s">
        <v>6551</v>
      </c>
      <c r="C2542" s="67" t="s">
        <v>6552</v>
      </c>
      <c r="D2542" s="91">
        <v>5267200</v>
      </c>
      <c r="E2542" s="76">
        <v>206552.49999999997</v>
      </c>
      <c r="F2542" s="77" t="s">
        <v>10173</v>
      </c>
      <c r="G2542" s="22"/>
      <c r="H2542" s="22"/>
    </row>
    <row r="2543" spans="1:8" ht="13.35" customHeight="1">
      <c r="A2543" s="82">
        <v>4</v>
      </c>
      <c r="B2543" s="67" t="s">
        <v>6553</v>
      </c>
      <c r="C2543" s="67" t="s">
        <v>6554</v>
      </c>
      <c r="D2543" s="91">
        <v>3543400</v>
      </c>
      <c r="E2543" s="76">
        <v>138953.5</v>
      </c>
      <c r="F2543" s="77" t="s">
        <v>10173</v>
      </c>
      <c r="G2543" s="22"/>
      <c r="H2543" s="22"/>
    </row>
    <row r="2544" spans="1:8" ht="13.35" customHeight="1">
      <c r="A2544" s="82">
        <v>4</v>
      </c>
      <c r="B2544" s="67" t="s">
        <v>6555</v>
      </c>
      <c r="C2544" s="67" t="s">
        <v>6556</v>
      </c>
      <c r="D2544" s="91">
        <v>1942700</v>
      </c>
      <c r="E2544" s="76">
        <v>76183</v>
      </c>
      <c r="F2544" s="77" t="s">
        <v>10173</v>
      </c>
      <c r="G2544" s="22"/>
      <c r="H2544" s="22"/>
    </row>
    <row r="2545" spans="1:8" ht="13.35" customHeight="1">
      <c r="A2545" s="82">
        <v>4</v>
      </c>
      <c r="B2545" s="67" t="s">
        <v>6557</v>
      </c>
      <c r="C2545" s="67" t="s">
        <v>6558</v>
      </c>
      <c r="D2545" s="91">
        <v>1203900</v>
      </c>
      <c r="E2545" s="76">
        <v>47212</v>
      </c>
      <c r="F2545" s="77" t="s">
        <v>10173</v>
      </c>
      <c r="G2545" s="22"/>
      <c r="H2545" s="22"/>
    </row>
    <row r="2546" spans="1:8" ht="13.35" customHeight="1">
      <c r="A2546" s="82">
        <v>4</v>
      </c>
      <c r="B2546" s="67" t="s">
        <v>6559</v>
      </c>
      <c r="C2546" s="67" t="s">
        <v>6560</v>
      </c>
      <c r="D2546" s="91">
        <v>834500</v>
      </c>
      <c r="E2546" s="76">
        <v>32726.5</v>
      </c>
      <c r="F2546" s="77" t="s">
        <v>10173</v>
      </c>
      <c r="G2546" s="22"/>
      <c r="H2546" s="22"/>
    </row>
    <row r="2547" spans="1:8" ht="13.35" customHeight="1">
      <c r="A2547" s="82">
        <v>4</v>
      </c>
      <c r="B2547" s="67" t="s">
        <v>6561</v>
      </c>
      <c r="C2547" s="67" t="s">
        <v>6562</v>
      </c>
      <c r="D2547" s="91">
        <v>40017200</v>
      </c>
      <c r="E2547" s="76">
        <v>1569262.5</v>
      </c>
      <c r="F2547" s="77" t="s">
        <v>10173</v>
      </c>
      <c r="G2547" s="22"/>
      <c r="H2547" s="22"/>
    </row>
    <row r="2548" spans="1:8" ht="13.35" customHeight="1">
      <c r="A2548" s="82">
        <v>4</v>
      </c>
      <c r="B2548" s="67" t="s">
        <v>6563</v>
      </c>
      <c r="C2548" s="67" t="s">
        <v>6564</v>
      </c>
      <c r="D2548" s="91">
        <v>66763700</v>
      </c>
      <c r="E2548" s="76">
        <v>2618120</v>
      </c>
      <c r="F2548" s="77" t="s">
        <v>10173</v>
      </c>
      <c r="G2548" s="22"/>
      <c r="H2548" s="22"/>
    </row>
    <row r="2549" spans="1:8" ht="13.35" customHeight="1">
      <c r="A2549" s="82">
        <v>4</v>
      </c>
      <c r="B2549" s="67" t="s">
        <v>6565</v>
      </c>
      <c r="C2549" s="67" t="s">
        <v>6566</v>
      </c>
      <c r="D2549" s="91">
        <v>33381800</v>
      </c>
      <c r="E2549" s="76">
        <v>1309060</v>
      </c>
      <c r="F2549" s="77" t="s">
        <v>10173</v>
      </c>
      <c r="G2549" s="22"/>
      <c r="H2549" s="22"/>
    </row>
    <row r="2550" spans="1:8" ht="13.35" customHeight="1">
      <c r="A2550" s="82">
        <v>4</v>
      </c>
      <c r="B2550" s="67" t="s">
        <v>6573</v>
      </c>
      <c r="C2550" s="67" t="s">
        <v>6574</v>
      </c>
      <c r="D2550" s="91">
        <v>20042800</v>
      </c>
      <c r="E2550" s="76">
        <v>785972.49999999988</v>
      </c>
      <c r="F2550" s="77" t="s">
        <v>10173</v>
      </c>
      <c r="G2550" s="22"/>
      <c r="H2550" s="22"/>
    </row>
    <row r="2551" spans="1:8" ht="13.35" customHeight="1">
      <c r="A2551" s="82">
        <v>4</v>
      </c>
      <c r="B2551" s="67" t="s">
        <v>6567</v>
      </c>
      <c r="C2551" s="67" t="s">
        <v>6568</v>
      </c>
      <c r="D2551" s="91">
        <v>12723400</v>
      </c>
      <c r="E2551" s="76">
        <v>498945.00000000006</v>
      </c>
      <c r="F2551" s="77" t="s">
        <v>10173</v>
      </c>
      <c r="G2551" s="22"/>
      <c r="H2551" s="22"/>
    </row>
    <row r="2552" spans="1:8" ht="13.35" customHeight="1">
      <c r="A2552" s="82">
        <v>4</v>
      </c>
      <c r="B2552" s="67" t="s">
        <v>6569</v>
      </c>
      <c r="C2552" s="67" t="s">
        <v>6570</v>
      </c>
      <c r="D2552" s="91">
        <v>4035900</v>
      </c>
      <c r="E2552" s="76">
        <v>158267.5</v>
      </c>
      <c r="F2552" s="77" t="s">
        <v>10173</v>
      </c>
      <c r="G2552" s="22"/>
      <c r="H2552" s="22"/>
    </row>
    <row r="2553" spans="1:8" ht="13.35" customHeight="1">
      <c r="A2553" s="82">
        <v>4</v>
      </c>
      <c r="B2553" s="67" t="s">
        <v>6571</v>
      </c>
      <c r="C2553" s="67" t="s">
        <v>6572</v>
      </c>
      <c r="D2553" s="91">
        <v>24010300</v>
      </c>
      <c r="E2553" s="76">
        <v>941557.5</v>
      </c>
      <c r="F2553" s="77" t="s">
        <v>10173</v>
      </c>
      <c r="G2553" s="22"/>
      <c r="H2553" s="22"/>
    </row>
    <row r="2554" spans="1:8" ht="13.35" customHeight="1">
      <c r="A2554" s="82">
        <v>4</v>
      </c>
      <c r="B2554" s="67" t="s">
        <v>6573</v>
      </c>
      <c r="C2554" s="67" t="s">
        <v>6574</v>
      </c>
      <c r="D2554" s="91">
        <v>20042800</v>
      </c>
      <c r="E2554" s="76">
        <v>785972.49999999988</v>
      </c>
      <c r="F2554" s="77" t="s">
        <v>10173</v>
      </c>
      <c r="G2554" s="22"/>
      <c r="H2554" s="22"/>
    </row>
    <row r="2555" spans="1:8" ht="13.35" customHeight="1">
      <c r="A2555" s="82">
        <v>4</v>
      </c>
      <c r="B2555" s="67" t="s">
        <v>6593</v>
      </c>
      <c r="C2555" s="67" t="s">
        <v>6594</v>
      </c>
      <c r="D2555" s="91">
        <v>1915400</v>
      </c>
      <c r="E2555" s="76">
        <v>75110</v>
      </c>
      <c r="F2555" s="77" t="s">
        <v>10173</v>
      </c>
      <c r="G2555" s="22"/>
      <c r="H2555" s="22"/>
    </row>
    <row r="2556" spans="1:8" ht="13.35" customHeight="1">
      <c r="A2556" s="82">
        <v>4</v>
      </c>
      <c r="B2556" s="67" t="s">
        <v>6595</v>
      </c>
      <c r="C2556" s="67" t="s">
        <v>6596</v>
      </c>
      <c r="D2556" s="91">
        <v>998700</v>
      </c>
      <c r="E2556" s="76">
        <v>39164.5</v>
      </c>
      <c r="F2556" s="77" t="s">
        <v>10173</v>
      </c>
      <c r="G2556" s="22"/>
      <c r="H2556" s="22"/>
    </row>
    <row r="2557" spans="1:8" ht="13.35" customHeight="1">
      <c r="A2557" s="82">
        <v>4</v>
      </c>
      <c r="B2557" s="67" t="s">
        <v>6597</v>
      </c>
      <c r="C2557" s="67" t="s">
        <v>6598</v>
      </c>
      <c r="D2557" s="91">
        <v>643000</v>
      </c>
      <c r="E2557" s="76">
        <v>25215.5</v>
      </c>
      <c r="F2557" s="77" t="s">
        <v>10173</v>
      </c>
      <c r="G2557" s="22"/>
      <c r="H2557" s="22"/>
    </row>
    <row r="2558" spans="1:8" ht="13.35" customHeight="1">
      <c r="A2558" s="82">
        <v>4</v>
      </c>
      <c r="B2558" s="67" t="s">
        <v>6599</v>
      </c>
      <c r="C2558" s="67" t="s">
        <v>6600</v>
      </c>
      <c r="D2558" s="91">
        <v>314700</v>
      </c>
      <c r="E2558" s="76">
        <v>12339.5</v>
      </c>
      <c r="F2558" s="77" t="s">
        <v>10173</v>
      </c>
      <c r="G2558" s="22"/>
      <c r="H2558" s="22"/>
    </row>
    <row r="2559" spans="1:8" ht="13.35" customHeight="1">
      <c r="A2559" s="82">
        <v>4</v>
      </c>
      <c r="B2559" s="67" t="s">
        <v>6601</v>
      </c>
      <c r="C2559" s="67" t="s">
        <v>6602</v>
      </c>
      <c r="D2559" s="91">
        <v>164200</v>
      </c>
      <c r="E2559" s="76">
        <v>6437.9999999999991</v>
      </c>
      <c r="F2559" s="77" t="s">
        <v>10173</v>
      </c>
      <c r="G2559" s="22"/>
      <c r="H2559" s="22"/>
    </row>
    <row r="2560" spans="1:8" ht="13.35" customHeight="1">
      <c r="A2560" s="82">
        <v>4</v>
      </c>
      <c r="B2560" s="67" t="s">
        <v>6603</v>
      </c>
      <c r="C2560" s="67" t="s">
        <v>6604</v>
      </c>
      <c r="D2560" s="91">
        <v>109400</v>
      </c>
      <c r="E2560" s="76">
        <v>4292</v>
      </c>
      <c r="F2560" s="77" t="s">
        <v>10173</v>
      </c>
      <c r="G2560" s="22"/>
      <c r="H2560" s="22"/>
    </row>
    <row r="2561" spans="1:8" ht="13.35" customHeight="1">
      <c r="A2561" s="82">
        <v>4</v>
      </c>
      <c r="B2561" s="67" t="s">
        <v>6605</v>
      </c>
      <c r="C2561" s="67" t="s">
        <v>6606</v>
      </c>
      <c r="D2561" s="91">
        <v>82100</v>
      </c>
      <c r="E2561" s="76">
        <v>3218.9999999999995</v>
      </c>
      <c r="F2561" s="77" t="s">
        <v>10173</v>
      </c>
      <c r="G2561" s="22"/>
      <c r="H2561" s="22"/>
    </row>
    <row r="2562" spans="1:8" ht="13.35" customHeight="1">
      <c r="A2562" s="82">
        <v>4</v>
      </c>
      <c r="B2562" s="67" t="s">
        <v>6607</v>
      </c>
      <c r="C2562" s="67" t="s">
        <v>6608</v>
      </c>
      <c r="D2562" s="91">
        <v>68400</v>
      </c>
      <c r="E2562" s="76">
        <v>2682.5</v>
      </c>
      <c r="F2562" s="77" t="s">
        <v>10173</v>
      </c>
      <c r="G2562" s="22"/>
      <c r="H2562" s="22"/>
    </row>
    <row r="2563" spans="1:8" ht="13.35" customHeight="1">
      <c r="A2563" s="82">
        <v>4</v>
      </c>
      <c r="B2563" s="67" t="s">
        <v>6609</v>
      </c>
      <c r="C2563" s="67" t="s">
        <v>6610</v>
      </c>
      <c r="D2563" s="91">
        <v>54700</v>
      </c>
      <c r="E2563" s="76">
        <v>2146</v>
      </c>
      <c r="F2563" s="77" t="s">
        <v>10173</v>
      </c>
      <c r="G2563" s="22"/>
      <c r="H2563" s="22"/>
    </row>
    <row r="2564" spans="1:8" ht="13.35" customHeight="1">
      <c r="A2564" s="82">
        <v>5</v>
      </c>
      <c r="B2564" s="83" t="s">
        <v>1894</v>
      </c>
      <c r="C2564" s="67" t="s">
        <v>1664</v>
      </c>
      <c r="D2564" s="91">
        <v>27400</v>
      </c>
      <c r="E2564" s="76">
        <v>2029.9999999999998</v>
      </c>
      <c r="F2564" s="77" t="s">
        <v>10174</v>
      </c>
      <c r="G2564" s="22"/>
      <c r="H2564" s="22"/>
    </row>
    <row r="2565" spans="1:8" ht="13.35" customHeight="1">
      <c r="A2565" s="82">
        <v>5</v>
      </c>
      <c r="B2565" s="83" t="s">
        <v>2231</v>
      </c>
      <c r="C2565" s="67" t="s">
        <v>2232</v>
      </c>
      <c r="D2565" s="91">
        <v>1067100</v>
      </c>
      <c r="E2565" s="76">
        <v>79169.999999999985</v>
      </c>
      <c r="F2565" s="77" t="s">
        <v>10174</v>
      </c>
      <c r="G2565" s="22"/>
      <c r="H2565" s="22"/>
    </row>
    <row r="2566" spans="1:8" ht="13.35" customHeight="1">
      <c r="A2566" s="82">
        <v>5</v>
      </c>
      <c r="B2566" s="83" t="s">
        <v>3316</v>
      </c>
      <c r="C2566" s="67" t="s">
        <v>3317</v>
      </c>
      <c r="D2566" s="91">
        <v>1587000</v>
      </c>
      <c r="E2566" s="76">
        <v>117739.99999999999</v>
      </c>
      <c r="F2566" s="77" t="s">
        <v>10174</v>
      </c>
      <c r="G2566" s="22"/>
      <c r="H2566" s="22"/>
    </row>
    <row r="2567" spans="1:8" ht="13.35" customHeight="1">
      <c r="A2567" s="82">
        <v>5</v>
      </c>
      <c r="B2567" s="83" t="s">
        <v>3318</v>
      </c>
      <c r="C2567" s="67" t="s">
        <v>3319</v>
      </c>
      <c r="D2567" s="91">
        <v>998700</v>
      </c>
      <c r="E2567" s="76">
        <v>74094.999999999985</v>
      </c>
      <c r="F2567" s="77" t="s">
        <v>10174</v>
      </c>
      <c r="G2567" s="22"/>
      <c r="H2567" s="22"/>
    </row>
    <row r="2568" spans="1:8" ht="13.35" customHeight="1">
      <c r="A2568" s="82">
        <v>5</v>
      </c>
      <c r="B2568" s="83" t="s">
        <v>5403</v>
      </c>
      <c r="C2568" s="67" t="s">
        <v>4388</v>
      </c>
      <c r="D2568" s="91">
        <v>10575500</v>
      </c>
      <c r="E2568" s="76">
        <v>784594.99999999988</v>
      </c>
      <c r="F2568" s="77" t="s">
        <v>10174</v>
      </c>
      <c r="G2568" s="22"/>
      <c r="H2568" s="22"/>
    </row>
    <row r="2569" spans="1:8" ht="13.35" customHeight="1">
      <c r="A2569" s="82">
        <v>5</v>
      </c>
      <c r="B2569" s="83" t="s">
        <v>4728</v>
      </c>
      <c r="C2569" s="67" t="s">
        <v>4233</v>
      </c>
      <c r="D2569" s="91">
        <v>5759700</v>
      </c>
      <c r="E2569" s="76">
        <v>427315</v>
      </c>
      <c r="F2569" s="77" t="s">
        <v>10174</v>
      </c>
      <c r="G2569" s="22"/>
      <c r="H2569" s="22"/>
    </row>
    <row r="2570" spans="1:8" ht="13.35" customHeight="1">
      <c r="A2570" s="82">
        <v>5</v>
      </c>
      <c r="B2570" s="83" t="s">
        <v>4727</v>
      </c>
      <c r="C2570" s="67" t="s">
        <v>2400</v>
      </c>
      <c r="D2570" s="91">
        <v>2024800</v>
      </c>
      <c r="E2570" s="76">
        <v>150220</v>
      </c>
      <c r="F2570" s="77" t="s">
        <v>10174</v>
      </c>
      <c r="G2570" s="22"/>
      <c r="H2570" s="22"/>
    </row>
    <row r="2571" spans="1:8" ht="13.35" customHeight="1">
      <c r="A2571" s="82">
        <v>5</v>
      </c>
      <c r="B2571" s="83" t="s">
        <v>6236</v>
      </c>
      <c r="C2571" s="67" t="s">
        <v>6237</v>
      </c>
      <c r="D2571" s="91">
        <v>37554600</v>
      </c>
      <c r="E2571" s="76">
        <v>2786174.9999999995</v>
      </c>
      <c r="F2571" s="77" t="s">
        <v>10174</v>
      </c>
      <c r="G2571" s="22"/>
      <c r="H2571" s="22"/>
    </row>
    <row r="2572" spans="1:8" ht="13.35" customHeight="1">
      <c r="A2572" s="82">
        <v>5</v>
      </c>
      <c r="B2572" s="83" t="s">
        <v>6238</v>
      </c>
      <c r="C2572" s="67" t="s">
        <v>7968</v>
      </c>
      <c r="D2572" s="91">
        <v>35092000</v>
      </c>
      <c r="E2572" s="76">
        <v>2603474.9999999995</v>
      </c>
      <c r="F2572" s="77" t="s">
        <v>10174</v>
      </c>
      <c r="G2572" s="22"/>
      <c r="H2572" s="22"/>
    </row>
    <row r="2573" spans="1:8" ht="13.35" customHeight="1">
      <c r="A2573" s="82">
        <v>5</v>
      </c>
      <c r="B2573" s="83" t="s">
        <v>6239</v>
      </c>
      <c r="C2573" s="67" t="s">
        <v>6240</v>
      </c>
      <c r="D2573" s="91">
        <v>20795200</v>
      </c>
      <c r="E2573" s="76">
        <v>1542800</v>
      </c>
      <c r="F2573" s="77" t="s">
        <v>10174</v>
      </c>
      <c r="G2573" s="22"/>
      <c r="H2573" s="22"/>
    </row>
    <row r="2574" spans="1:8" ht="13.35" customHeight="1">
      <c r="A2574" s="82">
        <v>5</v>
      </c>
      <c r="B2574" s="83" t="s">
        <v>7041</v>
      </c>
      <c r="C2574" s="67" t="s">
        <v>7969</v>
      </c>
      <c r="D2574" s="91">
        <v>12449800</v>
      </c>
      <c r="E2574" s="76">
        <v>923650</v>
      </c>
      <c r="F2574" s="77" t="s">
        <v>10174</v>
      </c>
      <c r="G2574" s="22"/>
      <c r="H2574" s="22"/>
    </row>
    <row r="2575" spans="1:8" ht="13.35" customHeight="1">
      <c r="A2575" s="82">
        <v>5</v>
      </c>
      <c r="B2575" s="83" t="s">
        <v>2221</v>
      </c>
      <c r="C2575" s="67" t="s">
        <v>2222</v>
      </c>
      <c r="D2575" s="91">
        <v>3338200</v>
      </c>
      <c r="E2575" s="76">
        <v>247659.99999999997</v>
      </c>
      <c r="F2575" s="77" t="s">
        <v>10174</v>
      </c>
      <c r="G2575" s="22"/>
      <c r="H2575" s="22"/>
    </row>
    <row r="2576" spans="1:8" ht="13.35" customHeight="1">
      <c r="A2576" s="82">
        <v>5</v>
      </c>
      <c r="B2576" s="83" t="s">
        <v>2227</v>
      </c>
      <c r="C2576" s="67" t="s">
        <v>2228</v>
      </c>
      <c r="D2576" s="91">
        <v>5568200</v>
      </c>
      <c r="E2576" s="76">
        <v>413104.99999999994</v>
      </c>
      <c r="F2576" s="77" t="s">
        <v>10174</v>
      </c>
      <c r="G2576" s="22"/>
      <c r="H2576" s="22"/>
    </row>
    <row r="2577" spans="1:8" ht="13.35" customHeight="1">
      <c r="A2577" s="82">
        <v>5</v>
      </c>
      <c r="B2577" s="83" t="s">
        <v>5030</v>
      </c>
      <c r="C2577" s="67" t="s">
        <v>5031</v>
      </c>
      <c r="D2577" s="91">
        <v>5568200</v>
      </c>
      <c r="E2577" s="76">
        <v>413104.99999999994</v>
      </c>
      <c r="F2577" s="77" t="s">
        <v>10174</v>
      </c>
      <c r="G2577" s="22"/>
      <c r="H2577" s="22"/>
    </row>
    <row r="2578" spans="1:8" ht="13.35" customHeight="1">
      <c r="A2578" s="82">
        <v>5</v>
      </c>
      <c r="B2578" s="83" t="s">
        <v>2229</v>
      </c>
      <c r="C2578" s="67" t="s">
        <v>2230</v>
      </c>
      <c r="D2578" s="91">
        <v>15309100</v>
      </c>
      <c r="E2578" s="76">
        <v>1135785</v>
      </c>
      <c r="F2578" s="77" t="s">
        <v>10174</v>
      </c>
      <c r="G2578" s="22"/>
      <c r="H2578" s="22"/>
    </row>
    <row r="2579" spans="1:8" ht="13.35" customHeight="1">
      <c r="A2579" s="82">
        <v>5</v>
      </c>
      <c r="B2579" s="83" t="s">
        <v>2361</v>
      </c>
      <c r="C2579" s="67" t="s">
        <v>2362</v>
      </c>
      <c r="D2579" s="91">
        <v>22997900</v>
      </c>
      <c r="E2579" s="76">
        <v>1706214.9999999998</v>
      </c>
      <c r="F2579" s="77" t="s">
        <v>10174</v>
      </c>
      <c r="G2579" s="22"/>
      <c r="H2579" s="22"/>
    </row>
    <row r="2580" spans="1:8" ht="13.35" customHeight="1">
      <c r="A2580" s="82">
        <v>5</v>
      </c>
      <c r="B2580" s="83" t="s">
        <v>2223</v>
      </c>
      <c r="C2580" s="67" t="s">
        <v>2224</v>
      </c>
      <c r="D2580" s="91">
        <v>27512700</v>
      </c>
      <c r="E2580" s="76">
        <v>2041164.9999999998</v>
      </c>
      <c r="F2580" s="77" t="s">
        <v>10174</v>
      </c>
      <c r="G2580" s="22"/>
      <c r="H2580" s="22"/>
    </row>
    <row r="2581" spans="1:8" ht="13.35" customHeight="1">
      <c r="A2581" s="82">
        <v>5</v>
      </c>
      <c r="B2581" s="83" t="s">
        <v>2225</v>
      </c>
      <c r="C2581" s="67" t="s">
        <v>2226</v>
      </c>
      <c r="D2581" s="91">
        <v>27512700</v>
      </c>
      <c r="E2581" s="76">
        <v>2041164.9999999998</v>
      </c>
      <c r="F2581" s="77" t="s">
        <v>10174</v>
      </c>
      <c r="G2581" s="22"/>
      <c r="H2581" s="22"/>
    </row>
    <row r="2582" spans="1:8" ht="13.35" customHeight="1">
      <c r="A2582" s="82">
        <v>5</v>
      </c>
      <c r="B2582" s="83" t="s">
        <v>2217</v>
      </c>
      <c r="C2582" s="67" t="s">
        <v>2218</v>
      </c>
      <c r="D2582" s="91">
        <v>13900000</v>
      </c>
      <c r="E2582" s="76">
        <v>1031239.9999999999</v>
      </c>
      <c r="F2582" s="77" t="s">
        <v>10174</v>
      </c>
      <c r="G2582" s="22"/>
      <c r="H2582" s="22"/>
    </row>
    <row r="2583" spans="1:8" ht="13.35" customHeight="1">
      <c r="A2583" s="82">
        <v>5</v>
      </c>
      <c r="B2583" s="83" t="s">
        <v>2219</v>
      </c>
      <c r="C2583" s="67" t="s">
        <v>2220</v>
      </c>
      <c r="D2583" s="91">
        <v>13900000</v>
      </c>
      <c r="E2583" s="76">
        <v>1031239.9999999999</v>
      </c>
      <c r="F2583" s="77" t="s">
        <v>10174</v>
      </c>
      <c r="G2583" s="22"/>
      <c r="H2583" s="22"/>
    </row>
    <row r="2584" spans="1:8" ht="13.35" customHeight="1">
      <c r="A2584" s="82">
        <v>5</v>
      </c>
      <c r="B2584" s="83" t="s">
        <v>3320</v>
      </c>
      <c r="C2584" s="67" t="s">
        <v>3321</v>
      </c>
      <c r="D2584" s="91">
        <v>13900000</v>
      </c>
      <c r="E2584" s="76">
        <v>1031239.9999999999</v>
      </c>
      <c r="F2584" s="77" t="s">
        <v>10174</v>
      </c>
      <c r="G2584" s="22"/>
      <c r="H2584" s="22"/>
    </row>
    <row r="2585" spans="1:8" ht="13.35" customHeight="1">
      <c r="A2585" s="82">
        <v>5</v>
      </c>
      <c r="B2585" s="83" t="s">
        <v>5866</v>
      </c>
      <c r="C2585" s="67" t="s">
        <v>7970</v>
      </c>
      <c r="D2585" s="91">
        <v>13900000</v>
      </c>
      <c r="E2585" s="76">
        <v>1031239.9999999999</v>
      </c>
      <c r="F2585" s="77" t="s">
        <v>10174</v>
      </c>
      <c r="G2585" s="22"/>
      <c r="H2585" s="22"/>
    </row>
    <row r="2586" spans="1:8" ht="13.35" customHeight="1">
      <c r="A2586" s="82">
        <v>5</v>
      </c>
      <c r="B2586" s="83" t="s">
        <v>5867</v>
      </c>
      <c r="C2586" s="67" t="s">
        <v>7971</v>
      </c>
      <c r="D2586" s="91">
        <v>3338200</v>
      </c>
      <c r="E2586" s="76">
        <v>247659.99999999997</v>
      </c>
      <c r="F2586" s="77" t="s">
        <v>10174</v>
      </c>
      <c r="G2586" s="22"/>
      <c r="H2586" s="22"/>
    </row>
    <row r="2587" spans="1:8" ht="13.35" customHeight="1">
      <c r="A2587" s="82">
        <v>5</v>
      </c>
      <c r="B2587" s="83" t="s">
        <v>4248</v>
      </c>
      <c r="C2587" s="67" t="s">
        <v>4249</v>
      </c>
      <c r="D2587" s="91">
        <v>2845700</v>
      </c>
      <c r="E2587" s="76">
        <v>211120</v>
      </c>
      <c r="F2587" s="77" t="s">
        <v>10174</v>
      </c>
      <c r="G2587" s="22"/>
      <c r="H2587" s="22"/>
    </row>
    <row r="2588" spans="1:8" ht="13.35" customHeight="1">
      <c r="A2588" s="82">
        <v>5</v>
      </c>
      <c r="B2588" s="83" t="s">
        <v>4250</v>
      </c>
      <c r="C2588" s="67" t="s">
        <v>4251</v>
      </c>
      <c r="D2588" s="91">
        <v>3844400</v>
      </c>
      <c r="E2588" s="76">
        <v>285215</v>
      </c>
      <c r="F2588" s="77" t="s">
        <v>10174</v>
      </c>
      <c r="G2588" s="22"/>
      <c r="H2588" s="22"/>
    </row>
    <row r="2589" spans="1:8" ht="13.35" customHeight="1">
      <c r="A2589" s="82">
        <v>5</v>
      </c>
      <c r="B2589" s="83" t="s">
        <v>2980</v>
      </c>
      <c r="C2589" s="67" t="s">
        <v>5481</v>
      </c>
      <c r="D2589" s="91">
        <v>3338200</v>
      </c>
      <c r="E2589" s="76">
        <v>247659.99999999997</v>
      </c>
      <c r="F2589" s="77" t="s">
        <v>10174</v>
      </c>
      <c r="G2589" s="22"/>
      <c r="H2589" s="22"/>
    </row>
    <row r="2590" spans="1:8" ht="13.35" customHeight="1">
      <c r="A2590" s="82">
        <v>5</v>
      </c>
      <c r="B2590" s="83" t="s">
        <v>5865</v>
      </c>
      <c r="C2590" s="67" t="s">
        <v>7972</v>
      </c>
      <c r="D2590" s="91">
        <v>3338200</v>
      </c>
      <c r="E2590" s="76">
        <v>247659.99999999997</v>
      </c>
      <c r="F2590" s="77" t="s">
        <v>10174</v>
      </c>
      <c r="G2590" s="22"/>
      <c r="H2590" s="22"/>
    </row>
    <row r="2591" spans="1:8" ht="13.35" customHeight="1">
      <c r="A2591" s="82">
        <v>5</v>
      </c>
      <c r="B2591" s="83" t="s">
        <v>1892</v>
      </c>
      <c r="C2591" s="67" t="s">
        <v>1192</v>
      </c>
      <c r="D2591" s="91">
        <v>2024800</v>
      </c>
      <c r="E2591" s="76">
        <v>150220</v>
      </c>
      <c r="F2591" s="77" t="s">
        <v>10174</v>
      </c>
      <c r="G2591" s="22"/>
      <c r="H2591" s="22"/>
    </row>
    <row r="2592" spans="1:8" ht="13.35" customHeight="1">
      <c r="A2592" s="82">
        <v>5</v>
      </c>
      <c r="B2592" s="83" t="s">
        <v>2981</v>
      </c>
      <c r="C2592" s="67" t="s">
        <v>2982</v>
      </c>
      <c r="D2592" s="91">
        <v>2093200</v>
      </c>
      <c r="E2592" s="76">
        <v>155295</v>
      </c>
      <c r="F2592" s="77" t="s">
        <v>10174</v>
      </c>
      <c r="G2592" s="22"/>
      <c r="H2592" s="22"/>
    </row>
    <row r="2593" spans="1:8" ht="13.35" customHeight="1">
      <c r="A2593" s="82">
        <v>5</v>
      </c>
      <c r="B2593" s="83" t="s">
        <v>4725</v>
      </c>
      <c r="C2593" s="67" t="s">
        <v>4726</v>
      </c>
      <c r="D2593" s="91">
        <v>1805900</v>
      </c>
      <c r="E2593" s="76">
        <v>133980</v>
      </c>
      <c r="F2593" s="77" t="s">
        <v>10174</v>
      </c>
      <c r="G2593" s="22"/>
      <c r="H2593" s="22"/>
    </row>
    <row r="2594" spans="1:8" ht="13.35" customHeight="1">
      <c r="A2594" s="82">
        <v>5</v>
      </c>
      <c r="B2594" s="83" t="s">
        <v>2987</v>
      </c>
      <c r="C2594" s="67" t="s">
        <v>2988</v>
      </c>
      <c r="D2594" s="91">
        <v>1299700</v>
      </c>
      <c r="E2594" s="76">
        <v>96425</v>
      </c>
      <c r="F2594" s="77" t="s">
        <v>10174</v>
      </c>
      <c r="G2594" s="22"/>
      <c r="H2594" s="22"/>
    </row>
    <row r="2595" spans="1:8" ht="13.35" customHeight="1">
      <c r="A2595" s="82">
        <v>5</v>
      </c>
      <c r="B2595" s="83" t="s">
        <v>2985</v>
      </c>
      <c r="C2595" s="67" t="s">
        <v>2986</v>
      </c>
      <c r="D2595" s="91">
        <v>861900</v>
      </c>
      <c r="E2595" s="76">
        <v>63944.999999999993</v>
      </c>
      <c r="F2595" s="77" t="s">
        <v>10174</v>
      </c>
      <c r="G2595" s="22"/>
      <c r="H2595" s="22"/>
    </row>
    <row r="2596" spans="1:8" ht="13.35" customHeight="1">
      <c r="A2596" s="82">
        <v>5</v>
      </c>
      <c r="B2596" s="83" t="s">
        <v>3948</v>
      </c>
      <c r="C2596" s="67" t="s">
        <v>3949</v>
      </c>
      <c r="D2596" s="91">
        <v>355700</v>
      </c>
      <c r="E2596" s="76">
        <v>26390</v>
      </c>
      <c r="F2596" s="77" t="s">
        <v>10174</v>
      </c>
      <c r="G2596" s="22"/>
      <c r="H2596" s="22"/>
    </row>
    <row r="2597" spans="1:8" ht="13.35" customHeight="1">
      <c r="A2597" s="82">
        <v>5</v>
      </c>
      <c r="B2597" s="83" t="s">
        <v>1895</v>
      </c>
      <c r="C2597" s="67" t="s">
        <v>303</v>
      </c>
      <c r="D2597" s="91">
        <v>2024800</v>
      </c>
      <c r="E2597" s="76">
        <v>150220</v>
      </c>
      <c r="F2597" s="77" t="s">
        <v>10174</v>
      </c>
      <c r="G2597" s="22"/>
      <c r="H2597" s="22"/>
    </row>
    <row r="2598" spans="1:8" ht="13.35" customHeight="1">
      <c r="A2598" s="82">
        <v>5</v>
      </c>
      <c r="B2598" s="83" t="s">
        <v>1892</v>
      </c>
      <c r="C2598" s="67" t="s">
        <v>1192</v>
      </c>
      <c r="D2598" s="91">
        <v>2024800</v>
      </c>
      <c r="E2598" s="76">
        <v>150220</v>
      </c>
      <c r="F2598" s="77" t="s">
        <v>10174</v>
      </c>
      <c r="G2598" s="22"/>
      <c r="H2598" s="22"/>
    </row>
    <row r="2599" spans="1:8" ht="13.35" customHeight="1">
      <c r="A2599" s="82">
        <v>5</v>
      </c>
      <c r="B2599" s="83" t="s">
        <v>1893</v>
      </c>
      <c r="C2599" s="67" t="s">
        <v>1193</v>
      </c>
      <c r="D2599" s="91">
        <v>2024800</v>
      </c>
      <c r="E2599" s="76">
        <v>150220</v>
      </c>
      <c r="F2599" s="77" t="s">
        <v>10174</v>
      </c>
      <c r="G2599" s="22"/>
      <c r="H2599" s="22"/>
    </row>
    <row r="2600" spans="1:8" ht="13.35" customHeight="1">
      <c r="A2600" s="82">
        <v>5</v>
      </c>
      <c r="B2600" s="83" t="s">
        <v>3871</v>
      </c>
      <c r="C2600" s="67" t="s">
        <v>3872</v>
      </c>
      <c r="D2600" s="91">
        <v>506200</v>
      </c>
      <c r="E2600" s="76">
        <v>37555</v>
      </c>
      <c r="F2600" s="77" t="s">
        <v>10174</v>
      </c>
      <c r="G2600" s="22"/>
      <c r="H2600" s="22"/>
    </row>
    <row r="2601" spans="1:8" ht="13.35" customHeight="1">
      <c r="A2601" s="82">
        <v>5</v>
      </c>
      <c r="B2601" s="83" t="s">
        <v>3873</v>
      </c>
      <c r="C2601" s="67" t="s">
        <v>3874</v>
      </c>
      <c r="D2601" s="91">
        <v>383100</v>
      </c>
      <c r="E2601" s="76">
        <v>28419.999999999996</v>
      </c>
      <c r="F2601" s="77" t="s">
        <v>10174</v>
      </c>
      <c r="G2601" s="22"/>
      <c r="H2601" s="22"/>
    </row>
    <row r="2602" spans="1:8" ht="13.35" customHeight="1">
      <c r="A2602" s="82">
        <v>5</v>
      </c>
      <c r="B2602" s="83" t="s">
        <v>3866</v>
      </c>
      <c r="C2602" s="67" t="s">
        <v>3867</v>
      </c>
      <c r="D2602" s="91">
        <v>287300</v>
      </c>
      <c r="E2602" s="76">
        <v>21315</v>
      </c>
      <c r="F2602" s="77" t="s">
        <v>10174</v>
      </c>
      <c r="G2602" s="22"/>
      <c r="H2602" s="22"/>
    </row>
    <row r="2603" spans="1:8" ht="13.35" customHeight="1">
      <c r="A2603" s="82">
        <v>5</v>
      </c>
      <c r="B2603" s="83" t="s">
        <v>3868</v>
      </c>
      <c r="C2603" s="67" t="s">
        <v>3869</v>
      </c>
      <c r="D2603" s="91">
        <v>218900</v>
      </c>
      <c r="E2603" s="76">
        <v>16239.999999999998</v>
      </c>
      <c r="F2603" s="77" t="s">
        <v>10174</v>
      </c>
      <c r="G2603" s="22"/>
      <c r="H2603" s="22"/>
    </row>
    <row r="2604" spans="1:8" ht="13.35" customHeight="1">
      <c r="A2604" s="82">
        <v>5</v>
      </c>
      <c r="B2604" s="83" t="s">
        <v>3878</v>
      </c>
      <c r="C2604" s="67" t="s">
        <v>3879</v>
      </c>
      <c r="D2604" s="91">
        <v>136800</v>
      </c>
      <c r="E2604" s="76">
        <v>10150</v>
      </c>
      <c r="F2604" s="77" t="s">
        <v>10174</v>
      </c>
      <c r="G2604" s="22"/>
      <c r="H2604" s="22"/>
    </row>
    <row r="2605" spans="1:8" ht="13.35" customHeight="1">
      <c r="A2605" s="82">
        <v>5</v>
      </c>
      <c r="B2605" s="83" t="s">
        <v>3880</v>
      </c>
      <c r="C2605" s="67" t="s">
        <v>3881</v>
      </c>
      <c r="D2605" s="91">
        <v>109400</v>
      </c>
      <c r="E2605" s="76">
        <v>8119.9999999999991</v>
      </c>
      <c r="F2605" s="77" t="s">
        <v>10174</v>
      </c>
      <c r="G2605" s="22"/>
      <c r="H2605" s="22"/>
    </row>
    <row r="2606" spans="1:8" ht="13.35" customHeight="1">
      <c r="A2606" s="82">
        <v>5</v>
      </c>
      <c r="B2606" s="83" t="s">
        <v>3883</v>
      </c>
      <c r="C2606" s="67" t="s">
        <v>3884</v>
      </c>
      <c r="D2606" s="91">
        <v>150500</v>
      </c>
      <c r="E2606" s="76">
        <v>11164.999999999998</v>
      </c>
      <c r="F2606" s="77" t="s">
        <v>10174</v>
      </c>
      <c r="G2606" s="22"/>
      <c r="H2606" s="22"/>
    </row>
    <row r="2607" spans="1:8" ht="13.35" customHeight="1">
      <c r="A2607" s="82">
        <v>5</v>
      </c>
      <c r="B2607" s="83" t="s">
        <v>3885</v>
      </c>
      <c r="C2607" s="67" t="s">
        <v>3886</v>
      </c>
      <c r="D2607" s="91">
        <v>109400</v>
      </c>
      <c r="E2607" s="76">
        <v>8119.9999999999991</v>
      </c>
      <c r="F2607" s="77" t="s">
        <v>10174</v>
      </c>
      <c r="G2607" s="22"/>
      <c r="H2607" s="22"/>
    </row>
    <row r="2608" spans="1:8" ht="13.35" customHeight="1">
      <c r="A2608" s="82">
        <v>5</v>
      </c>
      <c r="B2608" s="83" t="s">
        <v>4730</v>
      </c>
      <c r="C2608" s="67" t="s">
        <v>4731</v>
      </c>
      <c r="D2608" s="91">
        <v>109400</v>
      </c>
      <c r="E2608" s="76">
        <v>8119.9999999999991</v>
      </c>
      <c r="F2608" s="77" t="s">
        <v>10174</v>
      </c>
      <c r="G2608" s="22"/>
      <c r="H2608" s="22"/>
    </row>
    <row r="2609" spans="1:8" ht="13.35" customHeight="1">
      <c r="A2609" s="82">
        <v>5</v>
      </c>
      <c r="B2609" s="83" t="s">
        <v>4732</v>
      </c>
      <c r="C2609" s="67" t="s">
        <v>4733</v>
      </c>
      <c r="D2609" s="91">
        <v>82100</v>
      </c>
      <c r="E2609" s="76">
        <v>6089.9999999999991</v>
      </c>
      <c r="F2609" s="77" t="s">
        <v>10174</v>
      </c>
      <c r="G2609" s="22"/>
      <c r="H2609" s="22"/>
    </row>
    <row r="2610" spans="1:8" ht="13.35" customHeight="1">
      <c r="A2610" s="82">
        <v>5</v>
      </c>
      <c r="B2610" s="83" t="s">
        <v>4734</v>
      </c>
      <c r="C2610" s="67" t="s">
        <v>4735</v>
      </c>
      <c r="D2610" s="91">
        <v>54700</v>
      </c>
      <c r="E2610" s="76">
        <v>4059.9999999999995</v>
      </c>
      <c r="F2610" s="77" t="s">
        <v>10174</v>
      </c>
      <c r="G2610" s="22"/>
      <c r="H2610" s="22"/>
    </row>
    <row r="2611" spans="1:8" ht="13.35" customHeight="1">
      <c r="A2611" s="82">
        <v>5</v>
      </c>
      <c r="B2611" s="67" t="s">
        <v>5862</v>
      </c>
      <c r="C2611" s="67" t="s">
        <v>7973</v>
      </c>
      <c r="D2611" s="91">
        <v>8482300</v>
      </c>
      <c r="E2611" s="76">
        <v>629300</v>
      </c>
      <c r="F2611" s="77" t="s">
        <v>10174</v>
      </c>
      <c r="G2611" s="22"/>
      <c r="H2611" s="22"/>
    </row>
    <row r="2612" spans="1:8" ht="13.35" customHeight="1">
      <c r="A2612" s="82">
        <v>5</v>
      </c>
      <c r="B2612" s="67" t="s">
        <v>5863</v>
      </c>
      <c r="C2612" s="67" t="s">
        <v>7974</v>
      </c>
      <c r="D2612" s="91">
        <v>7114200</v>
      </c>
      <c r="E2612" s="76">
        <v>527800</v>
      </c>
      <c r="F2612" s="77" t="s">
        <v>10174</v>
      </c>
      <c r="G2612" s="22"/>
      <c r="H2612" s="22"/>
    </row>
    <row r="2613" spans="1:8" ht="13.35" customHeight="1">
      <c r="A2613" s="82">
        <v>5</v>
      </c>
      <c r="B2613" s="67" t="s">
        <v>5864</v>
      </c>
      <c r="C2613" s="67" t="s">
        <v>7975</v>
      </c>
      <c r="D2613" s="91">
        <v>6293300</v>
      </c>
      <c r="E2613" s="76">
        <v>466900</v>
      </c>
      <c r="F2613" s="77" t="s">
        <v>10174</v>
      </c>
      <c r="G2613" s="22"/>
      <c r="H2613" s="22"/>
    </row>
    <row r="2614" spans="1:8" ht="13.35" customHeight="1">
      <c r="A2614" s="82">
        <v>5</v>
      </c>
      <c r="B2614" s="67" t="s">
        <v>7042</v>
      </c>
      <c r="C2614" s="67" t="s">
        <v>7976</v>
      </c>
      <c r="D2614" s="91">
        <v>4651600</v>
      </c>
      <c r="E2614" s="76">
        <v>345099.99999999994</v>
      </c>
      <c r="F2614" s="77" t="s">
        <v>10174</v>
      </c>
      <c r="G2614" s="22"/>
      <c r="H2614" s="22"/>
    </row>
    <row r="2615" spans="1:8" ht="13.35" customHeight="1">
      <c r="A2615" s="82">
        <v>5</v>
      </c>
      <c r="B2615" s="67" t="s">
        <v>7043</v>
      </c>
      <c r="C2615" s="67" t="s">
        <v>7977</v>
      </c>
      <c r="D2615" s="91">
        <v>4104300</v>
      </c>
      <c r="E2615" s="76">
        <v>304500</v>
      </c>
      <c r="F2615" s="77" t="s">
        <v>10174</v>
      </c>
      <c r="G2615" s="22"/>
      <c r="H2615" s="22"/>
    </row>
    <row r="2616" spans="1:8" ht="13.35" customHeight="1">
      <c r="A2616" s="82">
        <v>5</v>
      </c>
      <c r="B2616" s="67" t="s">
        <v>7044</v>
      </c>
      <c r="C2616" s="67" t="s">
        <v>7978</v>
      </c>
      <c r="D2616" s="91">
        <v>3557100</v>
      </c>
      <c r="E2616" s="76">
        <v>263900</v>
      </c>
      <c r="F2616" s="77" t="s">
        <v>10174</v>
      </c>
      <c r="G2616" s="22"/>
      <c r="H2616" s="22"/>
    </row>
    <row r="2617" spans="1:8" ht="13.35" customHeight="1">
      <c r="A2617" s="82">
        <v>5</v>
      </c>
      <c r="B2617" s="67" t="s">
        <v>5853</v>
      </c>
      <c r="C2617" s="67" t="s">
        <v>7979</v>
      </c>
      <c r="D2617" s="91">
        <v>1231300</v>
      </c>
      <c r="E2617" s="76">
        <v>91349.999999999985</v>
      </c>
      <c r="F2617" s="77" t="s">
        <v>10174</v>
      </c>
      <c r="G2617" s="22"/>
      <c r="H2617" s="22"/>
    </row>
    <row r="2618" spans="1:8" ht="13.35" customHeight="1">
      <c r="A2618" s="82">
        <v>5</v>
      </c>
      <c r="B2618" s="67" t="s">
        <v>5854</v>
      </c>
      <c r="C2618" s="67" t="s">
        <v>7980</v>
      </c>
      <c r="D2618" s="91">
        <v>957700</v>
      </c>
      <c r="E2618" s="76">
        <v>71050</v>
      </c>
      <c r="F2618" s="77" t="s">
        <v>10174</v>
      </c>
      <c r="G2618" s="22"/>
      <c r="H2618" s="22"/>
    </row>
    <row r="2619" spans="1:8" ht="13.35" customHeight="1">
      <c r="A2619" s="82">
        <v>5</v>
      </c>
      <c r="B2619" s="67" t="s">
        <v>5855</v>
      </c>
      <c r="C2619" s="67" t="s">
        <v>7981</v>
      </c>
      <c r="D2619" s="91">
        <v>684100</v>
      </c>
      <c r="E2619" s="76">
        <v>50750</v>
      </c>
      <c r="F2619" s="77" t="s">
        <v>10174</v>
      </c>
      <c r="G2619" s="22"/>
      <c r="H2619" s="22"/>
    </row>
    <row r="2620" spans="1:8" ht="13.35" customHeight="1">
      <c r="A2620" s="82">
        <v>5</v>
      </c>
      <c r="B2620" s="67" t="s">
        <v>5857</v>
      </c>
      <c r="C2620" s="67" t="s">
        <v>7982</v>
      </c>
      <c r="D2620" s="91">
        <v>4993600</v>
      </c>
      <c r="E2620" s="76">
        <v>370474.99999999994</v>
      </c>
      <c r="F2620" s="77" t="s">
        <v>10174</v>
      </c>
      <c r="G2620" s="22"/>
      <c r="H2620" s="22"/>
    </row>
    <row r="2621" spans="1:8" ht="13.35" customHeight="1">
      <c r="A2621" s="82">
        <v>5</v>
      </c>
      <c r="B2621" s="67" t="s">
        <v>5858</v>
      </c>
      <c r="C2621" s="67" t="s">
        <v>7983</v>
      </c>
      <c r="D2621" s="91">
        <v>3693900</v>
      </c>
      <c r="E2621" s="76">
        <v>274050</v>
      </c>
      <c r="F2621" s="77" t="s">
        <v>10174</v>
      </c>
      <c r="G2621" s="22"/>
      <c r="H2621" s="22"/>
    </row>
    <row r="2622" spans="1:8" ht="13.35" customHeight="1">
      <c r="A2622" s="82">
        <v>5</v>
      </c>
      <c r="B2622" s="67" t="s">
        <v>5856</v>
      </c>
      <c r="C2622" s="67" t="s">
        <v>7984</v>
      </c>
      <c r="D2622" s="91">
        <v>2667800</v>
      </c>
      <c r="E2622" s="76">
        <v>197925</v>
      </c>
      <c r="F2622" s="77" t="s">
        <v>10174</v>
      </c>
      <c r="G2622" s="22"/>
      <c r="H2622" s="22"/>
    </row>
    <row r="2623" spans="1:8" ht="13.35" customHeight="1">
      <c r="A2623" s="82">
        <v>5</v>
      </c>
      <c r="B2623" s="67" t="s">
        <v>5859</v>
      </c>
      <c r="C2623" s="67" t="s">
        <v>7985</v>
      </c>
      <c r="D2623" s="91">
        <v>20658400</v>
      </c>
      <c r="E2623" s="76">
        <v>1532650</v>
      </c>
      <c r="F2623" s="77" t="s">
        <v>10174</v>
      </c>
      <c r="G2623" s="22"/>
      <c r="H2623" s="22"/>
    </row>
    <row r="2624" spans="1:8" ht="13.35" customHeight="1">
      <c r="A2624" s="82">
        <v>5</v>
      </c>
      <c r="B2624" s="67" t="s">
        <v>5860</v>
      </c>
      <c r="C2624" s="67" t="s">
        <v>7986</v>
      </c>
      <c r="D2624" s="91">
        <v>15186000</v>
      </c>
      <c r="E2624" s="76">
        <v>1126650</v>
      </c>
      <c r="F2624" s="77" t="s">
        <v>10174</v>
      </c>
      <c r="G2624" s="22"/>
      <c r="H2624" s="22"/>
    </row>
    <row r="2625" spans="1:8" ht="13.35" customHeight="1">
      <c r="A2625" s="82">
        <v>5</v>
      </c>
      <c r="B2625" s="67" t="s">
        <v>5861</v>
      </c>
      <c r="C2625" s="67" t="s">
        <v>7987</v>
      </c>
      <c r="D2625" s="91">
        <v>11013300</v>
      </c>
      <c r="E2625" s="76">
        <v>817075</v>
      </c>
      <c r="F2625" s="77" t="s">
        <v>10174</v>
      </c>
      <c r="G2625" s="22"/>
      <c r="H2625" s="22"/>
    </row>
    <row r="2626" spans="1:8" ht="13.35" customHeight="1">
      <c r="A2626" s="82">
        <v>5</v>
      </c>
      <c r="B2626" s="83" t="s">
        <v>4713</v>
      </c>
      <c r="C2626" s="67" t="s">
        <v>4714</v>
      </c>
      <c r="D2626" s="91">
        <v>3242400</v>
      </c>
      <c r="E2626" s="76">
        <v>240554.99999999997</v>
      </c>
      <c r="F2626" s="77" t="s">
        <v>10174</v>
      </c>
      <c r="G2626" s="22"/>
      <c r="H2626" s="22"/>
    </row>
    <row r="2627" spans="1:8" ht="13.35" customHeight="1">
      <c r="A2627" s="82">
        <v>5</v>
      </c>
      <c r="B2627" s="83" t="s">
        <v>4715</v>
      </c>
      <c r="C2627" s="67" t="s">
        <v>4716</v>
      </c>
      <c r="D2627" s="91">
        <v>2818300</v>
      </c>
      <c r="E2627" s="76">
        <v>209089.99999999997</v>
      </c>
      <c r="F2627" s="77" t="s">
        <v>10174</v>
      </c>
      <c r="G2627" s="22"/>
      <c r="H2627" s="22"/>
    </row>
    <row r="2628" spans="1:8" ht="13.35" customHeight="1">
      <c r="A2628" s="82">
        <v>5</v>
      </c>
      <c r="B2628" s="83" t="s">
        <v>4717</v>
      </c>
      <c r="C2628" s="67" t="s">
        <v>4718</v>
      </c>
      <c r="D2628" s="91">
        <v>2093200</v>
      </c>
      <c r="E2628" s="76">
        <v>155295</v>
      </c>
      <c r="F2628" s="77" t="s">
        <v>10174</v>
      </c>
      <c r="G2628" s="22"/>
      <c r="H2628" s="22"/>
    </row>
    <row r="2629" spans="1:8" ht="13.35" customHeight="1">
      <c r="A2629" s="82">
        <v>5</v>
      </c>
      <c r="B2629" s="83" t="s">
        <v>4719</v>
      </c>
      <c r="C2629" s="67" t="s">
        <v>4720</v>
      </c>
      <c r="D2629" s="91">
        <v>13092800</v>
      </c>
      <c r="E2629" s="76">
        <v>971355</v>
      </c>
      <c r="F2629" s="77" t="s">
        <v>10174</v>
      </c>
      <c r="G2629" s="22"/>
      <c r="H2629" s="22"/>
    </row>
    <row r="2630" spans="1:8" ht="13.35" customHeight="1">
      <c r="A2630" s="82">
        <v>5</v>
      </c>
      <c r="B2630" s="83" t="s">
        <v>4721</v>
      </c>
      <c r="C2630" s="67" t="s">
        <v>4722</v>
      </c>
      <c r="D2630" s="91">
        <v>11054300</v>
      </c>
      <c r="E2630" s="76">
        <v>820119.99999999988</v>
      </c>
      <c r="F2630" s="77" t="s">
        <v>10174</v>
      </c>
      <c r="G2630" s="22"/>
      <c r="H2630" s="22"/>
    </row>
    <row r="2631" spans="1:8" ht="13.35" customHeight="1">
      <c r="A2631" s="82">
        <v>5</v>
      </c>
      <c r="B2631" s="83" t="s">
        <v>4723</v>
      </c>
      <c r="C2631" s="67" t="s">
        <v>4724</v>
      </c>
      <c r="D2631" s="91">
        <v>7579300</v>
      </c>
      <c r="E2631" s="76">
        <v>562309.99999999988</v>
      </c>
      <c r="F2631" s="77" t="s">
        <v>10174</v>
      </c>
      <c r="G2631" s="22"/>
      <c r="H2631" s="22"/>
    </row>
    <row r="2632" spans="1:8" ht="13.35" customHeight="1">
      <c r="A2632" s="82">
        <v>5</v>
      </c>
      <c r="B2632" s="83" t="s">
        <v>33</v>
      </c>
      <c r="C2632" s="67" t="s">
        <v>7988</v>
      </c>
      <c r="D2632" s="91">
        <v>9576800</v>
      </c>
      <c r="E2632" s="76">
        <v>710499.99999999988</v>
      </c>
      <c r="F2632" s="77" t="s">
        <v>10174</v>
      </c>
      <c r="G2632" s="22"/>
      <c r="H2632" s="22"/>
    </row>
    <row r="2633" spans="1:8" ht="13.35" customHeight="1">
      <c r="A2633" s="82">
        <v>5</v>
      </c>
      <c r="B2633" s="83" t="s">
        <v>35</v>
      </c>
      <c r="C2633" s="67" t="s">
        <v>23</v>
      </c>
      <c r="D2633" s="91">
        <v>6060700</v>
      </c>
      <c r="E2633" s="76">
        <v>449644.99999999994</v>
      </c>
      <c r="F2633" s="77" t="s">
        <v>10174</v>
      </c>
      <c r="G2633" s="22"/>
      <c r="H2633" s="22"/>
    </row>
    <row r="2634" spans="1:8" ht="13.35" customHeight="1">
      <c r="A2634" s="82">
        <v>5</v>
      </c>
      <c r="B2634" s="83" t="s">
        <v>4711</v>
      </c>
      <c r="C2634" s="67" t="s">
        <v>4712</v>
      </c>
      <c r="D2634" s="91">
        <v>1080800</v>
      </c>
      <c r="E2634" s="76">
        <v>80185</v>
      </c>
      <c r="F2634" s="77" t="s">
        <v>10174</v>
      </c>
      <c r="G2634" s="22"/>
      <c r="H2634" s="22"/>
    </row>
    <row r="2635" spans="1:8" ht="13.35" customHeight="1">
      <c r="A2635" s="82">
        <v>5</v>
      </c>
      <c r="B2635" s="83" t="s">
        <v>4709</v>
      </c>
      <c r="C2635" s="67" t="s">
        <v>4710</v>
      </c>
      <c r="D2635" s="91">
        <v>574600</v>
      </c>
      <c r="E2635" s="76">
        <v>42630</v>
      </c>
      <c r="F2635" s="77" t="s">
        <v>10174</v>
      </c>
      <c r="G2635" s="22"/>
      <c r="H2635" s="22"/>
    </row>
    <row r="2636" spans="1:8" ht="13.35" customHeight="1">
      <c r="A2636" s="82">
        <v>5</v>
      </c>
      <c r="B2636" s="67" t="s">
        <v>7045</v>
      </c>
      <c r="C2636" s="67" t="s">
        <v>7989</v>
      </c>
      <c r="D2636" s="91">
        <v>553262900</v>
      </c>
      <c r="E2636" s="76">
        <v>41046600</v>
      </c>
      <c r="F2636" s="77" t="s">
        <v>10174</v>
      </c>
      <c r="G2636" s="22"/>
      <c r="H2636" s="22"/>
    </row>
    <row r="2637" spans="1:8" ht="13.35" customHeight="1">
      <c r="A2637" s="82">
        <v>5</v>
      </c>
      <c r="B2637" s="67" t="s">
        <v>7046</v>
      </c>
      <c r="C2637" s="67" t="s">
        <v>7990</v>
      </c>
      <c r="D2637" s="91">
        <v>447850200</v>
      </c>
      <c r="E2637" s="76">
        <v>33226025</v>
      </c>
      <c r="F2637" s="77" t="s">
        <v>10174</v>
      </c>
      <c r="G2637" s="22"/>
      <c r="H2637" s="22"/>
    </row>
    <row r="2638" spans="1:8" ht="13.35" customHeight="1">
      <c r="A2638" s="82">
        <v>5</v>
      </c>
      <c r="B2638" s="67" t="s">
        <v>7047</v>
      </c>
      <c r="C2638" s="67" t="s">
        <v>7991</v>
      </c>
      <c r="D2638" s="91">
        <v>316169800</v>
      </c>
      <c r="E2638" s="76">
        <v>23456649.999999996</v>
      </c>
      <c r="F2638" s="77" t="s">
        <v>10174</v>
      </c>
      <c r="G2638" s="22"/>
      <c r="H2638" s="22"/>
    </row>
    <row r="2639" spans="1:8" ht="13.35" customHeight="1">
      <c r="A2639" s="82">
        <v>5</v>
      </c>
      <c r="B2639" s="67" t="s">
        <v>7048</v>
      </c>
      <c r="C2639" s="67" t="s">
        <v>7992</v>
      </c>
      <c r="D2639" s="91">
        <v>237914000</v>
      </c>
      <c r="E2639" s="76">
        <v>17650850</v>
      </c>
      <c r="F2639" s="77" t="s">
        <v>10174</v>
      </c>
      <c r="G2639" s="22"/>
      <c r="H2639" s="22"/>
    </row>
    <row r="2640" spans="1:8" ht="13.35" customHeight="1">
      <c r="A2640" s="82">
        <v>5</v>
      </c>
      <c r="B2640" s="67" t="s">
        <v>7049</v>
      </c>
      <c r="C2640" s="67" t="s">
        <v>7993</v>
      </c>
      <c r="D2640" s="91">
        <v>337033400</v>
      </c>
      <c r="E2640" s="76">
        <v>25004525</v>
      </c>
      <c r="F2640" s="77" t="s">
        <v>10174</v>
      </c>
      <c r="G2640" s="22"/>
      <c r="H2640" s="22"/>
    </row>
    <row r="2641" spans="1:8" ht="13.35" customHeight="1">
      <c r="A2641" s="82">
        <v>5</v>
      </c>
      <c r="B2641" s="67" t="s">
        <v>7050</v>
      </c>
      <c r="C2641" s="67" t="s">
        <v>7994</v>
      </c>
      <c r="D2641" s="91">
        <v>416315300</v>
      </c>
      <c r="E2641" s="76">
        <v>30886450</v>
      </c>
      <c r="F2641" s="77" t="s">
        <v>10174</v>
      </c>
      <c r="G2641" s="22"/>
      <c r="H2641" s="22"/>
    </row>
    <row r="2642" spans="1:8" ht="13.35" customHeight="1">
      <c r="A2642" s="82">
        <v>5</v>
      </c>
      <c r="B2642" s="67" t="s">
        <v>5884</v>
      </c>
      <c r="C2642" s="67" t="s">
        <v>7995</v>
      </c>
      <c r="D2642" s="91">
        <v>416315300</v>
      </c>
      <c r="E2642" s="76">
        <v>30886450</v>
      </c>
      <c r="F2642" s="77" t="s">
        <v>10174</v>
      </c>
      <c r="G2642" s="22"/>
      <c r="H2642" s="22"/>
    </row>
    <row r="2643" spans="1:8" ht="13.35" customHeight="1">
      <c r="A2643" s="82">
        <v>5</v>
      </c>
      <c r="B2643" s="67" t="s">
        <v>5883</v>
      </c>
      <c r="C2643" s="67" t="s">
        <v>7996</v>
      </c>
      <c r="D2643" s="91">
        <v>337033400</v>
      </c>
      <c r="E2643" s="76">
        <v>25004525</v>
      </c>
      <c r="F2643" s="77" t="s">
        <v>10174</v>
      </c>
      <c r="G2643" s="22"/>
      <c r="H2643" s="22"/>
    </row>
    <row r="2644" spans="1:8" ht="13.35" customHeight="1">
      <c r="A2644" s="82">
        <v>5</v>
      </c>
      <c r="B2644" s="67" t="s">
        <v>5882</v>
      </c>
      <c r="C2644" s="67" t="s">
        <v>7997</v>
      </c>
      <c r="D2644" s="91">
        <v>237914000</v>
      </c>
      <c r="E2644" s="76">
        <v>17650850</v>
      </c>
      <c r="F2644" s="77" t="s">
        <v>10174</v>
      </c>
      <c r="G2644" s="22"/>
      <c r="H2644" s="22"/>
    </row>
    <row r="2645" spans="1:8" ht="13.35" customHeight="1">
      <c r="A2645" s="82">
        <v>5</v>
      </c>
      <c r="B2645" s="67" t="s">
        <v>7051</v>
      </c>
      <c r="C2645" s="67" t="s">
        <v>7998</v>
      </c>
      <c r="D2645" s="91">
        <v>267054700</v>
      </c>
      <c r="E2645" s="76">
        <v>19812800</v>
      </c>
      <c r="F2645" s="77" t="s">
        <v>10174</v>
      </c>
      <c r="G2645" s="22"/>
      <c r="H2645" s="22"/>
    </row>
    <row r="2646" spans="1:8" ht="13.35" customHeight="1">
      <c r="A2646" s="82">
        <v>5</v>
      </c>
      <c r="B2646" s="67" t="s">
        <v>7052</v>
      </c>
      <c r="C2646" s="67" t="s">
        <v>7999</v>
      </c>
      <c r="D2646" s="91">
        <v>216161100</v>
      </c>
      <c r="E2646" s="76">
        <v>16037000</v>
      </c>
      <c r="F2646" s="77" t="s">
        <v>10174</v>
      </c>
      <c r="G2646" s="22"/>
      <c r="H2646" s="22"/>
    </row>
    <row r="2647" spans="1:8" ht="13.35" customHeight="1">
      <c r="A2647" s="82">
        <v>5</v>
      </c>
      <c r="B2647" s="67" t="s">
        <v>7053</v>
      </c>
      <c r="C2647" s="67" t="s">
        <v>8000</v>
      </c>
      <c r="D2647" s="91">
        <v>152612400</v>
      </c>
      <c r="E2647" s="76">
        <v>11322324.999999998</v>
      </c>
      <c r="F2647" s="77" t="s">
        <v>10174</v>
      </c>
      <c r="G2647" s="22"/>
      <c r="H2647" s="22"/>
    </row>
    <row r="2648" spans="1:8" ht="13.35" customHeight="1">
      <c r="A2648" s="82">
        <v>5</v>
      </c>
      <c r="B2648" s="67" t="s">
        <v>5891</v>
      </c>
      <c r="C2648" s="67" t="s">
        <v>8001</v>
      </c>
      <c r="D2648" s="91">
        <v>267054700</v>
      </c>
      <c r="E2648" s="76">
        <v>19812800</v>
      </c>
      <c r="F2648" s="77" t="s">
        <v>10174</v>
      </c>
      <c r="G2648" s="22"/>
      <c r="H2648" s="22"/>
    </row>
    <row r="2649" spans="1:8" ht="13.35" customHeight="1">
      <c r="A2649" s="82">
        <v>5</v>
      </c>
      <c r="B2649" s="67" t="s">
        <v>5890</v>
      </c>
      <c r="C2649" s="67" t="s">
        <v>8002</v>
      </c>
      <c r="D2649" s="91">
        <v>216161100</v>
      </c>
      <c r="E2649" s="76">
        <v>16037000</v>
      </c>
      <c r="F2649" s="77" t="s">
        <v>10174</v>
      </c>
      <c r="G2649" s="22"/>
      <c r="H2649" s="22"/>
    </row>
    <row r="2650" spans="1:8" ht="13.35" customHeight="1">
      <c r="A2650" s="82">
        <v>5</v>
      </c>
      <c r="B2650" s="67" t="s">
        <v>5889</v>
      </c>
      <c r="C2650" s="67" t="s">
        <v>8003</v>
      </c>
      <c r="D2650" s="91">
        <v>152612400</v>
      </c>
      <c r="E2650" s="76">
        <v>11322324.999999998</v>
      </c>
      <c r="F2650" s="77" t="s">
        <v>10174</v>
      </c>
      <c r="G2650" s="22"/>
      <c r="H2650" s="22"/>
    </row>
    <row r="2651" spans="1:8" ht="13.35" customHeight="1">
      <c r="A2651" s="82">
        <v>5</v>
      </c>
      <c r="B2651" s="67" t="s">
        <v>7054</v>
      </c>
      <c r="C2651" s="67" t="s">
        <v>8004</v>
      </c>
      <c r="D2651" s="91">
        <v>189825000</v>
      </c>
      <c r="E2651" s="76">
        <v>14083125</v>
      </c>
      <c r="F2651" s="77" t="s">
        <v>10174</v>
      </c>
      <c r="G2651" s="22"/>
      <c r="H2651" s="22"/>
    </row>
    <row r="2652" spans="1:8" ht="13.35" customHeight="1">
      <c r="A2652" s="82">
        <v>5</v>
      </c>
      <c r="B2652" s="67" t="s">
        <v>7055</v>
      </c>
      <c r="C2652" s="67" t="s">
        <v>8005</v>
      </c>
      <c r="D2652" s="91">
        <v>153706900</v>
      </c>
      <c r="E2652" s="76">
        <v>11403524.999999998</v>
      </c>
      <c r="F2652" s="77" t="s">
        <v>10174</v>
      </c>
      <c r="G2652" s="22"/>
      <c r="H2652" s="22"/>
    </row>
    <row r="2653" spans="1:8" ht="13.35" customHeight="1">
      <c r="A2653" s="82">
        <v>5</v>
      </c>
      <c r="B2653" s="67" t="s">
        <v>7056</v>
      </c>
      <c r="C2653" s="67" t="s">
        <v>8006</v>
      </c>
      <c r="D2653" s="91">
        <v>108491000</v>
      </c>
      <c r="E2653" s="76">
        <v>8048950</v>
      </c>
      <c r="F2653" s="77" t="s">
        <v>10174</v>
      </c>
      <c r="G2653" s="22"/>
      <c r="H2653" s="22"/>
    </row>
    <row r="2654" spans="1:8" ht="13.35" customHeight="1">
      <c r="A2654" s="82">
        <v>5</v>
      </c>
      <c r="B2654" s="67" t="s">
        <v>6271</v>
      </c>
      <c r="C2654" s="67" t="s">
        <v>6272</v>
      </c>
      <c r="D2654" s="91">
        <v>189825000</v>
      </c>
      <c r="E2654" s="76">
        <v>14083125</v>
      </c>
      <c r="F2654" s="77" t="s">
        <v>10174</v>
      </c>
      <c r="G2654" s="22"/>
      <c r="H2654" s="22"/>
    </row>
    <row r="2655" spans="1:8" ht="13.35" customHeight="1">
      <c r="A2655" s="82">
        <v>5</v>
      </c>
      <c r="B2655" s="67" t="s">
        <v>6273</v>
      </c>
      <c r="C2655" s="67" t="s">
        <v>6274</v>
      </c>
      <c r="D2655" s="91">
        <v>153706900</v>
      </c>
      <c r="E2655" s="76">
        <v>11403524.999999998</v>
      </c>
      <c r="F2655" s="77" t="s">
        <v>10174</v>
      </c>
      <c r="G2655" s="22"/>
      <c r="H2655" s="22"/>
    </row>
    <row r="2656" spans="1:8" ht="13.35" customHeight="1">
      <c r="A2656" s="82">
        <v>5</v>
      </c>
      <c r="B2656" s="67" t="s">
        <v>6275</v>
      </c>
      <c r="C2656" s="67" t="s">
        <v>6276</v>
      </c>
      <c r="D2656" s="91">
        <v>108491000</v>
      </c>
      <c r="E2656" s="76">
        <v>8048950</v>
      </c>
      <c r="F2656" s="77" t="s">
        <v>10174</v>
      </c>
      <c r="G2656" s="22"/>
      <c r="H2656" s="22"/>
    </row>
    <row r="2657" spans="1:8" ht="13.35" customHeight="1">
      <c r="A2657" s="82">
        <v>5</v>
      </c>
      <c r="B2657" s="83" t="s">
        <v>2179</v>
      </c>
      <c r="C2657" s="67" t="s">
        <v>2180</v>
      </c>
      <c r="D2657" s="91">
        <v>94946700</v>
      </c>
      <c r="E2657" s="76">
        <v>7044100</v>
      </c>
      <c r="F2657" s="77" t="s">
        <v>10174</v>
      </c>
      <c r="G2657" s="22"/>
      <c r="H2657" s="22"/>
    </row>
    <row r="2658" spans="1:8" ht="13.35" customHeight="1">
      <c r="A2658" s="82">
        <v>5</v>
      </c>
      <c r="B2658" s="83" t="s">
        <v>2177</v>
      </c>
      <c r="C2658" s="67" t="s">
        <v>2178</v>
      </c>
      <c r="D2658" s="91">
        <v>76887700</v>
      </c>
      <c r="E2658" s="76">
        <v>5704299.9999999991</v>
      </c>
      <c r="F2658" s="77" t="s">
        <v>10174</v>
      </c>
      <c r="G2658" s="22"/>
      <c r="H2658" s="22"/>
    </row>
    <row r="2659" spans="1:8" ht="13.35" customHeight="1">
      <c r="A2659" s="82">
        <v>5</v>
      </c>
      <c r="B2659" s="83" t="s">
        <v>2175</v>
      </c>
      <c r="C2659" s="67" t="s">
        <v>2176</v>
      </c>
      <c r="D2659" s="91">
        <v>54245500</v>
      </c>
      <c r="E2659" s="76">
        <v>4024475</v>
      </c>
      <c r="F2659" s="77" t="s">
        <v>10174</v>
      </c>
      <c r="G2659" s="22"/>
      <c r="H2659" s="22"/>
    </row>
    <row r="2660" spans="1:8" ht="13.35" customHeight="1">
      <c r="A2660" s="82">
        <v>5</v>
      </c>
      <c r="B2660" s="83" t="s">
        <v>2692</v>
      </c>
      <c r="C2660" s="67" t="s">
        <v>2693</v>
      </c>
      <c r="D2660" s="91">
        <v>133527300</v>
      </c>
      <c r="E2660" s="76">
        <v>9906400</v>
      </c>
      <c r="F2660" s="77" t="s">
        <v>10174</v>
      </c>
      <c r="G2660" s="22"/>
      <c r="H2660" s="22"/>
    </row>
    <row r="2661" spans="1:8" ht="13.35" customHeight="1">
      <c r="A2661" s="82">
        <v>5</v>
      </c>
      <c r="B2661" s="83" t="s">
        <v>2690</v>
      </c>
      <c r="C2661" s="67" t="s">
        <v>2691</v>
      </c>
      <c r="D2661" s="91">
        <v>108080500</v>
      </c>
      <c r="E2661" s="76">
        <v>8018500</v>
      </c>
      <c r="F2661" s="77" t="s">
        <v>10174</v>
      </c>
      <c r="G2661" s="22"/>
      <c r="H2661" s="22"/>
    </row>
    <row r="2662" spans="1:8" ht="13.35" customHeight="1">
      <c r="A2662" s="82">
        <v>5</v>
      </c>
      <c r="B2662" s="83" t="s">
        <v>2688</v>
      </c>
      <c r="C2662" s="67" t="s">
        <v>2689</v>
      </c>
      <c r="D2662" s="91">
        <v>76340400</v>
      </c>
      <c r="E2662" s="76">
        <v>5663699.9999999991</v>
      </c>
      <c r="F2662" s="77" t="s">
        <v>10174</v>
      </c>
      <c r="G2662" s="22"/>
      <c r="H2662" s="22"/>
    </row>
    <row r="2663" spans="1:8" ht="13.35" customHeight="1">
      <c r="A2663" s="82">
        <v>5</v>
      </c>
      <c r="B2663" s="83" t="s">
        <v>2063</v>
      </c>
      <c r="C2663" s="67" t="s">
        <v>2064</v>
      </c>
      <c r="D2663" s="91">
        <v>133527300</v>
      </c>
      <c r="E2663" s="76">
        <v>9906400</v>
      </c>
      <c r="F2663" s="77" t="s">
        <v>10174</v>
      </c>
      <c r="G2663" s="22"/>
      <c r="H2663" s="22"/>
    </row>
    <row r="2664" spans="1:8" ht="13.35" customHeight="1">
      <c r="A2664" s="82">
        <v>5</v>
      </c>
      <c r="B2664" s="83" t="s">
        <v>2061</v>
      </c>
      <c r="C2664" s="67" t="s">
        <v>2062</v>
      </c>
      <c r="D2664" s="91">
        <v>108080500</v>
      </c>
      <c r="E2664" s="76">
        <v>8018500</v>
      </c>
      <c r="F2664" s="77" t="s">
        <v>10174</v>
      </c>
      <c r="G2664" s="22"/>
      <c r="H2664" s="22"/>
    </row>
    <row r="2665" spans="1:8" ht="13.35" customHeight="1">
      <c r="A2665" s="82">
        <v>5</v>
      </c>
      <c r="B2665" s="83" t="s">
        <v>2059</v>
      </c>
      <c r="C2665" s="67" t="s">
        <v>2060</v>
      </c>
      <c r="D2665" s="91">
        <v>76340400</v>
      </c>
      <c r="E2665" s="76">
        <v>5663699.9999999991</v>
      </c>
      <c r="F2665" s="77" t="s">
        <v>10174</v>
      </c>
      <c r="G2665" s="22"/>
      <c r="H2665" s="22"/>
    </row>
    <row r="2666" spans="1:8" ht="13.35" customHeight="1">
      <c r="A2666" s="82">
        <v>5</v>
      </c>
      <c r="B2666" s="83" t="s">
        <v>3613</v>
      </c>
      <c r="C2666" s="67" t="s">
        <v>3614</v>
      </c>
      <c r="D2666" s="91">
        <v>178401300</v>
      </c>
      <c r="E2666" s="76">
        <v>13235600</v>
      </c>
      <c r="F2666" s="77" t="s">
        <v>10174</v>
      </c>
      <c r="G2666" s="22"/>
      <c r="H2666" s="22"/>
    </row>
    <row r="2667" spans="1:8" ht="13.35" customHeight="1">
      <c r="A2667" s="82">
        <v>5</v>
      </c>
      <c r="B2667" s="83" t="s">
        <v>3611</v>
      </c>
      <c r="C2667" s="67" t="s">
        <v>3612</v>
      </c>
      <c r="D2667" s="91">
        <v>145019400</v>
      </c>
      <c r="E2667" s="76">
        <v>10758999.999999998</v>
      </c>
      <c r="F2667" s="77" t="s">
        <v>10174</v>
      </c>
      <c r="G2667" s="22"/>
      <c r="H2667" s="22"/>
    </row>
    <row r="2668" spans="1:8" ht="13.35" customHeight="1">
      <c r="A2668" s="82">
        <v>5</v>
      </c>
      <c r="B2668" s="83" t="s">
        <v>3609</v>
      </c>
      <c r="C2668" s="67" t="s">
        <v>3610</v>
      </c>
      <c r="D2668" s="91">
        <v>102060900</v>
      </c>
      <c r="E2668" s="76">
        <v>7571900</v>
      </c>
      <c r="F2668" s="77" t="s">
        <v>10174</v>
      </c>
      <c r="G2668" s="22"/>
      <c r="H2668" s="22"/>
    </row>
    <row r="2669" spans="1:8" ht="13.35" customHeight="1">
      <c r="A2669" s="82">
        <v>5</v>
      </c>
      <c r="B2669" s="83" t="s">
        <v>3085</v>
      </c>
      <c r="C2669" s="67" t="s">
        <v>3086</v>
      </c>
      <c r="D2669" s="91">
        <v>190782700</v>
      </c>
      <c r="E2669" s="76">
        <v>14154175</v>
      </c>
      <c r="F2669" s="77" t="s">
        <v>10174</v>
      </c>
      <c r="G2669" s="22"/>
      <c r="H2669" s="22"/>
    </row>
    <row r="2670" spans="1:8" ht="13.35" customHeight="1">
      <c r="A2670" s="82">
        <v>5</v>
      </c>
      <c r="B2670" s="83" t="s">
        <v>3087</v>
      </c>
      <c r="C2670" s="67" t="s">
        <v>3088</v>
      </c>
      <c r="D2670" s="91">
        <v>153843700</v>
      </c>
      <c r="E2670" s="76">
        <v>11413674.999999998</v>
      </c>
      <c r="F2670" s="77" t="s">
        <v>10174</v>
      </c>
      <c r="G2670" s="22"/>
      <c r="H2670" s="22"/>
    </row>
    <row r="2671" spans="1:8" ht="13.35" customHeight="1">
      <c r="A2671" s="82">
        <v>5</v>
      </c>
      <c r="B2671" s="83" t="s">
        <v>3089</v>
      </c>
      <c r="C2671" s="67" t="s">
        <v>3090</v>
      </c>
      <c r="D2671" s="91">
        <v>108764600</v>
      </c>
      <c r="E2671" s="76">
        <v>8069250</v>
      </c>
      <c r="F2671" s="77" t="s">
        <v>10174</v>
      </c>
      <c r="G2671" s="22"/>
      <c r="H2671" s="22"/>
    </row>
    <row r="2672" spans="1:8" ht="13.35" customHeight="1">
      <c r="A2672" s="82">
        <v>5</v>
      </c>
      <c r="B2672" s="83" t="s">
        <v>5022</v>
      </c>
      <c r="C2672" s="67" t="s">
        <v>5023</v>
      </c>
      <c r="D2672" s="91">
        <v>190782700</v>
      </c>
      <c r="E2672" s="76">
        <v>14154175</v>
      </c>
      <c r="F2672" s="77" t="s">
        <v>10174</v>
      </c>
      <c r="G2672" s="22"/>
      <c r="H2672" s="22"/>
    </row>
    <row r="2673" spans="1:8" ht="13.35" customHeight="1">
      <c r="A2673" s="82">
        <v>5</v>
      </c>
      <c r="B2673" s="83" t="s">
        <v>5024</v>
      </c>
      <c r="C2673" s="67" t="s">
        <v>5025</v>
      </c>
      <c r="D2673" s="91">
        <v>153843700</v>
      </c>
      <c r="E2673" s="76">
        <v>11413674.999999998</v>
      </c>
      <c r="F2673" s="77" t="s">
        <v>10174</v>
      </c>
      <c r="G2673" s="22"/>
      <c r="H2673" s="22"/>
    </row>
    <row r="2674" spans="1:8" ht="13.35" customHeight="1">
      <c r="A2674" s="82">
        <v>5</v>
      </c>
      <c r="B2674" s="83" t="s">
        <v>5026</v>
      </c>
      <c r="C2674" s="67" t="s">
        <v>5027</v>
      </c>
      <c r="D2674" s="91">
        <v>108764600</v>
      </c>
      <c r="E2674" s="76">
        <v>8069250</v>
      </c>
      <c r="F2674" s="77" t="s">
        <v>10174</v>
      </c>
      <c r="G2674" s="22"/>
      <c r="H2674" s="22"/>
    </row>
    <row r="2675" spans="1:8" ht="13.35" customHeight="1">
      <c r="A2675" s="82">
        <v>5</v>
      </c>
      <c r="B2675" s="83" t="s">
        <v>1743</v>
      </c>
      <c r="C2675" s="67" t="s">
        <v>1744</v>
      </c>
      <c r="D2675" s="91">
        <v>61359600</v>
      </c>
      <c r="E2675" s="76">
        <v>4552275</v>
      </c>
      <c r="F2675" s="77" t="s">
        <v>10174</v>
      </c>
      <c r="G2675" s="22"/>
      <c r="H2675" s="22"/>
    </row>
    <row r="2676" spans="1:8" ht="13.35" customHeight="1">
      <c r="A2676" s="82">
        <v>5</v>
      </c>
      <c r="B2676" s="83" t="s">
        <v>1741</v>
      </c>
      <c r="C2676" s="67" t="s">
        <v>1742</v>
      </c>
      <c r="D2676" s="91">
        <v>48909900</v>
      </c>
      <c r="E2676" s="76">
        <v>3628625</v>
      </c>
      <c r="F2676" s="77" t="s">
        <v>10174</v>
      </c>
      <c r="G2676" s="22"/>
      <c r="H2676" s="22"/>
    </row>
    <row r="2677" spans="1:8" ht="13.35" customHeight="1">
      <c r="A2677" s="82">
        <v>5</v>
      </c>
      <c r="B2677" s="83" t="s">
        <v>1739</v>
      </c>
      <c r="C2677" s="67" t="s">
        <v>1740</v>
      </c>
      <c r="D2677" s="91">
        <v>34955200</v>
      </c>
      <c r="E2677" s="76">
        <v>2593325</v>
      </c>
      <c r="F2677" s="77" t="s">
        <v>10174</v>
      </c>
      <c r="G2677" s="22"/>
      <c r="H2677" s="22"/>
    </row>
    <row r="2678" spans="1:8" ht="13.35" customHeight="1">
      <c r="A2678" s="82">
        <v>5</v>
      </c>
      <c r="B2678" s="83" t="s">
        <v>1769</v>
      </c>
      <c r="C2678" s="67" t="s">
        <v>1770</v>
      </c>
      <c r="D2678" s="91">
        <v>92005300</v>
      </c>
      <c r="E2678" s="76">
        <v>6825875</v>
      </c>
      <c r="F2678" s="77" t="s">
        <v>10174</v>
      </c>
      <c r="G2678" s="22"/>
      <c r="H2678" s="22"/>
    </row>
    <row r="2679" spans="1:8" ht="13.35" customHeight="1">
      <c r="A2679" s="82">
        <v>5</v>
      </c>
      <c r="B2679" s="83" t="s">
        <v>1767</v>
      </c>
      <c r="C2679" s="67" t="s">
        <v>1768</v>
      </c>
      <c r="D2679" s="91">
        <v>71346800</v>
      </c>
      <c r="E2679" s="76">
        <v>5293224.9999999991</v>
      </c>
      <c r="F2679" s="77" t="s">
        <v>10174</v>
      </c>
      <c r="G2679" s="22"/>
      <c r="H2679" s="22"/>
    </row>
    <row r="2680" spans="1:8" ht="13.35" customHeight="1">
      <c r="A2680" s="82">
        <v>5</v>
      </c>
      <c r="B2680" s="83" t="s">
        <v>1765</v>
      </c>
      <c r="C2680" s="67" t="s">
        <v>1766</v>
      </c>
      <c r="D2680" s="91">
        <v>50278000</v>
      </c>
      <c r="E2680" s="76">
        <v>3730125</v>
      </c>
      <c r="F2680" s="77" t="s">
        <v>10174</v>
      </c>
      <c r="G2680" s="22"/>
      <c r="H2680" s="22"/>
    </row>
    <row r="2681" spans="1:8" ht="13.35" customHeight="1">
      <c r="A2681" s="82">
        <v>5</v>
      </c>
      <c r="B2681" s="83" t="s">
        <v>2562</v>
      </c>
      <c r="C2681" s="67" t="s">
        <v>2563</v>
      </c>
      <c r="D2681" s="91">
        <v>145635100</v>
      </c>
      <c r="E2681" s="76">
        <v>10804674.999999998</v>
      </c>
      <c r="F2681" s="77" t="s">
        <v>10174</v>
      </c>
      <c r="G2681" s="22"/>
      <c r="H2681" s="22"/>
    </row>
    <row r="2682" spans="1:8" ht="13.35" customHeight="1">
      <c r="A2682" s="82">
        <v>5</v>
      </c>
      <c r="B2682" s="83" t="s">
        <v>2560</v>
      </c>
      <c r="C2682" s="67" t="s">
        <v>2561</v>
      </c>
      <c r="D2682" s="91">
        <v>117999300</v>
      </c>
      <c r="E2682" s="76">
        <v>8754375</v>
      </c>
      <c r="F2682" s="77" t="s">
        <v>10174</v>
      </c>
      <c r="G2682" s="22"/>
      <c r="H2682" s="22"/>
    </row>
    <row r="2683" spans="1:8" ht="13.35" customHeight="1">
      <c r="A2683" s="82">
        <v>5</v>
      </c>
      <c r="B2683" s="83" t="s">
        <v>2558</v>
      </c>
      <c r="C2683" s="67" t="s">
        <v>2559</v>
      </c>
      <c r="D2683" s="91">
        <v>83523000</v>
      </c>
      <c r="E2683" s="76">
        <v>6196575</v>
      </c>
      <c r="F2683" s="77" t="s">
        <v>10174</v>
      </c>
      <c r="G2683" s="22"/>
      <c r="H2683" s="22"/>
    </row>
    <row r="2684" spans="1:8" ht="13.35" customHeight="1">
      <c r="A2684" s="82">
        <v>5</v>
      </c>
      <c r="B2684" s="83" t="s">
        <v>354</v>
      </c>
      <c r="C2684" s="67" t="s">
        <v>355</v>
      </c>
      <c r="D2684" s="91">
        <v>48499400</v>
      </c>
      <c r="E2684" s="76">
        <v>3598175</v>
      </c>
      <c r="F2684" s="77" t="s">
        <v>10174</v>
      </c>
      <c r="G2684" s="22"/>
      <c r="H2684" s="22"/>
    </row>
    <row r="2685" spans="1:8" ht="13.35" customHeight="1">
      <c r="A2685" s="82">
        <v>5</v>
      </c>
      <c r="B2685" s="83" t="s">
        <v>352</v>
      </c>
      <c r="C2685" s="67" t="s">
        <v>353</v>
      </c>
      <c r="D2685" s="91">
        <v>36090700</v>
      </c>
      <c r="E2685" s="76">
        <v>2677570</v>
      </c>
      <c r="F2685" s="77" t="s">
        <v>10174</v>
      </c>
      <c r="G2685" s="22"/>
      <c r="H2685" s="22"/>
    </row>
    <row r="2686" spans="1:8" ht="13.35" customHeight="1">
      <c r="A2686" s="82">
        <v>5</v>
      </c>
      <c r="B2686" s="83" t="s">
        <v>350</v>
      </c>
      <c r="C2686" s="67" t="s">
        <v>351</v>
      </c>
      <c r="D2686" s="91">
        <v>26637100</v>
      </c>
      <c r="E2686" s="76">
        <v>1976204.9999999998</v>
      </c>
      <c r="F2686" s="77" t="s">
        <v>10174</v>
      </c>
      <c r="G2686" s="22"/>
      <c r="H2686" s="22"/>
    </row>
    <row r="2687" spans="1:8" ht="13.35" customHeight="1">
      <c r="A2687" s="82">
        <v>5</v>
      </c>
      <c r="B2687" s="83" t="s">
        <v>366</v>
      </c>
      <c r="C2687" s="67" t="s">
        <v>367</v>
      </c>
      <c r="D2687" s="91">
        <v>65026200</v>
      </c>
      <c r="E2687" s="76">
        <v>4824295</v>
      </c>
      <c r="F2687" s="77" t="s">
        <v>10174</v>
      </c>
      <c r="G2687" s="22"/>
      <c r="H2687" s="22"/>
    </row>
    <row r="2688" spans="1:8" ht="13.35" customHeight="1">
      <c r="A2688" s="82">
        <v>5</v>
      </c>
      <c r="B2688" s="83" t="s">
        <v>364</v>
      </c>
      <c r="C2688" s="67" t="s">
        <v>365</v>
      </c>
      <c r="D2688" s="91">
        <v>48280500</v>
      </c>
      <c r="E2688" s="76">
        <v>3581934.9999999995</v>
      </c>
      <c r="F2688" s="77" t="s">
        <v>10174</v>
      </c>
      <c r="G2688" s="22"/>
      <c r="H2688" s="22"/>
    </row>
    <row r="2689" spans="1:8" ht="13.35" customHeight="1">
      <c r="A2689" s="82">
        <v>5</v>
      </c>
      <c r="B2689" s="83" t="s">
        <v>362</v>
      </c>
      <c r="C2689" s="67" t="s">
        <v>363</v>
      </c>
      <c r="D2689" s="91">
        <v>35297200</v>
      </c>
      <c r="E2689" s="76">
        <v>2618699.9999999995</v>
      </c>
      <c r="F2689" s="77" t="s">
        <v>10174</v>
      </c>
      <c r="G2689" s="22"/>
      <c r="H2689" s="22"/>
    </row>
    <row r="2690" spans="1:8" ht="13.35" customHeight="1">
      <c r="A2690" s="82">
        <v>5</v>
      </c>
      <c r="B2690" s="83" t="s">
        <v>464</v>
      </c>
      <c r="C2690" s="67" t="s">
        <v>465</v>
      </c>
      <c r="D2690" s="91">
        <v>110789400</v>
      </c>
      <c r="E2690" s="76">
        <v>8219469.9999999991</v>
      </c>
      <c r="F2690" s="77" t="s">
        <v>10174</v>
      </c>
      <c r="G2690" s="22"/>
      <c r="H2690" s="22"/>
    </row>
    <row r="2691" spans="1:8" ht="13.35" customHeight="1">
      <c r="A2691" s="82">
        <v>5</v>
      </c>
      <c r="B2691" s="83" t="s">
        <v>462</v>
      </c>
      <c r="C2691" s="67" t="s">
        <v>463</v>
      </c>
      <c r="D2691" s="91">
        <v>85164700</v>
      </c>
      <c r="E2691" s="76">
        <v>6318375</v>
      </c>
      <c r="F2691" s="77" t="s">
        <v>10174</v>
      </c>
      <c r="G2691" s="22"/>
      <c r="H2691" s="22"/>
    </row>
    <row r="2692" spans="1:8" ht="13.35" customHeight="1">
      <c r="A2692" s="82">
        <v>5</v>
      </c>
      <c r="B2692" s="83" t="s">
        <v>460</v>
      </c>
      <c r="C2692" s="67" t="s">
        <v>461</v>
      </c>
      <c r="D2692" s="91">
        <v>62071100</v>
      </c>
      <c r="E2692" s="76">
        <v>4605054.9999999991</v>
      </c>
      <c r="F2692" s="77" t="s">
        <v>10174</v>
      </c>
      <c r="G2692" s="22"/>
      <c r="H2692" s="22"/>
    </row>
    <row r="2693" spans="1:8" ht="13.35" customHeight="1">
      <c r="A2693" s="82">
        <v>5</v>
      </c>
      <c r="B2693" s="83" t="s">
        <v>778</v>
      </c>
      <c r="C2693" s="67" t="s">
        <v>779</v>
      </c>
      <c r="D2693" s="91">
        <v>134745000</v>
      </c>
      <c r="E2693" s="76">
        <v>9996734.9999999981</v>
      </c>
      <c r="F2693" s="77" t="s">
        <v>10174</v>
      </c>
      <c r="G2693" s="22"/>
      <c r="H2693" s="22"/>
    </row>
    <row r="2694" spans="1:8" ht="13.35" customHeight="1">
      <c r="A2694" s="82">
        <v>5</v>
      </c>
      <c r="B2694" s="83" t="s">
        <v>780</v>
      </c>
      <c r="C2694" s="67" t="s">
        <v>781</v>
      </c>
      <c r="D2694" s="91">
        <v>105877900</v>
      </c>
      <c r="E2694" s="76">
        <v>7855084.9999999991</v>
      </c>
      <c r="F2694" s="77" t="s">
        <v>10174</v>
      </c>
      <c r="G2694" s="22"/>
      <c r="H2694" s="22"/>
    </row>
    <row r="2695" spans="1:8" ht="13.35" customHeight="1">
      <c r="A2695" s="82">
        <v>5</v>
      </c>
      <c r="B2695" s="83" t="s">
        <v>782</v>
      </c>
      <c r="C2695" s="67" t="s">
        <v>783</v>
      </c>
      <c r="D2695" s="91">
        <v>77010800</v>
      </c>
      <c r="E2695" s="76">
        <v>5713435</v>
      </c>
      <c r="F2695" s="77" t="s">
        <v>10174</v>
      </c>
      <c r="G2695" s="22"/>
      <c r="H2695" s="22"/>
    </row>
    <row r="2696" spans="1:8" ht="13.35" customHeight="1">
      <c r="A2696" s="82">
        <v>5</v>
      </c>
      <c r="B2696" s="83" t="s">
        <v>3583</v>
      </c>
      <c r="C2696" s="67" t="s">
        <v>3584</v>
      </c>
      <c r="D2696" s="91">
        <v>17032900</v>
      </c>
      <c r="E2696" s="76">
        <v>1263675</v>
      </c>
      <c r="F2696" s="77" t="s">
        <v>10174</v>
      </c>
      <c r="G2696" s="22"/>
      <c r="H2696" s="22"/>
    </row>
    <row r="2697" spans="1:8" ht="13.35" customHeight="1">
      <c r="A2697" s="82">
        <v>5</v>
      </c>
      <c r="B2697" s="83" t="s">
        <v>3585</v>
      </c>
      <c r="C2697" s="67" t="s">
        <v>3586</v>
      </c>
      <c r="D2697" s="91">
        <v>23244200</v>
      </c>
      <c r="E2697" s="76">
        <v>1724485</v>
      </c>
      <c r="F2697" s="77" t="s">
        <v>10174</v>
      </c>
      <c r="G2697" s="22"/>
      <c r="H2697" s="22"/>
    </row>
    <row r="2698" spans="1:8" ht="13.35" customHeight="1">
      <c r="A2698" s="82">
        <v>5</v>
      </c>
      <c r="B2698" s="83" t="s">
        <v>3581</v>
      </c>
      <c r="C2698" s="67" t="s">
        <v>3582</v>
      </c>
      <c r="D2698" s="91">
        <v>12422400</v>
      </c>
      <c r="E2698" s="76">
        <v>921619.99999999988</v>
      </c>
      <c r="F2698" s="77" t="s">
        <v>10174</v>
      </c>
      <c r="G2698" s="22"/>
      <c r="H2698" s="22"/>
    </row>
    <row r="2699" spans="1:8" ht="13.35" customHeight="1">
      <c r="A2699" s="82">
        <v>5</v>
      </c>
      <c r="B2699" s="83" t="s">
        <v>3597</v>
      </c>
      <c r="C2699" s="67" t="s">
        <v>3598</v>
      </c>
      <c r="D2699" s="91">
        <v>17388700</v>
      </c>
      <c r="E2699" s="76">
        <v>1290065</v>
      </c>
      <c r="F2699" s="77" t="s">
        <v>10174</v>
      </c>
      <c r="G2699" s="22"/>
      <c r="H2699" s="22"/>
    </row>
    <row r="2700" spans="1:8" ht="13.35" customHeight="1">
      <c r="A2700" s="82">
        <v>5</v>
      </c>
      <c r="B2700" s="83" t="s">
        <v>3595</v>
      </c>
      <c r="C2700" s="67" t="s">
        <v>3596</v>
      </c>
      <c r="D2700" s="91">
        <v>12750800</v>
      </c>
      <c r="E2700" s="76">
        <v>945980</v>
      </c>
      <c r="F2700" s="77" t="s">
        <v>10174</v>
      </c>
      <c r="G2700" s="22"/>
      <c r="H2700" s="22"/>
    </row>
    <row r="2701" spans="1:8" ht="13.35" customHeight="1">
      <c r="A2701" s="82">
        <v>5</v>
      </c>
      <c r="B2701" s="83" t="s">
        <v>3593</v>
      </c>
      <c r="C2701" s="67" t="s">
        <v>3594</v>
      </c>
      <c r="D2701" s="91">
        <v>9275800</v>
      </c>
      <c r="E2701" s="76">
        <v>688170</v>
      </c>
      <c r="F2701" s="77" t="s">
        <v>10174</v>
      </c>
      <c r="G2701" s="22"/>
      <c r="H2701" s="22"/>
    </row>
    <row r="2702" spans="1:8" ht="13.35" customHeight="1">
      <c r="A2702" s="82">
        <v>5</v>
      </c>
      <c r="B2702" s="83" t="s">
        <v>3607</v>
      </c>
      <c r="C2702" s="67" t="s">
        <v>3608</v>
      </c>
      <c r="D2702" s="91">
        <v>17607500</v>
      </c>
      <c r="E2702" s="76">
        <v>1306305</v>
      </c>
      <c r="F2702" s="77" t="s">
        <v>10174</v>
      </c>
      <c r="G2702" s="22"/>
      <c r="H2702" s="22"/>
    </row>
    <row r="2703" spans="1:8" ht="13.35" customHeight="1">
      <c r="A2703" s="82">
        <v>5</v>
      </c>
      <c r="B2703" s="83" t="s">
        <v>3605</v>
      </c>
      <c r="C2703" s="67" t="s">
        <v>3606</v>
      </c>
      <c r="D2703" s="91">
        <v>12928600</v>
      </c>
      <c r="E2703" s="76">
        <v>959175</v>
      </c>
      <c r="F2703" s="77" t="s">
        <v>10174</v>
      </c>
      <c r="G2703" s="22"/>
      <c r="H2703" s="22"/>
    </row>
    <row r="2704" spans="1:8" ht="13.35" customHeight="1">
      <c r="A2704" s="82">
        <v>5</v>
      </c>
      <c r="B2704" s="83" t="s">
        <v>3603</v>
      </c>
      <c r="C2704" s="67" t="s">
        <v>3604</v>
      </c>
      <c r="D2704" s="91">
        <v>9385200</v>
      </c>
      <c r="E2704" s="76">
        <v>696290</v>
      </c>
      <c r="F2704" s="77" t="s">
        <v>10174</v>
      </c>
      <c r="G2704" s="22"/>
      <c r="H2704" s="22"/>
    </row>
    <row r="2705" spans="1:8" ht="13.35" customHeight="1">
      <c r="A2705" s="82">
        <v>5</v>
      </c>
      <c r="B2705" s="67" t="s">
        <v>5955</v>
      </c>
      <c r="C2705" s="67" t="s">
        <v>1252</v>
      </c>
      <c r="D2705" s="91">
        <v>14392500</v>
      </c>
      <c r="E2705" s="76">
        <v>1067780</v>
      </c>
      <c r="F2705" s="77" t="s">
        <v>10174</v>
      </c>
      <c r="G2705" s="22"/>
      <c r="H2705" s="22"/>
    </row>
    <row r="2706" spans="1:8" ht="13.35" customHeight="1">
      <c r="A2706" s="82">
        <v>5</v>
      </c>
      <c r="B2706" s="67" t="s">
        <v>5956</v>
      </c>
      <c r="C2706" s="67" t="s">
        <v>1253</v>
      </c>
      <c r="D2706" s="91">
        <v>10507100</v>
      </c>
      <c r="E2706" s="76">
        <v>779519.99999999988</v>
      </c>
      <c r="F2706" s="77" t="s">
        <v>10174</v>
      </c>
      <c r="G2706" s="22"/>
      <c r="H2706" s="22"/>
    </row>
    <row r="2707" spans="1:8" ht="13.35" customHeight="1">
      <c r="A2707" s="82">
        <v>5</v>
      </c>
      <c r="B2707" s="67" t="s">
        <v>5957</v>
      </c>
      <c r="C2707" s="67" t="s">
        <v>1254</v>
      </c>
      <c r="D2707" s="91">
        <v>7606700</v>
      </c>
      <c r="E2707" s="76">
        <v>564340</v>
      </c>
      <c r="F2707" s="77" t="s">
        <v>10174</v>
      </c>
      <c r="G2707" s="22"/>
      <c r="H2707" s="22"/>
    </row>
    <row r="2708" spans="1:8" ht="13.35" customHeight="1">
      <c r="A2708" s="82">
        <v>5</v>
      </c>
      <c r="B2708" s="67" t="s">
        <v>5958</v>
      </c>
      <c r="C2708" s="67" t="s">
        <v>5484</v>
      </c>
      <c r="D2708" s="91">
        <v>14556700</v>
      </c>
      <c r="E2708" s="76">
        <v>1079960</v>
      </c>
      <c r="F2708" s="77" t="s">
        <v>10174</v>
      </c>
      <c r="G2708" s="22"/>
      <c r="H2708" s="22"/>
    </row>
    <row r="2709" spans="1:8" ht="13.35" customHeight="1">
      <c r="A2709" s="82">
        <v>5</v>
      </c>
      <c r="B2709" s="67" t="s">
        <v>5959</v>
      </c>
      <c r="C2709" s="67" t="s">
        <v>5485</v>
      </c>
      <c r="D2709" s="91">
        <v>10684900</v>
      </c>
      <c r="E2709" s="76">
        <v>792714.99999999988</v>
      </c>
      <c r="F2709" s="77" t="s">
        <v>10174</v>
      </c>
      <c r="G2709" s="22"/>
      <c r="H2709" s="22"/>
    </row>
    <row r="2710" spans="1:8" ht="13.35" customHeight="1">
      <c r="A2710" s="82">
        <v>5</v>
      </c>
      <c r="B2710" s="67" t="s">
        <v>5960</v>
      </c>
      <c r="C2710" s="67" t="s">
        <v>5486</v>
      </c>
      <c r="D2710" s="91">
        <v>7770900</v>
      </c>
      <c r="E2710" s="76">
        <v>576520</v>
      </c>
      <c r="F2710" s="77" t="s">
        <v>10174</v>
      </c>
      <c r="G2710" s="22"/>
      <c r="H2710" s="22"/>
    </row>
    <row r="2711" spans="1:8" ht="13.35" customHeight="1">
      <c r="A2711" s="82">
        <v>5</v>
      </c>
      <c r="B2711" s="83" t="s">
        <v>3203</v>
      </c>
      <c r="C2711" s="67" t="s">
        <v>3204</v>
      </c>
      <c r="D2711" s="91">
        <v>31042400</v>
      </c>
      <c r="E2711" s="76">
        <v>2303035</v>
      </c>
      <c r="F2711" s="77" t="s">
        <v>10174</v>
      </c>
      <c r="G2711" s="22"/>
      <c r="H2711" s="22"/>
    </row>
    <row r="2712" spans="1:8" ht="13.35" customHeight="1">
      <c r="A2712" s="82">
        <v>5</v>
      </c>
      <c r="B2712" s="83" t="s">
        <v>3205</v>
      </c>
      <c r="C2712" s="67" t="s">
        <v>3206</v>
      </c>
      <c r="D2712" s="91">
        <v>24393400</v>
      </c>
      <c r="E2712" s="76">
        <v>1809744.9999999998</v>
      </c>
      <c r="F2712" s="77" t="s">
        <v>10174</v>
      </c>
      <c r="G2712" s="22"/>
      <c r="H2712" s="22"/>
    </row>
    <row r="2713" spans="1:8" ht="13.35" customHeight="1">
      <c r="A2713" s="82">
        <v>5</v>
      </c>
      <c r="B2713" s="83" t="s">
        <v>4018</v>
      </c>
      <c r="C2713" s="67" t="s">
        <v>3207</v>
      </c>
      <c r="D2713" s="91">
        <v>17758000</v>
      </c>
      <c r="E2713" s="76">
        <v>1317469.9999999998</v>
      </c>
      <c r="F2713" s="77" t="s">
        <v>10174</v>
      </c>
      <c r="G2713" s="22"/>
      <c r="H2713" s="22"/>
    </row>
    <row r="2714" spans="1:8" ht="13.35" customHeight="1">
      <c r="A2714" s="82">
        <v>5</v>
      </c>
      <c r="B2714" s="83" t="s">
        <v>1029</v>
      </c>
      <c r="C2714" s="67" t="s">
        <v>1030</v>
      </c>
      <c r="D2714" s="91">
        <v>31042400</v>
      </c>
      <c r="E2714" s="76">
        <v>2303035</v>
      </c>
      <c r="F2714" s="77" t="s">
        <v>10174</v>
      </c>
      <c r="G2714" s="22"/>
      <c r="H2714" s="22"/>
    </row>
    <row r="2715" spans="1:8" ht="13.35" customHeight="1">
      <c r="A2715" s="82">
        <v>5</v>
      </c>
      <c r="B2715" s="83" t="s">
        <v>1027</v>
      </c>
      <c r="C2715" s="67" t="s">
        <v>1028</v>
      </c>
      <c r="D2715" s="91">
        <v>24393400</v>
      </c>
      <c r="E2715" s="76">
        <v>1809744.9999999998</v>
      </c>
      <c r="F2715" s="77" t="s">
        <v>10174</v>
      </c>
      <c r="G2715" s="22"/>
      <c r="H2715" s="22"/>
    </row>
    <row r="2716" spans="1:8" ht="13.35" customHeight="1">
      <c r="A2716" s="82">
        <v>5</v>
      </c>
      <c r="B2716" s="83" t="s">
        <v>1898</v>
      </c>
      <c r="C2716" s="67" t="s">
        <v>1026</v>
      </c>
      <c r="D2716" s="91">
        <v>17758000</v>
      </c>
      <c r="E2716" s="76">
        <v>1317469.9999999998</v>
      </c>
      <c r="F2716" s="77" t="s">
        <v>10174</v>
      </c>
      <c r="G2716" s="22"/>
      <c r="H2716" s="22"/>
    </row>
    <row r="2717" spans="1:8" ht="13.35" customHeight="1">
      <c r="A2717" s="82">
        <v>5</v>
      </c>
      <c r="B2717" s="83" t="s">
        <v>484</v>
      </c>
      <c r="C2717" s="67" t="s">
        <v>485</v>
      </c>
      <c r="D2717" s="91">
        <v>8304400</v>
      </c>
      <c r="E2717" s="76">
        <v>616105</v>
      </c>
      <c r="F2717" s="77" t="s">
        <v>10174</v>
      </c>
      <c r="G2717" s="22"/>
      <c r="H2717" s="22"/>
    </row>
    <row r="2718" spans="1:8" ht="13.35" customHeight="1">
      <c r="A2718" s="82">
        <v>5</v>
      </c>
      <c r="B2718" s="83" t="s">
        <v>482</v>
      </c>
      <c r="C2718" s="67" t="s">
        <v>483</v>
      </c>
      <c r="D2718" s="91">
        <v>6854200</v>
      </c>
      <c r="E2718" s="76">
        <v>508515</v>
      </c>
      <c r="F2718" s="77" t="s">
        <v>10174</v>
      </c>
      <c r="G2718" s="22"/>
      <c r="H2718" s="22"/>
    </row>
    <row r="2719" spans="1:8" ht="13.35" customHeight="1">
      <c r="A2719" s="82">
        <v>5</v>
      </c>
      <c r="B2719" s="83" t="s">
        <v>480</v>
      </c>
      <c r="C2719" s="67" t="s">
        <v>481</v>
      </c>
      <c r="D2719" s="91">
        <v>5773400</v>
      </c>
      <c r="E2719" s="76">
        <v>428329.99999999994</v>
      </c>
      <c r="F2719" s="77" t="s">
        <v>10174</v>
      </c>
      <c r="G2719" s="22"/>
      <c r="H2719" s="22"/>
    </row>
    <row r="2720" spans="1:8" ht="13.35" customHeight="1">
      <c r="A2720" s="82">
        <v>5</v>
      </c>
      <c r="B2720" s="83" t="s">
        <v>120</v>
      </c>
      <c r="C2720" s="67" t="s">
        <v>121</v>
      </c>
      <c r="D2720" s="91">
        <v>8304400</v>
      </c>
      <c r="E2720" s="76">
        <v>616105</v>
      </c>
      <c r="F2720" s="77" t="s">
        <v>10174</v>
      </c>
      <c r="G2720" s="22"/>
      <c r="H2720" s="22"/>
    </row>
    <row r="2721" spans="1:8" ht="13.35" customHeight="1">
      <c r="A2721" s="82">
        <v>5</v>
      </c>
      <c r="B2721" s="83" t="s">
        <v>118</v>
      </c>
      <c r="C2721" s="67" t="s">
        <v>119</v>
      </c>
      <c r="D2721" s="91">
        <v>6854200</v>
      </c>
      <c r="E2721" s="76">
        <v>508515</v>
      </c>
      <c r="F2721" s="77" t="s">
        <v>10174</v>
      </c>
      <c r="G2721" s="22"/>
      <c r="H2721" s="22"/>
    </row>
    <row r="2722" spans="1:8" ht="13.35" customHeight="1">
      <c r="A2722" s="82">
        <v>5</v>
      </c>
      <c r="B2722" s="83" t="s">
        <v>116</v>
      </c>
      <c r="C2722" s="67" t="s">
        <v>117</v>
      </c>
      <c r="D2722" s="91">
        <v>5773400</v>
      </c>
      <c r="E2722" s="76">
        <v>428329.99999999994</v>
      </c>
      <c r="F2722" s="77" t="s">
        <v>10174</v>
      </c>
      <c r="G2722" s="22"/>
      <c r="H2722" s="22"/>
    </row>
    <row r="2723" spans="1:8" ht="13.35" customHeight="1">
      <c r="A2723" s="82">
        <v>5</v>
      </c>
      <c r="B2723" s="83" t="s">
        <v>3210</v>
      </c>
      <c r="C2723" s="67" t="s">
        <v>3211</v>
      </c>
      <c r="D2723" s="91">
        <v>47199700</v>
      </c>
      <c r="E2723" s="76">
        <v>3501750</v>
      </c>
      <c r="F2723" s="77" t="s">
        <v>10174</v>
      </c>
      <c r="G2723" s="22"/>
      <c r="H2723" s="22"/>
    </row>
    <row r="2724" spans="1:8" ht="13.35" customHeight="1">
      <c r="A2724" s="82">
        <v>5</v>
      </c>
      <c r="B2724" s="83" t="s">
        <v>3212</v>
      </c>
      <c r="C2724" s="67" t="s">
        <v>3213</v>
      </c>
      <c r="D2724" s="91">
        <v>37103100</v>
      </c>
      <c r="E2724" s="76">
        <v>2752680</v>
      </c>
      <c r="F2724" s="77" t="s">
        <v>10174</v>
      </c>
      <c r="G2724" s="22"/>
      <c r="H2724" s="22"/>
    </row>
    <row r="2725" spans="1:8" ht="13.35" customHeight="1">
      <c r="A2725" s="82">
        <v>5</v>
      </c>
      <c r="B2725" s="83" t="s">
        <v>4023</v>
      </c>
      <c r="C2725" s="67" t="s">
        <v>3214</v>
      </c>
      <c r="D2725" s="91">
        <v>26992800</v>
      </c>
      <c r="E2725" s="76">
        <v>2002594.9999999998</v>
      </c>
      <c r="F2725" s="77" t="s">
        <v>10174</v>
      </c>
      <c r="G2725" s="22"/>
      <c r="H2725" s="22"/>
    </row>
    <row r="2726" spans="1:8" ht="13.35" customHeight="1">
      <c r="A2726" s="82">
        <v>5</v>
      </c>
      <c r="B2726" s="83" t="s">
        <v>1040</v>
      </c>
      <c r="C2726" s="67" t="s">
        <v>1041</v>
      </c>
      <c r="D2726" s="91">
        <v>47199700</v>
      </c>
      <c r="E2726" s="76">
        <v>3501750</v>
      </c>
      <c r="F2726" s="77" t="s">
        <v>10174</v>
      </c>
      <c r="G2726" s="22"/>
      <c r="H2726" s="22"/>
    </row>
    <row r="2727" spans="1:8" ht="13.35" customHeight="1">
      <c r="A2727" s="82">
        <v>5</v>
      </c>
      <c r="B2727" s="83" t="s">
        <v>1038</v>
      </c>
      <c r="C2727" s="67" t="s">
        <v>1039</v>
      </c>
      <c r="D2727" s="91">
        <v>37103100</v>
      </c>
      <c r="E2727" s="76">
        <v>2752680</v>
      </c>
      <c r="F2727" s="77" t="s">
        <v>10174</v>
      </c>
      <c r="G2727" s="22"/>
      <c r="H2727" s="22"/>
    </row>
    <row r="2728" spans="1:8" ht="13.35" customHeight="1">
      <c r="A2728" s="82">
        <v>5</v>
      </c>
      <c r="B2728" s="83" t="s">
        <v>1899</v>
      </c>
      <c r="C2728" s="67" t="s">
        <v>1037</v>
      </c>
      <c r="D2728" s="91">
        <v>26992800</v>
      </c>
      <c r="E2728" s="76">
        <v>2002594.9999999998</v>
      </c>
      <c r="F2728" s="77" t="s">
        <v>10174</v>
      </c>
      <c r="G2728" s="22"/>
      <c r="H2728" s="22"/>
    </row>
    <row r="2729" spans="1:8" ht="13.35" customHeight="1">
      <c r="A2729" s="82">
        <v>5</v>
      </c>
      <c r="B2729" s="83" t="s">
        <v>476</v>
      </c>
      <c r="C2729" s="67" t="s">
        <v>477</v>
      </c>
      <c r="D2729" s="91">
        <v>12997000</v>
      </c>
      <c r="E2729" s="76">
        <v>964250</v>
      </c>
      <c r="F2729" s="77" t="s">
        <v>10174</v>
      </c>
      <c r="G2729" s="22"/>
      <c r="H2729" s="22"/>
    </row>
    <row r="2730" spans="1:8" ht="13.35" customHeight="1">
      <c r="A2730" s="82">
        <v>5</v>
      </c>
      <c r="B2730" s="83" t="s">
        <v>474</v>
      </c>
      <c r="C2730" s="67" t="s">
        <v>475</v>
      </c>
      <c r="D2730" s="91">
        <v>10835400</v>
      </c>
      <c r="E2730" s="76">
        <v>803880</v>
      </c>
      <c r="F2730" s="77" t="s">
        <v>10174</v>
      </c>
      <c r="G2730" s="22"/>
      <c r="H2730" s="22"/>
    </row>
    <row r="2731" spans="1:8" ht="13.35" customHeight="1">
      <c r="A2731" s="82">
        <v>5</v>
      </c>
      <c r="B2731" s="83" t="s">
        <v>472</v>
      </c>
      <c r="C2731" s="67" t="s">
        <v>473</v>
      </c>
      <c r="D2731" s="91">
        <v>9385200</v>
      </c>
      <c r="E2731" s="76">
        <v>696290</v>
      </c>
      <c r="F2731" s="77" t="s">
        <v>10174</v>
      </c>
      <c r="G2731" s="22"/>
      <c r="H2731" s="22"/>
    </row>
    <row r="2732" spans="1:8" ht="13.35" customHeight="1">
      <c r="A2732" s="82">
        <v>5</v>
      </c>
      <c r="B2732" s="83" t="s">
        <v>114</v>
      </c>
      <c r="C2732" s="67" t="s">
        <v>115</v>
      </c>
      <c r="D2732" s="91">
        <v>12997000</v>
      </c>
      <c r="E2732" s="76">
        <v>964250</v>
      </c>
      <c r="F2732" s="77" t="s">
        <v>10174</v>
      </c>
      <c r="G2732" s="22"/>
      <c r="H2732" s="22"/>
    </row>
    <row r="2733" spans="1:8" ht="13.35" customHeight="1">
      <c r="A2733" s="82">
        <v>5</v>
      </c>
      <c r="B2733" s="83" t="s">
        <v>112</v>
      </c>
      <c r="C2733" s="67" t="s">
        <v>113</v>
      </c>
      <c r="D2733" s="91">
        <v>10835400</v>
      </c>
      <c r="E2733" s="76">
        <v>803880</v>
      </c>
      <c r="F2733" s="77" t="s">
        <v>10174</v>
      </c>
      <c r="G2733" s="22"/>
      <c r="H2733" s="22"/>
    </row>
    <row r="2734" spans="1:8" ht="13.35" customHeight="1">
      <c r="A2734" s="82">
        <v>5</v>
      </c>
      <c r="B2734" s="83" t="s">
        <v>110</v>
      </c>
      <c r="C2734" s="67" t="s">
        <v>111</v>
      </c>
      <c r="D2734" s="91">
        <v>9385200</v>
      </c>
      <c r="E2734" s="76">
        <v>696290</v>
      </c>
      <c r="F2734" s="77" t="s">
        <v>10174</v>
      </c>
      <c r="G2734" s="22"/>
      <c r="H2734" s="22"/>
    </row>
    <row r="2735" spans="1:8" ht="13.35" customHeight="1">
      <c r="A2735" s="82">
        <v>5</v>
      </c>
      <c r="B2735" s="83" t="s">
        <v>267</v>
      </c>
      <c r="C2735" s="67" t="s">
        <v>268</v>
      </c>
      <c r="D2735" s="91">
        <v>31042400</v>
      </c>
      <c r="E2735" s="76">
        <v>2303035</v>
      </c>
      <c r="F2735" s="77" t="s">
        <v>10174</v>
      </c>
      <c r="G2735" s="22"/>
      <c r="H2735" s="22"/>
    </row>
    <row r="2736" spans="1:8" ht="13.35" customHeight="1">
      <c r="A2736" s="82">
        <v>5</v>
      </c>
      <c r="B2736" s="83" t="s">
        <v>265</v>
      </c>
      <c r="C2736" s="67" t="s">
        <v>266</v>
      </c>
      <c r="D2736" s="91">
        <v>24393400</v>
      </c>
      <c r="E2736" s="76">
        <v>1809744.9999999998</v>
      </c>
      <c r="F2736" s="77" t="s">
        <v>10174</v>
      </c>
      <c r="G2736" s="22"/>
      <c r="H2736" s="22"/>
    </row>
    <row r="2737" spans="1:8" ht="13.35" customHeight="1">
      <c r="A2737" s="82">
        <v>5</v>
      </c>
      <c r="B2737" s="83" t="s">
        <v>1896</v>
      </c>
      <c r="C2737" s="67" t="s">
        <v>264</v>
      </c>
      <c r="D2737" s="91">
        <v>17758000</v>
      </c>
      <c r="E2737" s="76">
        <v>1317469.9999999998</v>
      </c>
      <c r="F2737" s="77" t="s">
        <v>10174</v>
      </c>
      <c r="G2737" s="22"/>
      <c r="H2737" s="22"/>
    </row>
    <row r="2738" spans="1:8" ht="13.35" customHeight="1">
      <c r="A2738" s="82">
        <v>5</v>
      </c>
      <c r="B2738" s="83" t="s">
        <v>456</v>
      </c>
      <c r="C2738" s="67" t="s">
        <v>457</v>
      </c>
      <c r="D2738" s="91">
        <v>47199700</v>
      </c>
      <c r="E2738" s="76">
        <v>3501750</v>
      </c>
      <c r="F2738" s="77" t="s">
        <v>10174</v>
      </c>
      <c r="G2738" s="22"/>
      <c r="H2738" s="22"/>
    </row>
    <row r="2739" spans="1:8" ht="13.35" customHeight="1">
      <c r="A2739" s="82">
        <v>5</v>
      </c>
      <c r="B2739" s="83" t="s">
        <v>454</v>
      </c>
      <c r="C2739" s="67" t="s">
        <v>455</v>
      </c>
      <c r="D2739" s="91">
        <v>37103100</v>
      </c>
      <c r="E2739" s="76">
        <v>2752680</v>
      </c>
      <c r="F2739" s="77" t="s">
        <v>10174</v>
      </c>
      <c r="G2739" s="22"/>
      <c r="H2739" s="22"/>
    </row>
    <row r="2740" spans="1:8" ht="13.35" customHeight="1">
      <c r="A2740" s="82">
        <v>5</v>
      </c>
      <c r="B2740" s="83" t="s">
        <v>1897</v>
      </c>
      <c r="C2740" s="67" t="s">
        <v>453</v>
      </c>
      <c r="D2740" s="91">
        <v>26992800</v>
      </c>
      <c r="E2740" s="76">
        <v>2002594.9999999998</v>
      </c>
      <c r="F2740" s="77" t="s">
        <v>10174</v>
      </c>
      <c r="G2740" s="22"/>
      <c r="H2740" s="22"/>
    </row>
    <row r="2741" spans="1:8" ht="13.35" customHeight="1">
      <c r="A2741" s="82">
        <v>5</v>
      </c>
      <c r="B2741" s="67" t="s">
        <v>5847</v>
      </c>
      <c r="C2741" s="67" t="s">
        <v>8007</v>
      </c>
      <c r="D2741" s="91">
        <v>66832100</v>
      </c>
      <c r="E2741" s="76">
        <v>4958275</v>
      </c>
      <c r="F2741" s="77" t="s">
        <v>10174</v>
      </c>
      <c r="G2741" s="22"/>
      <c r="H2741" s="22"/>
    </row>
    <row r="2742" spans="1:8" ht="13.35" customHeight="1">
      <c r="A2742" s="82">
        <v>5</v>
      </c>
      <c r="B2742" s="67" t="s">
        <v>5846</v>
      </c>
      <c r="C2742" s="67" t="s">
        <v>8008</v>
      </c>
      <c r="D2742" s="91">
        <v>49046700</v>
      </c>
      <c r="E2742" s="76">
        <v>3638775</v>
      </c>
      <c r="F2742" s="77" t="s">
        <v>10174</v>
      </c>
      <c r="G2742" s="22"/>
      <c r="H2742" s="22"/>
    </row>
    <row r="2743" spans="1:8" ht="13.35" customHeight="1">
      <c r="A2743" s="82">
        <v>5</v>
      </c>
      <c r="B2743" s="67" t="s">
        <v>5844</v>
      </c>
      <c r="C2743" s="67" t="s">
        <v>8009</v>
      </c>
      <c r="D2743" s="91">
        <v>35639200</v>
      </c>
      <c r="E2743" s="76">
        <v>2644074.9999999995</v>
      </c>
      <c r="F2743" s="77" t="s">
        <v>10174</v>
      </c>
      <c r="G2743" s="22"/>
      <c r="H2743" s="22"/>
    </row>
    <row r="2744" spans="1:8" ht="13.35" customHeight="1">
      <c r="A2744" s="82">
        <v>5</v>
      </c>
      <c r="B2744" s="67" t="s">
        <v>5845</v>
      </c>
      <c r="C2744" s="67" t="s">
        <v>8009</v>
      </c>
      <c r="D2744" s="91">
        <v>35639200</v>
      </c>
      <c r="E2744" s="76">
        <v>2644074.9999999995</v>
      </c>
      <c r="F2744" s="77" t="s">
        <v>10174</v>
      </c>
      <c r="G2744" s="22"/>
      <c r="H2744" s="22"/>
    </row>
    <row r="2745" spans="1:8" ht="13.35" customHeight="1">
      <c r="A2745" s="82">
        <v>5</v>
      </c>
      <c r="B2745" s="67" t="s">
        <v>6277</v>
      </c>
      <c r="C2745" s="67" t="s">
        <v>6278</v>
      </c>
      <c r="D2745" s="91">
        <v>47404900</v>
      </c>
      <c r="E2745" s="76">
        <v>3516975</v>
      </c>
      <c r="F2745" s="77" t="s">
        <v>10174</v>
      </c>
      <c r="G2745" s="22"/>
      <c r="H2745" s="22"/>
    </row>
    <row r="2746" spans="1:8" ht="13.35" customHeight="1">
      <c r="A2746" s="82">
        <v>5</v>
      </c>
      <c r="B2746" s="67" t="s">
        <v>6279</v>
      </c>
      <c r="C2746" s="67" t="s">
        <v>6280</v>
      </c>
      <c r="D2746" s="91">
        <v>34818300</v>
      </c>
      <c r="E2746" s="76">
        <v>2583175</v>
      </c>
      <c r="F2746" s="77" t="s">
        <v>10174</v>
      </c>
      <c r="G2746" s="22"/>
      <c r="H2746" s="22"/>
    </row>
    <row r="2747" spans="1:8" ht="13.35" customHeight="1">
      <c r="A2747" s="82">
        <v>5</v>
      </c>
      <c r="B2747" s="67" t="s">
        <v>5852</v>
      </c>
      <c r="C2747" s="67" t="s">
        <v>6282</v>
      </c>
      <c r="D2747" s="91">
        <v>25310000</v>
      </c>
      <c r="E2747" s="76">
        <v>1877750</v>
      </c>
      <c r="F2747" s="77" t="s">
        <v>10174</v>
      </c>
      <c r="G2747" s="22"/>
      <c r="H2747" s="22"/>
    </row>
    <row r="2748" spans="1:8" ht="13.35" customHeight="1">
      <c r="A2748" s="82">
        <v>5</v>
      </c>
      <c r="B2748" s="67" t="s">
        <v>6281</v>
      </c>
      <c r="C2748" s="67" t="s">
        <v>6282</v>
      </c>
      <c r="D2748" s="91">
        <v>25310000</v>
      </c>
      <c r="E2748" s="76">
        <v>1877750</v>
      </c>
      <c r="F2748" s="77" t="s">
        <v>10174</v>
      </c>
      <c r="G2748" s="22"/>
      <c r="H2748" s="22"/>
    </row>
    <row r="2749" spans="1:8" ht="13.35" customHeight="1">
      <c r="A2749" s="82">
        <v>5</v>
      </c>
      <c r="B2749" s="67" t="s">
        <v>7057</v>
      </c>
      <c r="C2749" s="67" t="s">
        <v>8010</v>
      </c>
      <c r="D2749" s="91">
        <v>58691800</v>
      </c>
      <c r="E2749" s="76">
        <v>4354350</v>
      </c>
      <c r="F2749" s="77" t="s">
        <v>10174</v>
      </c>
      <c r="G2749" s="22"/>
      <c r="H2749" s="22"/>
    </row>
    <row r="2750" spans="1:8" ht="13.35" customHeight="1">
      <c r="A2750" s="82">
        <v>5</v>
      </c>
      <c r="B2750" s="67" t="s">
        <v>7058</v>
      </c>
      <c r="C2750" s="67" t="s">
        <v>8011</v>
      </c>
      <c r="D2750" s="91">
        <v>43095400</v>
      </c>
      <c r="E2750" s="76">
        <v>3197250</v>
      </c>
      <c r="F2750" s="77" t="s">
        <v>10174</v>
      </c>
      <c r="G2750" s="22"/>
      <c r="H2750" s="22"/>
    </row>
    <row r="2751" spans="1:8" ht="13.35" customHeight="1">
      <c r="A2751" s="82">
        <v>5</v>
      </c>
      <c r="B2751" s="67" t="s">
        <v>7059</v>
      </c>
      <c r="C2751" s="67" t="s">
        <v>8012</v>
      </c>
      <c r="D2751" s="91">
        <v>31329700</v>
      </c>
      <c r="E2751" s="76">
        <v>2324350</v>
      </c>
      <c r="F2751" s="77" t="s">
        <v>10174</v>
      </c>
      <c r="G2751" s="22"/>
      <c r="H2751" s="22"/>
    </row>
    <row r="2752" spans="1:8" ht="13.35" customHeight="1">
      <c r="A2752" s="82">
        <v>5</v>
      </c>
      <c r="B2752" s="67" t="s">
        <v>6283</v>
      </c>
      <c r="C2752" s="67" t="s">
        <v>6284</v>
      </c>
      <c r="D2752" s="91">
        <v>39743500</v>
      </c>
      <c r="E2752" s="76">
        <v>2948574.9999999995</v>
      </c>
      <c r="F2752" s="77" t="s">
        <v>10174</v>
      </c>
      <c r="G2752" s="22"/>
      <c r="H2752" s="22"/>
    </row>
    <row r="2753" spans="1:8" ht="13.35" customHeight="1">
      <c r="A2753" s="82">
        <v>5</v>
      </c>
      <c r="B2753" s="67" t="s">
        <v>6285</v>
      </c>
      <c r="C2753" s="67" t="s">
        <v>6286</v>
      </c>
      <c r="D2753" s="91">
        <v>54655900</v>
      </c>
      <c r="E2753" s="76">
        <v>4054925</v>
      </c>
      <c r="F2753" s="77" t="s">
        <v>10174</v>
      </c>
      <c r="G2753" s="22"/>
      <c r="H2753" s="22"/>
    </row>
    <row r="2754" spans="1:8" ht="13.35" customHeight="1">
      <c r="A2754" s="82">
        <v>5</v>
      </c>
      <c r="B2754" s="67" t="s">
        <v>6287</v>
      </c>
      <c r="C2754" s="67" t="s">
        <v>6288</v>
      </c>
      <c r="D2754" s="91">
        <v>74493500</v>
      </c>
      <c r="E2754" s="76">
        <v>5526674.9999999991</v>
      </c>
      <c r="F2754" s="77" t="s">
        <v>10174</v>
      </c>
      <c r="G2754" s="22"/>
      <c r="H2754" s="22"/>
    </row>
    <row r="2755" spans="1:8" ht="13.35" customHeight="1">
      <c r="A2755" s="82">
        <v>5</v>
      </c>
      <c r="B2755" s="67" t="s">
        <v>6289</v>
      </c>
      <c r="C2755" s="67" t="s">
        <v>6290</v>
      </c>
      <c r="D2755" s="91">
        <v>48157400</v>
      </c>
      <c r="E2755" s="76">
        <v>3572800</v>
      </c>
      <c r="F2755" s="77" t="s">
        <v>10174</v>
      </c>
      <c r="G2755" s="22"/>
      <c r="H2755" s="22"/>
    </row>
    <row r="2756" spans="1:8" ht="13.35" customHeight="1">
      <c r="A2756" s="82">
        <v>5</v>
      </c>
      <c r="B2756" s="67" t="s">
        <v>6291</v>
      </c>
      <c r="C2756" s="67" t="s">
        <v>6292</v>
      </c>
      <c r="D2756" s="91">
        <v>66216400</v>
      </c>
      <c r="E2756" s="76">
        <v>4912600</v>
      </c>
      <c r="F2756" s="77" t="s">
        <v>10174</v>
      </c>
      <c r="G2756" s="22"/>
      <c r="H2756" s="22"/>
    </row>
    <row r="2757" spans="1:8" ht="13.35" customHeight="1">
      <c r="A2757" s="82">
        <v>5</v>
      </c>
      <c r="B2757" s="67" t="s">
        <v>6293</v>
      </c>
      <c r="C2757" s="67" t="s">
        <v>6294</v>
      </c>
      <c r="D2757" s="91">
        <v>90226700</v>
      </c>
      <c r="E2757" s="76">
        <v>6693925</v>
      </c>
      <c r="F2757" s="77" t="s">
        <v>10174</v>
      </c>
      <c r="G2757" s="22"/>
      <c r="H2757" s="22"/>
    </row>
    <row r="2758" spans="1:8" ht="13.35" customHeight="1">
      <c r="A2758" s="82">
        <v>5</v>
      </c>
      <c r="B2758" s="67" t="s">
        <v>6295</v>
      </c>
      <c r="C2758" s="67" t="s">
        <v>6296</v>
      </c>
      <c r="D2758" s="91">
        <v>39743500</v>
      </c>
      <c r="E2758" s="76">
        <v>2948574.9999999995</v>
      </c>
      <c r="F2758" s="77" t="s">
        <v>10174</v>
      </c>
      <c r="G2758" s="22"/>
      <c r="H2758" s="22"/>
    </row>
    <row r="2759" spans="1:8" ht="13.35" customHeight="1">
      <c r="A2759" s="82">
        <v>5</v>
      </c>
      <c r="B2759" s="67" t="s">
        <v>6297</v>
      </c>
      <c r="C2759" s="67" t="s">
        <v>6298</v>
      </c>
      <c r="D2759" s="91">
        <v>54655900</v>
      </c>
      <c r="E2759" s="76">
        <v>4054925</v>
      </c>
      <c r="F2759" s="77" t="s">
        <v>10174</v>
      </c>
      <c r="G2759" s="22"/>
      <c r="H2759" s="22"/>
    </row>
    <row r="2760" spans="1:8" ht="13.35" customHeight="1">
      <c r="A2760" s="82">
        <v>5</v>
      </c>
      <c r="B2760" s="67" t="s">
        <v>6299</v>
      </c>
      <c r="C2760" s="67" t="s">
        <v>6300</v>
      </c>
      <c r="D2760" s="91">
        <v>74493500</v>
      </c>
      <c r="E2760" s="76">
        <v>5526674.9999999991</v>
      </c>
      <c r="F2760" s="77" t="s">
        <v>10174</v>
      </c>
      <c r="G2760" s="22"/>
      <c r="H2760" s="22"/>
    </row>
    <row r="2761" spans="1:8" ht="13.35" customHeight="1">
      <c r="A2761" s="82">
        <v>5</v>
      </c>
      <c r="B2761" s="67" t="s">
        <v>6301</v>
      </c>
      <c r="C2761" s="67" t="s">
        <v>6302</v>
      </c>
      <c r="D2761" s="91">
        <v>48157400</v>
      </c>
      <c r="E2761" s="76">
        <v>3572800</v>
      </c>
      <c r="F2761" s="77" t="s">
        <v>10174</v>
      </c>
      <c r="G2761" s="22"/>
      <c r="H2761" s="22"/>
    </row>
    <row r="2762" spans="1:8" ht="13.35" customHeight="1">
      <c r="A2762" s="82">
        <v>5</v>
      </c>
      <c r="B2762" s="67" t="s">
        <v>6303</v>
      </c>
      <c r="C2762" s="67" t="s">
        <v>6304</v>
      </c>
      <c r="D2762" s="91">
        <v>66216400</v>
      </c>
      <c r="E2762" s="76">
        <v>4912600</v>
      </c>
      <c r="F2762" s="77" t="s">
        <v>10174</v>
      </c>
      <c r="G2762" s="22"/>
      <c r="H2762" s="22"/>
    </row>
    <row r="2763" spans="1:8" ht="13.35" customHeight="1">
      <c r="A2763" s="82">
        <v>5</v>
      </c>
      <c r="B2763" s="67" t="s">
        <v>6305</v>
      </c>
      <c r="C2763" s="67" t="s">
        <v>6306</v>
      </c>
      <c r="D2763" s="91">
        <v>90226700</v>
      </c>
      <c r="E2763" s="76">
        <v>6693925</v>
      </c>
      <c r="F2763" s="77" t="s">
        <v>10174</v>
      </c>
      <c r="G2763" s="22"/>
      <c r="H2763" s="22"/>
    </row>
    <row r="2764" spans="1:8" ht="13.35" customHeight="1">
      <c r="A2764" s="82">
        <v>5</v>
      </c>
      <c r="B2764" s="67" t="s">
        <v>6307</v>
      </c>
      <c r="C2764" s="67" t="s">
        <v>6308</v>
      </c>
      <c r="D2764" s="91">
        <v>22779000</v>
      </c>
      <c r="E2764" s="76">
        <v>1689975</v>
      </c>
      <c r="F2764" s="77" t="s">
        <v>10174</v>
      </c>
      <c r="G2764" s="22"/>
      <c r="H2764" s="22"/>
    </row>
    <row r="2765" spans="1:8" ht="13.35" customHeight="1">
      <c r="A2765" s="82">
        <v>5</v>
      </c>
      <c r="B2765" s="67" t="s">
        <v>6309</v>
      </c>
      <c r="C2765" s="67" t="s">
        <v>6310</v>
      </c>
      <c r="D2765" s="91">
        <v>31261300</v>
      </c>
      <c r="E2765" s="76">
        <v>2319275</v>
      </c>
      <c r="F2765" s="77" t="s">
        <v>10174</v>
      </c>
      <c r="G2765" s="22"/>
      <c r="H2765" s="22"/>
    </row>
    <row r="2766" spans="1:8" ht="13.35" customHeight="1">
      <c r="A2766" s="82">
        <v>5</v>
      </c>
      <c r="B2766" s="67" t="s">
        <v>6311</v>
      </c>
      <c r="C2766" s="67" t="s">
        <v>6312</v>
      </c>
      <c r="D2766" s="91">
        <v>42685000</v>
      </c>
      <c r="E2766" s="76">
        <v>3166800</v>
      </c>
      <c r="F2766" s="77" t="s">
        <v>10174</v>
      </c>
      <c r="G2766" s="22"/>
      <c r="H2766" s="22"/>
    </row>
    <row r="2767" spans="1:8" ht="13.35" customHeight="1">
      <c r="A2767" s="82">
        <v>5</v>
      </c>
      <c r="B2767" s="67" t="s">
        <v>6313</v>
      </c>
      <c r="C2767" s="67" t="s">
        <v>6314</v>
      </c>
      <c r="D2767" s="91">
        <v>27156900</v>
      </c>
      <c r="E2767" s="76">
        <v>2014775</v>
      </c>
      <c r="F2767" s="77" t="s">
        <v>10174</v>
      </c>
      <c r="G2767" s="22"/>
      <c r="H2767" s="22"/>
    </row>
    <row r="2768" spans="1:8" ht="13.35" customHeight="1">
      <c r="A2768" s="82">
        <v>5</v>
      </c>
      <c r="B2768" s="67" t="s">
        <v>6315</v>
      </c>
      <c r="C2768" s="67" t="s">
        <v>6316</v>
      </c>
      <c r="D2768" s="91">
        <v>37349300</v>
      </c>
      <c r="E2768" s="76">
        <v>2770949.9999999995</v>
      </c>
      <c r="F2768" s="77" t="s">
        <v>10174</v>
      </c>
      <c r="G2768" s="22"/>
      <c r="H2768" s="22"/>
    </row>
    <row r="2769" spans="1:8" ht="13.35" customHeight="1">
      <c r="A2769" s="82">
        <v>5</v>
      </c>
      <c r="B2769" s="67" t="s">
        <v>6317</v>
      </c>
      <c r="C2769" s="67" t="s">
        <v>6318</v>
      </c>
      <c r="D2769" s="91">
        <v>50962000</v>
      </c>
      <c r="E2769" s="76">
        <v>3780875</v>
      </c>
      <c r="F2769" s="77" t="s">
        <v>10174</v>
      </c>
      <c r="G2769" s="22"/>
      <c r="H2769" s="22"/>
    </row>
    <row r="2770" spans="1:8" ht="13.35" customHeight="1">
      <c r="A2770" s="82">
        <v>5</v>
      </c>
      <c r="B2770" s="83" t="s">
        <v>4006</v>
      </c>
      <c r="C2770" s="67" t="s">
        <v>4064</v>
      </c>
      <c r="D2770" s="91">
        <v>54792700</v>
      </c>
      <c r="E2770" s="76">
        <v>4065075</v>
      </c>
      <c r="F2770" s="77" t="s">
        <v>10174</v>
      </c>
      <c r="G2770" s="22"/>
      <c r="H2770" s="22"/>
    </row>
    <row r="2771" spans="1:8" ht="13.35" customHeight="1">
      <c r="A2771" s="82">
        <v>5</v>
      </c>
      <c r="B2771" s="83" t="s">
        <v>4007</v>
      </c>
      <c r="C2771" s="67" t="s">
        <v>4063</v>
      </c>
      <c r="D2771" s="91">
        <v>40290800</v>
      </c>
      <c r="E2771" s="76">
        <v>2989175</v>
      </c>
      <c r="F2771" s="77" t="s">
        <v>10174</v>
      </c>
      <c r="G2771" s="22"/>
      <c r="H2771" s="22"/>
    </row>
    <row r="2772" spans="1:8" ht="13.35" customHeight="1">
      <c r="A2772" s="82">
        <v>5</v>
      </c>
      <c r="B2772" s="83" t="s">
        <v>5487</v>
      </c>
      <c r="C2772" s="67" t="s">
        <v>4062</v>
      </c>
      <c r="D2772" s="91">
        <v>29345900</v>
      </c>
      <c r="E2772" s="76">
        <v>2177175</v>
      </c>
      <c r="F2772" s="77" t="s">
        <v>10174</v>
      </c>
      <c r="G2772" s="22"/>
      <c r="H2772" s="22"/>
    </row>
    <row r="2773" spans="1:8" ht="13.35" customHeight="1">
      <c r="A2773" s="82">
        <v>5</v>
      </c>
      <c r="B2773" s="83" t="s">
        <v>4014</v>
      </c>
      <c r="C2773" s="67" t="s">
        <v>4069</v>
      </c>
      <c r="D2773" s="91">
        <v>62248900</v>
      </c>
      <c r="E2773" s="76">
        <v>4618250</v>
      </c>
      <c r="F2773" s="77" t="s">
        <v>10174</v>
      </c>
      <c r="G2773" s="22"/>
      <c r="H2773" s="22"/>
    </row>
    <row r="2774" spans="1:8" ht="13.35" customHeight="1">
      <c r="A2774" s="82">
        <v>5</v>
      </c>
      <c r="B2774" s="83" t="s">
        <v>4015</v>
      </c>
      <c r="C2774" s="67" t="s">
        <v>4068</v>
      </c>
      <c r="D2774" s="91">
        <v>45763200</v>
      </c>
      <c r="E2774" s="76">
        <v>3395175</v>
      </c>
      <c r="F2774" s="77" t="s">
        <v>10174</v>
      </c>
      <c r="G2774" s="22"/>
      <c r="H2774" s="22"/>
    </row>
    <row r="2775" spans="1:8" ht="13.35" customHeight="1">
      <c r="A2775" s="82">
        <v>5</v>
      </c>
      <c r="B2775" s="83" t="s">
        <v>5488</v>
      </c>
      <c r="C2775" s="67" t="s">
        <v>4067</v>
      </c>
      <c r="D2775" s="91">
        <v>33313400</v>
      </c>
      <c r="E2775" s="76">
        <v>2471525</v>
      </c>
      <c r="F2775" s="77" t="s">
        <v>10174</v>
      </c>
      <c r="G2775" s="22"/>
      <c r="H2775" s="22"/>
    </row>
    <row r="2776" spans="1:8" ht="13.35" customHeight="1">
      <c r="A2776" s="82">
        <v>5</v>
      </c>
      <c r="B2776" s="83" t="s">
        <v>4010</v>
      </c>
      <c r="C2776" s="67" t="s">
        <v>4074</v>
      </c>
      <c r="D2776" s="91">
        <v>69773500</v>
      </c>
      <c r="E2776" s="76">
        <v>5176500</v>
      </c>
      <c r="F2776" s="77" t="s">
        <v>10174</v>
      </c>
      <c r="G2776" s="22"/>
      <c r="H2776" s="22"/>
    </row>
    <row r="2777" spans="1:8" ht="13.35" customHeight="1">
      <c r="A2777" s="82">
        <v>5</v>
      </c>
      <c r="B2777" s="83" t="s">
        <v>4011</v>
      </c>
      <c r="C2777" s="67" t="s">
        <v>4073</v>
      </c>
      <c r="D2777" s="91">
        <v>51235600</v>
      </c>
      <c r="E2777" s="76">
        <v>3801175</v>
      </c>
      <c r="F2777" s="77" t="s">
        <v>10174</v>
      </c>
      <c r="G2777" s="22"/>
      <c r="H2777" s="22"/>
    </row>
    <row r="2778" spans="1:8" ht="13.35" customHeight="1">
      <c r="A2778" s="82">
        <v>5</v>
      </c>
      <c r="B2778" s="83" t="s">
        <v>5489</v>
      </c>
      <c r="C2778" s="67" t="s">
        <v>4072</v>
      </c>
      <c r="D2778" s="91">
        <v>37280900</v>
      </c>
      <c r="E2778" s="76">
        <v>2765874.9999999995</v>
      </c>
      <c r="F2778" s="77" t="s">
        <v>10174</v>
      </c>
      <c r="G2778" s="22"/>
      <c r="H2778" s="22"/>
    </row>
    <row r="2779" spans="1:8" ht="13.35" customHeight="1">
      <c r="A2779" s="82">
        <v>5</v>
      </c>
      <c r="B2779" s="83" t="s">
        <v>1857</v>
      </c>
      <c r="C2779" s="67" t="s">
        <v>1858</v>
      </c>
      <c r="D2779" s="91">
        <v>33108200</v>
      </c>
      <c r="E2779" s="76">
        <v>2456300</v>
      </c>
      <c r="F2779" s="77" t="s">
        <v>10174</v>
      </c>
      <c r="G2779" s="22"/>
      <c r="H2779" s="22"/>
    </row>
    <row r="2780" spans="1:8" ht="13.35" customHeight="1">
      <c r="A2780" s="82">
        <v>5</v>
      </c>
      <c r="B2780" s="83" t="s">
        <v>1855</v>
      </c>
      <c r="C2780" s="67" t="s">
        <v>1856</v>
      </c>
      <c r="D2780" s="91">
        <v>24283900</v>
      </c>
      <c r="E2780" s="76">
        <v>1801625</v>
      </c>
      <c r="F2780" s="77" t="s">
        <v>10174</v>
      </c>
      <c r="G2780" s="22"/>
      <c r="H2780" s="22"/>
    </row>
    <row r="2781" spans="1:8" ht="13.35" customHeight="1">
      <c r="A2781" s="82">
        <v>5</v>
      </c>
      <c r="B2781" s="83" t="s">
        <v>1853</v>
      </c>
      <c r="C2781" s="67" t="s">
        <v>1854</v>
      </c>
      <c r="D2781" s="91">
        <v>17717000</v>
      </c>
      <c r="E2781" s="76">
        <v>1314424.9999999998</v>
      </c>
      <c r="F2781" s="77" t="s">
        <v>10174</v>
      </c>
      <c r="G2781" s="22"/>
      <c r="H2781" s="22"/>
    </row>
    <row r="2782" spans="1:8" ht="13.35" customHeight="1">
      <c r="A2782" s="82">
        <v>5</v>
      </c>
      <c r="B2782" s="83" t="s">
        <v>1831</v>
      </c>
      <c r="C2782" s="67" t="s">
        <v>1832</v>
      </c>
      <c r="D2782" s="91">
        <v>37896600</v>
      </c>
      <c r="E2782" s="76">
        <v>2811549.9999999995</v>
      </c>
      <c r="F2782" s="77" t="s">
        <v>10174</v>
      </c>
      <c r="G2782" s="22"/>
      <c r="H2782" s="22"/>
    </row>
    <row r="2783" spans="1:8" ht="13.35" customHeight="1">
      <c r="A2783" s="82">
        <v>5</v>
      </c>
      <c r="B2783" s="83" t="s">
        <v>1829</v>
      </c>
      <c r="C2783" s="67" t="s">
        <v>1830</v>
      </c>
      <c r="D2783" s="91">
        <v>27772600</v>
      </c>
      <c r="E2783" s="76">
        <v>2060450</v>
      </c>
      <c r="F2783" s="77" t="s">
        <v>10174</v>
      </c>
      <c r="G2783" s="22"/>
      <c r="H2783" s="22"/>
    </row>
    <row r="2784" spans="1:8" ht="13.35" customHeight="1">
      <c r="A2784" s="82">
        <v>5</v>
      </c>
      <c r="B2784" s="83" t="s">
        <v>1827</v>
      </c>
      <c r="C2784" s="67" t="s">
        <v>1828</v>
      </c>
      <c r="D2784" s="91">
        <v>20248000</v>
      </c>
      <c r="E2784" s="76">
        <v>1502200</v>
      </c>
      <c r="F2784" s="77" t="s">
        <v>10174</v>
      </c>
      <c r="G2784" s="22"/>
      <c r="H2784" s="22"/>
    </row>
    <row r="2785" spans="1:8" ht="13.35" customHeight="1">
      <c r="A2785" s="82">
        <v>5</v>
      </c>
      <c r="B2785" s="83" t="s">
        <v>1869</v>
      </c>
      <c r="C2785" s="67" t="s">
        <v>1870</v>
      </c>
      <c r="D2785" s="91">
        <v>44668700</v>
      </c>
      <c r="E2785" s="76">
        <v>3313975</v>
      </c>
      <c r="F2785" s="77" t="s">
        <v>10174</v>
      </c>
      <c r="G2785" s="22"/>
      <c r="H2785" s="22"/>
    </row>
    <row r="2786" spans="1:8" ht="13.35" customHeight="1">
      <c r="A2786" s="82">
        <v>5</v>
      </c>
      <c r="B2786" s="83" t="s">
        <v>1867</v>
      </c>
      <c r="C2786" s="67" t="s">
        <v>1868</v>
      </c>
      <c r="D2786" s="91">
        <v>32766200</v>
      </c>
      <c r="E2786" s="76">
        <v>2430925</v>
      </c>
      <c r="F2786" s="77" t="s">
        <v>10174</v>
      </c>
      <c r="G2786" s="22"/>
      <c r="H2786" s="22"/>
    </row>
    <row r="2787" spans="1:8" ht="13.35" customHeight="1">
      <c r="A2787" s="82">
        <v>5</v>
      </c>
      <c r="B2787" s="83" t="s">
        <v>1865</v>
      </c>
      <c r="C2787" s="67" t="s">
        <v>1866</v>
      </c>
      <c r="D2787" s="91">
        <v>23805100</v>
      </c>
      <c r="E2787" s="76">
        <v>1766100</v>
      </c>
      <c r="F2787" s="77" t="s">
        <v>10174</v>
      </c>
      <c r="G2787" s="22"/>
      <c r="H2787" s="22"/>
    </row>
    <row r="2788" spans="1:8" ht="13.35" customHeight="1">
      <c r="A2788" s="82">
        <v>5</v>
      </c>
      <c r="B2788" s="83" t="s">
        <v>3892</v>
      </c>
      <c r="C2788" s="67" t="s">
        <v>3893</v>
      </c>
      <c r="D2788" s="91">
        <v>64779900</v>
      </c>
      <c r="E2788" s="76">
        <v>4806025</v>
      </c>
      <c r="F2788" s="77" t="s">
        <v>10174</v>
      </c>
      <c r="G2788" s="22"/>
      <c r="H2788" s="22"/>
    </row>
    <row r="2789" spans="1:8" ht="13.35" customHeight="1">
      <c r="A2789" s="82">
        <v>5</v>
      </c>
      <c r="B2789" s="83" t="s">
        <v>3890</v>
      </c>
      <c r="C2789" s="67" t="s">
        <v>3891</v>
      </c>
      <c r="D2789" s="91">
        <v>47473300</v>
      </c>
      <c r="E2789" s="76">
        <v>3522050</v>
      </c>
      <c r="F2789" s="77" t="s">
        <v>10174</v>
      </c>
      <c r="G2789" s="22"/>
      <c r="H2789" s="22"/>
    </row>
    <row r="2790" spans="1:8" ht="13.35" customHeight="1">
      <c r="A2790" s="82">
        <v>5</v>
      </c>
      <c r="B2790" s="83" t="s">
        <v>3888</v>
      </c>
      <c r="C2790" s="67" t="s">
        <v>3889</v>
      </c>
      <c r="D2790" s="91">
        <v>34544700</v>
      </c>
      <c r="E2790" s="76">
        <v>2562875</v>
      </c>
      <c r="F2790" s="77" t="s">
        <v>10174</v>
      </c>
      <c r="G2790" s="22"/>
      <c r="H2790" s="22"/>
    </row>
    <row r="2791" spans="1:8" ht="13.35" customHeight="1">
      <c r="A2791" s="82">
        <v>5</v>
      </c>
      <c r="B2791" s="83" t="s">
        <v>3904</v>
      </c>
      <c r="C2791" s="67" t="s">
        <v>3905</v>
      </c>
      <c r="D2791" s="91">
        <v>77229700</v>
      </c>
      <c r="E2791" s="76">
        <v>5729674.9999999991</v>
      </c>
      <c r="F2791" s="77" t="s">
        <v>10174</v>
      </c>
      <c r="G2791" s="22"/>
      <c r="H2791" s="22"/>
    </row>
    <row r="2792" spans="1:8" ht="13.35" customHeight="1">
      <c r="A2792" s="82">
        <v>5</v>
      </c>
      <c r="B2792" s="83" t="s">
        <v>3902</v>
      </c>
      <c r="C2792" s="67" t="s">
        <v>3903</v>
      </c>
      <c r="D2792" s="91">
        <v>56639700</v>
      </c>
      <c r="E2792" s="76">
        <v>4202100</v>
      </c>
      <c r="F2792" s="77" t="s">
        <v>10174</v>
      </c>
      <c r="G2792" s="22"/>
      <c r="H2792" s="22"/>
    </row>
    <row r="2793" spans="1:8" ht="13.35" customHeight="1">
      <c r="A2793" s="82">
        <v>5</v>
      </c>
      <c r="B2793" s="83" t="s">
        <v>3900</v>
      </c>
      <c r="C2793" s="67" t="s">
        <v>3901</v>
      </c>
      <c r="D2793" s="91">
        <v>41180100</v>
      </c>
      <c r="E2793" s="76">
        <v>3055150</v>
      </c>
      <c r="F2793" s="77" t="s">
        <v>10174</v>
      </c>
      <c r="G2793" s="22"/>
      <c r="H2793" s="22"/>
    </row>
    <row r="2794" spans="1:8" ht="13.35" customHeight="1">
      <c r="A2794" s="82">
        <v>5</v>
      </c>
      <c r="B2794" s="83" t="s">
        <v>3916</v>
      </c>
      <c r="C2794" s="67" t="s">
        <v>3917</v>
      </c>
      <c r="D2794" s="91">
        <v>87148500</v>
      </c>
      <c r="E2794" s="76">
        <v>6465550</v>
      </c>
      <c r="F2794" s="77" t="s">
        <v>10174</v>
      </c>
      <c r="G2794" s="22"/>
      <c r="H2794" s="22"/>
    </row>
    <row r="2795" spans="1:8" ht="13.35" customHeight="1">
      <c r="A2795" s="82">
        <v>5</v>
      </c>
      <c r="B2795" s="83" t="s">
        <v>3914</v>
      </c>
      <c r="C2795" s="67" t="s">
        <v>3915</v>
      </c>
      <c r="D2795" s="91">
        <v>63959000</v>
      </c>
      <c r="E2795" s="76">
        <v>4745125</v>
      </c>
      <c r="F2795" s="77" t="s">
        <v>10174</v>
      </c>
      <c r="G2795" s="22"/>
      <c r="H2795" s="22"/>
    </row>
    <row r="2796" spans="1:8" ht="13.35" customHeight="1">
      <c r="A2796" s="82">
        <v>5</v>
      </c>
      <c r="B2796" s="83" t="s">
        <v>3912</v>
      </c>
      <c r="C2796" s="67" t="s">
        <v>3913</v>
      </c>
      <c r="D2796" s="91">
        <v>46515700</v>
      </c>
      <c r="E2796" s="76">
        <v>3451000</v>
      </c>
      <c r="F2796" s="77" t="s">
        <v>10174</v>
      </c>
      <c r="G2796" s="22"/>
      <c r="H2796" s="22"/>
    </row>
    <row r="2797" spans="1:8" ht="13.35" customHeight="1">
      <c r="A2797" s="82">
        <v>5</v>
      </c>
      <c r="B2797" s="83" t="s">
        <v>4415</v>
      </c>
      <c r="C2797" s="67" t="s">
        <v>4416</v>
      </c>
      <c r="D2797" s="91">
        <v>44873900</v>
      </c>
      <c r="E2797" s="76">
        <v>3329200</v>
      </c>
      <c r="F2797" s="77" t="s">
        <v>10174</v>
      </c>
      <c r="G2797" s="22"/>
      <c r="H2797" s="22"/>
    </row>
    <row r="2798" spans="1:8" ht="13.35" customHeight="1">
      <c r="A2798" s="82">
        <v>5</v>
      </c>
      <c r="B2798" s="83" t="s">
        <v>4413</v>
      </c>
      <c r="C2798" s="67" t="s">
        <v>4414</v>
      </c>
      <c r="D2798" s="91">
        <v>32903000</v>
      </c>
      <c r="E2798" s="76">
        <v>2441075</v>
      </c>
      <c r="F2798" s="77" t="s">
        <v>10174</v>
      </c>
      <c r="G2798" s="22"/>
      <c r="H2798" s="22"/>
    </row>
    <row r="2799" spans="1:8" ht="13.35" customHeight="1">
      <c r="A2799" s="82">
        <v>5</v>
      </c>
      <c r="B2799" s="83" t="s">
        <v>4411</v>
      </c>
      <c r="C2799" s="67" t="s">
        <v>4412</v>
      </c>
      <c r="D2799" s="91">
        <v>23941900</v>
      </c>
      <c r="E2799" s="76">
        <v>1776250</v>
      </c>
      <c r="F2799" s="77" t="s">
        <v>10174</v>
      </c>
      <c r="G2799" s="22"/>
      <c r="H2799" s="22"/>
    </row>
    <row r="2800" spans="1:8" ht="13.35" customHeight="1">
      <c r="A2800" s="82">
        <v>5</v>
      </c>
      <c r="B2800" s="83" t="s">
        <v>4427</v>
      </c>
      <c r="C2800" s="67" t="s">
        <v>4428</v>
      </c>
      <c r="D2800" s="91">
        <v>52330100</v>
      </c>
      <c r="E2800" s="76">
        <v>3882375</v>
      </c>
      <c r="F2800" s="77" t="s">
        <v>10174</v>
      </c>
      <c r="G2800" s="22"/>
      <c r="H2800" s="22"/>
    </row>
    <row r="2801" spans="1:8" ht="13.35" customHeight="1">
      <c r="A2801" s="82">
        <v>5</v>
      </c>
      <c r="B2801" s="83" t="s">
        <v>4425</v>
      </c>
      <c r="C2801" s="67" t="s">
        <v>4426</v>
      </c>
      <c r="D2801" s="91">
        <v>38375400</v>
      </c>
      <c r="E2801" s="76">
        <v>2847074.9999999995</v>
      </c>
      <c r="F2801" s="77" t="s">
        <v>10174</v>
      </c>
      <c r="G2801" s="22"/>
      <c r="H2801" s="22"/>
    </row>
    <row r="2802" spans="1:8" ht="13.35" customHeight="1">
      <c r="A2802" s="82">
        <v>5</v>
      </c>
      <c r="B2802" s="83" t="s">
        <v>4423</v>
      </c>
      <c r="C2802" s="67" t="s">
        <v>4424</v>
      </c>
      <c r="D2802" s="91">
        <v>27909400</v>
      </c>
      <c r="E2802" s="76">
        <v>2070600</v>
      </c>
      <c r="F2802" s="77" t="s">
        <v>10174</v>
      </c>
      <c r="G2802" s="22"/>
      <c r="H2802" s="22"/>
    </row>
    <row r="2803" spans="1:8" ht="13.35" customHeight="1">
      <c r="A2803" s="82">
        <v>5</v>
      </c>
      <c r="B2803" s="83" t="s">
        <v>4439</v>
      </c>
      <c r="C2803" s="67" t="s">
        <v>4440</v>
      </c>
      <c r="D2803" s="91">
        <v>59786300</v>
      </c>
      <c r="E2803" s="76">
        <v>4435550</v>
      </c>
      <c r="F2803" s="77" t="s">
        <v>10174</v>
      </c>
      <c r="G2803" s="22"/>
      <c r="H2803" s="22"/>
    </row>
    <row r="2804" spans="1:8" ht="13.35" customHeight="1">
      <c r="A2804" s="82">
        <v>5</v>
      </c>
      <c r="B2804" s="83" t="s">
        <v>4437</v>
      </c>
      <c r="C2804" s="67" t="s">
        <v>4438</v>
      </c>
      <c r="D2804" s="91">
        <v>43847900</v>
      </c>
      <c r="E2804" s="76">
        <v>3253075</v>
      </c>
      <c r="F2804" s="77" t="s">
        <v>10174</v>
      </c>
      <c r="G2804" s="22"/>
      <c r="H2804" s="22"/>
    </row>
    <row r="2805" spans="1:8" ht="13.35" customHeight="1">
      <c r="A2805" s="82">
        <v>5</v>
      </c>
      <c r="B2805" s="83" t="s">
        <v>4435</v>
      </c>
      <c r="C2805" s="67" t="s">
        <v>4436</v>
      </c>
      <c r="D2805" s="91">
        <v>31876900</v>
      </c>
      <c r="E2805" s="76">
        <v>2364950</v>
      </c>
      <c r="F2805" s="77" t="s">
        <v>10174</v>
      </c>
      <c r="G2805" s="22"/>
      <c r="H2805" s="22"/>
    </row>
    <row r="2806" spans="1:8" ht="13.35" customHeight="1">
      <c r="A2806" s="82">
        <v>5</v>
      </c>
      <c r="B2806" s="67" t="s">
        <v>5950</v>
      </c>
      <c r="C2806" s="67" t="s">
        <v>8013</v>
      </c>
      <c r="D2806" s="91">
        <v>59786300</v>
      </c>
      <c r="E2806" s="76">
        <v>4435550</v>
      </c>
      <c r="F2806" s="77" t="s">
        <v>10174</v>
      </c>
      <c r="G2806" s="22"/>
      <c r="H2806" s="22"/>
    </row>
    <row r="2807" spans="1:8" ht="13.35" customHeight="1">
      <c r="A2807" s="82">
        <v>5</v>
      </c>
      <c r="B2807" s="67" t="s">
        <v>5949</v>
      </c>
      <c r="C2807" s="67" t="s">
        <v>8014</v>
      </c>
      <c r="D2807" s="91">
        <v>43847900</v>
      </c>
      <c r="E2807" s="76">
        <v>3253075</v>
      </c>
      <c r="F2807" s="77" t="s">
        <v>10174</v>
      </c>
      <c r="G2807" s="22"/>
      <c r="H2807" s="22"/>
    </row>
    <row r="2808" spans="1:8" ht="13.35" customHeight="1">
      <c r="A2808" s="82">
        <v>5</v>
      </c>
      <c r="B2808" s="67" t="s">
        <v>5948</v>
      </c>
      <c r="C2808" s="67" t="s">
        <v>8015</v>
      </c>
      <c r="D2808" s="91">
        <v>31876900</v>
      </c>
      <c r="E2808" s="76">
        <v>2364950</v>
      </c>
      <c r="F2808" s="77" t="s">
        <v>10174</v>
      </c>
      <c r="G2808" s="22"/>
      <c r="H2808" s="22"/>
    </row>
    <row r="2809" spans="1:8" ht="13.35" customHeight="1">
      <c r="A2809" s="82">
        <v>5</v>
      </c>
      <c r="B2809" s="83" t="s">
        <v>1997</v>
      </c>
      <c r="C2809" s="67" t="s">
        <v>1998</v>
      </c>
      <c r="D2809" s="91">
        <v>33108200</v>
      </c>
      <c r="E2809" s="76">
        <v>2456300</v>
      </c>
      <c r="F2809" s="77" t="s">
        <v>10174</v>
      </c>
      <c r="G2809" s="22"/>
      <c r="H2809" s="22"/>
    </row>
    <row r="2810" spans="1:8" ht="13.35" customHeight="1">
      <c r="A2810" s="82">
        <v>5</v>
      </c>
      <c r="B2810" s="83" t="s">
        <v>1995</v>
      </c>
      <c r="C2810" s="67" t="s">
        <v>1996</v>
      </c>
      <c r="D2810" s="91">
        <v>24283900</v>
      </c>
      <c r="E2810" s="76">
        <v>1801625</v>
      </c>
      <c r="F2810" s="77" t="s">
        <v>10174</v>
      </c>
      <c r="G2810" s="22"/>
      <c r="H2810" s="22"/>
    </row>
    <row r="2811" spans="1:8" ht="13.35" customHeight="1">
      <c r="A2811" s="82">
        <v>5</v>
      </c>
      <c r="B2811" s="83" t="s">
        <v>1993</v>
      </c>
      <c r="C2811" s="67" t="s">
        <v>1994</v>
      </c>
      <c r="D2811" s="91">
        <v>17717000</v>
      </c>
      <c r="E2811" s="76">
        <v>1314424.9999999998</v>
      </c>
      <c r="F2811" s="77" t="s">
        <v>10174</v>
      </c>
      <c r="G2811" s="22"/>
      <c r="H2811" s="22"/>
    </row>
    <row r="2812" spans="1:8" ht="13.35" customHeight="1">
      <c r="A2812" s="82">
        <v>5</v>
      </c>
      <c r="B2812" s="83" t="s">
        <v>2009</v>
      </c>
      <c r="C2812" s="67" t="s">
        <v>2010</v>
      </c>
      <c r="D2812" s="91">
        <v>38101800</v>
      </c>
      <c r="E2812" s="76">
        <v>2826774.9999999995</v>
      </c>
      <c r="F2812" s="77" t="s">
        <v>10174</v>
      </c>
      <c r="G2812" s="22"/>
      <c r="H2812" s="22"/>
    </row>
    <row r="2813" spans="1:8" ht="13.35" customHeight="1">
      <c r="A2813" s="82">
        <v>5</v>
      </c>
      <c r="B2813" s="83" t="s">
        <v>2007</v>
      </c>
      <c r="C2813" s="67" t="s">
        <v>2008</v>
      </c>
      <c r="D2813" s="91">
        <v>27909400</v>
      </c>
      <c r="E2813" s="76">
        <v>2070600</v>
      </c>
      <c r="F2813" s="77" t="s">
        <v>10174</v>
      </c>
      <c r="G2813" s="22"/>
      <c r="H2813" s="22"/>
    </row>
    <row r="2814" spans="1:8" ht="13.35" customHeight="1">
      <c r="A2814" s="82">
        <v>5</v>
      </c>
      <c r="B2814" s="83" t="s">
        <v>2005</v>
      </c>
      <c r="C2814" s="67" t="s">
        <v>2006</v>
      </c>
      <c r="D2814" s="91">
        <v>20316400</v>
      </c>
      <c r="E2814" s="76">
        <v>1507275</v>
      </c>
      <c r="F2814" s="77" t="s">
        <v>10174</v>
      </c>
      <c r="G2814" s="22"/>
      <c r="H2814" s="22"/>
    </row>
    <row r="2815" spans="1:8" ht="13.35" customHeight="1">
      <c r="A2815" s="82">
        <v>5</v>
      </c>
      <c r="B2815" s="83" t="s">
        <v>1977</v>
      </c>
      <c r="C2815" s="67" t="s">
        <v>1978</v>
      </c>
      <c r="D2815" s="91">
        <v>44668700</v>
      </c>
      <c r="E2815" s="76">
        <v>3313975</v>
      </c>
      <c r="F2815" s="77" t="s">
        <v>10174</v>
      </c>
      <c r="G2815" s="22"/>
      <c r="H2815" s="22"/>
    </row>
    <row r="2816" spans="1:8" ht="13.35" customHeight="1">
      <c r="A2816" s="82">
        <v>5</v>
      </c>
      <c r="B2816" s="83" t="s">
        <v>1979</v>
      </c>
      <c r="C2816" s="67" t="s">
        <v>1980</v>
      </c>
      <c r="D2816" s="91">
        <v>32766200</v>
      </c>
      <c r="E2816" s="76">
        <v>2430925</v>
      </c>
      <c r="F2816" s="77" t="s">
        <v>10174</v>
      </c>
      <c r="G2816" s="22"/>
      <c r="H2816" s="22"/>
    </row>
    <row r="2817" spans="1:8" ht="13.35" customHeight="1">
      <c r="A2817" s="82">
        <v>5</v>
      </c>
      <c r="B2817" s="83" t="s">
        <v>1981</v>
      </c>
      <c r="C2817" s="67" t="s">
        <v>1982</v>
      </c>
      <c r="D2817" s="91">
        <v>23805100</v>
      </c>
      <c r="E2817" s="76">
        <v>1766100</v>
      </c>
      <c r="F2817" s="77" t="s">
        <v>10174</v>
      </c>
      <c r="G2817" s="22"/>
      <c r="H2817" s="22"/>
    </row>
    <row r="2818" spans="1:8" ht="13.35" customHeight="1">
      <c r="A2818" s="82">
        <v>5</v>
      </c>
      <c r="B2818" s="83" t="s">
        <v>4862</v>
      </c>
      <c r="C2818" s="67" t="s">
        <v>4863</v>
      </c>
      <c r="D2818" s="91">
        <v>29893200</v>
      </c>
      <c r="E2818" s="76">
        <v>2217775</v>
      </c>
      <c r="F2818" s="77" t="s">
        <v>10174</v>
      </c>
      <c r="G2818" s="22"/>
      <c r="H2818" s="22"/>
    </row>
    <row r="2819" spans="1:8" ht="13.35" customHeight="1">
      <c r="A2819" s="82">
        <v>5</v>
      </c>
      <c r="B2819" s="83" t="s">
        <v>4864</v>
      </c>
      <c r="C2819" s="67" t="s">
        <v>4865</v>
      </c>
      <c r="D2819" s="91">
        <v>21958100</v>
      </c>
      <c r="E2819" s="76">
        <v>1629075</v>
      </c>
      <c r="F2819" s="77" t="s">
        <v>10174</v>
      </c>
      <c r="G2819" s="22"/>
      <c r="H2819" s="22"/>
    </row>
    <row r="2820" spans="1:8" ht="13.35" customHeight="1">
      <c r="A2820" s="82">
        <v>5</v>
      </c>
      <c r="B2820" s="83" t="s">
        <v>4866</v>
      </c>
      <c r="C2820" s="67" t="s">
        <v>4867</v>
      </c>
      <c r="D2820" s="91">
        <v>15938500</v>
      </c>
      <c r="E2820" s="76">
        <v>1182475</v>
      </c>
      <c r="F2820" s="77" t="s">
        <v>10174</v>
      </c>
      <c r="G2820" s="22"/>
      <c r="H2820" s="22"/>
    </row>
    <row r="2821" spans="1:8" ht="13.35" customHeight="1">
      <c r="A2821" s="82">
        <v>5</v>
      </c>
      <c r="B2821" s="83" t="s">
        <v>4894</v>
      </c>
      <c r="C2821" s="67" t="s">
        <v>4895</v>
      </c>
      <c r="D2821" s="91">
        <v>34886800</v>
      </c>
      <c r="E2821" s="76">
        <v>2588250</v>
      </c>
      <c r="F2821" s="77" t="s">
        <v>10174</v>
      </c>
      <c r="G2821" s="22"/>
      <c r="H2821" s="22"/>
    </row>
    <row r="2822" spans="1:8" ht="13.35" customHeight="1">
      <c r="A2822" s="82">
        <v>5</v>
      </c>
      <c r="B2822" s="83" t="s">
        <v>4896</v>
      </c>
      <c r="C2822" s="67" t="s">
        <v>4897</v>
      </c>
      <c r="D2822" s="91">
        <v>25583600</v>
      </c>
      <c r="E2822" s="76">
        <v>1898050</v>
      </c>
      <c r="F2822" s="77" t="s">
        <v>10174</v>
      </c>
      <c r="G2822" s="22"/>
      <c r="H2822" s="22"/>
    </row>
    <row r="2823" spans="1:8" ht="13.35" customHeight="1">
      <c r="A2823" s="82">
        <v>5</v>
      </c>
      <c r="B2823" s="83" t="s">
        <v>4898</v>
      </c>
      <c r="C2823" s="67" t="s">
        <v>4899</v>
      </c>
      <c r="D2823" s="91">
        <v>18606300</v>
      </c>
      <c r="E2823" s="76">
        <v>1380399.9999999998</v>
      </c>
      <c r="F2823" s="77" t="s">
        <v>10174</v>
      </c>
      <c r="G2823" s="22"/>
      <c r="H2823" s="22"/>
    </row>
    <row r="2824" spans="1:8" ht="13.35" customHeight="1">
      <c r="A2824" s="82">
        <v>5</v>
      </c>
      <c r="B2824" s="83" t="s">
        <v>4878</v>
      </c>
      <c r="C2824" s="67" t="s">
        <v>4879</v>
      </c>
      <c r="D2824" s="91">
        <v>39880300</v>
      </c>
      <c r="E2824" s="76">
        <v>2958724.9999999995</v>
      </c>
      <c r="F2824" s="77" t="s">
        <v>10174</v>
      </c>
      <c r="G2824" s="22"/>
      <c r="H2824" s="22"/>
    </row>
    <row r="2825" spans="1:8" ht="13.35" customHeight="1">
      <c r="A2825" s="82">
        <v>5</v>
      </c>
      <c r="B2825" s="83" t="s">
        <v>4880</v>
      </c>
      <c r="C2825" s="67" t="s">
        <v>4881</v>
      </c>
      <c r="D2825" s="91">
        <v>29277500</v>
      </c>
      <c r="E2825" s="76">
        <v>2172100</v>
      </c>
      <c r="F2825" s="77" t="s">
        <v>10174</v>
      </c>
      <c r="G2825" s="22"/>
      <c r="H2825" s="22"/>
    </row>
    <row r="2826" spans="1:8" ht="13.35" customHeight="1">
      <c r="A2826" s="82">
        <v>5</v>
      </c>
      <c r="B2826" s="83" t="s">
        <v>4882</v>
      </c>
      <c r="C2826" s="67" t="s">
        <v>4883</v>
      </c>
      <c r="D2826" s="91">
        <v>21274100</v>
      </c>
      <c r="E2826" s="76">
        <v>1578325</v>
      </c>
      <c r="F2826" s="77" t="s">
        <v>10174</v>
      </c>
      <c r="G2826" s="22"/>
      <c r="H2826" s="22"/>
    </row>
    <row r="2827" spans="1:8" ht="13.35" customHeight="1">
      <c r="A2827" s="82">
        <v>5</v>
      </c>
      <c r="B2827" s="83" t="s">
        <v>5044</v>
      </c>
      <c r="C2827" s="67" t="s">
        <v>5045</v>
      </c>
      <c r="D2827" s="91">
        <v>29893200</v>
      </c>
      <c r="E2827" s="76">
        <v>2217775</v>
      </c>
      <c r="F2827" s="77" t="s">
        <v>10174</v>
      </c>
      <c r="G2827" s="22"/>
      <c r="H2827" s="22"/>
    </row>
    <row r="2828" spans="1:8" ht="13.35" customHeight="1">
      <c r="A2828" s="82">
        <v>5</v>
      </c>
      <c r="B2828" s="83" t="s">
        <v>5046</v>
      </c>
      <c r="C2828" s="67" t="s">
        <v>5047</v>
      </c>
      <c r="D2828" s="91">
        <v>21958100</v>
      </c>
      <c r="E2828" s="76">
        <v>1629075</v>
      </c>
      <c r="F2828" s="77" t="s">
        <v>10174</v>
      </c>
      <c r="G2828" s="22"/>
      <c r="H2828" s="22"/>
    </row>
    <row r="2829" spans="1:8" ht="13.35" customHeight="1">
      <c r="A2829" s="82">
        <v>5</v>
      </c>
      <c r="B2829" s="83" t="s">
        <v>5048</v>
      </c>
      <c r="C2829" s="67" t="s">
        <v>5049</v>
      </c>
      <c r="D2829" s="91">
        <v>15938500</v>
      </c>
      <c r="E2829" s="76">
        <v>1182475</v>
      </c>
      <c r="F2829" s="77" t="s">
        <v>10174</v>
      </c>
      <c r="G2829" s="22"/>
      <c r="H2829" s="22"/>
    </row>
    <row r="2830" spans="1:8" ht="13.35" customHeight="1">
      <c r="A2830" s="82">
        <v>5</v>
      </c>
      <c r="B2830" s="83" t="s">
        <v>5060</v>
      </c>
      <c r="C2830" s="67" t="s">
        <v>5061</v>
      </c>
      <c r="D2830" s="91">
        <v>32424200</v>
      </c>
      <c r="E2830" s="76">
        <v>2405550</v>
      </c>
      <c r="F2830" s="77" t="s">
        <v>10174</v>
      </c>
      <c r="G2830" s="22"/>
      <c r="H2830" s="22"/>
    </row>
    <row r="2831" spans="1:8" ht="13.35" customHeight="1">
      <c r="A2831" s="82">
        <v>5</v>
      </c>
      <c r="B2831" s="83" t="s">
        <v>5062</v>
      </c>
      <c r="C2831" s="67" t="s">
        <v>5063</v>
      </c>
      <c r="D2831" s="91">
        <v>23736700</v>
      </c>
      <c r="E2831" s="76">
        <v>1761025</v>
      </c>
      <c r="F2831" s="77" t="s">
        <v>10174</v>
      </c>
      <c r="G2831" s="22"/>
      <c r="H2831" s="22"/>
    </row>
    <row r="2832" spans="1:8" ht="13.35" customHeight="1">
      <c r="A2832" s="82">
        <v>5</v>
      </c>
      <c r="B2832" s="83" t="s">
        <v>5064</v>
      </c>
      <c r="C2832" s="67" t="s">
        <v>5065</v>
      </c>
      <c r="D2832" s="91">
        <v>17306600</v>
      </c>
      <c r="E2832" s="76">
        <v>1283975</v>
      </c>
      <c r="F2832" s="77" t="s">
        <v>10174</v>
      </c>
      <c r="G2832" s="22"/>
      <c r="H2832" s="22"/>
    </row>
    <row r="2833" spans="1:8" ht="13.35" customHeight="1">
      <c r="A2833" s="82">
        <v>5</v>
      </c>
      <c r="B2833" s="83" t="s">
        <v>5052</v>
      </c>
      <c r="C2833" s="67" t="s">
        <v>5053</v>
      </c>
      <c r="D2833" s="91">
        <v>39880300</v>
      </c>
      <c r="E2833" s="76">
        <v>2958724.9999999995</v>
      </c>
      <c r="F2833" s="77" t="s">
        <v>10174</v>
      </c>
      <c r="G2833" s="22"/>
      <c r="H2833" s="22"/>
    </row>
    <row r="2834" spans="1:8" ht="13.35" customHeight="1">
      <c r="A2834" s="82">
        <v>5</v>
      </c>
      <c r="B2834" s="83" t="s">
        <v>5054</v>
      </c>
      <c r="C2834" s="67" t="s">
        <v>5055</v>
      </c>
      <c r="D2834" s="91">
        <v>29277500</v>
      </c>
      <c r="E2834" s="76">
        <v>2172100</v>
      </c>
      <c r="F2834" s="77" t="s">
        <v>10174</v>
      </c>
      <c r="G2834" s="22"/>
      <c r="H2834" s="22"/>
    </row>
    <row r="2835" spans="1:8" ht="13.35" customHeight="1">
      <c r="A2835" s="82">
        <v>5</v>
      </c>
      <c r="B2835" s="83" t="s">
        <v>5056</v>
      </c>
      <c r="C2835" s="67" t="s">
        <v>5057</v>
      </c>
      <c r="D2835" s="91">
        <v>21274100</v>
      </c>
      <c r="E2835" s="76">
        <v>1578325</v>
      </c>
      <c r="F2835" s="77" t="s">
        <v>10174</v>
      </c>
      <c r="G2835" s="22"/>
      <c r="H2835" s="22"/>
    </row>
    <row r="2836" spans="1:8" ht="13.35" customHeight="1">
      <c r="A2836" s="82">
        <v>5</v>
      </c>
      <c r="B2836" s="67" t="s">
        <v>5908</v>
      </c>
      <c r="C2836" s="67" t="s">
        <v>8016</v>
      </c>
      <c r="D2836" s="91">
        <v>15391200</v>
      </c>
      <c r="E2836" s="76">
        <v>1141875</v>
      </c>
      <c r="F2836" s="77" t="s">
        <v>10174</v>
      </c>
      <c r="G2836" s="22"/>
      <c r="H2836" s="22"/>
    </row>
    <row r="2837" spans="1:8" ht="13.35" customHeight="1">
      <c r="A2837" s="82">
        <v>5</v>
      </c>
      <c r="B2837" s="67" t="s">
        <v>5909</v>
      </c>
      <c r="C2837" s="67" t="s">
        <v>8017</v>
      </c>
      <c r="D2837" s="91">
        <v>11286900</v>
      </c>
      <c r="E2837" s="76">
        <v>837375</v>
      </c>
      <c r="F2837" s="77" t="s">
        <v>10174</v>
      </c>
      <c r="G2837" s="22"/>
      <c r="H2837" s="22"/>
    </row>
    <row r="2838" spans="1:8" ht="13.35" customHeight="1">
      <c r="A2838" s="82">
        <v>5</v>
      </c>
      <c r="B2838" s="67" t="s">
        <v>5910</v>
      </c>
      <c r="C2838" s="67" t="s">
        <v>8018</v>
      </c>
      <c r="D2838" s="91">
        <v>8208600</v>
      </c>
      <c r="E2838" s="76">
        <v>609000</v>
      </c>
      <c r="F2838" s="77" t="s">
        <v>10174</v>
      </c>
      <c r="G2838" s="22"/>
      <c r="H2838" s="22"/>
    </row>
    <row r="2839" spans="1:8" ht="13.35" customHeight="1">
      <c r="A2839" s="82">
        <v>5</v>
      </c>
      <c r="B2839" s="67" t="s">
        <v>5913</v>
      </c>
      <c r="C2839" s="67" t="s">
        <v>8019</v>
      </c>
      <c r="D2839" s="91">
        <v>18879900</v>
      </c>
      <c r="E2839" s="76">
        <v>1400699.9999999998</v>
      </c>
      <c r="F2839" s="77" t="s">
        <v>10174</v>
      </c>
      <c r="G2839" s="22"/>
      <c r="H2839" s="22"/>
    </row>
    <row r="2840" spans="1:8" ht="13.35" customHeight="1">
      <c r="A2840" s="82">
        <v>5</v>
      </c>
      <c r="B2840" s="67" t="s">
        <v>5914</v>
      </c>
      <c r="C2840" s="67" t="s">
        <v>8020</v>
      </c>
      <c r="D2840" s="91">
        <v>13886300</v>
      </c>
      <c r="E2840" s="76">
        <v>1030225</v>
      </c>
      <c r="F2840" s="77" t="s">
        <v>10174</v>
      </c>
      <c r="G2840" s="22"/>
      <c r="H2840" s="22"/>
    </row>
    <row r="2841" spans="1:8" ht="13.35" customHeight="1">
      <c r="A2841" s="82">
        <v>5</v>
      </c>
      <c r="B2841" s="67" t="s">
        <v>5915</v>
      </c>
      <c r="C2841" s="67" t="s">
        <v>8021</v>
      </c>
      <c r="D2841" s="91">
        <v>10124000</v>
      </c>
      <c r="E2841" s="76">
        <v>751100</v>
      </c>
      <c r="F2841" s="77" t="s">
        <v>10174</v>
      </c>
      <c r="G2841" s="22"/>
      <c r="H2841" s="22"/>
    </row>
    <row r="2842" spans="1:8" ht="13.35" customHeight="1">
      <c r="A2842" s="82">
        <v>5</v>
      </c>
      <c r="B2842" s="67" t="s">
        <v>5918</v>
      </c>
      <c r="C2842" s="67" t="s">
        <v>8022</v>
      </c>
      <c r="D2842" s="91">
        <v>17375000</v>
      </c>
      <c r="E2842" s="76">
        <v>1289050</v>
      </c>
      <c r="F2842" s="77" t="s">
        <v>10174</v>
      </c>
      <c r="G2842" s="22"/>
      <c r="H2842" s="22"/>
    </row>
    <row r="2843" spans="1:8" ht="13.35" customHeight="1">
      <c r="A2843" s="82">
        <v>5</v>
      </c>
      <c r="B2843" s="67" t="s">
        <v>5919</v>
      </c>
      <c r="C2843" s="67" t="s">
        <v>8023</v>
      </c>
      <c r="D2843" s="91">
        <v>12723400</v>
      </c>
      <c r="E2843" s="76">
        <v>943950</v>
      </c>
      <c r="F2843" s="77" t="s">
        <v>10174</v>
      </c>
      <c r="G2843" s="22"/>
      <c r="H2843" s="22"/>
    </row>
    <row r="2844" spans="1:8" ht="13.35" customHeight="1">
      <c r="A2844" s="82">
        <v>5</v>
      </c>
      <c r="B2844" s="67" t="s">
        <v>5920</v>
      </c>
      <c r="C2844" s="67" t="s">
        <v>8024</v>
      </c>
      <c r="D2844" s="91">
        <v>9303100</v>
      </c>
      <c r="E2844" s="76">
        <v>690199.99999999988</v>
      </c>
      <c r="F2844" s="77" t="s">
        <v>10174</v>
      </c>
      <c r="G2844" s="22"/>
      <c r="H2844" s="22"/>
    </row>
    <row r="2845" spans="1:8" ht="13.35" customHeight="1">
      <c r="A2845" s="82">
        <v>5</v>
      </c>
      <c r="B2845" s="67" t="s">
        <v>5943</v>
      </c>
      <c r="C2845" s="67" t="s">
        <v>8025</v>
      </c>
      <c r="D2845" s="91">
        <v>7866600</v>
      </c>
      <c r="E2845" s="76">
        <v>583625</v>
      </c>
      <c r="F2845" s="77" t="s">
        <v>10174</v>
      </c>
      <c r="G2845" s="22"/>
      <c r="H2845" s="22"/>
    </row>
    <row r="2846" spans="1:8" ht="13.35" customHeight="1">
      <c r="A2846" s="82">
        <v>5</v>
      </c>
      <c r="B2846" s="67" t="s">
        <v>5942</v>
      </c>
      <c r="C2846" s="67" t="s">
        <v>8026</v>
      </c>
      <c r="D2846" s="91">
        <v>5746100</v>
      </c>
      <c r="E2846" s="76">
        <v>426300</v>
      </c>
      <c r="F2846" s="77" t="s">
        <v>10174</v>
      </c>
      <c r="G2846" s="22"/>
      <c r="H2846" s="22"/>
    </row>
    <row r="2847" spans="1:8" ht="13.35" customHeight="1">
      <c r="A2847" s="82">
        <v>5</v>
      </c>
      <c r="B2847" s="67" t="s">
        <v>5941</v>
      </c>
      <c r="C2847" s="67" t="s">
        <v>8027</v>
      </c>
      <c r="D2847" s="91">
        <v>4172700</v>
      </c>
      <c r="E2847" s="76">
        <v>309575</v>
      </c>
      <c r="F2847" s="77" t="s">
        <v>10174</v>
      </c>
      <c r="G2847" s="22"/>
      <c r="H2847" s="22"/>
    </row>
    <row r="2848" spans="1:8" ht="13.35" customHeight="1">
      <c r="A2848" s="82">
        <v>5</v>
      </c>
      <c r="B2848" s="67" t="s">
        <v>5923</v>
      </c>
      <c r="C2848" s="67" t="s">
        <v>8028</v>
      </c>
      <c r="D2848" s="91">
        <v>14159900</v>
      </c>
      <c r="E2848" s="76">
        <v>1050525</v>
      </c>
      <c r="F2848" s="77" t="s">
        <v>10174</v>
      </c>
      <c r="G2848" s="22"/>
      <c r="H2848" s="22"/>
    </row>
    <row r="2849" spans="1:8" ht="13.35" customHeight="1">
      <c r="A2849" s="82">
        <v>5</v>
      </c>
      <c r="B2849" s="67" t="s">
        <v>5924</v>
      </c>
      <c r="C2849" s="67" t="s">
        <v>8029</v>
      </c>
      <c r="D2849" s="91">
        <v>10397600</v>
      </c>
      <c r="E2849" s="76">
        <v>771400</v>
      </c>
      <c r="F2849" s="77" t="s">
        <v>10174</v>
      </c>
      <c r="G2849" s="22"/>
      <c r="H2849" s="22"/>
    </row>
    <row r="2850" spans="1:8" ht="13.35" customHeight="1">
      <c r="A2850" s="82">
        <v>5</v>
      </c>
      <c r="B2850" s="67" t="s">
        <v>5925</v>
      </c>
      <c r="C2850" s="67" t="s">
        <v>8030</v>
      </c>
      <c r="D2850" s="91">
        <v>7593000</v>
      </c>
      <c r="E2850" s="76">
        <v>563325</v>
      </c>
      <c r="F2850" s="77" t="s">
        <v>10174</v>
      </c>
      <c r="G2850" s="22"/>
      <c r="H2850" s="22"/>
    </row>
    <row r="2851" spans="1:8" ht="13.35" customHeight="1">
      <c r="A2851" s="82">
        <v>5</v>
      </c>
      <c r="B2851" s="67" t="s">
        <v>5928</v>
      </c>
      <c r="C2851" s="67" t="s">
        <v>8031</v>
      </c>
      <c r="D2851" s="91">
        <v>16554100</v>
      </c>
      <c r="E2851" s="76">
        <v>1228150</v>
      </c>
      <c r="F2851" s="77" t="s">
        <v>10174</v>
      </c>
      <c r="G2851" s="22"/>
      <c r="H2851" s="22"/>
    </row>
    <row r="2852" spans="1:8" ht="13.35" customHeight="1">
      <c r="A2852" s="82">
        <v>5</v>
      </c>
      <c r="B2852" s="67" t="s">
        <v>5929</v>
      </c>
      <c r="C2852" s="67" t="s">
        <v>8032</v>
      </c>
      <c r="D2852" s="91">
        <v>12176200</v>
      </c>
      <c r="E2852" s="76">
        <v>903350</v>
      </c>
      <c r="F2852" s="77" t="s">
        <v>10174</v>
      </c>
      <c r="G2852" s="22"/>
      <c r="H2852" s="22"/>
    </row>
    <row r="2853" spans="1:8" ht="13.35" customHeight="1">
      <c r="A2853" s="82">
        <v>5</v>
      </c>
      <c r="B2853" s="67" t="s">
        <v>5930</v>
      </c>
      <c r="C2853" s="67" t="s">
        <v>8033</v>
      </c>
      <c r="D2853" s="91">
        <v>8824300</v>
      </c>
      <c r="E2853" s="76">
        <v>654674.99999999988</v>
      </c>
      <c r="F2853" s="77" t="s">
        <v>10174</v>
      </c>
      <c r="G2853" s="22"/>
      <c r="H2853" s="22"/>
    </row>
    <row r="2854" spans="1:8" ht="13.35" customHeight="1">
      <c r="A2854" s="82">
        <v>5</v>
      </c>
      <c r="B2854" s="67" t="s">
        <v>5933</v>
      </c>
      <c r="C2854" s="67" t="s">
        <v>8034</v>
      </c>
      <c r="D2854" s="91">
        <v>15391200</v>
      </c>
      <c r="E2854" s="76">
        <v>1141875</v>
      </c>
      <c r="F2854" s="77" t="s">
        <v>10174</v>
      </c>
      <c r="G2854" s="22"/>
      <c r="H2854" s="22"/>
    </row>
    <row r="2855" spans="1:8" ht="13.35" customHeight="1">
      <c r="A2855" s="82">
        <v>5</v>
      </c>
      <c r="B2855" s="67" t="s">
        <v>5934</v>
      </c>
      <c r="C2855" s="67" t="s">
        <v>8035</v>
      </c>
      <c r="D2855" s="91">
        <v>11286900</v>
      </c>
      <c r="E2855" s="76">
        <v>837375</v>
      </c>
      <c r="F2855" s="77" t="s">
        <v>10174</v>
      </c>
      <c r="G2855" s="22"/>
      <c r="H2855" s="22"/>
    </row>
    <row r="2856" spans="1:8" ht="13.35" customHeight="1">
      <c r="A2856" s="82">
        <v>5</v>
      </c>
      <c r="B2856" s="67" t="s">
        <v>5935</v>
      </c>
      <c r="C2856" s="67" t="s">
        <v>8036</v>
      </c>
      <c r="D2856" s="91">
        <v>8208600</v>
      </c>
      <c r="E2856" s="76">
        <v>609000</v>
      </c>
      <c r="F2856" s="77" t="s">
        <v>10174</v>
      </c>
      <c r="G2856" s="22"/>
      <c r="H2856" s="22"/>
    </row>
    <row r="2857" spans="1:8" ht="13.35" customHeight="1">
      <c r="A2857" s="82">
        <v>5</v>
      </c>
      <c r="B2857" s="83" t="s">
        <v>1705</v>
      </c>
      <c r="C2857" s="67" t="s">
        <v>1706</v>
      </c>
      <c r="D2857" s="91">
        <v>20042800</v>
      </c>
      <c r="E2857" s="76">
        <v>1486975</v>
      </c>
      <c r="F2857" s="77" t="s">
        <v>10174</v>
      </c>
      <c r="G2857" s="22"/>
      <c r="H2857" s="22"/>
    </row>
    <row r="2858" spans="1:8" ht="13.35" customHeight="1">
      <c r="A2858" s="82">
        <v>5</v>
      </c>
      <c r="B2858" s="83" t="s">
        <v>1703</v>
      </c>
      <c r="C2858" s="67" t="s">
        <v>1704</v>
      </c>
      <c r="D2858" s="91">
        <v>14707200</v>
      </c>
      <c r="E2858" s="76">
        <v>1091125</v>
      </c>
      <c r="F2858" s="77" t="s">
        <v>10174</v>
      </c>
      <c r="G2858" s="22"/>
      <c r="H2858" s="22"/>
    </row>
    <row r="2859" spans="1:8" ht="13.35" customHeight="1">
      <c r="A2859" s="82">
        <v>5</v>
      </c>
      <c r="B2859" s="83" t="s">
        <v>1701</v>
      </c>
      <c r="C2859" s="67" t="s">
        <v>1702</v>
      </c>
      <c r="D2859" s="91">
        <v>10671200</v>
      </c>
      <c r="E2859" s="76">
        <v>791700</v>
      </c>
      <c r="F2859" s="77" t="s">
        <v>10174</v>
      </c>
      <c r="G2859" s="22"/>
      <c r="H2859" s="22"/>
    </row>
    <row r="2860" spans="1:8" ht="13.35" customHeight="1">
      <c r="A2860" s="82">
        <v>5</v>
      </c>
      <c r="B2860" s="83" t="s">
        <v>1717</v>
      </c>
      <c r="C2860" s="67" t="s">
        <v>1718</v>
      </c>
      <c r="D2860" s="91">
        <v>21547700</v>
      </c>
      <c r="E2860" s="76">
        <v>1598625</v>
      </c>
      <c r="F2860" s="77" t="s">
        <v>10174</v>
      </c>
      <c r="G2860" s="22"/>
      <c r="H2860" s="22"/>
    </row>
    <row r="2861" spans="1:8" ht="13.35" customHeight="1">
      <c r="A2861" s="82">
        <v>5</v>
      </c>
      <c r="B2861" s="83" t="s">
        <v>1715</v>
      </c>
      <c r="C2861" s="67" t="s">
        <v>1716</v>
      </c>
      <c r="D2861" s="91">
        <v>15801600</v>
      </c>
      <c r="E2861" s="76">
        <v>1172325</v>
      </c>
      <c r="F2861" s="77" t="s">
        <v>10174</v>
      </c>
      <c r="G2861" s="22"/>
      <c r="H2861" s="22"/>
    </row>
    <row r="2862" spans="1:8" ht="13.35" customHeight="1">
      <c r="A2862" s="82">
        <v>5</v>
      </c>
      <c r="B2862" s="83" t="s">
        <v>1713</v>
      </c>
      <c r="C2862" s="67" t="s">
        <v>1714</v>
      </c>
      <c r="D2862" s="91">
        <v>11492100</v>
      </c>
      <c r="E2862" s="76">
        <v>852600</v>
      </c>
      <c r="F2862" s="77" t="s">
        <v>10174</v>
      </c>
      <c r="G2862" s="22"/>
      <c r="H2862" s="22"/>
    </row>
    <row r="2863" spans="1:8" ht="13.35" customHeight="1">
      <c r="A2863" s="82">
        <v>5</v>
      </c>
      <c r="B2863" s="83" t="s">
        <v>1804</v>
      </c>
      <c r="C2863" s="67" t="s">
        <v>1805</v>
      </c>
      <c r="D2863" s="91">
        <v>25104800</v>
      </c>
      <c r="E2863" s="76">
        <v>1862525</v>
      </c>
      <c r="F2863" s="77" t="s">
        <v>10174</v>
      </c>
      <c r="G2863" s="22"/>
      <c r="H2863" s="22"/>
    </row>
    <row r="2864" spans="1:8" ht="13.35" customHeight="1">
      <c r="A2864" s="82">
        <v>5</v>
      </c>
      <c r="B2864" s="83" t="s">
        <v>1802</v>
      </c>
      <c r="C2864" s="67" t="s">
        <v>1803</v>
      </c>
      <c r="D2864" s="91">
        <v>18469500</v>
      </c>
      <c r="E2864" s="76">
        <v>1370249.9999999998</v>
      </c>
      <c r="F2864" s="77" t="s">
        <v>10174</v>
      </c>
      <c r="G2864" s="22"/>
      <c r="H2864" s="22"/>
    </row>
    <row r="2865" spans="1:8" ht="13.35" customHeight="1">
      <c r="A2865" s="82">
        <v>5</v>
      </c>
      <c r="B2865" s="83" t="s">
        <v>1800</v>
      </c>
      <c r="C2865" s="67" t="s">
        <v>1801</v>
      </c>
      <c r="D2865" s="91">
        <v>13407500</v>
      </c>
      <c r="E2865" s="76">
        <v>994700</v>
      </c>
      <c r="F2865" s="77" t="s">
        <v>10174</v>
      </c>
      <c r="G2865" s="22"/>
      <c r="H2865" s="22"/>
    </row>
    <row r="2866" spans="1:8" ht="13.35" customHeight="1">
      <c r="A2866" s="82">
        <v>5</v>
      </c>
      <c r="B2866" s="83" t="s">
        <v>3758</v>
      </c>
      <c r="C2866" s="67" t="s">
        <v>3759</v>
      </c>
      <c r="D2866" s="91">
        <v>25104800</v>
      </c>
      <c r="E2866" s="76">
        <v>1862525</v>
      </c>
      <c r="F2866" s="77" t="s">
        <v>10174</v>
      </c>
      <c r="G2866" s="22"/>
      <c r="H2866" s="22"/>
    </row>
    <row r="2867" spans="1:8" ht="13.35" customHeight="1">
      <c r="A2867" s="82">
        <v>5</v>
      </c>
      <c r="B2867" s="83" t="s">
        <v>3756</v>
      </c>
      <c r="C2867" s="67" t="s">
        <v>3757</v>
      </c>
      <c r="D2867" s="91">
        <v>18469500</v>
      </c>
      <c r="E2867" s="76">
        <v>1370249.9999999998</v>
      </c>
      <c r="F2867" s="77" t="s">
        <v>10174</v>
      </c>
      <c r="G2867" s="22"/>
      <c r="H2867" s="22"/>
    </row>
    <row r="2868" spans="1:8" ht="13.35" customHeight="1">
      <c r="A2868" s="82">
        <v>5</v>
      </c>
      <c r="B2868" s="83" t="s">
        <v>3754</v>
      </c>
      <c r="C2868" s="67" t="s">
        <v>3755</v>
      </c>
      <c r="D2868" s="91">
        <v>13407500</v>
      </c>
      <c r="E2868" s="76">
        <v>994700</v>
      </c>
      <c r="F2868" s="77" t="s">
        <v>10174</v>
      </c>
      <c r="G2868" s="22"/>
      <c r="H2868" s="22"/>
    </row>
    <row r="2869" spans="1:8" ht="13.35" customHeight="1">
      <c r="A2869" s="82">
        <v>5</v>
      </c>
      <c r="B2869" s="83" t="s">
        <v>3770</v>
      </c>
      <c r="C2869" s="67" t="s">
        <v>3771</v>
      </c>
      <c r="D2869" s="91">
        <v>25104800</v>
      </c>
      <c r="E2869" s="76">
        <v>1862525</v>
      </c>
      <c r="F2869" s="77" t="s">
        <v>10174</v>
      </c>
      <c r="G2869" s="22"/>
      <c r="H2869" s="22"/>
    </row>
    <row r="2870" spans="1:8" ht="13.35" customHeight="1">
      <c r="A2870" s="82">
        <v>5</v>
      </c>
      <c r="B2870" s="83" t="s">
        <v>3768</v>
      </c>
      <c r="C2870" s="67" t="s">
        <v>3769</v>
      </c>
      <c r="D2870" s="91">
        <v>18469500</v>
      </c>
      <c r="E2870" s="76">
        <v>1370249.9999999998</v>
      </c>
      <c r="F2870" s="77" t="s">
        <v>10174</v>
      </c>
      <c r="G2870" s="22"/>
      <c r="H2870" s="22"/>
    </row>
    <row r="2871" spans="1:8" ht="13.35" customHeight="1">
      <c r="A2871" s="82">
        <v>5</v>
      </c>
      <c r="B2871" s="83" t="s">
        <v>3766</v>
      </c>
      <c r="C2871" s="67" t="s">
        <v>3767</v>
      </c>
      <c r="D2871" s="91">
        <v>13407500</v>
      </c>
      <c r="E2871" s="76">
        <v>994700</v>
      </c>
      <c r="F2871" s="77" t="s">
        <v>10174</v>
      </c>
      <c r="G2871" s="22"/>
      <c r="H2871" s="22"/>
    </row>
    <row r="2872" spans="1:8" ht="13.35" customHeight="1">
      <c r="A2872" s="82">
        <v>5</v>
      </c>
      <c r="B2872" s="83" t="s">
        <v>3734</v>
      </c>
      <c r="C2872" s="67" t="s">
        <v>3735</v>
      </c>
      <c r="D2872" s="91">
        <v>15391200</v>
      </c>
      <c r="E2872" s="76">
        <v>1141875</v>
      </c>
      <c r="F2872" s="77" t="s">
        <v>10174</v>
      </c>
      <c r="G2872" s="22"/>
      <c r="H2872" s="22"/>
    </row>
    <row r="2873" spans="1:8" ht="13.35" customHeight="1">
      <c r="A2873" s="82">
        <v>5</v>
      </c>
      <c r="B2873" s="83" t="s">
        <v>3732</v>
      </c>
      <c r="C2873" s="67" t="s">
        <v>3733</v>
      </c>
      <c r="D2873" s="91">
        <v>11286900</v>
      </c>
      <c r="E2873" s="76">
        <v>837375</v>
      </c>
      <c r="F2873" s="77" t="s">
        <v>10174</v>
      </c>
      <c r="G2873" s="22"/>
      <c r="H2873" s="22"/>
    </row>
    <row r="2874" spans="1:8" ht="13.35" customHeight="1">
      <c r="A2874" s="82">
        <v>5</v>
      </c>
      <c r="B2874" s="83" t="s">
        <v>3730</v>
      </c>
      <c r="C2874" s="67" t="s">
        <v>3731</v>
      </c>
      <c r="D2874" s="91">
        <v>8208600</v>
      </c>
      <c r="E2874" s="76">
        <v>609000</v>
      </c>
      <c r="F2874" s="77" t="s">
        <v>10174</v>
      </c>
      <c r="G2874" s="22"/>
      <c r="H2874" s="22"/>
    </row>
    <row r="2875" spans="1:8" ht="13.35" customHeight="1">
      <c r="A2875" s="82">
        <v>5</v>
      </c>
      <c r="B2875" s="83" t="s">
        <v>3055</v>
      </c>
      <c r="C2875" s="67" t="s">
        <v>3056</v>
      </c>
      <c r="D2875" s="91">
        <v>15391200</v>
      </c>
      <c r="E2875" s="76">
        <v>1141875</v>
      </c>
      <c r="F2875" s="77" t="s">
        <v>10174</v>
      </c>
      <c r="G2875" s="22"/>
      <c r="H2875" s="22"/>
    </row>
    <row r="2876" spans="1:8" ht="13.35" customHeight="1">
      <c r="A2876" s="82">
        <v>5</v>
      </c>
      <c r="B2876" s="83" t="s">
        <v>3053</v>
      </c>
      <c r="C2876" s="67" t="s">
        <v>3054</v>
      </c>
      <c r="D2876" s="91">
        <v>11286900</v>
      </c>
      <c r="E2876" s="76">
        <v>837375</v>
      </c>
      <c r="F2876" s="77" t="s">
        <v>10174</v>
      </c>
      <c r="G2876" s="22"/>
      <c r="H2876" s="22"/>
    </row>
    <row r="2877" spans="1:8" ht="13.35" customHeight="1">
      <c r="A2877" s="82">
        <v>5</v>
      </c>
      <c r="B2877" s="83" t="s">
        <v>3051</v>
      </c>
      <c r="C2877" s="67" t="s">
        <v>3052</v>
      </c>
      <c r="D2877" s="91">
        <v>8208600</v>
      </c>
      <c r="E2877" s="76">
        <v>609000</v>
      </c>
      <c r="F2877" s="77" t="s">
        <v>10174</v>
      </c>
      <c r="G2877" s="22"/>
      <c r="H2877" s="22"/>
    </row>
    <row r="2878" spans="1:8" ht="13.35" customHeight="1">
      <c r="A2878" s="82">
        <v>5</v>
      </c>
      <c r="B2878" s="83" t="s">
        <v>1953</v>
      </c>
      <c r="C2878" s="67" t="s">
        <v>1954</v>
      </c>
      <c r="D2878" s="91">
        <v>20042800</v>
      </c>
      <c r="E2878" s="76">
        <v>1486975</v>
      </c>
      <c r="F2878" s="77" t="s">
        <v>10174</v>
      </c>
      <c r="G2878" s="22"/>
      <c r="H2878" s="22"/>
    </row>
    <row r="2879" spans="1:8" ht="13.35" customHeight="1">
      <c r="A2879" s="82">
        <v>5</v>
      </c>
      <c r="B2879" s="83" t="s">
        <v>1955</v>
      </c>
      <c r="C2879" s="67" t="s">
        <v>1956</v>
      </c>
      <c r="D2879" s="91">
        <v>14707200</v>
      </c>
      <c r="E2879" s="76">
        <v>1091125</v>
      </c>
      <c r="F2879" s="77" t="s">
        <v>10174</v>
      </c>
      <c r="G2879" s="22"/>
      <c r="H2879" s="22"/>
    </row>
    <row r="2880" spans="1:8" ht="13.35" customHeight="1">
      <c r="A2880" s="82">
        <v>5</v>
      </c>
      <c r="B2880" s="83" t="s">
        <v>1957</v>
      </c>
      <c r="C2880" s="67" t="s">
        <v>1958</v>
      </c>
      <c r="D2880" s="91">
        <v>10671200</v>
      </c>
      <c r="E2880" s="76">
        <v>791700</v>
      </c>
      <c r="F2880" s="77" t="s">
        <v>10174</v>
      </c>
      <c r="G2880" s="22"/>
      <c r="H2880" s="22"/>
    </row>
    <row r="2881" spans="1:8" ht="13.35" customHeight="1">
      <c r="A2881" s="82">
        <v>5</v>
      </c>
      <c r="B2881" s="83" t="s">
        <v>1961</v>
      </c>
      <c r="C2881" s="67" t="s">
        <v>1962</v>
      </c>
      <c r="D2881" s="91">
        <v>21547700</v>
      </c>
      <c r="E2881" s="76">
        <v>1598625</v>
      </c>
      <c r="F2881" s="77" t="s">
        <v>10174</v>
      </c>
      <c r="G2881" s="22"/>
      <c r="H2881" s="22"/>
    </row>
    <row r="2882" spans="1:8" ht="13.35" customHeight="1">
      <c r="A2882" s="82">
        <v>5</v>
      </c>
      <c r="B2882" s="83" t="s">
        <v>1963</v>
      </c>
      <c r="C2882" s="67" t="s">
        <v>1964</v>
      </c>
      <c r="D2882" s="91">
        <v>15801600</v>
      </c>
      <c r="E2882" s="76">
        <v>1172325</v>
      </c>
      <c r="F2882" s="77" t="s">
        <v>10174</v>
      </c>
      <c r="G2882" s="22"/>
      <c r="H2882" s="22"/>
    </row>
    <row r="2883" spans="1:8" ht="13.35" customHeight="1">
      <c r="A2883" s="82">
        <v>5</v>
      </c>
      <c r="B2883" s="83" t="s">
        <v>1965</v>
      </c>
      <c r="C2883" s="67" t="s">
        <v>1966</v>
      </c>
      <c r="D2883" s="91">
        <v>11492100</v>
      </c>
      <c r="E2883" s="76">
        <v>852600</v>
      </c>
      <c r="F2883" s="77" t="s">
        <v>10174</v>
      </c>
      <c r="G2883" s="22"/>
      <c r="H2883" s="22"/>
    </row>
    <row r="2884" spans="1:8" ht="13.35" customHeight="1">
      <c r="A2884" s="82">
        <v>5</v>
      </c>
      <c r="B2884" s="83" t="s">
        <v>1969</v>
      </c>
      <c r="C2884" s="67" t="s">
        <v>1970</v>
      </c>
      <c r="D2884" s="91">
        <v>24010300</v>
      </c>
      <c r="E2884" s="76">
        <v>1781325</v>
      </c>
      <c r="F2884" s="77" t="s">
        <v>10174</v>
      </c>
      <c r="G2884" s="22"/>
      <c r="H2884" s="22"/>
    </row>
    <row r="2885" spans="1:8" ht="13.35" customHeight="1">
      <c r="A2885" s="82">
        <v>5</v>
      </c>
      <c r="B2885" s="83" t="s">
        <v>1971</v>
      </c>
      <c r="C2885" s="67" t="s">
        <v>1972</v>
      </c>
      <c r="D2885" s="91">
        <v>17648600</v>
      </c>
      <c r="E2885" s="76">
        <v>1309349.9999999998</v>
      </c>
      <c r="F2885" s="77" t="s">
        <v>10174</v>
      </c>
      <c r="G2885" s="22"/>
      <c r="H2885" s="22"/>
    </row>
    <row r="2886" spans="1:8" ht="13.35" customHeight="1">
      <c r="A2886" s="82">
        <v>5</v>
      </c>
      <c r="B2886" s="83" t="s">
        <v>1973</v>
      </c>
      <c r="C2886" s="67" t="s">
        <v>1974</v>
      </c>
      <c r="D2886" s="91">
        <v>12860200</v>
      </c>
      <c r="E2886" s="76">
        <v>954100</v>
      </c>
      <c r="F2886" s="77" t="s">
        <v>10174</v>
      </c>
      <c r="G2886" s="22"/>
      <c r="H2886" s="22"/>
    </row>
    <row r="2887" spans="1:8" ht="13.35" customHeight="1">
      <c r="A2887" s="82">
        <v>5</v>
      </c>
      <c r="B2887" s="83" t="s">
        <v>5390</v>
      </c>
      <c r="C2887" s="67" t="s">
        <v>5391</v>
      </c>
      <c r="D2887" s="91">
        <v>25104800</v>
      </c>
      <c r="E2887" s="76">
        <v>1862525</v>
      </c>
      <c r="F2887" s="77" t="s">
        <v>10174</v>
      </c>
      <c r="G2887" s="22"/>
      <c r="H2887" s="22"/>
    </row>
    <row r="2888" spans="1:8" ht="13.35" customHeight="1">
      <c r="A2888" s="82">
        <v>5</v>
      </c>
      <c r="B2888" s="83" t="s">
        <v>5388</v>
      </c>
      <c r="C2888" s="67" t="s">
        <v>5389</v>
      </c>
      <c r="D2888" s="91">
        <v>18469500</v>
      </c>
      <c r="E2888" s="76">
        <v>1370249.9999999998</v>
      </c>
      <c r="F2888" s="77" t="s">
        <v>10174</v>
      </c>
      <c r="G2888" s="22"/>
      <c r="H2888" s="22"/>
    </row>
    <row r="2889" spans="1:8" ht="13.35" customHeight="1">
      <c r="A2889" s="82">
        <v>5</v>
      </c>
      <c r="B2889" s="83" t="s">
        <v>5386</v>
      </c>
      <c r="C2889" s="67" t="s">
        <v>5387</v>
      </c>
      <c r="D2889" s="91">
        <v>13407500</v>
      </c>
      <c r="E2889" s="76">
        <v>994700</v>
      </c>
      <c r="F2889" s="77" t="s">
        <v>10174</v>
      </c>
      <c r="G2889" s="22"/>
      <c r="H2889" s="22"/>
    </row>
    <row r="2890" spans="1:8" ht="13.35" customHeight="1">
      <c r="A2890" s="82">
        <v>5</v>
      </c>
      <c r="B2890" s="83" t="s">
        <v>2680</v>
      </c>
      <c r="C2890" s="67" t="s">
        <v>2681</v>
      </c>
      <c r="D2890" s="91">
        <v>25104800</v>
      </c>
      <c r="E2890" s="76">
        <v>1862525</v>
      </c>
      <c r="F2890" s="77" t="s">
        <v>10174</v>
      </c>
      <c r="G2890" s="22"/>
      <c r="H2890" s="22"/>
    </row>
    <row r="2891" spans="1:8" ht="13.35" customHeight="1">
      <c r="A2891" s="82">
        <v>5</v>
      </c>
      <c r="B2891" s="83" t="s">
        <v>2678</v>
      </c>
      <c r="C2891" s="67" t="s">
        <v>2679</v>
      </c>
      <c r="D2891" s="91">
        <v>18469500</v>
      </c>
      <c r="E2891" s="76">
        <v>1370249.9999999998</v>
      </c>
      <c r="F2891" s="77" t="s">
        <v>10174</v>
      </c>
      <c r="G2891" s="22"/>
      <c r="H2891" s="22"/>
    </row>
    <row r="2892" spans="1:8" ht="13.35" customHeight="1">
      <c r="A2892" s="82">
        <v>5</v>
      </c>
      <c r="B2892" s="83" t="s">
        <v>2676</v>
      </c>
      <c r="C2892" s="67" t="s">
        <v>2677</v>
      </c>
      <c r="D2892" s="91">
        <v>13407500</v>
      </c>
      <c r="E2892" s="76">
        <v>994700</v>
      </c>
      <c r="F2892" s="77" t="s">
        <v>10174</v>
      </c>
      <c r="G2892" s="22"/>
      <c r="H2892" s="22"/>
    </row>
    <row r="2893" spans="1:8" ht="13.35" customHeight="1">
      <c r="A2893" s="82">
        <v>5</v>
      </c>
      <c r="B2893" s="83" t="s">
        <v>3043</v>
      </c>
      <c r="C2893" s="67" t="s">
        <v>3044</v>
      </c>
      <c r="D2893" s="91">
        <v>13339100</v>
      </c>
      <c r="E2893" s="76">
        <v>989625</v>
      </c>
      <c r="F2893" s="77" t="s">
        <v>10174</v>
      </c>
      <c r="G2893" s="22"/>
      <c r="H2893" s="22"/>
    </row>
    <row r="2894" spans="1:8" ht="13.35" customHeight="1">
      <c r="A2894" s="82">
        <v>5</v>
      </c>
      <c r="B2894" s="83" t="s">
        <v>3041</v>
      </c>
      <c r="C2894" s="67" t="s">
        <v>3042</v>
      </c>
      <c r="D2894" s="91">
        <v>9782000</v>
      </c>
      <c r="E2894" s="76">
        <v>725724.99999999988</v>
      </c>
      <c r="F2894" s="77" t="s">
        <v>10174</v>
      </c>
      <c r="G2894" s="22"/>
      <c r="H2894" s="22"/>
    </row>
    <row r="2895" spans="1:8" ht="13.35" customHeight="1">
      <c r="A2895" s="82">
        <v>5</v>
      </c>
      <c r="B2895" s="83" t="s">
        <v>3039</v>
      </c>
      <c r="C2895" s="67" t="s">
        <v>3040</v>
      </c>
      <c r="D2895" s="91">
        <v>7114200</v>
      </c>
      <c r="E2895" s="76">
        <v>527800</v>
      </c>
      <c r="F2895" s="77" t="s">
        <v>10174</v>
      </c>
      <c r="G2895" s="22"/>
      <c r="H2895" s="22"/>
    </row>
    <row r="2896" spans="1:8" ht="13.35" customHeight="1">
      <c r="A2896" s="82">
        <v>5</v>
      </c>
      <c r="B2896" s="83" t="s">
        <v>4854</v>
      </c>
      <c r="C2896" s="67" t="s">
        <v>4855</v>
      </c>
      <c r="D2896" s="91">
        <v>24899600</v>
      </c>
      <c r="E2896" s="76">
        <v>1847300</v>
      </c>
      <c r="F2896" s="77" t="s">
        <v>10174</v>
      </c>
      <c r="G2896" s="22"/>
      <c r="H2896" s="22"/>
    </row>
    <row r="2897" spans="1:8" ht="13.35" customHeight="1">
      <c r="A2897" s="82">
        <v>5</v>
      </c>
      <c r="B2897" s="83" t="s">
        <v>4856</v>
      </c>
      <c r="C2897" s="67" t="s">
        <v>4857</v>
      </c>
      <c r="D2897" s="91">
        <v>18264200</v>
      </c>
      <c r="E2897" s="76">
        <v>1355024.9999999998</v>
      </c>
      <c r="F2897" s="77" t="s">
        <v>10174</v>
      </c>
      <c r="G2897" s="22"/>
      <c r="H2897" s="22"/>
    </row>
    <row r="2898" spans="1:8" ht="13.35" customHeight="1">
      <c r="A2898" s="82">
        <v>5</v>
      </c>
      <c r="B2898" s="83" t="s">
        <v>4858</v>
      </c>
      <c r="C2898" s="67" t="s">
        <v>4859</v>
      </c>
      <c r="D2898" s="91">
        <v>13339100</v>
      </c>
      <c r="E2898" s="76">
        <v>989625</v>
      </c>
      <c r="F2898" s="77" t="s">
        <v>10174</v>
      </c>
      <c r="G2898" s="22"/>
      <c r="H2898" s="22"/>
    </row>
    <row r="2899" spans="1:8" ht="13.35" customHeight="1">
      <c r="A2899" s="82">
        <v>5</v>
      </c>
      <c r="B2899" s="83" t="s">
        <v>4870</v>
      </c>
      <c r="C2899" s="67" t="s">
        <v>4871</v>
      </c>
      <c r="D2899" s="91">
        <v>34886800</v>
      </c>
      <c r="E2899" s="76">
        <v>2588250</v>
      </c>
      <c r="F2899" s="77" t="s">
        <v>10174</v>
      </c>
      <c r="G2899" s="22"/>
      <c r="H2899" s="22"/>
    </row>
    <row r="2900" spans="1:8" ht="13.35" customHeight="1">
      <c r="A2900" s="82">
        <v>5</v>
      </c>
      <c r="B2900" s="83" t="s">
        <v>4872</v>
      </c>
      <c r="C2900" s="67" t="s">
        <v>4873</v>
      </c>
      <c r="D2900" s="91">
        <v>25583600</v>
      </c>
      <c r="E2900" s="76">
        <v>1898050</v>
      </c>
      <c r="F2900" s="77" t="s">
        <v>10174</v>
      </c>
      <c r="G2900" s="22"/>
      <c r="H2900" s="22"/>
    </row>
    <row r="2901" spans="1:8" ht="13.35" customHeight="1">
      <c r="A2901" s="82">
        <v>5</v>
      </c>
      <c r="B2901" s="83" t="s">
        <v>4874</v>
      </c>
      <c r="C2901" s="67" t="s">
        <v>4875</v>
      </c>
      <c r="D2901" s="91">
        <v>18606300</v>
      </c>
      <c r="E2901" s="76">
        <v>1380399.9999999998</v>
      </c>
      <c r="F2901" s="77" t="s">
        <v>10174</v>
      </c>
      <c r="G2901" s="22"/>
      <c r="H2901" s="22"/>
    </row>
    <row r="2902" spans="1:8" ht="13.35" customHeight="1">
      <c r="A2902" s="82">
        <v>5</v>
      </c>
      <c r="B2902" s="83" t="s">
        <v>5378</v>
      </c>
      <c r="C2902" s="67" t="s">
        <v>5379</v>
      </c>
      <c r="D2902" s="91">
        <v>34886800</v>
      </c>
      <c r="E2902" s="76">
        <v>2588250</v>
      </c>
      <c r="F2902" s="77" t="s">
        <v>10174</v>
      </c>
      <c r="G2902" s="22"/>
      <c r="H2902" s="22"/>
    </row>
    <row r="2903" spans="1:8">
      <c r="A2903" s="82">
        <v>5</v>
      </c>
      <c r="B2903" s="83" t="s">
        <v>5376</v>
      </c>
      <c r="C2903" s="67" t="s">
        <v>5377</v>
      </c>
      <c r="D2903" s="91">
        <v>25583600</v>
      </c>
      <c r="E2903" s="76">
        <v>1898050</v>
      </c>
      <c r="F2903" s="77" t="s">
        <v>10174</v>
      </c>
      <c r="G2903" s="22"/>
      <c r="H2903" s="22"/>
    </row>
    <row r="2904" spans="1:8">
      <c r="A2904" s="82">
        <v>5</v>
      </c>
      <c r="B2904" s="83" t="s">
        <v>5374</v>
      </c>
      <c r="C2904" s="67" t="s">
        <v>5375</v>
      </c>
      <c r="D2904" s="91">
        <v>18606300</v>
      </c>
      <c r="E2904" s="76">
        <v>1380399.9999999998</v>
      </c>
      <c r="F2904" s="77" t="s">
        <v>10174</v>
      </c>
      <c r="G2904" s="22"/>
      <c r="H2904" s="22"/>
    </row>
    <row r="2905" spans="1:8">
      <c r="A2905" s="82">
        <v>5</v>
      </c>
      <c r="B2905" s="83" t="s">
        <v>4886</v>
      </c>
      <c r="C2905" s="67" t="s">
        <v>4887</v>
      </c>
      <c r="D2905" s="91">
        <v>29893200</v>
      </c>
      <c r="E2905" s="76">
        <v>2217775</v>
      </c>
      <c r="F2905" s="77" t="s">
        <v>10174</v>
      </c>
      <c r="G2905" s="22"/>
      <c r="H2905" s="22"/>
    </row>
    <row r="2906" spans="1:8">
      <c r="A2906" s="82">
        <v>5</v>
      </c>
      <c r="B2906" s="83" t="s">
        <v>4888</v>
      </c>
      <c r="C2906" s="67" t="s">
        <v>4889</v>
      </c>
      <c r="D2906" s="91">
        <v>21958100</v>
      </c>
      <c r="E2906" s="76">
        <v>1629075</v>
      </c>
      <c r="F2906" s="77" t="s">
        <v>10174</v>
      </c>
      <c r="G2906" s="22"/>
      <c r="H2906" s="22"/>
    </row>
    <row r="2907" spans="1:8">
      <c r="A2907" s="82">
        <v>5</v>
      </c>
      <c r="B2907" s="83" t="s">
        <v>4890</v>
      </c>
      <c r="C2907" s="67" t="s">
        <v>4891</v>
      </c>
      <c r="D2907" s="91">
        <v>15938500</v>
      </c>
      <c r="E2907" s="76">
        <v>1182475</v>
      </c>
      <c r="F2907" s="77" t="s">
        <v>10174</v>
      </c>
      <c r="G2907" s="22"/>
      <c r="H2907" s="22"/>
    </row>
    <row r="2908" spans="1:8">
      <c r="A2908" s="82">
        <v>5</v>
      </c>
      <c r="B2908" s="83" t="s">
        <v>3677</v>
      </c>
      <c r="C2908" s="67" t="s">
        <v>3678</v>
      </c>
      <c r="D2908" s="91">
        <v>5048300</v>
      </c>
      <c r="E2908" s="76">
        <v>374535</v>
      </c>
      <c r="F2908" s="77" t="s">
        <v>10174</v>
      </c>
      <c r="G2908" s="22"/>
      <c r="H2908" s="22"/>
    </row>
    <row r="2909" spans="1:8">
      <c r="A2909" s="82">
        <v>5</v>
      </c>
      <c r="B2909" s="83" t="s">
        <v>3675</v>
      </c>
      <c r="C2909" s="67" t="s">
        <v>3676</v>
      </c>
      <c r="D2909" s="91">
        <v>3748600</v>
      </c>
      <c r="E2909" s="76">
        <v>278110</v>
      </c>
      <c r="F2909" s="77" t="s">
        <v>10174</v>
      </c>
      <c r="G2909" s="22"/>
      <c r="H2909" s="22"/>
    </row>
    <row r="2910" spans="1:8">
      <c r="A2910" s="82">
        <v>5</v>
      </c>
      <c r="B2910" s="83" t="s">
        <v>3673</v>
      </c>
      <c r="C2910" s="67" t="s">
        <v>3674</v>
      </c>
      <c r="D2910" s="91">
        <v>2736200</v>
      </c>
      <c r="E2910" s="76">
        <v>203000</v>
      </c>
      <c r="F2910" s="77" t="s">
        <v>10174</v>
      </c>
      <c r="G2910" s="22"/>
      <c r="H2910" s="22"/>
    </row>
    <row r="2911" spans="1:8">
      <c r="A2911" s="82">
        <v>5</v>
      </c>
      <c r="B2911" s="83" t="s">
        <v>3122</v>
      </c>
      <c r="C2911" s="67" t="s">
        <v>3123</v>
      </c>
      <c r="D2911" s="91">
        <v>6703700</v>
      </c>
      <c r="E2911" s="76">
        <v>497350</v>
      </c>
      <c r="F2911" s="77" t="s">
        <v>10174</v>
      </c>
      <c r="G2911" s="22"/>
      <c r="H2911" s="22"/>
    </row>
    <row r="2912" spans="1:8">
      <c r="A2912" s="82">
        <v>5</v>
      </c>
      <c r="B2912" s="83" t="s">
        <v>3120</v>
      </c>
      <c r="C2912" s="67" t="s">
        <v>3121</v>
      </c>
      <c r="D2912" s="91">
        <v>4925200</v>
      </c>
      <c r="E2912" s="76">
        <v>365399.99999999994</v>
      </c>
      <c r="F2912" s="77" t="s">
        <v>10174</v>
      </c>
      <c r="G2912" s="22"/>
      <c r="H2912" s="22"/>
    </row>
    <row r="2913" spans="1:8">
      <c r="A2913" s="82">
        <v>5</v>
      </c>
      <c r="B2913" s="83" t="s">
        <v>3118</v>
      </c>
      <c r="C2913" s="67" t="s">
        <v>3119</v>
      </c>
      <c r="D2913" s="91">
        <v>3557100</v>
      </c>
      <c r="E2913" s="76">
        <v>263900</v>
      </c>
      <c r="F2913" s="77" t="s">
        <v>10174</v>
      </c>
      <c r="G2913" s="22"/>
      <c r="H2913" s="22"/>
    </row>
    <row r="2914" spans="1:8">
      <c r="A2914" s="82">
        <v>5</v>
      </c>
      <c r="B2914" s="83" t="s">
        <v>2644</v>
      </c>
      <c r="C2914" s="67" t="s">
        <v>2645</v>
      </c>
      <c r="D2914" s="91">
        <v>9234700</v>
      </c>
      <c r="E2914" s="76">
        <v>685124.99999999988</v>
      </c>
      <c r="F2914" s="77" t="s">
        <v>10174</v>
      </c>
      <c r="G2914" s="22"/>
      <c r="H2914" s="22"/>
    </row>
    <row r="2915" spans="1:8">
      <c r="A2915" s="82">
        <v>5</v>
      </c>
      <c r="B2915" s="83" t="s">
        <v>2642</v>
      </c>
      <c r="C2915" s="67" t="s">
        <v>2643</v>
      </c>
      <c r="D2915" s="91">
        <v>6772100</v>
      </c>
      <c r="E2915" s="76">
        <v>502425</v>
      </c>
      <c r="F2915" s="77" t="s">
        <v>10174</v>
      </c>
      <c r="G2915" s="22"/>
      <c r="H2915" s="22"/>
    </row>
    <row r="2916" spans="1:8">
      <c r="A2916" s="82">
        <v>5</v>
      </c>
      <c r="B2916" s="83" t="s">
        <v>2640</v>
      </c>
      <c r="C2916" s="67" t="s">
        <v>2641</v>
      </c>
      <c r="D2916" s="91">
        <v>4925200</v>
      </c>
      <c r="E2916" s="76">
        <v>365399.99999999994</v>
      </c>
      <c r="F2916" s="77" t="s">
        <v>10174</v>
      </c>
      <c r="G2916" s="22"/>
      <c r="H2916" s="22"/>
    </row>
    <row r="2917" spans="1:8">
      <c r="A2917" s="82">
        <v>5</v>
      </c>
      <c r="B2917" s="83" t="s">
        <v>3746</v>
      </c>
      <c r="C2917" s="67" t="s">
        <v>3747</v>
      </c>
      <c r="D2917" s="91">
        <v>15459600</v>
      </c>
      <c r="E2917" s="76">
        <v>1146950</v>
      </c>
      <c r="F2917" s="77" t="s">
        <v>10174</v>
      </c>
      <c r="G2917" s="22"/>
      <c r="H2917" s="22"/>
    </row>
    <row r="2918" spans="1:8">
      <c r="A2918" s="82">
        <v>5</v>
      </c>
      <c r="B2918" s="83" t="s">
        <v>3744</v>
      </c>
      <c r="C2918" s="67" t="s">
        <v>3745</v>
      </c>
      <c r="D2918" s="91">
        <v>11355300</v>
      </c>
      <c r="E2918" s="76">
        <v>842450</v>
      </c>
      <c r="F2918" s="77" t="s">
        <v>10174</v>
      </c>
      <c r="G2918" s="22"/>
      <c r="H2918" s="22"/>
    </row>
    <row r="2919" spans="1:8">
      <c r="A2919" s="82">
        <v>5</v>
      </c>
      <c r="B2919" s="83" t="s">
        <v>3742</v>
      </c>
      <c r="C2919" s="67" t="s">
        <v>3743</v>
      </c>
      <c r="D2919" s="91">
        <v>8277100</v>
      </c>
      <c r="E2919" s="76">
        <v>614075</v>
      </c>
      <c r="F2919" s="77" t="s">
        <v>10174</v>
      </c>
      <c r="G2919" s="22"/>
      <c r="H2919" s="22"/>
    </row>
    <row r="2920" spans="1:8">
      <c r="A2920" s="82">
        <v>5</v>
      </c>
      <c r="B2920" s="83" t="s">
        <v>2656</v>
      </c>
      <c r="C2920" s="67" t="s">
        <v>2657</v>
      </c>
      <c r="D2920" s="91">
        <v>15459600</v>
      </c>
      <c r="E2920" s="76">
        <v>1146950</v>
      </c>
      <c r="F2920" s="77" t="s">
        <v>10174</v>
      </c>
      <c r="G2920" s="22"/>
      <c r="H2920" s="22"/>
    </row>
    <row r="2921" spans="1:8">
      <c r="A2921" s="82">
        <v>5</v>
      </c>
      <c r="B2921" s="83" t="s">
        <v>2654</v>
      </c>
      <c r="C2921" s="67" t="s">
        <v>2655</v>
      </c>
      <c r="D2921" s="91">
        <v>11355300</v>
      </c>
      <c r="E2921" s="76">
        <v>842450</v>
      </c>
      <c r="F2921" s="77" t="s">
        <v>10174</v>
      </c>
      <c r="G2921" s="22"/>
      <c r="H2921" s="22"/>
    </row>
    <row r="2922" spans="1:8">
      <c r="A2922" s="82">
        <v>5</v>
      </c>
      <c r="B2922" s="83" t="s">
        <v>2652</v>
      </c>
      <c r="C2922" s="67" t="s">
        <v>2653</v>
      </c>
      <c r="D2922" s="91">
        <v>8277100</v>
      </c>
      <c r="E2922" s="76">
        <v>614075</v>
      </c>
      <c r="F2922" s="77" t="s">
        <v>10174</v>
      </c>
      <c r="G2922" s="22"/>
      <c r="H2922" s="22"/>
    </row>
    <row r="2923" spans="1:8">
      <c r="A2923" s="82">
        <v>5</v>
      </c>
      <c r="B2923" s="83" t="s">
        <v>3063</v>
      </c>
      <c r="C2923" s="67" t="s">
        <v>3064</v>
      </c>
      <c r="D2923" s="91">
        <v>14775600</v>
      </c>
      <c r="E2923" s="76">
        <v>1096200</v>
      </c>
      <c r="F2923" s="77" t="s">
        <v>10174</v>
      </c>
      <c r="G2923" s="22"/>
      <c r="H2923" s="22"/>
    </row>
    <row r="2924" spans="1:8">
      <c r="A2924" s="82">
        <v>5</v>
      </c>
      <c r="B2924" s="83" t="s">
        <v>3065</v>
      </c>
      <c r="C2924" s="67" t="s">
        <v>3066</v>
      </c>
      <c r="D2924" s="91">
        <v>10808100</v>
      </c>
      <c r="E2924" s="76">
        <v>801850</v>
      </c>
      <c r="F2924" s="77" t="s">
        <v>10174</v>
      </c>
      <c r="G2924" s="22"/>
      <c r="H2924" s="22"/>
    </row>
    <row r="2925" spans="1:8">
      <c r="A2925" s="82">
        <v>5</v>
      </c>
      <c r="B2925" s="83" t="s">
        <v>3067</v>
      </c>
      <c r="C2925" s="67" t="s">
        <v>3068</v>
      </c>
      <c r="D2925" s="91">
        <v>7866600</v>
      </c>
      <c r="E2925" s="76">
        <v>583625</v>
      </c>
      <c r="F2925" s="77" t="s">
        <v>10174</v>
      </c>
      <c r="G2925" s="22"/>
      <c r="H2925" s="22"/>
    </row>
    <row r="2926" spans="1:8">
      <c r="A2926" s="82">
        <v>5</v>
      </c>
      <c r="B2926" s="83" t="s">
        <v>4902</v>
      </c>
      <c r="C2926" s="67" t="s">
        <v>4903</v>
      </c>
      <c r="D2926" s="91">
        <v>17443400</v>
      </c>
      <c r="E2926" s="76">
        <v>1294125</v>
      </c>
      <c r="F2926" s="77" t="s">
        <v>10174</v>
      </c>
      <c r="G2926" s="22"/>
      <c r="H2926" s="22"/>
    </row>
    <row r="2927" spans="1:8">
      <c r="A2927" s="82">
        <v>5</v>
      </c>
      <c r="B2927" s="83" t="s">
        <v>4904</v>
      </c>
      <c r="C2927" s="67" t="s">
        <v>4905</v>
      </c>
      <c r="D2927" s="91">
        <v>12791800</v>
      </c>
      <c r="E2927" s="76">
        <v>949025</v>
      </c>
      <c r="F2927" s="77" t="s">
        <v>10174</v>
      </c>
      <c r="G2927" s="22"/>
      <c r="H2927" s="22"/>
    </row>
    <row r="2928" spans="1:8">
      <c r="A2928" s="82">
        <v>5</v>
      </c>
      <c r="B2928" s="83" t="s">
        <v>4906</v>
      </c>
      <c r="C2928" s="67" t="s">
        <v>4907</v>
      </c>
      <c r="D2928" s="91">
        <v>9303100</v>
      </c>
      <c r="E2928" s="76">
        <v>690199.99999999988</v>
      </c>
      <c r="F2928" s="77" t="s">
        <v>10174</v>
      </c>
      <c r="G2928" s="22"/>
      <c r="H2928" s="22"/>
    </row>
    <row r="2929" spans="1:8">
      <c r="A2929" s="82">
        <v>5</v>
      </c>
      <c r="B2929" s="83" t="s">
        <v>2586</v>
      </c>
      <c r="C2929" s="67" t="s">
        <v>2587</v>
      </c>
      <c r="D2929" s="91">
        <v>25104800</v>
      </c>
      <c r="E2929" s="76">
        <v>1862525</v>
      </c>
      <c r="F2929" s="77" t="s">
        <v>10174</v>
      </c>
      <c r="G2929" s="22"/>
      <c r="H2929" s="22"/>
    </row>
    <row r="2930" spans="1:8">
      <c r="A2930" s="82">
        <v>5</v>
      </c>
      <c r="B2930" s="83" t="s">
        <v>2584</v>
      </c>
      <c r="C2930" s="67" t="s">
        <v>2585</v>
      </c>
      <c r="D2930" s="91">
        <v>18469500</v>
      </c>
      <c r="E2930" s="76">
        <v>1370249.9999999998</v>
      </c>
      <c r="F2930" s="77" t="s">
        <v>10174</v>
      </c>
      <c r="G2930" s="22"/>
      <c r="H2930" s="22"/>
    </row>
    <row r="2931" spans="1:8">
      <c r="A2931" s="82">
        <v>5</v>
      </c>
      <c r="B2931" s="83" t="s">
        <v>2582</v>
      </c>
      <c r="C2931" s="67" t="s">
        <v>2583</v>
      </c>
      <c r="D2931" s="91">
        <v>13407500</v>
      </c>
      <c r="E2931" s="76">
        <v>994700</v>
      </c>
      <c r="F2931" s="77" t="s">
        <v>10174</v>
      </c>
      <c r="G2931" s="22"/>
      <c r="H2931" s="22"/>
    </row>
    <row r="2932" spans="1:8">
      <c r="A2932" s="82">
        <v>5</v>
      </c>
      <c r="B2932" s="83" t="s">
        <v>2149</v>
      </c>
      <c r="C2932" s="67" t="s">
        <v>2150</v>
      </c>
      <c r="D2932" s="91">
        <v>39880300</v>
      </c>
      <c r="E2932" s="76">
        <v>2958724.9999999995</v>
      </c>
      <c r="F2932" s="77" t="s">
        <v>10174</v>
      </c>
      <c r="G2932" s="22"/>
      <c r="H2932" s="22"/>
    </row>
    <row r="2933" spans="1:8">
      <c r="A2933" s="82">
        <v>5</v>
      </c>
      <c r="B2933" s="83" t="s">
        <v>2151</v>
      </c>
      <c r="C2933" s="67" t="s">
        <v>2152</v>
      </c>
      <c r="D2933" s="91">
        <v>29277500</v>
      </c>
      <c r="E2933" s="76">
        <v>2172100</v>
      </c>
      <c r="F2933" s="77" t="s">
        <v>10174</v>
      </c>
      <c r="G2933" s="22"/>
      <c r="H2933" s="22"/>
    </row>
    <row r="2934" spans="1:8">
      <c r="A2934" s="82">
        <v>5</v>
      </c>
      <c r="B2934" s="83" t="s">
        <v>2153</v>
      </c>
      <c r="C2934" s="67" t="s">
        <v>2154</v>
      </c>
      <c r="D2934" s="91">
        <v>21274100</v>
      </c>
      <c r="E2934" s="76">
        <v>1578325</v>
      </c>
      <c r="F2934" s="77" t="s">
        <v>10174</v>
      </c>
      <c r="G2934" s="22"/>
      <c r="H2934" s="22"/>
    </row>
    <row r="2935" spans="1:8">
      <c r="A2935" s="82">
        <v>5</v>
      </c>
      <c r="B2935" s="83" t="s">
        <v>2157</v>
      </c>
      <c r="C2935" s="67" t="s">
        <v>2158</v>
      </c>
      <c r="D2935" s="91">
        <v>64164300</v>
      </c>
      <c r="E2935" s="76">
        <v>4760350</v>
      </c>
      <c r="F2935" s="77" t="s">
        <v>10174</v>
      </c>
      <c r="G2935" s="22"/>
      <c r="H2935" s="22"/>
    </row>
    <row r="2936" spans="1:8">
      <c r="A2936" s="82">
        <v>5</v>
      </c>
      <c r="B2936" s="83" t="s">
        <v>2159</v>
      </c>
      <c r="C2936" s="67" t="s">
        <v>2160</v>
      </c>
      <c r="D2936" s="91">
        <v>47062900</v>
      </c>
      <c r="E2936" s="76">
        <v>3491600</v>
      </c>
      <c r="F2936" s="77" t="s">
        <v>10174</v>
      </c>
      <c r="G2936" s="22"/>
      <c r="H2936" s="22"/>
    </row>
    <row r="2937" spans="1:8">
      <c r="A2937" s="82">
        <v>5</v>
      </c>
      <c r="B2937" s="83" t="s">
        <v>2161</v>
      </c>
      <c r="C2937" s="67" t="s">
        <v>2162</v>
      </c>
      <c r="D2937" s="91">
        <v>34271100</v>
      </c>
      <c r="E2937" s="76">
        <v>2542575</v>
      </c>
      <c r="F2937" s="77" t="s">
        <v>10174</v>
      </c>
      <c r="G2937" s="22"/>
      <c r="H2937" s="22"/>
    </row>
    <row r="2938" spans="1:8">
      <c r="A2938" s="82">
        <v>5</v>
      </c>
      <c r="B2938" s="83" t="s">
        <v>671</v>
      </c>
      <c r="C2938" s="67" t="s">
        <v>672</v>
      </c>
      <c r="D2938" s="91">
        <v>27074900</v>
      </c>
      <c r="E2938" s="76">
        <v>2008685</v>
      </c>
      <c r="F2938" s="77" t="s">
        <v>10174</v>
      </c>
      <c r="G2938" s="22"/>
      <c r="H2938" s="22"/>
    </row>
    <row r="2939" spans="1:8">
      <c r="A2939" s="82">
        <v>5</v>
      </c>
      <c r="B2939" s="83" t="s">
        <v>669</v>
      </c>
      <c r="C2939" s="67" t="s">
        <v>670</v>
      </c>
      <c r="D2939" s="91">
        <v>19851200</v>
      </c>
      <c r="E2939" s="76">
        <v>1472765</v>
      </c>
      <c r="F2939" s="77" t="s">
        <v>10174</v>
      </c>
      <c r="G2939" s="22"/>
      <c r="H2939" s="22"/>
    </row>
    <row r="2940" spans="1:8">
      <c r="A2940" s="82">
        <v>5</v>
      </c>
      <c r="B2940" s="83" t="s">
        <v>667</v>
      </c>
      <c r="C2940" s="67" t="s">
        <v>668</v>
      </c>
      <c r="D2940" s="91">
        <v>14433500</v>
      </c>
      <c r="E2940" s="76">
        <v>1070825</v>
      </c>
      <c r="F2940" s="77" t="s">
        <v>10174</v>
      </c>
      <c r="G2940" s="22"/>
      <c r="H2940" s="22"/>
    </row>
    <row r="2941" spans="1:8">
      <c r="A2941" s="82">
        <v>5</v>
      </c>
      <c r="B2941" s="83" t="s">
        <v>739</v>
      </c>
      <c r="C2941" s="67" t="s">
        <v>740</v>
      </c>
      <c r="D2941" s="91">
        <v>30673000</v>
      </c>
      <c r="E2941" s="76">
        <v>2275630</v>
      </c>
      <c r="F2941" s="77" t="s">
        <v>10174</v>
      </c>
      <c r="G2941" s="22"/>
      <c r="H2941" s="22"/>
    </row>
    <row r="2942" spans="1:8">
      <c r="A2942" s="82">
        <v>5</v>
      </c>
      <c r="B2942" s="83" t="s">
        <v>741</v>
      </c>
      <c r="C2942" s="67" t="s">
        <v>742</v>
      </c>
      <c r="D2942" s="91">
        <v>22738000</v>
      </c>
      <c r="E2942" s="76">
        <v>1686929.9999999998</v>
      </c>
      <c r="F2942" s="77" t="s">
        <v>10174</v>
      </c>
      <c r="G2942" s="22"/>
      <c r="H2942" s="22"/>
    </row>
    <row r="2943" spans="1:8">
      <c r="A2943" s="82">
        <v>5</v>
      </c>
      <c r="B2943" s="83" t="s">
        <v>743</v>
      </c>
      <c r="C2943" s="67" t="s">
        <v>744</v>
      </c>
      <c r="D2943" s="91">
        <v>16608800</v>
      </c>
      <c r="E2943" s="76">
        <v>1232210</v>
      </c>
      <c r="F2943" s="77" t="s">
        <v>10174</v>
      </c>
      <c r="G2943" s="22"/>
      <c r="H2943" s="22"/>
    </row>
    <row r="2944" spans="1:8">
      <c r="A2944" s="82">
        <v>5</v>
      </c>
      <c r="B2944" s="83" t="s">
        <v>808</v>
      </c>
      <c r="C2944" s="67" t="s">
        <v>809</v>
      </c>
      <c r="D2944" s="91">
        <v>36090700</v>
      </c>
      <c r="E2944" s="76">
        <v>2677570</v>
      </c>
      <c r="F2944" s="77" t="s">
        <v>10174</v>
      </c>
      <c r="G2944" s="22"/>
      <c r="H2944" s="22"/>
    </row>
    <row r="2945" spans="1:8">
      <c r="A2945" s="82">
        <v>5</v>
      </c>
      <c r="B2945" s="83" t="s">
        <v>806</v>
      </c>
      <c r="C2945" s="67" t="s">
        <v>807</v>
      </c>
      <c r="D2945" s="91">
        <v>26705500</v>
      </c>
      <c r="E2945" s="76">
        <v>1981279.9999999998</v>
      </c>
      <c r="F2945" s="77" t="s">
        <v>10174</v>
      </c>
      <c r="G2945" s="22"/>
      <c r="H2945" s="22"/>
    </row>
    <row r="2946" spans="1:8">
      <c r="A2946" s="82">
        <v>5</v>
      </c>
      <c r="B2946" s="83" t="s">
        <v>804</v>
      </c>
      <c r="C2946" s="67" t="s">
        <v>805</v>
      </c>
      <c r="D2946" s="91">
        <v>19495500</v>
      </c>
      <c r="E2946" s="76">
        <v>1446374.9999999998</v>
      </c>
      <c r="F2946" s="77" t="s">
        <v>10174</v>
      </c>
      <c r="G2946" s="22"/>
      <c r="H2946" s="22"/>
    </row>
    <row r="2947" spans="1:8">
      <c r="A2947" s="82">
        <v>5</v>
      </c>
      <c r="B2947" s="83" t="s">
        <v>842</v>
      </c>
      <c r="C2947" s="67" t="s">
        <v>843</v>
      </c>
      <c r="D2947" s="91">
        <v>14433500</v>
      </c>
      <c r="E2947" s="76">
        <v>1070825</v>
      </c>
      <c r="F2947" s="77" t="s">
        <v>10174</v>
      </c>
      <c r="G2947" s="22"/>
      <c r="H2947" s="22"/>
    </row>
    <row r="2948" spans="1:8">
      <c r="A2948" s="82">
        <v>5</v>
      </c>
      <c r="B2948" s="83" t="s">
        <v>840</v>
      </c>
      <c r="C2948" s="67" t="s">
        <v>841</v>
      </c>
      <c r="D2948" s="91">
        <v>10616500</v>
      </c>
      <c r="E2948" s="76">
        <v>787639.99999999988</v>
      </c>
      <c r="F2948" s="77" t="s">
        <v>10174</v>
      </c>
      <c r="G2948" s="22"/>
      <c r="H2948" s="22"/>
    </row>
    <row r="2949" spans="1:8">
      <c r="A2949" s="82">
        <v>5</v>
      </c>
      <c r="B2949" s="83" t="s">
        <v>838</v>
      </c>
      <c r="C2949" s="67" t="s">
        <v>839</v>
      </c>
      <c r="D2949" s="91">
        <v>7729800</v>
      </c>
      <c r="E2949" s="76">
        <v>573475</v>
      </c>
      <c r="F2949" s="77" t="s">
        <v>10174</v>
      </c>
      <c r="G2949" s="22"/>
      <c r="H2949" s="22"/>
    </row>
    <row r="2950" spans="1:8">
      <c r="A2950" s="82">
        <v>5</v>
      </c>
      <c r="B2950" s="83" t="s">
        <v>830</v>
      </c>
      <c r="C2950" s="67" t="s">
        <v>831</v>
      </c>
      <c r="D2950" s="91">
        <v>16239400</v>
      </c>
      <c r="E2950" s="76">
        <v>1204805</v>
      </c>
      <c r="F2950" s="77" t="s">
        <v>10174</v>
      </c>
      <c r="G2950" s="22"/>
      <c r="H2950" s="22"/>
    </row>
    <row r="2951" spans="1:8">
      <c r="A2951" s="82">
        <v>5</v>
      </c>
      <c r="B2951" s="83" t="s">
        <v>828</v>
      </c>
      <c r="C2951" s="67" t="s">
        <v>829</v>
      </c>
      <c r="D2951" s="91">
        <v>11916200</v>
      </c>
      <c r="E2951" s="76">
        <v>884064.99999999988</v>
      </c>
      <c r="F2951" s="77" t="s">
        <v>10174</v>
      </c>
      <c r="G2951" s="22"/>
      <c r="H2951" s="22"/>
    </row>
    <row r="2952" spans="1:8">
      <c r="A2952" s="82">
        <v>5</v>
      </c>
      <c r="B2952" s="83" t="s">
        <v>826</v>
      </c>
      <c r="C2952" s="67" t="s">
        <v>827</v>
      </c>
      <c r="D2952" s="91">
        <v>8660100</v>
      </c>
      <c r="E2952" s="76">
        <v>642495</v>
      </c>
      <c r="F2952" s="77" t="s">
        <v>10174</v>
      </c>
      <c r="G2952" s="22"/>
      <c r="H2952" s="22"/>
    </row>
    <row r="2953" spans="1:8">
      <c r="A2953" s="82">
        <v>5</v>
      </c>
      <c r="B2953" s="83" t="s">
        <v>1052</v>
      </c>
      <c r="C2953" s="67" t="s">
        <v>1053</v>
      </c>
      <c r="D2953" s="91">
        <v>18045300</v>
      </c>
      <c r="E2953" s="76">
        <v>1338785</v>
      </c>
      <c r="F2953" s="77" t="s">
        <v>10174</v>
      </c>
      <c r="G2953" s="22"/>
      <c r="H2953" s="22"/>
    </row>
    <row r="2954" spans="1:8">
      <c r="A2954" s="82">
        <v>5</v>
      </c>
      <c r="B2954" s="83" t="s">
        <v>1050</v>
      </c>
      <c r="C2954" s="67" t="s">
        <v>1051</v>
      </c>
      <c r="D2954" s="91">
        <v>13284300</v>
      </c>
      <c r="E2954" s="76">
        <v>985564.99999999988</v>
      </c>
      <c r="F2954" s="77" t="s">
        <v>10174</v>
      </c>
      <c r="G2954" s="22"/>
      <c r="H2954" s="22"/>
    </row>
    <row r="2955" spans="1:8">
      <c r="A2955" s="82">
        <v>5</v>
      </c>
      <c r="B2955" s="83" t="s">
        <v>1048</v>
      </c>
      <c r="C2955" s="67" t="s">
        <v>1049</v>
      </c>
      <c r="D2955" s="91">
        <v>9672500</v>
      </c>
      <c r="E2955" s="76">
        <v>717605</v>
      </c>
      <c r="F2955" s="77" t="s">
        <v>10174</v>
      </c>
      <c r="G2955" s="22"/>
      <c r="H2955" s="22"/>
    </row>
    <row r="2956" spans="1:8">
      <c r="A2956" s="82">
        <v>5</v>
      </c>
      <c r="B2956" s="83" t="s">
        <v>344</v>
      </c>
      <c r="C2956" s="67" t="s">
        <v>345</v>
      </c>
      <c r="D2956" s="91">
        <v>27074900</v>
      </c>
      <c r="E2956" s="76">
        <v>2008685</v>
      </c>
      <c r="F2956" s="77" t="s">
        <v>10174</v>
      </c>
      <c r="G2956" s="22"/>
      <c r="H2956" s="22"/>
    </row>
    <row r="2957" spans="1:8">
      <c r="A2957" s="82">
        <v>5</v>
      </c>
      <c r="B2957" s="83" t="s">
        <v>342</v>
      </c>
      <c r="C2957" s="67" t="s">
        <v>343</v>
      </c>
      <c r="D2957" s="91">
        <v>19851200</v>
      </c>
      <c r="E2957" s="76">
        <v>1472765</v>
      </c>
      <c r="F2957" s="77" t="s">
        <v>10174</v>
      </c>
      <c r="G2957" s="22"/>
      <c r="H2957" s="22"/>
    </row>
    <row r="2958" spans="1:8">
      <c r="A2958" s="82">
        <v>5</v>
      </c>
      <c r="B2958" s="83" t="s">
        <v>340</v>
      </c>
      <c r="C2958" s="67" t="s">
        <v>341</v>
      </c>
      <c r="D2958" s="91">
        <v>14433500</v>
      </c>
      <c r="E2958" s="76">
        <v>1070825</v>
      </c>
      <c r="F2958" s="77" t="s">
        <v>10174</v>
      </c>
      <c r="G2958" s="22"/>
      <c r="H2958" s="22"/>
    </row>
    <row r="2959" spans="1:8">
      <c r="A2959" s="82">
        <v>5</v>
      </c>
      <c r="B2959" s="83" t="s">
        <v>332</v>
      </c>
      <c r="C2959" s="67" t="s">
        <v>333</v>
      </c>
      <c r="D2959" s="91">
        <v>7223600</v>
      </c>
      <c r="E2959" s="76">
        <v>535920</v>
      </c>
      <c r="F2959" s="77" t="s">
        <v>10174</v>
      </c>
      <c r="G2959" s="22"/>
      <c r="H2959" s="22"/>
    </row>
    <row r="2960" spans="1:8">
      <c r="A2960" s="82">
        <v>5</v>
      </c>
      <c r="B2960" s="83" t="s">
        <v>330</v>
      </c>
      <c r="C2960" s="67" t="s">
        <v>331</v>
      </c>
      <c r="D2960" s="91">
        <v>5335600</v>
      </c>
      <c r="E2960" s="76">
        <v>395850</v>
      </c>
      <c r="F2960" s="77" t="s">
        <v>10174</v>
      </c>
      <c r="G2960" s="22"/>
      <c r="H2960" s="22"/>
    </row>
    <row r="2961" spans="1:8">
      <c r="A2961" s="82">
        <v>5</v>
      </c>
      <c r="B2961" s="83" t="s">
        <v>328</v>
      </c>
      <c r="C2961" s="67" t="s">
        <v>329</v>
      </c>
      <c r="D2961" s="91">
        <v>3899100</v>
      </c>
      <c r="E2961" s="76">
        <v>289275</v>
      </c>
      <c r="F2961" s="77" t="s">
        <v>10174</v>
      </c>
      <c r="G2961" s="22"/>
      <c r="H2961" s="22"/>
    </row>
    <row r="2962" spans="1:8">
      <c r="A2962" s="82">
        <v>5</v>
      </c>
      <c r="B2962" s="83" t="s">
        <v>448</v>
      </c>
      <c r="C2962" s="67" t="s">
        <v>449</v>
      </c>
      <c r="D2962" s="91">
        <v>8085500</v>
      </c>
      <c r="E2962" s="76">
        <v>599865</v>
      </c>
      <c r="F2962" s="77" t="s">
        <v>10174</v>
      </c>
      <c r="G2962" s="22"/>
      <c r="H2962" s="22"/>
    </row>
    <row r="2963" spans="1:8">
      <c r="A2963" s="82">
        <v>5</v>
      </c>
      <c r="B2963" s="83" t="s">
        <v>446</v>
      </c>
      <c r="C2963" s="67" t="s">
        <v>447</v>
      </c>
      <c r="D2963" s="91">
        <v>5923900</v>
      </c>
      <c r="E2963" s="76">
        <v>439494.99999999994</v>
      </c>
      <c r="F2963" s="77" t="s">
        <v>10174</v>
      </c>
      <c r="G2963" s="22"/>
      <c r="H2963" s="22"/>
    </row>
    <row r="2964" spans="1:8">
      <c r="A2964" s="82">
        <v>5</v>
      </c>
      <c r="B2964" s="83" t="s">
        <v>444</v>
      </c>
      <c r="C2964" s="67" t="s">
        <v>445</v>
      </c>
      <c r="D2964" s="91">
        <v>4336900</v>
      </c>
      <c r="E2964" s="76">
        <v>321754.99999999994</v>
      </c>
      <c r="F2964" s="77" t="s">
        <v>10174</v>
      </c>
      <c r="G2964" s="22"/>
      <c r="H2964" s="22"/>
    </row>
    <row r="2965" spans="1:8">
      <c r="A2965" s="82">
        <v>5</v>
      </c>
      <c r="B2965" s="83" t="s">
        <v>745</v>
      </c>
      <c r="C2965" s="67" t="s">
        <v>746</v>
      </c>
      <c r="D2965" s="91">
        <v>8660100</v>
      </c>
      <c r="E2965" s="76">
        <v>642495</v>
      </c>
      <c r="F2965" s="77" t="s">
        <v>10174</v>
      </c>
      <c r="G2965" s="22"/>
      <c r="H2965" s="22"/>
    </row>
    <row r="2966" spans="1:8">
      <c r="A2966" s="82">
        <v>5</v>
      </c>
      <c r="B2966" s="83" t="s">
        <v>747</v>
      </c>
      <c r="C2966" s="67" t="s">
        <v>748</v>
      </c>
      <c r="D2966" s="91">
        <v>6348000</v>
      </c>
      <c r="E2966" s="76">
        <v>470959.99999999994</v>
      </c>
      <c r="F2966" s="77" t="s">
        <v>10174</v>
      </c>
      <c r="G2966" s="22"/>
      <c r="H2966" s="22"/>
    </row>
    <row r="2967" spans="1:8">
      <c r="A2967" s="82">
        <v>5</v>
      </c>
      <c r="B2967" s="83" t="s">
        <v>749</v>
      </c>
      <c r="C2967" s="67" t="s">
        <v>750</v>
      </c>
      <c r="D2967" s="91">
        <v>4624200</v>
      </c>
      <c r="E2967" s="76">
        <v>343070</v>
      </c>
      <c r="F2967" s="77" t="s">
        <v>10174</v>
      </c>
      <c r="G2967" s="22"/>
      <c r="H2967" s="22"/>
    </row>
    <row r="2968" spans="1:8">
      <c r="A2968" s="82">
        <v>5</v>
      </c>
      <c r="B2968" s="83" t="s">
        <v>751</v>
      </c>
      <c r="C2968" s="67" t="s">
        <v>752</v>
      </c>
      <c r="D2968" s="91">
        <v>9604100</v>
      </c>
      <c r="E2968" s="76">
        <v>712530</v>
      </c>
      <c r="F2968" s="77" t="s">
        <v>10174</v>
      </c>
      <c r="G2968" s="22"/>
      <c r="H2968" s="22"/>
    </row>
    <row r="2969" spans="1:8">
      <c r="A2969" s="82">
        <v>5</v>
      </c>
      <c r="B2969" s="83" t="s">
        <v>753</v>
      </c>
      <c r="C2969" s="67" t="s">
        <v>754</v>
      </c>
      <c r="D2969" s="91">
        <v>7004700</v>
      </c>
      <c r="E2969" s="76">
        <v>519679.99999999994</v>
      </c>
      <c r="F2969" s="77" t="s">
        <v>10174</v>
      </c>
      <c r="G2969" s="22"/>
      <c r="H2969" s="22"/>
    </row>
    <row r="2970" spans="1:8">
      <c r="A2970" s="82">
        <v>5</v>
      </c>
      <c r="B2970" s="83" t="s">
        <v>755</v>
      </c>
      <c r="C2970" s="67" t="s">
        <v>756</v>
      </c>
      <c r="D2970" s="91">
        <v>5130400</v>
      </c>
      <c r="E2970" s="76">
        <v>380625</v>
      </c>
      <c r="F2970" s="77" t="s">
        <v>10174</v>
      </c>
      <c r="G2970" s="22"/>
      <c r="H2970" s="22"/>
    </row>
    <row r="2971" spans="1:8">
      <c r="A2971" s="82">
        <v>5</v>
      </c>
      <c r="B2971" s="83" t="s">
        <v>500</v>
      </c>
      <c r="C2971" s="67" t="s">
        <v>501</v>
      </c>
      <c r="D2971" s="91">
        <v>20932100</v>
      </c>
      <c r="E2971" s="76">
        <v>1552950</v>
      </c>
      <c r="F2971" s="77" t="s">
        <v>10174</v>
      </c>
      <c r="G2971" s="22"/>
      <c r="H2971" s="22"/>
    </row>
    <row r="2972" spans="1:8">
      <c r="A2972" s="82">
        <v>5</v>
      </c>
      <c r="B2972" s="83" t="s">
        <v>498</v>
      </c>
      <c r="C2972" s="67" t="s">
        <v>499</v>
      </c>
      <c r="D2972" s="91">
        <v>15158600</v>
      </c>
      <c r="E2972" s="76">
        <v>1124619.9999999998</v>
      </c>
      <c r="F2972" s="77" t="s">
        <v>10174</v>
      </c>
      <c r="G2972" s="22"/>
      <c r="H2972" s="22"/>
    </row>
    <row r="2973" spans="1:8">
      <c r="A2973" s="82">
        <v>5</v>
      </c>
      <c r="B2973" s="83" t="s">
        <v>496</v>
      </c>
      <c r="C2973" s="67" t="s">
        <v>497</v>
      </c>
      <c r="D2973" s="91">
        <v>11054300</v>
      </c>
      <c r="E2973" s="76">
        <v>820119.99999999988</v>
      </c>
      <c r="F2973" s="77" t="s">
        <v>10174</v>
      </c>
      <c r="G2973" s="22"/>
      <c r="H2973" s="22"/>
    </row>
    <row r="2974" spans="1:8">
      <c r="A2974" s="82">
        <v>5</v>
      </c>
      <c r="B2974" s="83" t="s">
        <v>562</v>
      </c>
      <c r="C2974" s="67" t="s">
        <v>563</v>
      </c>
      <c r="D2974" s="91">
        <v>21657100</v>
      </c>
      <c r="E2974" s="76">
        <v>1606744.9999999998</v>
      </c>
      <c r="F2974" s="77" t="s">
        <v>10174</v>
      </c>
      <c r="G2974" s="22"/>
      <c r="H2974" s="22"/>
    </row>
    <row r="2975" spans="1:8">
      <c r="A2975" s="82">
        <v>5</v>
      </c>
      <c r="B2975" s="83" t="s">
        <v>564</v>
      </c>
      <c r="C2975" s="67" t="s">
        <v>565</v>
      </c>
      <c r="D2975" s="91">
        <v>15883700</v>
      </c>
      <c r="E2975" s="76">
        <v>1178415</v>
      </c>
      <c r="F2975" s="77" t="s">
        <v>10174</v>
      </c>
      <c r="G2975" s="22"/>
      <c r="H2975" s="22"/>
    </row>
    <row r="2976" spans="1:8">
      <c r="A2976" s="82">
        <v>5</v>
      </c>
      <c r="B2976" s="83" t="s">
        <v>566</v>
      </c>
      <c r="C2976" s="67" t="s">
        <v>567</v>
      </c>
      <c r="D2976" s="91">
        <v>11478400</v>
      </c>
      <c r="E2976" s="76">
        <v>851584.99999999988</v>
      </c>
      <c r="F2976" s="77" t="s">
        <v>10174</v>
      </c>
      <c r="G2976" s="22"/>
      <c r="H2976" s="22"/>
    </row>
    <row r="2977" spans="1:8">
      <c r="A2977" s="82">
        <v>5</v>
      </c>
      <c r="B2977" s="83" t="s">
        <v>647</v>
      </c>
      <c r="C2977" s="67" t="s">
        <v>648</v>
      </c>
      <c r="D2977" s="91">
        <v>8660100</v>
      </c>
      <c r="E2977" s="76">
        <v>642495</v>
      </c>
      <c r="F2977" s="77" t="s">
        <v>10174</v>
      </c>
      <c r="G2977" s="22"/>
      <c r="H2977" s="22"/>
    </row>
    <row r="2978" spans="1:8">
      <c r="A2978" s="82">
        <v>5</v>
      </c>
      <c r="B2978" s="83" t="s">
        <v>645</v>
      </c>
      <c r="C2978" s="67" t="s">
        <v>646</v>
      </c>
      <c r="D2978" s="91">
        <v>6348000</v>
      </c>
      <c r="E2978" s="76">
        <v>470959.99999999994</v>
      </c>
      <c r="F2978" s="77" t="s">
        <v>10174</v>
      </c>
      <c r="G2978" s="22"/>
      <c r="H2978" s="22"/>
    </row>
    <row r="2979" spans="1:8">
      <c r="A2979" s="82">
        <v>5</v>
      </c>
      <c r="B2979" s="83" t="s">
        <v>643</v>
      </c>
      <c r="C2979" s="67" t="s">
        <v>644</v>
      </c>
      <c r="D2979" s="91">
        <v>4186400</v>
      </c>
      <c r="E2979" s="76">
        <v>310590</v>
      </c>
      <c r="F2979" s="77" t="s">
        <v>10174</v>
      </c>
      <c r="G2979" s="22"/>
      <c r="H2979" s="22"/>
    </row>
    <row r="2980" spans="1:8">
      <c r="A2980" s="82">
        <v>5</v>
      </c>
      <c r="B2980" s="83" t="s">
        <v>659</v>
      </c>
      <c r="C2980" s="67" t="s">
        <v>660</v>
      </c>
      <c r="D2980" s="91">
        <v>9604100</v>
      </c>
      <c r="E2980" s="76">
        <v>712530</v>
      </c>
      <c r="F2980" s="77" t="s">
        <v>10174</v>
      </c>
      <c r="G2980" s="22"/>
      <c r="H2980" s="22"/>
    </row>
    <row r="2981" spans="1:8">
      <c r="A2981" s="82">
        <v>5</v>
      </c>
      <c r="B2981" s="83" t="s">
        <v>657</v>
      </c>
      <c r="C2981" s="67" t="s">
        <v>658</v>
      </c>
      <c r="D2981" s="91">
        <v>7004700</v>
      </c>
      <c r="E2981" s="76">
        <v>519679.99999999994</v>
      </c>
      <c r="F2981" s="77" t="s">
        <v>10174</v>
      </c>
      <c r="G2981" s="22"/>
      <c r="H2981" s="22"/>
    </row>
    <row r="2982" spans="1:8">
      <c r="A2982" s="82">
        <v>5</v>
      </c>
      <c r="B2982" s="83" t="s">
        <v>655</v>
      </c>
      <c r="C2982" s="67" t="s">
        <v>656</v>
      </c>
      <c r="D2982" s="91">
        <v>5130400</v>
      </c>
      <c r="E2982" s="76">
        <v>380625</v>
      </c>
      <c r="F2982" s="77" t="s">
        <v>10174</v>
      </c>
      <c r="G2982" s="22"/>
      <c r="H2982" s="22"/>
    </row>
    <row r="2983" spans="1:8">
      <c r="A2983" s="82">
        <v>5</v>
      </c>
      <c r="B2983" s="83" t="s">
        <v>623</v>
      </c>
      <c r="C2983" s="67" t="s">
        <v>624</v>
      </c>
      <c r="D2983" s="91">
        <v>7798200</v>
      </c>
      <c r="E2983" s="76">
        <v>578550</v>
      </c>
      <c r="F2983" s="77" t="s">
        <v>10174</v>
      </c>
      <c r="G2983" s="22"/>
      <c r="H2983" s="22"/>
    </row>
    <row r="2984" spans="1:8">
      <c r="A2984" s="82">
        <v>5</v>
      </c>
      <c r="B2984" s="83" t="s">
        <v>621</v>
      </c>
      <c r="C2984" s="67" t="s">
        <v>622</v>
      </c>
      <c r="D2984" s="91">
        <v>5705000</v>
      </c>
      <c r="E2984" s="76">
        <v>423254.99999999994</v>
      </c>
      <c r="F2984" s="77" t="s">
        <v>10174</v>
      </c>
      <c r="G2984" s="22"/>
      <c r="H2984" s="22"/>
    </row>
    <row r="2985" spans="1:8">
      <c r="A2985" s="82">
        <v>5</v>
      </c>
      <c r="B2985" s="83" t="s">
        <v>619</v>
      </c>
      <c r="C2985" s="67" t="s">
        <v>620</v>
      </c>
      <c r="D2985" s="91">
        <v>4186400</v>
      </c>
      <c r="E2985" s="76">
        <v>310590</v>
      </c>
      <c r="F2985" s="77" t="s">
        <v>10174</v>
      </c>
      <c r="G2985" s="22"/>
      <c r="H2985" s="22"/>
    </row>
    <row r="2986" spans="1:8">
      <c r="A2986" s="82">
        <v>5</v>
      </c>
      <c r="B2986" s="83" t="s">
        <v>635</v>
      </c>
      <c r="C2986" s="67" t="s">
        <v>636</v>
      </c>
      <c r="D2986" s="91">
        <v>8660100</v>
      </c>
      <c r="E2986" s="76">
        <v>642495</v>
      </c>
      <c r="F2986" s="77" t="s">
        <v>10174</v>
      </c>
      <c r="G2986" s="22"/>
      <c r="H2986" s="22"/>
    </row>
    <row r="2987" spans="1:8">
      <c r="A2987" s="82">
        <v>5</v>
      </c>
      <c r="B2987" s="83" t="s">
        <v>633</v>
      </c>
      <c r="C2987" s="67" t="s">
        <v>634</v>
      </c>
      <c r="D2987" s="91">
        <v>6348000</v>
      </c>
      <c r="E2987" s="76">
        <v>470959.99999999994</v>
      </c>
      <c r="F2987" s="77" t="s">
        <v>10174</v>
      </c>
      <c r="G2987" s="22"/>
      <c r="H2987" s="22"/>
    </row>
    <row r="2988" spans="1:8">
      <c r="A2988" s="82">
        <v>5</v>
      </c>
      <c r="B2988" s="83" t="s">
        <v>631</v>
      </c>
      <c r="C2988" s="67" t="s">
        <v>632</v>
      </c>
      <c r="D2988" s="91">
        <v>4692600</v>
      </c>
      <c r="E2988" s="76">
        <v>348145</v>
      </c>
      <c r="F2988" s="77" t="s">
        <v>10174</v>
      </c>
      <c r="G2988" s="22"/>
      <c r="H2988" s="22"/>
    </row>
    <row r="2989" spans="1:8">
      <c r="A2989" s="82">
        <v>5</v>
      </c>
      <c r="B2989" s="83" t="s">
        <v>887</v>
      </c>
      <c r="C2989" s="67" t="s">
        <v>888</v>
      </c>
      <c r="D2989" s="91">
        <v>9029500</v>
      </c>
      <c r="E2989" s="76">
        <v>669899.99999999988</v>
      </c>
      <c r="F2989" s="77" t="s">
        <v>10174</v>
      </c>
      <c r="G2989" s="22"/>
      <c r="H2989" s="22"/>
    </row>
    <row r="2990" spans="1:8">
      <c r="A2990" s="82">
        <v>5</v>
      </c>
      <c r="B2990" s="83" t="s">
        <v>885</v>
      </c>
      <c r="C2990" s="67" t="s">
        <v>886</v>
      </c>
      <c r="D2990" s="91">
        <v>6635300</v>
      </c>
      <c r="E2990" s="76">
        <v>492275</v>
      </c>
      <c r="F2990" s="77" t="s">
        <v>10174</v>
      </c>
      <c r="G2990" s="22"/>
      <c r="H2990" s="22"/>
    </row>
    <row r="2991" spans="1:8">
      <c r="A2991" s="82">
        <v>5</v>
      </c>
      <c r="B2991" s="83" t="s">
        <v>883</v>
      </c>
      <c r="C2991" s="67" t="s">
        <v>884</v>
      </c>
      <c r="D2991" s="91">
        <v>4829400</v>
      </c>
      <c r="E2991" s="76">
        <v>358295</v>
      </c>
      <c r="F2991" s="77" t="s">
        <v>10174</v>
      </c>
      <c r="G2991" s="22"/>
      <c r="H2991" s="22"/>
    </row>
    <row r="2992" spans="1:8">
      <c r="A2992" s="82">
        <v>5</v>
      </c>
      <c r="B2992" s="83" t="s">
        <v>1003</v>
      </c>
      <c r="C2992" s="67" t="s">
        <v>1004</v>
      </c>
      <c r="D2992" s="91">
        <v>7223600</v>
      </c>
      <c r="E2992" s="76">
        <v>535920</v>
      </c>
      <c r="F2992" s="77" t="s">
        <v>10174</v>
      </c>
      <c r="G2992" s="22"/>
      <c r="H2992" s="22"/>
    </row>
    <row r="2993" spans="1:8">
      <c r="A2993" s="82">
        <v>5</v>
      </c>
      <c r="B2993" s="83" t="s">
        <v>1001</v>
      </c>
      <c r="C2993" s="67" t="s">
        <v>1002</v>
      </c>
      <c r="D2993" s="91">
        <v>5335600</v>
      </c>
      <c r="E2993" s="76">
        <v>395850</v>
      </c>
      <c r="F2993" s="77" t="s">
        <v>10174</v>
      </c>
      <c r="G2993" s="22"/>
      <c r="H2993" s="22"/>
    </row>
    <row r="2994" spans="1:8">
      <c r="A2994" s="82">
        <v>5</v>
      </c>
      <c r="B2994" s="83" t="s">
        <v>999</v>
      </c>
      <c r="C2994" s="67" t="s">
        <v>1000</v>
      </c>
      <c r="D2994" s="91">
        <v>3899100</v>
      </c>
      <c r="E2994" s="76">
        <v>289275</v>
      </c>
      <c r="F2994" s="77" t="s">
        <v>10174</v>
      </c>
      <c r="G2994" s="22"/>
      <c r="H2994" s="22"/>
    </row>
    <row r="2995" spans="1:8">
      <c r="A2995" s="82">
        <v>5</v>
      </c>
      <c r="B2995" s="83" t="s">
        <v>822</v>
      </c>
      <c r="C2995" s="67" t="s">
        <v>823</v>
      </c>
      <c r="D2995" s="91">
        <v>6854200</v>
      </c>
      <c r="E2995" s="76">
        <v>508515</v>
      </c>
      <c r="F2995" s="77" t="s">
        <v>10174</v>
      </c>
      <c r="G2995" s="22"/>
      <c r="H2995" s="22"/>
    </row>
    <row r="2996" spans="1:8">
      <c r="A2996" s="82">
        <v>5</v>
      </c>
      <c r="B2996" s="83" t="s">
        <v>820</v>
      </c>
      <c r="C2996" s="67" t="s">
        <v>821</v>
      </c>
      <c r="D2996" s="91">
        <v>5048300</v>
      </c>
      <c r="E2996" s="76">
        <v>374535</v>
      </c>
      <c r="F2996" s="77" t="s">
        <v>10174</v>
      </c>
      <c r="G2996" s="22"/>
      <c r="H2996" s="22"/>
    </row>
    <row r="2997" spans="1:8">
      <c r="A2997" s="82">
        <v>5</v>
      </c>
      <c r="B2997" s="83" t="s">
        <v>818</v>
      </c>
      <c r="C2997" s="67" t="s">
        <v>819</v>
      </c>
      <c r="D2997" s="91">
        <v>3680200</v>
      </c>
      <c r="E2997" s="76">
        <v>273035</v>
      </c>
      <c r="F2997" s="77" t="s">
        <v>10174</v>
      </c>
      <c r="G2997" s="22"/>
      <c r="H2997" s="22"/>
    </row>
    <row r="2998" spans="1:8">
      <c r="A2998" s="82">
        <v>5</v>
      </c>
      <c r="B2998" s="83" t="s">
        <v>757</v>
      </c>
      <c r="C2998" s="67" t="s">
        <v>758</v>
      </c>
      <c r="D2998" s="91">
        <v>6129100</v>
      </c>
      <c r="E2998" s="76">
        <v>454719.99999999994</v>
      </c>
      <c r="F2998" s="77" t="s">
        <v>10174</v>
      </c>
      <c r="G2998" s="22"/>
      <c r="H2998" s="22"/>
    </row>
    <row r="2999" spans="1:8">
      <c r="A2999" s="82">
        <v>5</v>
      </c>
      <c r="B2999" s="83" t="s">
        <v>759</v>
      </c>
      <c r="C2999" s="67" t="s">
        <v>760</v>
      </c>
      <c r="D2999" s="91">
        <v>4542100</v>
      </c>
      <c r="E2999" s="76">
        <v>336979.99999999994</v>
      </c>
      <c r="F2999" s="77" t="s">
        <v>10174</v>
      </c>
      <c r="G2999" s="22"/>
      <c r="H2999" s="22"/>
    </row>
    <row r="3000" spans="1:8">
      <c r="A3000" s="82">
        <v>5</v>
      </c>
      <c r="B3000" s="83" t="s">
        <v>761</v>
      </c>
      <c r="C3000" s="67" t="s">
        <v>762</v>
      </c>
      <c r="D3000" s="91">
        <v>3324500</v>
      </c>
      <c r="E3000" s="76">
        <v>246645</v>
      </c>
      <c r="F3000" s="77" t="s">
        <v>10174</v>
      </c>
      <c r="G3000" s="22"/>
      <c r="H3000" s="22"/>
    </row>
    <row r="3001" spans="1:8">
      <c r="A3001" s="82">
        <v>5</v>
      </c>
      <c r="B3001" s="83" t="s">
        <v>763</v>
      </c>
      <c r="C3001" s="67" t="s">
        <v>5490</v>
      </c>
      <c r="D3001" s="91">
        <v>7073100</v>
      </c>
      <c r="E3001" s="76">
        <v>524755</v>
      </c>
      <c r="F3001" s="77" t="s">
        <v>10174</v>
      </c>
      <c r="G3001" s="22"/>
      <c r="H3001" s="22"/>
    </row>
    <row r="3002" spans="1:8">
      <c r="A3002" s="82">
        <v>5</v>
      </c>
      <c r="B3002" s="83" t="s">
        <v>764</v>
      </c>
      <c r="C3002" s="67" t="s">
        <v>5491</v>
      </c>
      <c r="D3002" s="91">
        <v>5198800</v>
      </c>
      <c r="E3002" s="76">
        <v>385700</v>
      </c>
      <c r="F3002" s="77" t="s">
        <v>10174</v>
      </c>
      <c r="G3002" s="22"/>
      <c r="H3002" s="22"/>
    </row>
    <row r="3003" spans="1:8">
      <c r="A3003" s="82">
        <v>5</v>
      </c>
      <c r="B3003" s="83" t="s">
        <v>765</v>
      </c>
      <c r="C3003" s="67" t="s">
        <v>5492</v>
      </c>
      <c r="D3003" s="91">
        <v>3748600</v>
      </c>
      <c r="E3003" s="76">
        <v>278110</v>
      </c>
      <c r="F3003" s="77" t="s">
        <v>10174</v>
      </c>
      <c r="G3003" s="22"/>
      <c r="H3003" s="22"/>
    </row>
    <row r="3004" spans="1:8">
      <c r="A3004" s="82">
        <v>5</v>
      </c>
      <c r="B3004" s="83" t="s">
        <v>308</v>
      </c>
      <c r="C3004" s="67" t="s">
        <v>309</v>
      </c>
      <c r="D3004" s="91">
        <v>5048300</v>
      </c>
      <c r="E3004" s="76">
        <v>374535</v>
      </c>
      <c r="F3004" s="77" t="s">
        <v>10174</v>
      </c>
      <c r="G3004" s="22"/>
      <c r="H3004" s="22"/>
    </row>
    <row r="3005" spans="1:8">
      <c r="A3005" s="82">
        <v>5</v>
      </c>
      <c r="B3005" s="83" t="s">
        <v>306</v>
      </c>
      <c r="C3005" s="67" t="s">
        <v>307</v>
      </c>
      <c r="D3005" s="91">
        <v>3748600</v>
      </c>
      <c r="E3005" s="76">
        <v>278110</v>
      </c>
      <c r="F3005" s="77" t="s">
        <v>10174</v>
      </c>
      <c r="G3005" s="22"/>
      <c r="H3005" s="22"/>
    </row>
    <row r="3006" spans="1:8">
      <c r="A3006" s="82">
        <v>5</v>
      </c>
      <c r="B3006" s="83" t="s">
        <v>304</v>
      </c>
      <c r="C3006" s="67" t="s">
        <v>305</v>
      </c>
      <c r="D3006" s="91">
        <v>2736200</v>
      </c>
      <c r="E3006" s="76">
        <v>203000</v>
      </c>
      <c r="F3006" s="77" t="s">
        <v>10174</v>
      </c>
      <c r="G3006" s="22"/>
      <c r="H3006" s="22"/>
    </row>
    <row r="3007" spans="1:8">
      <c r="A3007" s="82">
        <v>5</v>
      </c>
      <c r="B3007" s="83" t="s">
        <v>432</v>
      </c>
      <c r="C3007" s="67" t="s">
        <v>433</v>
      </c>
      <c r="D3007" s="91">
        <v>5992300</v>
      </c>
      <c r="E3007" s="76">
        <v>444569.99999999994</v>
      </c>
      <c r="F3007" s="77" t="s">
        <v>10174</v>
      </c>
      <c r="G3007" s="22"/>
      <c r="H3007" s="22"/>
    </row>
    <row r="3008" spans="1:8">
      <c r="A3008" s="82">
        <v>5</v>
      </c>
      <c r="B3008" s="83" t="s">
        <v>430</v>
      </c>
      <c r="C3008" s="67" t="s">
        <v>431</v>
      </c>
      <c r="D3008" s="91">
        <v>4405300</v>
      </c>
      <c r="E3008" s="76">
        <v>326829.99999999994</v>
      </c>
      <c r="F3008" s="77" t="s">
        <v>10174</v>
      </c>
      <c r="G3008" s="22"/>
      <c r="H3008" s="22"/>
    </row>
    <row r="3009" spans="1:8">
      <c r="A3009" s="82">
        <v>5</v>
      </c>
      <c r="B3009" s="83" t="s">
        <v>428</v>
      </c>
      <c r="C3009" s="67" t="s">
        <v>429</v>
      </c>
      <c r="D3009" s="91">
        <v>3174000</v>
      </c>
      <c r="E3009" s="76">
        <v>235479.99999999997</v>
      </c>
      <c r="F3009" s="77" t="s">
        <v>10174</v>
      </c>
      <c r="G3009" s="22"/>
      <c r="H3009" s="22"/>
    </row>
    <row r="3010" spans="1:8">
      <c r="A3010" s="82">
        <v>5</v>
      </c>
      <c r="B3010" s="83" t="s">
        <v>766</v>
      </c>
      <c r="C3010" s="67" t="s">
        <v>767</v>
      </c>
      <c r="D3010" s="91">
        <v>6498500</v>
      </c>
      <c r="E3010" s="76">
        <v>482125</v>
      </c>
      <c r="F3010" s="77" t="s">
        <v>10174</v>
      </c>
      <c r="G3010" s="22"/>
      <c r="H3010" s="22"/>
    </row>
    <row r="3011" spans="1:8">
      <c r="A3011" s="82">
        <v>5</v>
      </c>
      <c r="B3011" s="83" t="s">
        <v>768</v>
      </c>
      <c r="C3011" s="67" t="s">
        <v>769</v>
      </c>
      <c r="D3011" s="91">
        <v>4761000</v>
      </c>
      <c r="E3011" s="76">
        <v>353220</v>
      </c>
      <c r="F3011" s="77" t="s">
        <v>10174</v>
      </c>
      <c r="G3011" s="22"/>
      <c r="H3011" s="22"/>
    </row>
    <row r="3012" spans="1:8">
      <c r="A3012" s="82">
        <v>5</v>
      </c>
      <c r="B3012" s="83" t="s">
        <v>770</v>
      </c>
      <c r="C3012" s="67" t="s">
        <v>771</v>
      </c>
      <c r="D3012" s="91">
        <v>3461300</v>
      </c>
      <c r="E3012" s="76">
        <v>256795</v>
      </c>
      <c r="F3012" s="77" t="s">
        <v>10174</v>
      </c>
      <c r="G3012" s="22"/>
      <c r="H3012" s="22"/>
    </row>
    <row r="3013" spans="1:8">
      <c r="A3013" s="82">
        <v>5</v>
      </c>
      <c r="B3013" s="83" t="s">
        <v>772</v>
      </c>
      <c r="C3013" s="67" t="s">
        <v>773</v>
      </c>
      <c r="D3013" s="91">
        <v>7442500</v>
      </c>
      <c r="E3013" s="76">
        <v>552159.99999999988</v>
      </c>
      <c r="F3013" s="77" t="s">
        <v>10174</v>
      </c>
      <c r="G3013" s="22"/>
      <c r="H3013" s="22"/>
    </row>
    <row r="3014" spans="1:8">
      <c r="A3014" s="82">
        <v>5</v>
      </c>
      <c r="B3014" s="83" t="s">
        <v>774</v>
      </c>
      <c r="C3014" s="67" t="s">
        <v>775</v>
      </c>
      <c r="D3014" s="91">
        <v>5417700</v>
      </c>
      <c r="E3014" s="76">
        <v>401940</v>
      </c>
      <c r="F3014" s="77" t="s">
        <v>10174</v>
      </c>
      <c r="G3014" s="22"/>
      <c r="H3014" s="22"/>
    </row>
    <row r="3015" spans="1:8">
      <c r="A3015" s="82">
        <v>5</v>
      </c>
      <c r="B3015" s="83" t="s">
        <v>776</v>
      </c>
      <c r="C3015" s="67" t="s">
        <v>777</v>
      </c>
      <c r="D3015" s="91">
        <v>3967500</v>
      </c>
      <c r="E3015" s="76">
        <v>294350</v>
      </c>
      <c r="F3015" s="77" t="s">
        <v>10174</v>
      </c>
      <c r="G3015" s="22"/>
      <c r="H3015" s="22"/>
    </row>
    <row r="3016" spans="1:8">
      <c r="A3016" s="82">
        <v>5</v>
      </c>
      <c r="B3016" s="83" t="s">
        <v>320</v>
      </c>
      <c r="C3016" s="67" t="s">
        <v>321</v>
      </c>
      <c r="D3016" s="91">
        <v>5417700</v>
      </c>
      <c r="E3016" s="76">
        <v>401940</v>
      </c>
      <c r="F3016" s="77" t="s">
        <v>10174</v>
      </c>
      <c r="G3016" s="22"/>
      <c r="H3016" s="22"/>
    </row>
    <row r="3017" spans="1:8">
      <c r="A3017" s="82">
        <v>5</v>
      </c>
      <c r="B3017" s="83" t="s">
        <v>318</v>
      </c>
      <c r="C3017" s="67" t="s">
        <v>319</v>
      </c>
      <c r="D3017" s="91">
        <v>3967500</v>
      </c>
      <c r="E3017" s="76">
        <v>294350</v>
      </c>
      <c r="F3017" s="77" t="s">
        <v>10174</v>
      </c>
      <c r="G3017" s="22"/>
      <c r="H3017" s="22"/>
    </row>
    <row r="3018" spans="1:8">
      <c r="A3018" s="82">
        <v>5</v>
      </c>
      <c r="B3018" s="83" t="s">
        <v>316</v>
      </c>
      <c r="C3018" s="67" t="s">
        <v>317</v>
      </c>
      <c r="D3018" s="91">
        <v>2886700</v>
      </c>
      <c r="E3018" s="76">
        <v>214164.99999999997</v>
      </c>
      <c r="F3018" s="77" t="s">
        <v>10174</v>
      </c>
      <c r="G3018" s="22"/>
      <c r="H3018" s="22"/>
    </row>
    <row r="3019" spans="1:8">
      <c r="A3019" s="82">
        <v>5</v>
      </c>
      <c r="B3019" s="83" t="s">
        <v>440</v>
      </c>
      <c r="C3019" s="67" t="s">
        <v>441</v>
      </c>
      <c r="D3019" s="91">
        <v>6348000</v>
      </c>
      <c r="E3019" s="76">
        <v>470959.99999999994</v>
      </c>
      <c r="F3019" s="77" t="s">
        <v>10174</v>
      </c>
      <c r="G3019" s="22"/>
      <c r="H3019" s="22"/>
    </row>
    <row r="3020" spans="1:8">
      <c r="A3020" s="82">
        <v>5</v>
      </c>
      <c r="B3020" s="83" t="s">
        <v>438</v>
      </c>
      <c r="C3020" s="67" t="s">
        <v>439</v>
      </c>
      <c r="D3020" s="91">
        <v>4624200</v>
      </c>
      <c r="E3020" s="76">
        <v>343070</v>
      </c>
      <c r="F3020" s="77" t="s">
        <v>10174</v>
      </c>
      <c r="G3020" s="22"/>
      <c r="H3020" s="22"/>
    </row>
    <row r="3021" spans="1:8">
      <c r="A3021" s="82">
        <v>5</v>
      </c>
      <c r="B3021" s="83" t="s">
        <v>436</v>
      </c>
      <c r="C3021" s="67" t="s">
        <v>437</v>
      </c>
      <c r="D3021" s="91">
        <v>3392900</v>
      </c>
      <c r="E3021" s="76">
        <v>251720</v>
      </c>
      <c r="F3021" s="77" t="s">
        <v>10174</v>
      </c>
      <c r="G3021" s="22"/>
      <c r="H3021" s="22"/>
    </row>
    <row r="3022" spans="1:8">
      <c r="A3022" s="82">
        <v>5</v>
      </c>
      <c r="B3022" s="83" t="s">
        <v>3573</v>
      </c>
      <c r="C3022" s="67" t="s">
        <v>3574</v>
      </c>
      <c r="D3022" s="91">
        <v>5048300</v>
      </c>
      <c r="E3022" s="76">
        <v>374535</v>
      </c>
      <c r="F3022" s="77" t="s">
        <v>10174</v>
      </c>
      <c r="G3022" s="22"/>
      <c r="H3022" s="22"/>
    </row>
    <row r="3023" spans="1:8">
      <c r="A3023" s="82">
        <v>5</v>
      </c>
      <c r="B3023" s="83" t="s">
        <v>3571</v>
      </c>
      <c r="C3023" s="67" t="s">
        <v>3572</v>
      </c>
      <c r="D3023" s="91">
        <v>3751000</v>
      </c>
      <c r="E3023" s="76">
        <v>278110</v>
      </c>
      <c r="F3023" s="77" t="s">
        <v>10174</v>
      </c>
      <c r="G3023" s="22"/>
      <c r="H3023" s="22"/>
    </row>
    <row r="3024" spans="1:8">
      <c r="A3024" s="82">
        <v>5</v>
      </c>
      <c r="B3024" s="83" t="s">
        <v>3569</v>
      </c>
      <c r="C3024" s="67" t="s">
        <v>3570</v>
      </c>
      <c r="D3024" s="91">
        <v>2737900</v>
      </c>
      <c r="E3024" s="76">
        <v>203000</v>
      </c>
      <c r="F3024" s="77" t="s">
        <v>10174</v>
      </c>
      <c r="G3024" s="22"/>
      <c r="H3024" s="22"/>
    </row>
    <row r="3025" spans="1:8">
      <c r="A3025" s="82">
        <v>5</v>
      </c>
      <c r="B3025" s="83" t="s">
        <v>271</v>
      </c>
      <c r="C3025" s="67" t="s">
        <v>272</v>
      </c>
      <c r="D3025" s="91">
        <v>8665500</v>
      </c>
      <c r="E3025" s="76">
        <v>642495</v>
      </c>
      <c r="F3025" s="77" t="s">
        <v>10174</v>
      </c>
      <c r="G3025" s="22"/>
      <c r="H3025" s="22"/>
    </row>
    <row r="3026" spans="1:8">
      <c r="A3026" s="82">
        <v>5</v>
      </c>
      <c r="B3026" s="83" t="s">
        <v>273</v>
      </c>
      <c r="C3026" s="67" t="s">
        <v>274</v>
      </c>
      <c r="D3026" s="91">
        <v>11923700</v>
      </c>
      <c r="E3026" s="76">
        <v>884064.99999999988</v>
      </c>
      <c r="F3026" s="77" t="s">
        <v>10174</v>
      </c>
      <c r="G3026" s="22"/>
      <c r="H3026" s="22"/>
    </row>
    <row r="3027" spans="1:8">
      <c r="A3027" s="82">
        <v>5</v>
      </c>
      <c r="B3027" s="83" t="s">
        <v>275</v>
      </c>
      <c r="C3027" s="67" t="s">
        <v>276</v>
      </c>
      <c r="D3027" s="91">
        <v>16249600</v>
      </c>
      <c r="E3027" s="76">
        <v>1204805</v>
      </c>
      <c r="F3027" s="77" t="s">
        <v>10174</v>
      </c>
      <c r="G3027" s="22"/>
      <c r="H3027" s="22"/>
    </row>
    <row r="3028" spans="1:8">
      <c r="A3028" s="82">
        <v>5</v>
      </c>
      <c r="B3028" s="83" t="s">
        <v>866</v>
      </c>
      <c r="C3028" s="67" t="s">
        <v>867</v>
      </c>
      <c r="D3028" s="91">
        <v>6776400</v>
      </c>
      <c r="E3028" s="76">
        <v>502425</v>
      </c>
      <c r="F3028" s="77" t="s">
        <v>10174</v>
      </c>
      <c r="G3028" s="22"/>
      <c r="H3028" s="22"/>
    </row>
    <row r="3029" spans="1:8">
      <c r="A3029" s="82">
        <v>5</v>
      </c>
      <c r="B3029" s="83" t="s">
        <v>868</v>
      </c>
      <c r="C3029" s="67" t="s">
        <v>869</v>
      </c>
      <c r="D3029" s="91">
        <v>9308900</v>
      </c>
      <c r="E3029" s="76">
        <v>690199.99999999988</v>
      </c>
      <c r="F3029" s="77" t="s">
        <v>10174</v>
      </c>
      <c r="G3029" s="22"/>
      <c r="H3029" s="22"/>
    </row>
    <row r="3030" spans="1:8">
      <c r="A3030" s="82">
        <v>5</v>
      </c>
      <c r="B3030" s="83" t="s">
        <v>870</v>
      </c>
      <c r="C3030" s="67" t="s">
        <v>871</v>
      </c>
      <c r="D3030" s="91">
        <v>12662900</v>
      </c>
      <c r="E3030" s="76">
        <v>938875</v>
      </c>
      <c r="F3030" s="77" t="s">
        <v>10174</v>
      </c>
      <c r="G3030" s="22"/>
      <c r="H3030" s="22"/>
    </row>
    <row r="3031" spans="1:8">
      <c r="A3031" s="82">
        <v>5</v>
      </c>
      <c r="B3031" s="83" t="s">
        <v>1405</v>
      </c>
      <c r="C3031" s="67" t="s">
        <v>1406</v>
      </c>
      <c r="D3031" s="91">
        <v>6776400</v>
      </c>
      <c r="E3031" s="76">
        <v>502425</v>
      </c>
      <c r="F3031" s="77" t="s">
        <v>10174</v>
      </c>
      <c r="G3031" s="22"/>
      <c r="H3031" s="22"/>
    </row>
    <row r="3032" spans="1:8">
      <c r="A3032" s="82">
        <v>5</v>
      </c>
      <c r="B3032" s="83" t="s">
        <v>1407</v>
      </c>
      <c r="C3032" s="67" t="s">
        <v>1408</v>
      </c>
      <c r="D3032" s="91">
        <v>9308900</v>
      </c>
      <c r="E3032" s="76">
        <v>690199.99999999988</v>
      </c>
      <c r="F3032" s="77" t="s">
        <v>10174</v>
      </c>
      <c r="G3032" s="22"/>
      <c r="H3032" s="22"/>
    </row>
    <row r="3033" spans="1:8">
      <c r="A3033" s="82">
        <v>5</v>
      </c>
      <c r="B3033" s="83" t="s">
        <v>1409</v>
      </c>
      <c r="C3033" s="67" t="s">
        <v>1410</v>
      </c>
      <c r="D3033" s="91">
        <v>12662900</v>
      </c>
      <c r="E3033" s="76">
        <v>938875</v>
      </c>
      <c r="F3033" s="77" t="s">
        <v>10174</v>
      </c>
      <c r="G3033" s="22"/>
      <c r="H3033" s="22"/>
    </row>
    <row r="3034" spans="1:8">
      <c r="A3034" s="82">
        <v>5</v>
      </c>
      <c r="B3034" s="83" t="s">
        <v>3134</v>
      </c>
      <c r="C3034" s="67" t="s">
        <v>3135</v>
      </c>
      <c r="D3034" s="91">
        <v>13648600</v>
      </c>
      <c r="E3034" s="76">
        <v>1011955</v>
      </c>
      <c r="F3034" s="77" t="s">
        <v>10174</v>
      </c>
      <c r="G3034" s="22"/>
      <c r="H3034" s="22"/>
    </row>
    <row r="3035" spans="1:8">
      <c r="A3035" s="82">
        <v>5</v>
      </c>
      <c r="B3035" s="83" t="s">
        <v>3132</v>
      </c>
      <c r="C3035" s="67" t="s">
        <v>3133</v>
      </c>
      <c r="D3035" s="91">
        <v>9966000</v>
      </c>
      <c r="E3035" s="76">
        <v>738920</v>
      </c>
      <c r="F3035" s="77" t="s">
        <v>10174</v>
      </c>
      <c r="G3035" s="22"/>
      <c r="H3035" s="22"/>
    </row>
    <row r="3036" spans="1:8">
      <c r="A3036" s="82">
        <v>5</v>
      </c>
      <c r="B3036" s="83" t="s">
        <v>3130</v>
      </c>
      <c r="C3036" s="67" t="s">
        <v>3131</v>
      </c>
      <c r="D3036" s="91">
        <v>7228100</v>
      </c>
      <c r="E3036" s="76">
        <v>535920</v>
      </c>
      <c r="F3036" s="77" t="s">
        <v>10174</v>
      </c>
      <c r="G3036" s="22"/>
      <c r="H3036" s="22"/>
    </row>
    <row r="3037" spans="1:8">
      <c r="A3037" s="82">
        <v>5</v>
      </c>
      <c r="B3037" s="83" t="s">
        <v>935</v>
      </c>
      <c r="C3037" s="67" t="s">
        <v>936</v>
      </c>
      <c r="D3037" s="91">
        <v>13648600</v>
      </c>
      <c r="E3037" s="76">
        <v>1011955</v>
      </c>
      <c r="F3037" s="77" t="s">
        <v>10174</v>
      </c>
      <c r="G3037" s="22"/>
      <c r="H3037" s="22"/>
    </row>
    <row r="3038" spans="1:8">
      <c r="A3038" s="82">
        <v>5</v>
      </c>
      <c r="B3038" s="83" t="s">
        <v>933</v>
      </c>
      <c r="C3038" s="67" t="s">
        <v>934</v>
      </c>
      <c r="D3038" s="91">
        <v>9966000</v>
      </c>
      <c r="E3038" s="76">
        <v>738920</v>
      </c>
      <c r="F3038" s="77" t="s">
        <v>10174</v>
      </c>
      <c r="G3038" s="22"/>
      <c r="H3038" s="22"/>
    </row>
    <row r="3039" spans="1:8">
      <c r="A3039" s="82">
        <v>5</v>
      </c>
      <c r="B3039" s="83" t="s">
        <v>931</v>
      </c>
      <c r="C3039" s="67" t="s">
        <v>932</v>
      </c>
      <c r="D3039" s="91">
        <v>7228100</v>
      </c>
      <c r="E3039" s="76">
        <v>535920</v>
      </c>
      <c r="F3039" s="77" t="s">
        <v>10174</v>
      </c>
      <c r="G3039" s="22"/>
      <c r="H3039" s="22"/>
    </row>
    <row r="3040" spans="1:8">
      <c r="A3040" s="82">
        <v>5</v>
      </c>
      <c r="B3040" s="83" t="s">
        <v>943</v>
      </c>
      <c r="C3040" s="67" t="s">
        <v>944</v>
      </c>
      <c r="D3040" s="91">
        <v>15387100</v>
      </c>
      <c r="E3040" s="76">
        <v>1140860</v>
      </c>
      <c r="F3040" s="77" t="s">
        <v>10174</v>
      </c>
      <c r="G3040" s="22"/>
      <c r="H3040" s="22"/>
    </row>
    <row r="3041" spans="1:8">
      <c r="A3041" s="82">
        <v>5</v>
      </c>
      <c r="B3041" s="83" t="s">
        <v>941</v>
      </c>
      <c r="C3041" s="67" t="s">
        <v>942</v>
      </c>
      <c r="D3041" s="91">
        <v>11266600</v>
      </c>
      <c r="E3041" s="76">
        <v>835344.99999999988</v>
      </c>
      <c r="F3041" s="77" t="s">
        <v>10174</v>
      </c>
      <c r="G3041" s="22"/>
      <c r="H3041" s="22"/>
    </row>
    <row r="3042" spans="1:8">
      <c r="A3042" s="82">
        <v>5</v>
      </c>
      <c r="B3042" s="83" t="s">
        <v>939</v>
      </c>
      <c r="C3042" s="67" t="s">
        <v>940</v>
      </c>
      <c r="D3042" s="91">
        <v>8241200</v>
      </c>
      <c r="E3042" s="76">
        <v>611030</v>
      </c>
      <c r="F3042" s="77" t="s">
        <v>10174</v>
      </c>
      <c r="G3042" s="22"/>
      <c r="H3042" s="22"/>
    </row>
    <row r="3043" spans="1:8">
      <c r="A3043" s="82">
        <v>5</v>
      </c>
      <c r="B3043" s="83" t="s">
        <v>979</v>
      </c>
      <c r="C3043" s="67" t="s">
        <v>980</v>
      </c>
      <c r="D3043" s="91">
        <v>10842200</v>
      </c>
      <c r="E3043" s="76">
        <v>803880</v>
      </c>
      <c r="F3043" s="77" t="s">
        <v>10174</v>
      </c>
      <c r="G3043" s="22"/>
      <c r="H3043" s="22"/>
    </row>
    <row r="3044" spans="1:8">
      <c r="A3044" s="82">
        <v>5</v>
      </c>
      <c r="B3044" s="83" t="s">
        <v>977</v>
      </c>
      <c r="C3044" s="67" t="s">
        <v>978</v>
      </c>
      <c r="D3044" s="91">
        <v>7953700</v>
      </c>
      <c r="E3044" s="76">
        <v>589715</v>
      </c>
      <c r="F3044" s="77" t="s">
        <v>10174</v>
      </c>
      <c r="G3044" s="22"/>
      <c r="H3044" s="22"/>
    </row>
    <row r="3045" spans="1:8">
      <c r="A3045" s="82">
        <v>5</v>
      </c>
      <c r="B3045" s="83" t="s">
        <v>975</v>
      </c>
      <c r="C3045" s="67" t="s">
        <v>976</v>
      </c>
      <c r="D3045" s="91">
        <v>5777000</v>
      </c>
      <c r="E3045" s="76">
        <v>428329.99999999994</v>
      </c>
      <c r="F3045" s="77" t="s">
        <v>10174</v>
      </c>
      <c r="G3045" s="22"/>
      <c r="H3045" s="22"/>
    </row>
    <row r="3046" spans="1:8">
      <c r="A3046" s="82">
        <v>5</v>
      </c>
      <c r="B3046" s="83" t="s">
        <v>987</v>
      </c>
      <c r="C3046" s="67" t="s">
        <v>988</v>
      </c>
      <c r="D3046" s="91">
        <v>11773100</v>
      </c>
      <c r="E3046" s="76">
        <v>872900</v>
      </c>
      <c r="F3046" s="77" t="s">
        <v>10174</v>
      </c>
      <c r="G3046" s="22"/>
      <c r="H3046" s="22"/>
    </row>
    <row r="3047" spans="1:8">
      <c r="A3047" s="82">
        <v>5</v>
      </c>
      <c r="B3047" s="83" t="s">
        <v>985</v>
      </c>
      <c r="C3047" s="67" t="s">
        <v>986</v>
      </c>
      <c r="D3047" s="91">
        <v>8597100</v>
      </c>
      <c r="E3047" s="76">
        <v>637420</v>
      </c>
      <c r="F3047" s="77" t="s">
        <v>10174</v>
      </c>
      <c r="G3047" s="22"/>
      <c r="H3047" s="22"/>
    </row>
    <row r="3048" spans="1:8">
      <c r="A3048" s="82">
        <v>5</v>
      </c>
      <c r="B3048" s="83" t="s">
        <v>983</v>
      </c>
      <c r="C3048" s="67" t="s">
        <v>984</v>
      </c>
      <c r="D3048" s="91">
        <v>6283500</v>
      </c>
      <c r="E3048" s="76">
        <v>465884.99999999994</v>
      </c>
      <c r="F3048" s="77" t="s">
        <v>10174</v>
      </c>
      <c r="G3048" s="22"/>
      <c r="H3048" s="22"/>
    </row>
    <row r="3049" spans="1:8">
      <c r="A3049" s="82">
        <v>5</v>
      </c>
      <c r="B3049" s="83" t="s">
        <v>1100</v>
      </c>
      <c r="C3049" s="67" t="s">
        <v>1101</v>
      </c>
      <c r="D3049" s="91">
        <v>7228100</v>
      </c>
      <c r="E3049" s="76">
        <v>535920</v>
      </c>
      <c r="F3049" s="77" t="s">
        <v>10174</v>
      </c>
      <c r="G3049" s="22"/>
      <c r="H3049" s="22"/>
    </row>
    <row r="3050" spans="1:8">
      <c r="A3050" s="82">
        <v>5</v>
      </c>
      <c r="B3050" s="83" t="s">
        <v>1102</v>
      </c>
      <c r="C3050" s="67" t="s">
        <v>1103</v>
      </c>
      <c r="D3050" s="91">
        <v>5339000</v>
      </c>
      <c r="E3050" s="76">
        <v>395850</v>
      </c>
      <c r="F3050" s="77" t="s">
        <v>10174</v>
      </c>
      <c r="G3050" s="22"/>
      <c r="H3050" s="22"/>
    </row>
    <row r="3051" spans="1:8">
      <c r="A3051" s="82">
        <v>5</v>
      </c>
      <c r="B3051" s="83" t="s">
        <v>1104</v>
      </c>
      <c r="C3051" s="67" t="s">
        <v>1105</v>
      </c>
      <c r="D3051" s="91">
        <v>3901500</v>
      </c>
      <c r="E3051" s="76">
        <v>289275</v>
      </c>
      <c r="F3051" s="77" t="s">
        <v>10174</v>
      </c>
      <c r="G3051" s="22"/>
      <c r="H3051" s="22"/>
    </row>
    <row r="3052" spans="1:8">
      <c r="A3052" s="82">
        <v>5</v>
      </c>
      <c r="B3052" s="67" t="s">
        <v>7060</v>
      </c>
      <c r="C3052" s="67" t="s">
        <v>8037</v>
      </c>
      <c r="D3052" s="91">
        <v>34566300</v>
      </c>
      <c r="E3052" s="76">
        <v>2562875</v>
      </c>
      <c r="F3052" s="77" t="s">
        <v>10174</v>
      </c>
      <c r="G3052" s="22"/>
      <c r="H3052" s="22"/>
    </row>
    <row r="3053" spans="1:8">
      <c r="A3053" s="82">
        <v>5</v>
      </c>
      <c r="B3053" s="67" t="s">
        <v>7061</v>
      </c>
      <c r="C3053" s="67" t="s">
        <v>8038</v>
      </c>
      <c r="D3053" s="91">
        <v>25325800</v>
      </c>
      <c r="E3053" s="76">
        <v>1877750</v>
      </c>
      <c r="F3053" s="77" t="s">
        <v>10174</v>
      </c>
      <c r="G3053" s="22"/>
      <c r="H3053" s="22"/>
    </row>
    <row r="3054" spans="1:8">
      <c r="A3054" s="82">
        <v>5</v>
      </c>
      <c r="B3054" s="67" t="s">
        <v>7062</v>
      </c>
      <c r="C3054" s="67" t="s">
        <v>8039</v>
      </c>
      <c r="D3054" s="91">
        <v>18412500</v>
      </c>
      <c r="E3054" s="76">
        <v>1365174.9999999998</v>
      </c>
      <c r="F3054" s="77" t="s">
        <v>10174</v>
      </c>
      <c r="G3054" s="22"/>
      <c r="H3054" s="22"/>
    </row>
    <row r="3055" spans="1:8">
      <c r="A3055" s="82">
        <v>5</v>
      </c>
      <c r="B3055" s="67" t="s">
        <v>5001</v>
      </c>
      <c r="C3055" s="67" t="s">
        <v>8040</v>
      </c>
      <c r="D3055" s="91">
        <v>20466000</v>
      </c>
      <c r="E3055" s="76">
        <v>1517425</v>
      </c>
      <c r="F3055" s="77" t="s">
        <v>10174</v>
      </c>
      <c r="G3055" s="22"/>
      <c r="H3055" s="22"/>
    </row>
    <row r="3056" spans="1:8">
      <c r="A3056" s="82">
        <v>5</v>
      </c>
      <c r="B3056" s="67" t="s">
        <v>5002</v>
      </c>
      <c r="C3056" s="67" t="s">
        <v>8041</v>
      </c>
      <c r="D3056" s="91">
        <v>15058600</v>
      </c>
      <c r="E3056" s="76">
        <v>1116500</v>
      </c>
      <c r="F3056" s="77" t="s">
        <v>10174</v>
      </c>
      <c r="G3056" s="22"/>
      <c r="H3056" s="22"/>
    </row>
    <row r="3057" spans="1:8">
      <c r="A3057" s="82">
        <v>5</v>
      </c>
      <c r="B3057" s="67" t="s">
        <v>5003</v>
      </c>
      <c r="C3057" s="67" t="s">
        <v>8042</v>
      </c>
      <c r="D3057" s="91">
        <v>10951700</v>
      </c>
      <c r="E3057" s="76">
        <v>812000</v>
      </c>
      <c r="F3057" s="77" t="s">
        <v>10174</v>
      </c>
      <c r="G3057" s="22"/>
      <c r="H3057" s="22"/>
    </row>
    <row r="3058" spans="1:8">
      <c r="A3058" s="82">
        <v>5</v>
      </c>
      <c r="B3058" s="83" t="s">
        <v>4995</v>
      </c>
      <c r="C3058" s="67" t="s">
        <v>4996</v>
      </c>
      <c r="D3058" s="91">
        <v>14100300</v>
      </c>
      <c r="E3058" s="76">
        <v>1045450</v>
      </c>
      <c r="F3058" s="77" t="s">
        <v>10174</v>
      </c>
      <c r="G3058" s="22"/>
      <c r="H3058" s="22"/>
    </row>
    <row r="3059" spans="1:8">
      <c r="A3059" s="82">
        <v>5</v>
      </c>
      <c r="B3059" s="83" t="s">
        <v>4997</v>
      </c>
      <c r="C3059" s="67" t="s">
        <v>4998</v>
      </c>
      <c r="D3059" s="91">
        <v>10335700</v>
      </c>
      <c r="E3059" s="76">
        <v>766325</v>
      </c>
      <c r="F3059" s="77" t="s">
        <v>10174</v>
      </c>
      <c r="G3059" s="22"/>
      <c r="H3059" s="22"/>
    </row>
    <row r="3060" spans="1:8">
      <c r="A3060" s="82">
        <v>5</v>
      </c>
      <c r="B3060" s="83" t="s">
        <v>4999</v>
      </c>
      <c r="C3060" s="67" t="s">
        <v>5000</v>
      </c>
      <c r="D3060" s="91">
        <v>7529300</v>
      </c>
      <c r="E3060" s="76">
        <v>558250</v>
      </c>
      <c r="F3060" s="77" t="s">
        <v>10174</v>
      </c>
      <c r="G3060" s="22"/>
      <c r="H3060" s="22"/>
    </row>
    <row r="3061" spans="1:8">
      <c r="A3061" s="82">
        <v>5</v>
      </c>
      <c r="B3061" s="83" t="s">
        <v>2506</v>
      </c>
      <c r="C3061" s="67" t="s">
        <v>2507</v>
      </c>
      <c r="D3061" s="91">
        <v>3230800</v>
      </c>
      <c r="E3061" s="76">
        <v>239539.99999999997</v>
      </c>
      <c r="F3061" s="77" t="s">
        <v>10174</v>
      </c>
      <c r="G3061" s="22"/>
      <c r="H3061" s="22"/>
    </row>
    <row r="3062" spans="1:8">
      <c r="A3062" s="82">
        <v>5</v>
      </c>
      <c r="B3062" s="83" t="s">
        <v>2508</v>
      </c>
      <c r="C3062" s="67" t="s">
        <v>2509</v>
      </c>
      <c r="D3062" s="91">
        <v>2382000</v>
      </c>
      <c r="E3062" s="76">
        <v>176610</v>
      </c>
      <c r="F3062" s="77" t="s">
        <v>10174</v>
      </c>
      <c r="G3062" s="22"/>
      <c r="H3062" s="22"/>
    </row>
    <row r="3063" spans="1:8">
      <c r="A3063" s="82">
        <v>5</v>
      </c>
      <c r="B3063" s="83" t="s">
        <v>2510</v>
      </c>
      <c r="C3063" s="67" t="s">
        <v>2511</v>
      </c>
      <c r="D3063" s="91">
        <v>1738600</v>
      </c>
      <c r="E3063" s="76">
        <v>128904.99999999999</v>
      </c>
      <c r="F3063" s="77" t="s">
        <v>10174</v>
      </c>
      <c r="G3063" s="22"/>
      <c r="H3063" s="22"/>
    </row>
    <row r="3064" spans="1:8">
      <c r="A3064" s="82">
        <v>5</v>
      </c>
      <c r="B3064" s="83" t="s">
        <v>3794</v>
      </c>
      <c r="C3064" s="67" t="s">
        <v>3950</v>
      </c>
      <c r="D3064" s="91">
        <v>34566300</v>
      </c>
      <c r="E3064" s="76">
        <v>2562875</v>
      </c>
      <c r="F3064" s="77" t="s">
        <v>10174</v>
      </c>
      <c r="G3064" s="22"/>
      <c r="H3064" s="22"/>
    </row>
    <row r="3065" spans="1:8">
      <c r="A3065" s="82">
        <v>5</v>
      </c>
      <c r="B3065" s="83" t="s">
        <v>3792</v>
      </c>
      <c r="C3065" s="67" t="s">
        <v>3793</v>
      </c>
      <c r="D3065" s="91">
        <v>25325800</v>
      </c>
      <c r="E3065" s="76">
        <v>1877750</v>
      </c>
      <c r="F3065" s="77" t="s">
        <v>10174</v>
      </c>
      <c r="G3065" s="22"/>
      <c r="H3065" s="22"/>
    </row>
    <row r="3066" spans="1:8">
      <c r="A3066" s="82">
        <v>5</v>
      </c>
      <c r="B3066" s="83" t="s">
        <v>3790</v>
      </c>
      <c r="C3066" s="67" t="s">
        <v>3791</v>
      </c>
      <c r="D3066" s="91">
        <v>18412500</v>
      </c>
      <c r="E3066" s="76">
        <v>1365174.9999999998</v>
      </c>
      <c r="F3066" s="77" t="s">
        <v>10174</v>
      </c>
      <c r="G3066" s="22"/>
      <c r="H3066" s="22"/>
    </row>
    <row r="3067" spans="1:8">
      <c r="A3067" s="82">
        <v>5</v>
      </c>
      <c r="B3067" s="83" t="s">
        <v>2512</v>
      </c>
      <c r="C3067" s="67" t="s">
        <v>2513</v>
      </c>
      <c r="D3067" s="91">
        <v>6639500</v>
      </c>
      <c r="E3067" s="76">
        <v>492275</v>
      </c>
      <c r="F3067" s="77" t="s">
        <v>10174</v>
      </c>
      <c r="G3067" s="22"/>
      <c r="H3067" s="22"/>
    </row>
    <row r="3068" spans="1:8">
      <c r="A3068" s="82">
        <v>5</v>
      </c>
      <c r="B3068" s="83" t="s">
        <v>2514</v>
      </c>
      <c r="C3068" s="67" t="s">
        <v>2515</v>
      </c>
      <c r="D3068" s="91">
        <v>4859800</v>
      </c>
      <c r="E3068" s="76">
        <v>360324.99999999994</v>
      </c>
      <c r="F3068" s="77" t="s">
        <v>10174</v>
      </c>
      <c r="G3068" s="22"/>
      <c r="H3068" s="22"/>
    </row>
    <row r="3069" spans="1:8">
      <c r="A3069" s="82">
        <v>5</v>
      </c>
      <c r="B3069" s="83" t="s">
        <v>2516</v>
      </c>
      <c r="C3069" s="67" t="s">
        <v>2517</v>
      </c>
      <c r="D3069" s="91">
        <v>3559300</v>
      </c>
      <c r="E3069" s="76">
        <v>263900</v>
      </c>
      <c r="F3069" s="77" t="s">
        <v>10174</v>
      </c>
      <c r="G3069" s="22"/>
      <c r="H3069" s="22"/>
    </row>
    <row r="3070" spans="1:8">
      <c r="A3070" s="82">
        <v>5</v>
      </c>
      <c r="B3070" s="83" t="s">
        <v>3075</v>
      </c>
      <c r="C3070" s="67" t="s">
        <v>3076</v>
      </c>
      <c r="D3070" s="91">
        <v>27105400</v>
      </c>
      <c r="E3070" s="76">
        <v>2009700</v>
      </c>
      <c r="F3070" s="77" t="s">
        <v>10174</v>
      </c>
      <c r="G3070" s="22"/>
      <c r="H3070" s="22"/>
    </row>
    <row r="3071" spans="1:8">
      <c r="A3071" s="82">
        <v>5</v>
      </c>
      <c r="B3071" s="83" t="s">
        <v>3077</v>
      </c>
      <c r="C3071" s="67" t="s">
        <v>3078</v>
      </c>
      <c r="D3071" s="91">
        <v>19849900</v>
      </c>
      <c r="E3071" s="76">
        <v>1471749.9999999998</v>
      </c>
      <c r="F3071" s="77" t="s">
        <v>10174</v>
      </c>
      <c r="G3071" s="22"/>
      <c r="H3071" s="22"/>
    </row>
    <row r="3072" spans="1:8">
      <c r="A3072" s="82">
        <v>5</v>
      </c>
      <c r="B3072" s="83" t="s">
        <v>3079</v>
      </c>
      <c r="C3072" s="67" t="s">
        <v>3080</v>
      </c>
      <c r="D3072" s="91">
        <v>14442500</v>
      </c>
      <c r="E3072" s="76">
        <v>1070825</v>
      </c>
      <c r="F3072" s="77" t="s">
        <v>10174</v>
      </c>
      <c r="G3072" s="22"/>
      <c r="H3072" s="22"/>
    </row>
    <row r="3073" spans="1:8">
      <c r="A3073" s="82">
        <v>5</v>
      </c>
      <c r="B3073" s="83" t="s">
        <v>1379</v>
      </c>
      <c r="C3073" s="67" t="s">
        <v>1380</v>
      </c>
      <c r="D3073" s="91">
        <v>8720300</v>
      </c>
      <c r="E3073" s="76">
        <v>646555</v>
      </c>
      <c r="F3073" s="77" t="s">
        <v>10174</v>
      </c>
      <c r="G3073" s="22"/>
      <c r="H3073" s="22"/>
    </row>
    <row r="3074" spans="1:8">
      <c r="A3074" s="82">
        <v>5</v>
      </c>
      <c r="B3074" s="83" t="s">
        <v>1377</v>
      </c>
      <c r="C3074" s="67" t="s">
        <v>1378</v>
      </c>
      <c r="D3074" s="91">
        <v>6393100</v>
      </c>
      <c r="E3074" s="76">
        <v>474004.99999999994</v>
      </c>
      <c r="F3074" s="77" t="s">
        <v>10174</v>
      </c>
      <c r="G3074" s="22"/>
      <c r="H3074" s="22"/>
    </row>
    <row r="3075" spans="1:8">
      <c r="A3075" s="82">
        <v>5</v>
      </c>
      <c r="B3075" s="83" t="s">
        <v>1375</v>
      </c>
      <c r="C3075" s="67" t="s">
        <v>1376</v>
      </c>
      <c r="D3075" s="91">
        <v>4654500</v>
      </c>
      <c r="E3075" s="76">
        <v>345099.99999999994</v>
      </c>
      <c r="F3075" s="77" t="s">
        <v>10174</v>
      </c>
      <c r="G3075" s="22"/>
      <c r="H3075" s="22"/>
    </row>
    <row r="3076" spans="1:8">
      <c r="A3076" s="82">
        <v>5</v>
      </c>
      <c r="B3076" s="83" t="s">
        <v>1385</v>
      </c>
      <c r="C3076" s="67" t="s">
        <v>1386</v>
      </c>
      <c r="D3076" s="91">
        <v>11143400</v>
      </c>
      <c r="E3076" s="76">
        <v>826209.99999999988</v>
      </c>
      <c r="F3076" s="77" t="s">
        <v>10174</v>
      </c>
      <c r="G3076" s="22"/>
      <c r="H3076" s="22"/>
    </row>
    <row r="3077" spans="1:8">
      <c r="A3077" s="82">
        <v>5</v>
      </c>
      <c r="B3077" s="83" t="s">
        <v>1383</v>
      </c>
      <c r="C3077" s="67" t="s">
        <v>1384</v>
      </c>
      <c r="D3077" s="91">
        <v>8186400</v>
      </c>
      <c r="E3077" s="76">
        <v>606970</v>
      </c>
      <c r="F3077" s="77" t="s">
        <v>10174</v>
      </c>
      <c r="G3077" s="22"/>
      <c r="H3077" s="22"/>
    </row>
    <row r="3078" spans="1:8">
      <c r="A3078" s="82">
        <v>5</v>
      </c>
      <c r="B3078" s="83" t="s">
        <v>1381</v>
      </c>
      <c r="C3078" s="67" t="s">
        <v>1382</v>
      </c>
      <c r="D3078" s="91">
        <v>5955000</v>
      </c>
      <c r="E3078" s="76">
        <v>441525</v>
      </c>
      <c r="F3078" s="77" t="s">
        <v>10174</v>
      </c>
      <c r="G3078" s="22"/>
      <c r="H3078" s="22"/>
    </row>
    <row r="3079" spans="1:8">
      <c r="A3079" s="82">
        <v>5</v>
      </c>
      <c r="B3079" s="83" t="s">
        <v>2522</v>
      </c>
      <c r="C3079" s="67" t="s">
        <v>2523</v>
      </c>
      <c r="D3079" s="91">
        <v>8090600</v>
      </c>
      <c r="E3079" s="76">
        <v>599865</v>
      </c>
      <c r="F3079" s="77" t="s">
        <v>10174</v>
      </c>
      <c r="G3079" s="22"/>
      <c r="H3079" s="22"/>
    </row>
    <row r="3080" spans="1:8">
      <c r="A3080" s="82">
        <v>5</v>
      </c>
      <c r="B3080" s="83" t="s">
        <v>2520</v>
      </c>
      <c r="C3080" s="67" t="s">
        <v>2521</v>
      </c>
      <c r="D3080" s="91">
        <v>5955000</v>
      </c>
      <c r="E3080" s="76">
        <v>441525</v>
      </c>
      <c r="F3080" s="77" t="s">
        <v>10174</v>
      </c>
      <c r="G3080" s="22"/>
      <c r="H3080" s="22"/>
    </row>
    <row r="3081" spans="1:8">
      <c r="A3081" s="82">
        <v>5</v>
      </c>
      <c r="B3081" s="83" t="s">
        <v>2518</v>
      </c>
      <c r="C3081" s="67" t="s">
        <v>2519</v>
      </c>
      <c r="D3081" s="91">
        <v>4339600</v>
      </c>
      <c r="E3081" s="76">
        <v>321754.99999999994</v>
      </c>
      <c r="F3081" s="77" t="s">
        <v>10174</v>
      </c>
      <c r="G3081" s="22"/>
      <c r="H3081" s="22"/>
    </row>
    <row r="3082" spans="1:8">
      <c r="A3082" s="82">
        <v>5</v>
      </c>
      <c r="B3082" s="83" t="s">
        <v>2534</v>
      </c>
      <c r="C3082" s="67" t="s">
        <v>2535</v>
      </c>
      <c r="D3082" s="91">
        <v>8720300</v>
      </c>
      <c r="E3082" s="76">
        <v>646555</v>
      </c>
      <c r="F3082" s="77" t="s">
        <v>10174</v>
      </c>
      <c r="G3082" s="22"/>
      <c r="H3082" s="22"/>
    </row>
    <row r="3083" spans="1:8">
      <c r="A3083" s="82">
        <v>5</v>
      </c>
      <c r="B3083" s="83" t="s">
        <v>2532</v>
      </c>
      <c r="C3083" s="67" t="s">
        <v>2533</v>
      </c>
      <c r="D3083" s="91">
        <v>6393100</v>
      </c>
      <c r="E3083" s="76">
        <v>474004.99999999994</v>
      </c>
      <c r="F3083" s="77" t="s">
        <v>10174</v>
      </c>
      <c r="G3083" s="22"/>
      <c r="H3083" s="22"/>
    </row>
    <row r="3084" spans="1:8">
      <c r="A3084" s="82">
        <v>5</v>
      </c>
      <c r="B3084" s="83" t="s">
        <v>2530</v>
      </c>
      <c r="C3084" s="67" t="s">
        <v>2531</v>
      </c>
      <c r="D3084" s="91">
        <v>4654500</v>
      </c>
      <c r="E3084" s="76">
        <v>345099.99999999994</v>
      </c>
      <c r="F3084" s="77" t="s">
        <v>10174</v>
      </c>
      <c r="G3084" s="22"/>
      <c r="H3084" s="22"/>
    </row>
    <row r="3085" spans="1:8">
      <c r="A3085" s="82">
        <v>5</v>
      </c>
      <c r="B3085" s="83" t="s">
        <v>2528</v>
      </c>
      <c r="C3085" s="67" t="s">
        <v>2529</v>
      </c>
      <c r="D3085" s="91">
        <v>15674600</v>
      </c>
      <c r="E3085" s="76">
        <v>1162175</v>
      </c>
      <c r="F3085" s="77" t="s">
        <v>10174</v>
      </c>
      <c r="G3085" s="22"/>
      <c r="H3085" s="22"/>
    </row>
    <row r="3086" spans="1:8">
      <c r="A3086" s="82">
        <v>5</v>
      </c>
      <c r="B3086" s="83" t="s">
        <v>2526</v>
      </c>
      <c r="C3086" s="67" t="s">
        <v>2527</v>
      </c>
      <c r="D3086" s="91">
        <v>11499300</v>
      </c>
      <c r="E3086" s="76">
        <v>852600</v>
      </c>
      <c r="F3086" s="77" t="s">
        <v>10174</v>
      </c>
      <c r="G3086" s="22"/>
      <c r="H3086" s="22"/>
    </row>
    <row r="3087" spans="1:8">
      <c r="A3087" s="82">
        <v>5</v>
      </c>
      <c r="B3087" s="83" t="s">
        <v>2524</v>
      </c>
      <c r="C3087" s="67" t="s">
        <v>2525</v>
      </c>
      <c r="D3087" s="91">
        <v>8350700</v>
      </c>
      <c r="E3087" s="76">
        <v>619150</v>
      </c>
      <c r="F3087" s="77" t="s">
        <v>10174</v>
      </c>
      <c r="G3087" s="22"/>
      <c r="H3087" s="22"/>
    </row>
    <row r="3088" spans="1:8">
      <c r="A3088" s="82">
        <v>5</v>
      </c>
      <c r="B3088" s="83" t="s">
        <v>2540</v>
      </c>
      <c r="C3088" s="67" t="s">
        <v>2541</v>
      </c>
      <c r="D3088" s="91">
        <v>16564400</v>
      </c>
      <c r="E3088" s="76">
        <v>1228150</v>
      </c>
      <c r="F3088" s="77" t="s">
        <v>10174</v>
      </c>
      <c r="G3088" s="22"/>
      <c r="H3088" s="22"/>
    </row>
    <row r="3089" spans="1:8">
      <c r="A3089" s="82">
        <v>5</v>
      </c>
      <c r="B3089" s="83" t="s">
        <v>2538</v>
      </c>
      <c r="C3089" s="67" t="s">
        <v>2539</v>
      </c>
      <c r="D3089" s="91">
        <v>12183800</v>
      </c>
      <c r="E3089" s="76">
        <v>903350</v>
      </c>
      <c r="F3089" s="77" t="s">
        <v>10174</v>
      </c>
      <c r="G3089" s="22"/>
      <c r="H3089" s="22"/>
    </row>
    <row r="3090" spans="1:8">
      <c r="A3090" s="82">
        <v>5</v>
      </c>
      <c r="B3090" s="83" t="s">
        <v>2536</v>
      </c>
      <c r="C3090" s="67" t="s">
        <v>2537</v>
      </c>
      <c r="D3090" s="91">
        <v>8829800</v>
      </c>
      <c r="E3090" s="76">
        <v>654674.99999999988</v>
      </c>
      <c r="F3090" s="77" t="s">
        <v>10174</v>
      </c>
      <c r="G3090" s="22"/>
      <c r="H3090" s="22"/>
    </row>
    <row r="3091" spans="1:8">
      <c r="A3091" s="82">
        <v>5</v>
      </c>
      <c r="B3091" s="83" t="s">
        <v>1069</v>
      </c>
      <c r="C3091" s="67" t="s">
        <v>1070</v>
      </c>
      <c r="D3091" s="91">
        <v>8309600</v>
      </c>
      <c r="E3091" s="76">
        <v>616105</v>
      </c>
      <c r="F3091" s="77" t="s">
        <v>10174</v>
      </c>
      <c r="G3091" s="22"/>
      <c r="H3091" s="22"/>
    </row>
    <row r="3092" spans="1:8">
      <c r="A3092" s="82">
        <v>5</v>
      </c>
      <c r="B3092" s="83" t="s">
        <v>1067</v>
      </c>
      <c r="C3092" s="67" t="s">
        <v>1068</v>
      </c>
      <c r="D3092" s="91">
        <v>6091900</v>
      </c>
      <c r="E3092" s="76">
        <v>451675</v>
      </c>
      <c r="F3092" s="77" t="s">
        <v>10174</v>
      </c>
      <c r="G3092" s="22"/>
      <c r="H3092" s="22"/>
    </row>
    <row r="3093" spans="1:8">
      <c r="A3093" s="82">
        <v>5</v>
      </c>
      <c r="B3093" s="83" t="s">
        <v>1065</v>
      </c>
      <c r="C3093" s="67" t="s">
        <v>1066</v>
      </c>
      <c r="D3093" s="91">
        <v>4435400</v>
      </c>
      <c r="E3093" s="76">
        <v>328860</v>
      </c>
      <c r="F3093" s="77" t="s">
        <v>10174</v>
      </c>
      <c r="G3093" s="22"/>
      <c r="H3093" s="22"/>
    </row>
    <row r="3094" spans="1:8">
      <c r="A3094" s="82">
        <v>5</v>
      </c>
      <c r="B3094" s="83" t="s">
        <v>1184</v>
      </c>
      <c r="C3094" s="67" t="s">
        <v>1185</v>
      </c>
      <c r="D3094" s="91">
        <v>13320000</v>
      </c>
      <c r="E3094" s="76">
        <v>987594.99999999988</v>
      </c>
      <c r="F3094" s="77" t="s">
        <v>10174</v>
      </c>
      <c r="G3094" s="22"/>
      <c r="H3094" s="22"/>
    </row>
    <row r="3095" spans="1:8">
      <c r="A3095" s="82">
        <v>5</v>
      </c>
      <c r="B3095" s="83" t="s">
        <v>1182</v>
      </c>
      <c r="C3095" s="67" t="s">
        <v>1183</v>
      </c>
      <c r="D3095" s="91">
        <v>9788100</v>
      </c>
      <c r="E3095" s="76">
        <v>725724.99999999988</v>
      </c>
      <c r="F3095" s="77" t="s">
        <v>10174</v>
      </c>
      <c r="G3095" s="22"/>
      <c r="H3095" s="22"/>
    </row>
    <row r="3096" spans="1:8">
      <c r="A3096" s="82">
        <v>5</v>
      </c>
      <c r="B3096" s="83" t="s">
        <v>1180</v>
      </c>
      <c r="C3096" s="67" t="s">
        <v>1181</v>
      </c>
      <c r="D3096" s="91">
        <v>7104900</v>
      </c>
      <c r="E3096" s="76">
        <v>526784.99999999988</v>
      </c>
      <c r="F3096" s="77" t="s">
        <v>10174</v>
      </c>
      <c r="G3096" s="22"/>
      <c r="H3096" s="22"/>
    </row>
    <row r="3097" spans="1:8">
      <c r="A3097" s="82">
        <v>5</v>
      </c>
      <c r="B3097" s="83" t="s">
        <v>1391</v>
      </c>
      <c r="C3097" s="67" t="s">
        <v>1392</v>
      </c>
      <c r="D3097" s="91">
        <v>13908700</v>
      </c>
      <c r="E3097" s="76">
        <v>1031239.9999999999</v>
      </c>
      <c r="F3097" s="77" t="s">
        <v>10174</v>
      </c>
      <c r="G3097" s="22"/>
      <c r="H3097" s="22"/>
    </row>
    <row r="3098" spans="1:8">
      <c r="A3098" s="82">
        <v>5</v>
      </c>
      <c r="B3098" s="83" t="s">
        <v>1389</v>
      </c>
      <c r="C3098" s="67" t="s">
        <v>1390</v>
      </c>
      <c r="D3098" s="91">
        <v>10198800</v>
      </c>
      <c r="E3098" s="76">
        <v>756175</v>
      </c>
      <c r="F3098" s="77" t="s">
        <v>10174</v>
      </c>
      <c r="G3098" s="22"/>
      <c r="H3098" s="22"/>
    </row>
    <row r="3099" spans="1:8">
      <c r="A3099" s="82">
        <v>5</v>
      </c>
      <c r="B3099" s="83" t="s">
        <v>1387</v>
      </c>
      <c r="C3099" s="67" t="s">
        <v>1388</v>
      </c>
      <c r="D3099" s="91">
        <v>7419800</v>
      </c>
      <c r="E3099" s="76">
        <v>550130</v>
      </c>
      <c r="F3099" s="77" t="s">
        <v>10174</v>
      </c>
      <c r="G3099" s="22"/>
      <c r="H3099" s="22"/>
    </row>
    <row r="3100" spans="1:8">
      <c r="A3100" s="82">
        <v>5</v>
      </c>
      <c r="B3100" s="83" t="s">
        <v>1190</v>
      </c>
      <c r="C3100" s="67" t="s">
        <v>1191</v>
      </c>
      <c r="D3100" s="91">
        <v>15551400</v>
      </c>
      <c r="E3100" s="76">
        <v>1153040</v>
      </c>
      <c r="F3100" s="77" t="s">
        <v>10174</v>
      </c>
      <c r="G3100" s="22"/>
      <c r="H3100" s="22"/>
    </row>
    <row r="3101" spans="1:8">
      <c r="A3101" s="82">
        <v>5</v>
      </c>
      <c r="B3101" s="83" t="s">
        <v>1188</v>
      </c>
      <c r="C3101" s="67" t="s">
        <v>1189</v>
      </c>
      <c r="D3101" s="91">
        <v>11403500</v>
      </c>
      <c r="E3101" s="76">
        <v>845494.99999999988</v>
      </c>
      <c r="F3101" s="77" t="s">
        <v>10174</v>
      </c>
      <c r="G3101" s="22"/>
      <c r="H3101" s="22"/>
    </row>
    <row r="3102" spans="1:8">
      <c r="A3102" s="82">
        <v>5</v>
      </c>
      <c r="B3102" s="83" t="s">
        <v>1186</v>
      </c>
      <c r="C3102" s="67" t="s">
        <v>1187</v>
      </c>
      <c r="D3102" s="91">
        <v>8295900</v>
      </c>
      <c r="E3102" s="76">
        <v>615090</v>
      </c>
      <c r="F3102" s="77" t="s">
        <v>10174</v>
      </c>
      <c r="G3102" s="22"/>
      <c r="H3102" s="22"/>
    </row>
    <row r="3103" spans="1:8">
      <c r="A3103" s="82">
        <v>5</v>
      </c>
      <c r="B3103" s="83" t="s">
        <v>1397</v>
      </c>
      <c r="C3103" s="67" t="s">
        <v>1398</v>
      </c>
      <c r="D3103" s="91">
        <v>16140100</v>
      </c>
      <c r="E3103" s="76">
        <v>1196685</v>
      </c>
      <c r="F3103" s="77" t="s">
        <v>10174</v>
      </c>
      <c r="G3103" s="22"/>
      <c r="H3103" s="22"/>
    </row>
    <row r="3104" spans="1:8">
      <c r="A3104" s="82">
        <v>5</v>
      </c>
      <c r="B3104" s="83" t="s">
        <v>1395</v>
      </c>
      <c r="C3104" s="67" t="s">
        <v>1396</v>
      </c>
      <c r="D3104" s="91">
        <v>11841500</v>
      </c>
      <c r="E3104" s="76">
        <v>877975</v>
      </c>
      <c r="F3104" s="77" t="s">
        <v>10174</v>
      </c>
      <c r="G3104" s="22"/>
      <c r="H3104" s="22"/>
    </row>
    <row r="3105" spans="1:8">
      <c r="A3105" s="82">
        <v>5</v>
      </c>
      <c r="B3105" s="83" t="s">
        <v>1393</v>
      </c>
      <c r="C3105" s="67" t="s">
        <v>1394</v>
      </c>
      <c r="D3105" s="91">
        <v>8610800</v>
      </c>
      <c r="E3105" s="76">
        <v>638434.99999999988</v>
      </c>
      <c r="F3105" s="77" t="s">
        <v>10174</v>
      </c>
      <c r="G3105" s="22"/>
      <c r="H3105" s="22"/>
    </row>
    <row r="3106" spans="1:8">
      <c r="A3106" s="82">
        <v>5</v>
      </c>
      <c r="B3106" s="83" t="s">
        <v>3364</v>
      </c>
      <c r="C3106" s="67" t="s">
        <v>3365</v>
      </c>
      <c r="D3106" s="91">
        <v>12389100</v>
      </c>
      <c r="E3106" s="76">
        <v>918575</v>
      </c>
      <c r="F3106" s="77" t="s">
        <v>10174</v>
      </c>
      <c r="G3106" s="22"/>
      <c r="H3106" s="22"/>
    </row>
    <row r="3107" spans="1:8">
      <c r="A3107" s="82">
        <v>5</v>
      </c>
      <c r="B3107" s="83" t="s">
        <v>3366</v>
      </c>
      <c r="C3107" s="67" t="s">
        <v>3367</v>
      </c>
      <c r="D3107" s="91">
        <v>9103600</v>
      </c>
      <c r="E3107" s="76">
        <v>674974.99999999988</v>
      </c>
      <c r="F3107" s="77" t="s">
        <v>10174</v>
      </c>
      <c r="G3107" s="22"/>
      <c r="H3107" s="22"/>
    </row>
    <row r="3108" spans="1:8">
      <c r="A3108" s="82">
        <v>5</v>
      </c>
      <c r="B3108" s="83" t="s">
        <v>3368</v>
      </c>
      <c r="C3108" s="67" t="s">
        <v>3369</v>
      </c>
      <c r="D3108" s="91">
        <v>6639500</v>
      </c>
      <c r="E3108" s="76">
        <v>492275</v>
      </c>
      <c r="F3108" s="77" t="s">
        <v>10174</v>
      </c>
      <c r="G3108" s="22"/>
      <c r="H3108" s="22"/>
    </row>
    <row r="3109" spans="1:8">
      <c r="A3109" s="82">
        <v>5</v>
      </c>
      <c r="B3109" s="83" t="s">
        <v>3370</v>
      </c>
      <c r="C3109" s="67" t="s">
        <v>3371</v>
      </c>
      <c r="D3109" s="91">
        <v>7104900</v>
      </c>
      <c r="E3109" s="76">
        <v>526784.99999999988</v>
      </c>
      <c r="F3109" s="77" t="s">
        <v>10174</v>
      </c>
      <c r="G3109" s="22"/>
      <c r="H3109" s="22"/>
    </row>
    <row r="3110" spans="1:8">
      <c r="A3110" s="82">
        <v>5</v>
      </c>
      <c r="B3110" s="83" t="s">
        <v>3372</v>
      </c>
      <c r="C3110" s="67" t="s">
        <v>3373</v>
      </c>
      <c r="D3110" s="91">
        <v>9788100</v>
      </c>
      <c r="E3110" s="76">
        <v>725724.99999999988</v>
      </c>
      <c r="F3110" s="77" t="s">
        <v>10174</v>
      </c>
      <c r="G3110" s="22"/>
      <c r="H3110" s="22"/>
    </row>
    <row r="3111" spans="1:8">
      <c r="A3111" s="82">
        <v>5</v>
      </c>
      <c r="B3111" s="83" t="s">
        <v>3374</v>
      </c>
      <c r="C3111" s="67" t="s">
        <v>3375</v>
      </c>
      <c r="D3111" s="91">
        <v>13320000</v>
      </c>
      <c r="E3111" s="76">
        <v>987594.99999999988</v>
      </c>
      <c r="F3111" s="77" t="s">
        <v>10174</v>
      </c>
      <c r="G3111" s="22"/>
      <c r="H3111" s="22"/>
    </row>
    <row r="3112" spans="1:8">
      <c r="A3112" s="82">
        <v>5</v>
      </c>
      <c r="B3112" s="83" t="s">
        <v>3376</v>
      </c>
      <c r="C3112" s="67" t="s">
        <v>3377</v>
      </c>
      <c r="D3112" s="91">
        <v>12320700</v>
      </c>
      <c r="E3112" s="76">
        <v>913500</v>
      </c>
      <c r="F3112" s="77" t="s">
        <v>10174</v>
      </c>
      <c r="G3112" s="22"/>
      <c r="H3112" s="22"/>
    </row>
    <row r="3113" spans="1:8">
      <c r="A3113" s="82">
        <v>5</v>
      </c>
      <c r="B3113" s="83" t="s">
        <v>3378</v>
      </c>
      <c r="C3113" s="67" t="s">
        <v>3379</v>
      </c>
      <c r="D3113" s="91">
        <v>16975100</v>
      </c>
      <c r="E3113" s="76">
        <v>1258600</v>
      </c>
      <c r="F3113" s="77" t="s">
        <v>10174</v>
      </c>
      <c r="G3113" s="22"/>
      <c r="H3113" s="22"/>
    </row>
    <row r="3114" spans="1:8">
      <c r="A3114" s="82">
        <v>5</v>
      </c>
      <c r="B3114" s="83" t="s">
        <v>3380</v>
      </c>
      <c r="C3114" s="67" t="s">
        <v>3381</v>
      </c>
      <c r="D3114" s="91">
        <v>23135500</v>
      </c>
      <c r="E3114" s="76">
        <v>1715350</v>
      </c>
      <c r="F3114" s="77" t="s">
        <v>10174</v>
      </c>
      <c r="G3114" s="22"/>
      <c r="H3114" s="22"/>
    </row>
    <row r="3115" spans="1:8">
      <c r="A3115" s="82">
        <v>5</v>
      </c>
      <c r="B3115" s="83" t="s">
        <v>3382</v>
      </c>
      <c r="C3115" s="67" t="s">
        <v>3383</v>
      </c>
      <c r="D3115" s="91">
        <v>7419800</v>
      </c>
      <c r="E3115" s="76">
        <v>550130</v>
      </c>
      <c r="F3115" s="77" t="s">
        <v>10174</v>
      </c>
      <c r="G3115" s="22"/>
      <c r="H3115" s="22"/>
    </row>
    <row r="3116" spans="1:8">
      <c r="A3116" s="82">
        <v>5</v>
      </c>
      <c r="B3116" s="83" t="s">
        <v>3384</v>
      </c>
      <c r="C3116" s="67" t="s">
        <v>3385</v>
      </c>
      <c r="D3116" s="91">
        <v>10198800</v>
      </c>
      <c r="E3116" s="76">
        <v>756175</v>
      </c>
      <c r="F3116" s="77" t="s">
        <v>10174</v>
      </c>
      <c r="G3116" s="22"/>
      <c r="H3116" s="22"/>
    </row>
    <row r="3117" spans="1:8">
      <c r="A3117" s="82">
        <v>5</v>
      </c>
      <c r="B3117" s="83" t="s">
        <v>3386</v>
      </c>
      <c r="C3117" s="67" t="s">
        <v>3387</v>
      </c>
      <c r="D3117" s="91">
        <v>13908700</v>
      </c>
      <c r="E3117" s="76">
        <v>1031239.9999999999</v>
      </c>
      <c r="F3117" s="77" t="s">
        <v>10174</v>
      </c>
      <c r="G3117" s="22"/>
      <c r="H3117" s="22"/>
    </row>
    <row r="3118" spans="1:8">
      <c r="A3118" s="82">
        <v>5</v>
      </c>
      <c r="B3118" s="67" t="s">
        <v>6319</v>
      </c>
      <c r="C3118" s="67" t="s">
        <v>6320</v>
      </c>
      <c r="D3118" s="91">
        <v>35729900</v>
      </c>
      <c r="E3118" s="76">
        <v>2649149.9999999995</v>
      </c>
      <c r="F3118" s="77" t="s">
        <v>10174</v>
      </c>
      <c r="G3118" s="22"/>
      <c r="H3118" s="22"/>
    </row>
    <row r="3119" spans="1:8">
      <c r="A3119" s="82">
        <v>5</v>
      </c>
      <c r="B3119" s="67" t="s">
        <v>6321</v>
      </c>
      <c r="C3119" s="67" t="s">
        <v>6322</v>
      </c>
      <c r="D3119" s="91">
        <v>26215600</v>
      </c>
      <c r="E3119" s="76">
        <v>1943725</v>
      </c>
      <c r="F3119" s="77" t="s">
        <v>10174</v>
      </c>
      <c r="G3119" s="22"/>
      <c r="H3119" s="22"/>
    </row>
    <row r="3120" spans="1:8">
      <c r="A3120" s="82">
        <v>5</v>
      </c>
      <c r="B3120" s="67" t="s">
        <v>6323</v>
      </c>
      <c r="C3120" s="67" t="s">
        <v>6324</v>
      </c>
      <c r="D3120" s="91">
        <v>19097000</v>
      </c>
      <c r="E3120" s="76">
        <v>1415924.9999999998</v>
      </c>
      <c r="F3120" s="77" t="s">
        <v>10174</v>
      </c>
      <c r="G3120" s="22"/>
      <c r="H3120" s="22"/>
    </row>
    <row r="3121" spans="1:8">
      <c r="A3121" s="82">
        <v>5</v>
      </c>
      <c r="B3121" s="67" t="s">
        <v>5817</v>
      </c>
      <c r="C3121" s="67" t="s">
        <v>8043</v>
      </c>
      <c r="D3121" s="91">
        <v>19713100</v>
      </c>
      <c r="E3121" s="76">
        <v>1461599.9999999998</v>
      </c>
      <c r="F3121" s="77" t="s">
        <v>10174</v>
      </c>
      <c r="G3121" s="22"/>
      <c r="H3121" s="22"/>
    </row>
    <row r="3122" spans="1:8">
      <c r="A3122" s="82">
        <v>5</v>
      </c>
      <c r="B3122" s="67" t="s">
        <v>5818</v>
      </c>
      <c r="C3122" s="67" t="s">
        <v>8044</v>
      </c>
      <c r="D3122" s="91">
        <v>14442500</v>
      </c>
      <c r="E3122" s="76">
        <v>1070825</v>
      </c>
      <c r="F3122" s="77" t="s">
        <v>10174</v>
      </c>
      <c r="H3122" s="22"/>
    </row>
    <row r="3123" spans="1:8">
      <c r="A3123" s="82">
        <v>5</v>
      </c>
      <c r="B3123" s="67" t="s">
        <v>5819</v>
      </c>
      <c r="C3123" s="67" t="s">
        <v>8045</v>
      </c>
      <c r="D3123" s="91">
        <v>10541000</v>
      </c>
      <c r="E3123" s="76">
        <v>781550</v>
      </c>
      <c r="F3123" s="77" t="s">
        <v>10174</v>
      </c>
      <c r="H3123" s="22"/>
    </row>
    <row r="3124" spans="1:8">
      <c r="A3124" s="82">
        <v>5</v>
      </c>
      <c r="B3124" s="67" t="s">
        <v>5938</v>
      </c>
      <c r="C3124" s="67" t="s">
        <v>8046</v>
      </c>
      <c r="D3124" s="91">
        <v>35729900</v>
      </c>
      <c r="E3124" s="76">
        <v>2649149.9999999995</v>
      </c>
      <c r="F3124" s="77" t="s">
        <v>10174</v>
      </c>
      <c r="H3124" s="22"/>
    </row>
    <row r="3125" spans="1:8">
      <c r="A3125" s="82">
        <v>5</v>
      </c>
      <c r="B3125" s="67" t="s">
        <v>5939</v>
      </c>
      <c r="C3125" s="67" t="s">
        <v>8047</v>
      </c>
      <c r="D3125" s="91">
        <v>26215600</v>
      </c>
      <c r="E3125" s="76">
        <v>1943725</v>
      </c>
      <c r="F3125" s="77" t="s">
        <v>10174</v>
      </c>
      <c r="H3125" s="22"/>
    </row>
    <row r="3126" spans="1:8">
      <c r="A3126" s="82">
        <v>5</v>
      </c>
      <c r="B3126" s="67" t="s">
        <v>5940</v>
      </c>
      <c r="C3126" s="67" t="s">
        <v>8048</v>
      </c>
      <c r="D3126" s="91">
        <v>19097000</v>
      </c>
      <c r="E3126" s="76">
        <v>1415924.9999999998</v>
      </c>
      <c r="F3126" s="77" t="s">
        <v>10174</v>
      </c>
      <c r="H3126" s="22"/>
    </row>
    <row r="3127" spans="1:8">
      <c r="A3127" s="82">
        <v>5</v>
      </c>
      <c r="B3127" s="67" t="s">
        <v>5812</v>
      </c>
      <c r="C3127" s="67" t="s">
        <v>8049</v>
      </c>
      <c r="D3127" s="91">
        <v>13278900</v>
      </c>
      <c r="E3127" s="76">
        <v>984550</v>
      </c>
      <c r="F3127" s="77" t="s">
        <v>10174</v>
      </c>
      <c r="H3127" s="22"/>
    </row>
    <row r="3128" spans="1:8">
      <c r="A3128" s="82">
        <v>5</v>
      </c>
      <c r="B3128" s="67" t="s">
        <v>5813</v>
      </c>
      <c r="C3128" s="67" t="s">
        <v>8050</v>
      </c>
      <c r="D3128" s="91">
        <v>9719600</v>
      </c>
      <c r="E3128" s="76">
        <v>720649.99999999988</v>
      </c>
      <c r="F3128" s="77" t="s">
        <v>10174</v>
      </c>
      <c r="H3128" s="22"/>
    </row>
    <row r="3129" spans="1:8">
      <c r="A3129" s="82">
        <v>5</v>
      </c>
      <c r="B3129" s="67" t="s">
        <v>5814</v>
      </c>
      <c r="C3129" s="67" t="s">
        <v>8051</v>
      </c>
      <c r="D3129" s="91">
        <v>7118600</v>
      </c>
      <c r="E3129" s="76">
        <v>527800</v>
      </c>
      <c r="F3129" s="77" t="s">
        <v>10174</v>
      </c>
      <c r="H3129" s="22"/>
    </row>
    <row r="3130" spans="1:8">
      <c r="A3130" s="82">
        <v>5</v>
      </c>
      <c r="B3130" s="83" t="s">
        <v>549</v>
      </c>
      <c r="C3130" s="67" t="s">
        <v>550</v>
      </c>
      <c r="D3130" s="91">
        <v>6475200</v>
      </c>
      <c r="E3130" s="76">
        <v>480094.99999999994</v>
      </c>
      <c r="F3130" s="77" t="s">
        <v>10174</v>
      </c>
      <c r="H3130" s="22"/>
    </row>
    <row r="3131" spans="1:8">
      <c r="A3131" s="82">
        <v>5</v>
      </c>
      <c r="B3131" s="83" t="s">
        <v>547</v>
      </c>
      <c r="C3131" s="67" t="s">
        <v>548</v>
      </c>
      <c r="D3131" s="91">
        <v>4846100</v>
      </c>
      <c r="E3131" s="76">
        <v>359310</v>
      </c>
      <c r="F3131" s="77" t="s">
        <v>10174</v>
      </c>
      <c r="H3131" s="22"/>
    </row>
    <row r="3132" spans="1:8">
      <c r="A3132" s="82">
        <v>5</v>
      </c>
      <c r="B3132" s="83" t="s">
        <v>545</v>
      </c>
      <c r="C3132" s="67" t="s">
        <v>546</v>
      </c>
      <c r="D3132" s="91">
        <v>3230800</v>
      </c>
      <c r="E3132" s="76">
        <v>239539.99999999997</v>
      </c>
      <c r="F3132" s="77" t="s">
        <v>10174</v>
      </c>
      <c r="H3132" s="22"/>
    </row>
    <row r="3133" spans="1:8">
      <c r="A3133" s="82">
        <v>5</v>
      </c>
      <c r="B3133" s="83" t="s">
        <v>218</v>
      </c>
      <c r="C3133" s="67" t="s">
        <v>219</v>
      </c>
      <c r="D3133" s="91">
        <v>6475200</v>
      </c>
      <c r="E3133" s="76">
        <v>480094.99999999994</v>
      </c>
      <c r="F3133" s="77" t="s">
        <v>10174</v>
      </c>
      <c r="H3133" s="22"/>
    </row>
    <row r="3134" spans="1:8">
      <c r="A3134" s="82">
        <v>5</v>
      </c>
      <c r="B3134" s="83" t="s">
        <v>216</v>
      </c>
      <c r="C3134" s="67" t="s">
        <v>217</v>
      </c>
      <c r="D3134" s="91">
        <v>4846100</v>
      </c>
      <c r="E3134" s="76">
        <v>359310</v>
      </c>
      <c r="F3134" s="77" t="s">
        <v>10174</v>
      </c>
      <c r="H3134" s="22"/>
    </row>
    <row r="3135" spans="1:8">
      <c r="A3135" s="82">
        <v>5</v>
      </c>
      <c r="B3135" s="83" t="s">
        <v>214</v>
      </c>
      <c r="C3135" s="67" t="s">
        <v>215</v>
      </c>
      <c r="D3135" s="91">
        <v>3230800</v>
      </c>
      <c r="E3135" s="76">
        <v>239539.99999999997</v>
      </c>
      <c r="F3135" s="77" t="s">
        <v>10174</v>
      </c>
      <c r="H3135" s="22"/>
    </row>
    <row r="3136" spans="1:8">
      <c r="A3136" s="82">
        <v>5</v>
      </c>
      <c r="B3136" s="83" t="s">
        <v>796</v>
      </c>
      <c r="C3136" s="67" t="s">
        <v>797</v>
      </c>
      <c r="D3136" s="91">
        <v>4339600</v>
      </c>
      <c r="E3136" s="76">
        <v>321754.99999999994</v>
      </c>
      <c r="F3136" s="77" t="s">
        <v>10174</v>
      </c>
      <c r="H3136" s="22"/>
    </row>
    <row r="3137" spans="1:8">
      <c r="A3137" s="82">
        <v>5</v>
      </c>
      <c r="B3137" s="83" t="s">
        <v>794</v>
      </c>
      <c r="C3137" s="67" t="s">
        <v>795</v>
      </c>
      <c r="D3137" s="91">
        <v>3176000</v>
      </c>
      <c r="E3137" s="76">
        <v>235479.99999999997</v>
      </c>
      <c r="F3137" s="77" t="s">
        <v>10174</v>
      </c>
      <c r="H3137" s="22"/>
    </row>
    <row r="3138" spans="1:8">
      <c r="A3138" s="82">
        <v>5</v>
      </c>
      <c r="B3138" s="83" t="s">
        <v>792</v>
      </c>
      <c r="C3138" s="67" t="s">
        <v>793</v>
      </c>
      <c r="D3138" s="91">
        <v>2313500</v>
      </c>
      <c r="E3138" s="76">
        <v>171535</v>
      </c>
      <c r="F3138" s="77" t="s">
        <v>10174</v>
      </c>
      <c r="H3138" s="22"/>
    </row>
    <row r="3139" spans="1:8">
      <c r="A3139" s="82">
        <v>5</v>
      </c>
      <c r="B3139" s="83" t="s">
        <v>4407</v>
      </c>
      <c r="C3139" s="67" t="s">
        <v>4408</v>
      </c>
      <c r="D3139" s="91">
        <v>28679800</v>
      </c>
      <c r="E3139" s="76">
        <v>2126425</v>
      </c>
      <c r="F3139" s="77" t="s">
        <v>10174</v>
      </c>
      <c r="H3139" s="22"/>
    </row>
    <row r="3140" spans="1:8">
      <c r="A3140" s="82">
        <v>5</v>
      </c>
      <c r="B3140" s="83" t="s">
        <v>4405</v>
      </c>
      <c r="C3140" s="67" t="s">
        <v>4406</v>
      </c>
      <c r="D3140" s="91">
        <v>21013600</v>
      </c>
      <c r="E3140" s="76">
        <v>1558025</v>
      </c>
      <c r="F3140" s="77" t="s">
        <v>10174</v>
      </c>
      <c r="H3140" s="22"/>
    </row>
    <row r="3141" spans="1:8">
      <c r="A3141" s="82">
        <v>5</v>
      </c>
      <c r="B3141" s="83" t="s">
        <v>4403</v>
      </c>
      <c r="C3141" s="67" t="s">
        <v>4404</v>
      </c>
      <c r="D3141" s="91">
        <v>15332400</v>
      </c>
      <c r="E3141" s="76">
        <v>1136800</v>
      </c>
      <c r="F3141" s="77" t="s">
        <v>10174</v>
      </c>
      <c r="H3141" s="22"/>
    </row>
    <row r="3142" spans="1:8">
      <c r="A3142" s="82">
        <v>5</v>
      </c>
      <c r="B3142" s="83" t="s">
        <v>1152</v>
      </c>
      <c r="C3142" s="67" t="s">
        <v>1153</v>
      </c>
      <c r="D3142" s="91">
        <v>17248900</v>
      </c>
      <c r="E3142" s="76">
        <v>1278900</v>
      </c>
      <c r="F3142" s="77" t="s">
        <v>10174</v>
      </c>
      <c r="H3142" s="22"/>
    </row>
    <row r="3143" spans="1:8">
      <c r="A3143" s="82">
        <v>5</v>
      </c>
      <c r="B3143" s="83" t="s">
        <v>1150</v>
      </c>
      <c r="C3143" s="67" t="s">
        <v>1151</v>
      </c>
      <c r="D3143" s="91">
        <v>12662900</v>
      </c>
      <c r="E3143" s="76">
        <v>938875</v>
      </c>
      <c r="F3143" s="77" t="s">
        <v>10174</v>
      </c>
      <c r="H3143" s="22"/>
    </row>
    <row r="3144" spans="1:8">
      <c r="A3144" s="82">
        <v>5</v>
      </c>
      <c r="B3144" s="83" t="s">
        <v>1148</v>
      </c>
      <c r="C3144" s="67" t="s">
        <v>1149</v>
      </c>
      <c r="D3144" s="91">
        <v>9172000</v>
      </c>
      <c r="E3144" s="76">
        <v>680049.99999999988</v>
      </c>
      <c r="F3144" s="77" t="s">
        <v>10174</v>
      </c>
      <c r="H3144" s="22"/>
    </row>
    <row r="3145" spans="1:8">
      <c r="A3145" s="82">
        <v>5</v>
      </c>
      <c r="B3145" s="67" t="s">
        <v>5839</v>
      </c>
      <c r="C3145" s="67" t="s">
        <v>8052</v>
      </c>
      <c r="D3145" s="91">
        <v>18549400</v>
      </c>
      <c r="E3145" s="76">
        <v>1375324.9999999998</v>
      </c>
      <c r="F3145" s="77" t="s">
        <v>10174</v>
      </c>
      <c r="H3145" s="22"/>
    </row>
    <row r="3146" spans="1:8">
      <c r="A3146" s="82">
        <v>5</v>
      </c>
      <c r="B3146" s="67" t="s">
        <v>5838</v>
      </c>
      <c r="C3146" s="67" t="s">
        <v>8053</v>
      </c>
      <c r="D3146" s="91">
        <v>13621200</v>
      </c>
      <c r="E3146" s="76">
        <v>1009925</v>
      </c>
      <c r="F3146" s="77" t="s">
        <v>10174</v>
      </c>
      <c r="H3146" s="22"/>
    </row>
    <row r="3147" spans="1:8">
      <c r="A3147" s="82">
        <v>5</v>
      </c>
      <c r="B3147" s="67" t="s">
        <v>5837</v>
      </c>
      <c r="C3147" s="67" t="s">
        <v>8054</v>
      </c>
      <c r="D3147" s="91">
        <v>9925000</v>
      </c>
      <c r="E3147" s="76">
        <v>735874.99999999988</v>
      </c>
      <c r="F3147" s="77" t="s">
        <v>10174</v>
      </c>
      <c r="H3147" s="22"/>
    </row>
    <row r="3148" spans="1:8">
      <c r="A3148" s="82">
        <v>5</v>
      </c>
      <c r="B3148" s="83" t="s">
        <v>1202</v>
      </c>
      <c r="C3148" s="67" t="s">
        <v>1203</v>
      </c>
      <c r="D3148" s="91">
        <v>18481000</v>
      </c>
      <c r="E3148" s="76">
        <v>1370249.9999999998</v>
      </c>
      <c r="F3148" s="77" t="s">
        <v>10174</v>
      </c>
      <c r="H3148" s="22"/>
    </row>
    <row r="3149" spans="1:8">
      <c r="A3149" s="82">
        <v>5</v>
      </c>
      <c r="B3149" s="83" t="s">
        <v>1200</v>
      </c>
      <c r="C3149" s="67" t="s">
        <v>1201</v>
      </c>
      <c r="D3149" s="91">
        <v>13552700</v>
      </c>
      <c r="E3149" s="76">
        <v>1004850</v>
      </c>
      <c r="F3149" s="77" t="s">
        <v>10174</v>
      </c>
      <c r="H3149" s="22"/>
    </row>
    <row r="3150" spans="1:8">
      <c r="A3150" s="82">
        <v>5</v>
      </c>
      <c r="B3150" s="83" t="s">
        <v>1198</v>
      </c>
      <c r="C3150" s="67" t="s">
        <v>1199</v>
      </c>
      <c r="D3150" s="91">
        <v>9856500</v>
      </c>
      <c r="E3150" s="76">
        <v>730799.99999999988</v>
      </c>
      <c r="F3150" s="77" t="s">
        <v>10174</v>
      </c>
      <c r="H3150" s="22"/>
    </row>
    <row r="3151" spans="1:8">
      <c r="A3151" s="82">
        <v>5</v>
      </c>
      <c r="B3151" s="83" t="s">
        <v>3782</v>
      </c>
      <c r="C3151" s="67" t="s">
        <v>3783</v>
      </c>
      <c r="D3151" s="91">
        <v>32992000</v>
      </c>
      <c r="E3151" s="76">
        <v>2446150</v>
      </c>
      <c r="F3151" s="77" t="s">
        <v>10174</v>
      </c>
      <c r="H3151" s="22"/>
    </row>
    <row r="3152" spans="1:8">
      <c r="A3152" s="82">
        <v>5</v>
      </c>
      <c r="B3152" s="83" t="s">
        <v>3780</v>
      </c>
      <c r="C3152" s="67" t="s">
        <v>3781</v>
      </c>
      <c r="D3152" s="91">
        <v>24162200</v>
      </c>
      <c r="E3152" s="76">
        <v>1791475</v>
      </c>
      <c r="F3152" s="77" t="s">
        <v>10174</v>
      </c>
      <c r="H3152" s="22"/>
    </row>
    <row r="3153" spans="1:8">
      <c r="A3153" s="82">
        <v>5</v>
      </c>
      <c r="B3153" s="83" t="s">
        <v>3778</v>
      </c>
      <c r="C3153" s="67" t="s">
        <v>3779</v>
      </c>
      <c r="D3153" s="91">
        <v>17591200</v>
      </c>
      <c r="E3153" s="76">
        <v>1304274.9999999998</v>
      </c>
      <c r="F3153" s="77" t="s">
        <v>10174</v>
      </c>
      <c r="H3153" s="22"/>
    </row>
    <row r="3154" spans="1:8">
      <c r="A3154" s="82">
        <v>5</v>
      </c>
      <c r="B3154" s="83" t="s">
        <v>3966</v>
      </c>
      <c r="C3154" s="67" t="s">
        <v>4079</v>
      </c>
      <c r="D3154" s="91">
        <v>28679800</v>
      </c>
      <c r="E3154" s="76">
        <v>2126425</v>
      </c>
      <c r="F3154" s="77" t="s">
        <v>10174</v>
      </c>
      <c r="H3154" s="22"/>
    </row>
    <row r="3155" spans="1:8">
      <c r="A3155" s="82">
        <v>5</v>
      </c>
      <c r="B3155" s="83" t="s">
        <v>3967</v>
      </c>
      <c r="C3155" s="67" t="s">
        <v>4078</v>
      </c>
      <c r="D3155" s="91">
        <v>21013600</v>
      </c>
      <c r="E3155" s="76">
        <v>1558025</v>
      </c>
      <c r="F3155" s="77" t="s">
        <v>10174</v>
      </c>
      <c r="H3155" s="22"/>
    </row>
    <row r="3156" spans="1:8">
      <c r="A3156" s="82">
        <v>5</v>
      </c>
      <c r="B3156" s="83" t="s">
        <v>3968</v>
      </c>
      <c r="C3156" s="67" t="s">
        <v>4077</v>
      </c>
      <c r="D3156" s="91">
        <v>15332400</v>
      </c>
      <c r="E3156" s="76">
        <v>1136800</v>
      </c>
      <c r="F3156" s="77" t="s">
        <v>10174</v>
      </c>
      <c r="H3156" s="22"/>
    </row>
    <row r="3157" spans="1:8">
      <c r="A3157" s="82">
        <v>5</v>
      </c>
      <c r="B3157" s="83" t="s">
        <v>3971</v>
      </c>
      <c r="C3157" s="67" t="s">
        <v>4084</v>
      </c>
      <c r="D3157" s="91">
        <v>28679800</v>
      </c>
      <c r="E3157" s="76">
        <v>2126425</v>
      </c>
      <c r="F3157" s="77" t="s">
        <v>10174</v>
      </c>
      <c r="H3157" s="22"/>
    </row>
    <row r="3158" spans="1:8">
      <c r="A3158" s="82">
        <v>5</v>
      </c>
      <c r="B3158" s="83" t="s">
        <v>3972</v>
      </c>
      <c r="C3158" s="67" t="s">
        <v>4083</v>
      </c>
      <c r="D3158" s="91">
        <v>21013600</v>
      </c>
      <c r="E3158" s="76">
        <v>1558025</v>
      </c>
      <c r="F3158" s="77" t="s">
        <v>10174</v>
      </c>
      <c r="H3158" s="22"/>
    </row>
    <row r="3159" spans="1:8">
      <c r="A3159" s="82">
        <v>5</v>
      </c>
      <c r="B3159" s="83" t="s">
        <v>3973</v>
      </c>
      <c r="C3159" s="67" t="s">
        <v>4082</v>
      </c>
      <c r="D3159" s="91">
        <v>15332400</v>
      </c>
      <c r="E3159" s="76">
        <v>1136800</v>
      </c>
      <c r="F3159" s="77" t="s">
        <v>10174</v>
      </c>
      <c r="H3159" s="22"/>
    </row>
    <row r="3160" spans="1:8">
      <c r="A3160" s="82">
        <v>5</v>
      </c>
      <c r="B3160" s="83" t="s">
        <v>5068</v>
      </c>
      <c r="C3160" s="67" t="s">
        <v>5069</v>
      </c>
      <c r="D3160" s="91">
        <v>19302400</v>
      </c>
      <c r="E3160" s="76">
        <v>1431149.9999999998</v>
      </c>
      <c r="F3160" s="77" t="s">
        <v>10174</v>
      </c>
      <c r="H3160" s="22"/>
    </row>
    <row r="3161" spans="1:8">
      <c r="A3161" s="82">
        <v>5</v>
      </c>
      <c r="B3161" s="83" t="s">
        <v>5070</v>
      </c>
      <c r="C3161" s="67" t="s">
        <v>5071</v>
      </c>
      <c r="D3161" s="91">
        <v>14168800</v>
      </c>
      <c r="E3161" s="76">
        <v>1050525</v>
      </c>
      <c r="F3161" s="77" t="s">
        <v>10174</v>
      </c>
      <c r="H3161" s="22"/>
    </row>
    <row r="3162" spans="1:8">
      <c r="A3162" s="82">
        <v>5</v>
      </c>
      <c r="B3162" s="83" t="s">
        <v>5072</v>
      </c>
      <c r="C3162" s="67" t="s">
        <v>5073</v>
      </c>
      <c r="D3162" s="91">
        <v>10335700</v>
      </c>
      <c r="E3162" s="76">
        <v>766325</v>
      </c>
      <c r="F3162" s="77" t="s">
        <v>10174</v>
      </c>
      <c r="H3162" s="22"/>
    </row>
    <row r="3163" spans="1:8">
      <c r="A3163" s="82">
        <v>5</v>
      </c>
      <c r="B3163" s="83" t="s">
        <v>4578</v>
      </c>
      <c r="C3163" s="67" t="s">
        <v>4579</v>
      </c>
      <c r="D3163" s="91">
        <v>7734600</v>
      </c>
      <c r="E3163" s="76">
        <v>573475</v>
      </c>
      <c r="F3163" s="77" t="s">
        <v>10174</v>
      </c>
      <c r="H3163" s="22"/>
    </row>
    <row r="3164" spans="1:8">
      <c r="A3164" s="82">
        <v>5</v>
      </c>
      <c r="B3164" s="83" t="s">
        <v>4576</v>
      </c>
      <c r="C3164" s="67" t="s">
        <v>4577</v>
      </c>
      <c r="D3164" s="91">
        <v>10609500</v>
      </c>
      <c r="E3164" s="76">
        <v>786625</v>
      </c>
      <c r="F3164" s="77" t="s">
        <v>10174</v>
      </c>
      <c r="H3164" s="22"/>
    </row>
    <row r="3165" spans="1:8">
      <c r="A3165" s="82">
        <v>5</v>
      </c>
      <c r="B3165" s="83" t="s">
        <v>4574</v>
      </c>
      <c r="C3165" s="67" t="s">
        <v>4575</v>
      </c>
      <c r="D3165" s="91">
        <v>14511000</v>
      </c>
      <c r="E3165" s="76">
        <v>1075900</v>
      </c>
      <c r="F3165" s="77" t="s">
        <v>10174</v>
      </c>
      <c r="H3165" s="22"/>
    </row>
    <row r="3166" spans="1:8">
      <c r="A3166" s="82">
        <v>5</v>
      </c>
      <c r="B3166" s="83" t="s">
        <v>4566</v>
      </c>
      <c r="C3166" s="67" t="s">
        <v>4567</v>
      </c>
      <c r="D3166" s="91">
        <v>14511000</v>
      </c>
      <c r="E3166" s="76">
        <v>1075900</v>
      </c>
      <c r="F3166" s="77" t="s">
        <v>10174</v>
      </c>
      <c r="H3166" s="22"/>
    </row>
    <row r="3167" spans="1:8">
      <c r="A3167" s="82">
        <v>5</v>
      </c>
      <c r="B3167" s="83" t="s">
        <v>4568</v>
      </c>
      <c r="C3167" s="67" t="s">
        <v>4569</v>
      </c>
      <c r="D3167" s="91">
        <v>10609500</v>
      </c>
      <c r="E3167" s="76">
        <v>786625</v>
      </c>
      <c r="F3167" s="77" t="s">
        <v>10174</v>
      </c>
      <c r="H3167" s="22"/>
    </row>
    <row r="3168" spans="1:8">
      <c r="A3168" s="82">
        <v>5</v>
      </c>
      <c r="B3168" s="83" t="s">
        <v>4570</v>
      </c>
      <c r="C3168" s="67" t="s">
        <v>4571</v>
      </c>
      <c r="D3168" s="91">
        <v>7734600</v>
      </c>
      <c r="E3168" s="76">
        <v>573475</v>
      </c>
      <c r="F3168" s="77" t="s">
        <v>10174</v>
      </c>
      <c r="H3168" s="22"/>
    </row>
    <row r="3169" spans="1:8">
      <c r="A3169" s="82">
        <v>5</v>
      </c>
      <c r="B3169" s="83" t="s">
        <v>4846</v>
      </c>
      <c r="C3169" s="67" t="s">
        <v>4847</v>
      </c>
      <c r="D3169" s="91">
        <v>21492700</v>
      </c>
      <c r="E3169" s="76">
        <v>1593550</v>
      </c>
      <c r="F3169" s="77" t="s">
        <v>10174</v>
      </c>
      <c r="H3169" s="22"/>
    </row>
    <row r="3170" spans="1:8">
      <c r="A3170" s="82">
        <v>5</v>
      </c>
      <c r="B3170" s="83" t="s">
        <v>4848</v>
      </c>
      <c r="C3170" s="67" t="s">
        <v>4849</v>
      </c>
      <c r="D3170" s="91">
        <v>15743100</v>
      </c>
      <c r="E3170" s="76">
        <v>1167250</v>
      </c>
      <c r="F3170" s="77" t="s">
        <v>10174</v>
      </c>
      <c r="H3170" s="22"/>
    </row>
    <row r="3171" spans="1:8">
      <c r="A3171" s="82">
        <v>5</v>
      </c>
      <c r="B3171" s="83" t="s">
        <v>4850</v>
      </c>
      <c r="C3171" s="67" t="s">
        <v>4851</v>
      </c>
      <c r="D3171" s="91">
        <v>11492100</v>
      </c>
      <c r="E3171" s="76">
        <v>852600</v>
      </c>
      <c r="F3171" s="77" t="s">
        <v>10174</v>
      </c>
      <c r="H3171" s="22"/>
    </row>
    <row r="3172" spans="1:8">
      <c r="A3172" s="82">
        <v>5</v>
      </c>
      <c r="B3172" s="83" t="s">
        <v>3653</v>
      </c>
      <c r="C3172" s="67" t="s">
        <v>3654</v>
      </c>
      <c r="D3172" s="91">
        <v>19221900</v>
      </c>
      <c r="E3172" s="76">
        <v>1426074.9999999998</v>
      </c>
      <c r="F3172" s="77" t="s">
        <v>10174</v>
      </c>
      <c r="H3172" s="22"/>
    </row>
    <row r="3173" spans="1:8">
      <c r="A3173" s="82">
        <v>5</v>
      </c>
      <c r="B3173" s="83" t="s">
        <v>3651</v>
      </c>
      <c r="C3173" s="67" t="s">
        <v>3652</v>
      </c>
      <c r="D3173" s="91">
        <v>14091500</v>
      </c>
      <c r="E3173" s="76">
        <v>1045450</v>
      </c>
      <c r="F3173" s="77" t="s">
        <v>10174</v>
      </c>
      <c r="H3173" s="22"/>
    </row>
    <row r="3174" spans="1:8">
      <c r="A3174" s="82">
        <v>5</v>
      </c>
      <c r="B3174" s="83" t="s">
        <v>3649</v>
      </c>
      <c r="C3174" s="67" t="s">
        <v>3650</v>
      </c>
      <c r="D3174" s="91">
        <v>10260800</v>
      </c>
      <c r="E3174" s="76">
        <v>761250</v>
      </c>
      <c r="F3174" s="77" t="s">
        <v>10174</v>
      </c>
      <c r="H3174" s="22"/>
    </row>
    <row r="3175" spans="1:8">
      <c r="A3175" s="82">
        <v>5</v>
      </c>
      <c r="B3175" s="83" t="s">
        <v>3665</v>
      </c>
      <c r="C3175" s="67" t="s">
        <v>3666</v>
      </c>
      <c r="D3175" s="91">
        <v>19221900</v>
      </c>
      <c r="E3175" s="76">
        <v>1426074.9999999998</v>
      </c>
      <c r="F3175" s="77" t="s">
        <v>10174</v>
      </c>
      <c r="H3175" s="22"/>
    </row>
    <row r="3176" spans="1:8">
      <c r="A3176" s="82">
        <v>5</v>
      </c>
      <c r="B3176" s="83" t="s">
        <v>3663</v>
      </c>
      <c r="C3176" s="67" t="s">
        <v>3664</v>
      </c>
      <c r="D3176" s="91">
        <v>14091500</v>
      </c>
      <c r="E3176" s="76">
        <v>1045450</v>
      </c>
      <c r="F3176" s="77" t="s">
        <v>10174</v>
      </c>
      <c r="H3176" s="22"/>
    </row>
    <row r="3177" spans="1:8">
      <c r="A3177" s="82">
        <v>5</v>
      </c>
      <c r="B3177" s="83" t="s">
        <v>3661</v>
      </c>
      <c r="C3177" s="67" t="s">
        <v>3662</v>
      </c>
      <c r="D3177" s="91">
        <v>10260800</v>
      </c>
      <c r="E3177" s="76">
        <v>761250</v>
      </c>
      <c r="F3177" s="77" t="s">
        <v>10174</v>
      </c>
      <c r="H3177" s="22"/>
    </row>
    <row r="3178" spans="1:8">
      <c r="A3178" s="82">
        <v>5</v>
      </c>
      <c r="B3178" s="83" t="s">
        <v>4558</v>
      </c>
      <c r="C3178" s="67" t="s">
        <v>4559</v>
      </c>
      <c r="D3178" s="91">
        <v>12928600</v>
      </c>
      <c r="E3178" s="76">
        <v>959175</v>
      </c>
      <c r="F3178" s="77" t="s">
        <v>10174</v>
      </c>
      <c r="H3178" s="22"/>
    </row>
    <row r="3179" spans="1:8">
      <c r="A3179" s="82">
        <v>5</v>
      </c>
      <c r="B3179" s="83" t="s">
        <v>4560</v>
      </c>
      <c r="C3179" s="67" t="s">
        <v>4561</v>
      </c>
      <c r="D3179" s="91">
        <v>9508400</v>
      </c>
      <c r="E3179" s="76">
        <v>705424.99999999988</v>
      </c>
      <c r="F3179" s="77" t="s">
        <v>10174</v>
      </c>
      <c r="H3179" s="22"/>
    </row>
    <row r="3180" spans="1:8">
      <c r="A3180" s="82">
        <v>5</v>
      </c>
      <c r="B3180" s="83" t="s">
        <v>4562</v>
      </c>
      <c r="C3180" s="67" t="s">
        <v>4563</v>
      </c>
      <c r="D3180" s="91">
        <v>6908900</v>
      </c>
      <c r="E3180" s="76">
        <v>512575</v>
      </c>
      <c r="F3180" s="77" t="s">
        <v>10174</v>
      </c>
      <c r="H3180" s="22"/>
    </row>
    <row r="3181" spans="1:8">
      <c r="A3181" s="82">
        <v>5</v>
      </c>
      <c r="B3181" s="83" t="s">
        <v>5138</v>
      </c>
      <c r="C3181" s="67" t="s">
        <v>5139</v>
      </c>
      <c r="D3181" s="91">
        <v>14844000</v>
      </c>
      <c r="E3181" s="76">
        <v>1101275</v>
      </c>
      <c r="F3181" s="77" t="s">
        <v>10174</v>
      </c>
      <c r="H3181" s="22"/>
    </row>
    <row r="3182" spans="1:8">
      <c r="A3182" s="82">
        <v>5</v>
      </c>
      <c r="B3182" s="83" t="s">
        <v>5140</v>
      </c>
      <c r="C3182" s="67" t="s">
        <v>5141</v>
      </c>
      <c r="D3182" s="91">
        <v>10944900</v>
      </c>
      <c r="E3182" s="76">
        <v>812000</v>
      </c>
      <c r="F3182" s="77" t="s">
        <v>10174</v>
      </c>
    </row>
    <row r="3183" spans="1:8">
      <c r="A3183" s="82">
        <v>5</v>
      </c>
      <c r="B3183" s="83" t="s">
        <v>5142</v>
      </c>
      <c r="C3183" s="67" t="s">
        <v>5143</v>
      </c>
      <c r="D3183" s="91">
        <v>7935000</v>
      </c>
      <c r="E3183" s="76">
        <v>588700</v>
      </c>
      <c r="F3183" s="77" t="s">
        <v>10174</v>
      </c>
    </row>
    <row r="3184" spans="1:8">
      <c r="A3184" s="82">
        <v>5</v>
      </c>
      <c r="B3184" s="83" t="s">
        <v>6325</v>
      </c>
      <c r="C3184" s="67" t="s">
        <v>6326</v>
      </c>
      <c r="D3184" s="91">
        <v>8687500</v>
      </c>
      <c r="E3184" s="76">
        <v>644525</v>
      </c>
      <c r="F3184" s="77" t="s">
        <v>10174</v>
      </c>
    </row>
    <row r="3185" spans="1:6">
      <c r="A3185" s="82">
        <v>5</v>
      </c>
      <c r="B3185" s="83" t="s">
        <v>6327</v>
      </c>
      <c r="C3185" s="67" t="s">
        <v>6328</v>
      </c>
      <c r="D3185" s="91">
        <v>6361700</v>
      </c>
      <c r="E3185" s="76">
        <v>471975</v>
      </c>
      <c r="F3185" s="77" t="s">
        <v>10174</v>
      </c>
    </row>
    <row r="3186" spans="1:6">
      <c r="A3186" s="82">
        <v>5</v>
      </c>
      <c r="B3186" s="83" t="s">
        <v>6329</v>
      </c>
      <c r="C3186" s="67" t="s">
        <v>6330</v>
      </c>
      <c r="D3186" s="91">
        <v>4651600</v>
      </c>
      <c r="E3186" s="76">
        <v>345099.99999999994</v>
      </c>
      <c r="F3186" s="77" t="s">
        <v>10174</v>
      </c>
    </row>
    <row r="3187" spans="1:6">
      <c r="A3187" s="82">
        <v>5</v>
      </c>
      <c r="B3187" s="67" t="s">
        <v>5807</v>
      </c>
      <c r="C3187" s="67" t="s">
        <v>8055</v>
      </c>
      <c r="D3187" s="91">
        <v>5267200</v>
      </c>
      <c r="E3187" s="76">
        <v>390775</v>
      </c>
      <c r="F3187" s="77" t="s">
        <v>10174</v>
      </c>
    </row>
    <row r="3188" spans="1:6">
      <c r="A3188" s="82">
        <v>5</v>
      </c>
      <c r="B3188" s="67" t="s">
        <v>5808</v>
      </c>
      <c r="C3188" s="67" t="s">
        <v>8056</v>
      </c>
      <c r="D3188" s="91">
        <v>3899100</v>
      </c>
      <c r="E3188" s="76">
        <v>289275</v>
      </c>
      <c r="F3188" s="77" t="s">
        <v>10174</v>
      </c>
    </row>
    <row r="3189" spans="1:6">
      <c r="A3189" s="82">
        <v>5</v>
      </c>
      <c r="B3189" s="67" t="s">
        <v>5809</v>
      </c>
      <c r="C3189" s="67" t="s">
        <v>8057</v>
      </c>
      <c r="D3189" s="91">
        <v>2804600</v>
      </c>
      <c r="E3189" s="76">
        <v>208075</v>
      </c>
      <c r="F3189" s="77" t="s">
        <v>10174</v>
      </c>
    </row>
    <row r="3190" spans="1:6">
      <c r="A3190" s="82">
        <v>5</v>
      </c>
      <c r="B3190" s="83" t="s">
        <v>2257</v>
      </c>
      <c r="C3190" s="67" t="s">
        <v>2258</v>
      </c>
      <c r="D3190" s="91">
        <v>10876500</v>
      </c>
      <c r="E3190" s="76">
        <v>806925</v>
      </c>
      <c r="F3190" s="77" t="s">
        <v>10174</v>
      </c>
    </row>
    <row r="3191" spans="1:6">
      <c r="A3191" s="82">
        <v>5</v>
      </c>
      <c r="B3191" s="83" t="s">
        <v>2255</v>
      </c>
      <c r="C3191" s="67" t="s">
        <v>2256</v>
      </c>
      <c r="D3191" s="91">
        <v>8003400</v>
      </c>
      <c r="E3191" s="76">
        <v>593775</v>
      </c>
      <c r="F3191" s="77" t="s">
        <v>10174</v>
      </c>
    </row>
    <row r="3192" spans="1:6">
      <c r="A3192" s="82">
        <v>5</v>
      </c>
      <c r="B3192" s="83" t="s">
        <v>2253</v>
      </c>
      <c r="C3192" s="67" t="s">
        <v>2254</v>
      </c>
      <c r="D3192" s="91">
        <v>5814500</v>
      </c>
      <c r="E3192" s="76">
        <v>431375</v>
      </c>
      <c r="F3192" s="77" t="s">
        <v>10174</v>
      </c>
    </row>
    <row r="3193" spans="1:6">
      <c r="A3193" s="82">
        <v>5</v>
      </c>
      <c r="B3193" s="67" t="s">
        <v>5146</v>
      </c>
      <c r="C3193" s="67" t="s">
        <v>8058</v>
      </c>
      <c r="D3193" s="91">
        <v>5951300</v>
      </c>
      <c r="E3193" s="76">
        <v>441525</v>
      </c>
      <c r="F3193" s="77" t="s">
        <v>10174</v>
      </c>
    </row>
    <row r="3194" spans="1:6">
      <c r="A3194" s="82">
        <v>5</v>
      </c>
      <c r="B3194" s="67" t="s">
        <v>5147</v>
      </c>
      <c r="C3194" s="67" t="s">
        <v>8059</v>
      </c>
      <c r="D3194" s="91">
        <v>4377900</v>
      </c>
      <c r="E3194" s="76">
        <v>324800</v>
      </c>
      <c r="F3194" s="77" t="s">
        <v>10174</v>
      </c>
    </row>
    <row r="3195" spans="1:6">
      <c r="A3195" s="82">
        <v>5</v>
      </c>
      <c r="B3195" s="67" t="s">
        <v>5148</v>
      </c>
      <c r="C3195" s="67" t="s">
        <v>8060</v>
      </c>
      <c r="D3195" s="91">
        <v>3146600</v>
      </c>
      <c r="E3195" s="76">
        <v>233450</v>
      </c>
      <c r="F3195" s="77" t="s">
        <v>10174</v>
      </c>
    </row>
    <row r="3196" spans="1:6">
      <c r="A3196" s="82">
        <v>5</v>
      </c>
      <c r="B3196" s="83" t="s">
        <v>2096</v>
      </c>
      <c r="C3196" s="67" t="s">
        <v>2097</v>
      </c>
      <c r="D3196" s="91">
        <v>5951300</v>
      </c>
      <c r="E3196" s="76">
        <v>441525</v>
      </c>
      <c r="F3196" s="77" t="s">
        <v>10174</v>
      </c>
    </row>
    <row r="3197" spans="1:6">
      <c r="A3197" s="82">
        <v>5</v>
      </c>
      <c r="B3197" s="83" t="s">
        <v>2094</v>
      </c>
      <c r="C3197" s="67" t="s">
        <v>2095</v>
      </c>
      <c r="D3197" s="91">
        <v>4377900</v>
      </c>
      <c r="E3197" s="76">
        <v>324800</v>
      </c>
      <c r="F3197" s="77" t="s">
        <v>10174</v>
      </c>
    </row>
    <row r="3198" spans="1:6">
      <c r="A3198" s="82">
        <v>5</v>
      </c>
      <c r="B3198" s="83" t="s">
        <v>2092</v>
      </c>
      <c r="C3198" s="67" t="s">
        <v>2093</v>
      </c>
      <c r="D3198" s="91">
        <v>3146600</v>
      </c>
      <c r="E3198" s="76">
        <v>233450</v>
      </c>
      <c r="F3198" s="77" t="s">
        <v>10174</v>
      </c>
    </row>
    <row r="3199" spans="1:6">
      <c r="A3199" s="82">
        <v>5</v>
      </c>
      <c r="B3199" s="67" t="s">
        <v>5151</v>
      </c>
      <c r="C3199" s="67" t="s">
        <v>8061</v>
      </c>
      <c r="D3199" s="91">
        <v>8208600</v>
      </c>
      <c r="E3199" s="76">
        <v>609000</v>
      </c>
      <c r="F3199" s="77" t="s">
        <v>10174</v>
      </c>
    </row>
    <row r="3200" spans="1:6">
      <c r="A3200" s="82">
        <v>5</v>
      </c>
      <c r="B3200" s="67" t="s">
        <v>5152</v>
      </c>
      <c r="C3200" s="67" t="s">
        <v>8062</v>
      </c>
      <c r="D3200" s="91">
        <v>6019700</v>
      </c>
      <c r="E3200" s="76">
        <v>446600</v>
      </c>
      <c r="F3200" s="77" t="s">
        <v>10174</v>
      </c>
    </row>
    <row r="3201" spans="1:6">
      <c r="A3201" s="82">
        <v>5</v>
      </c>
      <c r="B3201" s="67" t="s">
        <v>5153</v>
      </c>
      <c r="C3201" s="67" t="s">
        <v>8063</v>
      </c>
      <c r="D3201" s="91">
        <v>4377900</v>
      </c>
      <c r="E3201" s="76">
        <v>324800</v>
      </c>
      <c r="F3201" s="77" t="s">
        <v>10174</v>
      </c>
    </row>
    <row r="3202" spans="1:6">
      <c r="A3202" s="82">
        <v>5</v>
      </c>
      <c r="B3202" s="83" t="s">
        <v>1168</v>
      </c>
      <c r="C3202" s="67" t="s">
        <v>1169</v>
      </c>
      <c r="D3202" s="91">
        <v>8208600</v>
      </c>
      <c r="E3202" s="76">
        <v>609000</v>
      </c>
      <c r="F3202" s="77" t="s">
        <v>10174</v>
      </c>
    </row>
    <row r="3203" spans="1:6">
      <c r="A3203" s="82">
        <v>5</v>
      </c>
      <c r="B3203" s="83" t="s">
        <v>1166</v>
      </c>
      <c r="C3203" s="67" t="s">
        <v>1167</v>
      </c>
      <c r="D3203" s="91">
        <v>6019700</v>
      </c>
      <c r="E3203" s="76">
        <v>446600</v>
      </c>
      <c r="F3203" s="77" t="s">
        <v>10174</v>
      </c>
    </row>
    <row r="3204" spans="1:6">
      <c r="A3204" s="82">
        <v>5</v>
      </c>
      <c r="B3204" s="83" t="s">
        <v>1164</v>
      </c>
      <c r="C3204" s="67" t="s">
        <v>1165</v>
      </c>
      <c r="D3204" s="91">
        <v>4377900</v>
      </c>
      <c r="E3204" s="76">
        <v>324800</v>
      </c>
      <c r="F3204" s="77" t="s">
        <v>10174</v>
      </c>
    </row>
    <row r="3205" spans="1:6">
      <c r="A3205" s="82">
        <v>5</v>
      </c>
      <c r="B3205" s="83" t="s">
        <v>909</v>
      </c>
      <c r="C3205" s="67" t="s">
        <v>910</v>
      </c>
      <c r="D3205" s="91">
        <v>9303100</v>
      </c>
      <c r="E3205" s="76">
        <v>690199.99999999988</v>
      </c>
      <c r="F3205" s="77" t="s">
        <v>10174</v>
      </c>
    </row>
    <row r="3206" spans="1:6">
      <c r="A3206" s="82">
        <v>5</v>
      </c>
      <c r="B3206" s="83" t="s">
        <v>907</v>
      </c>
      <c r="C3206" s="67" t="s">
        <v>908</v>
      </c>
      <c r="D3206" s="91">
        <v>6840500</v>
      </c>
      <c r="E3206" s="76">
        <v>507500</v>
      </c>
      <c r="F3206" s="77" t="s">
        <v>10174</v>
      </c>
    </row>
    <row r="3207" spans="1:6">
      <c r="A3207" s="82">
        <v>5</v>
      </c>
      <c r="B3207" s="83" t="s">
        <v>905</v>
      </c>
      <c r="C3207" s="67" t="s">
        <v>906</v>
      </c>
      <c r="D3207" s="91">
        <v>4993600</v>
      </c>
      <c r="E3207" s="76">
        <v>370474.99999999994</v>
      </c>
      <c r="F3207" s="77" t="s">
        <v>10174</v>
      </c>
    </row>
    <row r="3208" spans="1:6">
      <c r="A3208" s="82">
        <v>5</v>
      </c>
      <c r="B3208" s="83" t="s">
        <v>1683</v>
      </c>
      <c r="C3208" s="67" t="s">
        <v>1684</v>
      </c>
      <c r="D3208" s="91">
        <v>11013300</v>
      </c>
      <c r="E3208" s="76">
        <v>817075</v>
      </c>
      <c r="F3208" s="77" t="s">
        <v>10174</v>
      </c>
    </row>
    <row r="3209" spans="1:6">
      <c r="A3209" s="82">
        <v>5</v>
      </c>
      <c r="B3209" s="83" t="s">
        <v>1681</v>
      </c>
      <c r="C3209" s="67" t="s">
        <v>1682</v>
      </c>
      <c r="D3209" s="91">
        <v>8071800</v>
      </c>
      <c r="E3209" s="76">
        <v>598850</v>
      </c>
      <c r="F3209" s="77" t="s">
        <v>10174</v>
      </c>
    </row>
    <row r="3210" spans="1:6">
      <c r="A3210" s="82">
        <v>5</v>
      </c>
      <c r="B3210" s="83" t="s">
        <v>1679</v>
      </c>
      <c r="C3210" s="67" t="s">
        <v>1680</v>
      </c>
      <c r="D3210" s="91">
        <v>5882900</v>
      </c>
      <c r="E3210" s="76">
        <v>436450</v>
      </c>
      <c r="F3210" s="77" t="s">
        <v>10174</v>
      </c>
    </row>
    <row r="3211" spans="1:6">
      <c r="A3211" s="82">
        <v>5</v>
      </c>
      <c r="B3211" s="83" t="s">
        <v>2708</v>
      </c>
      <c r="C3211" s="67" t="s">
        <v>2709</v>
      </c>
      <c r="D3211" s="91">
        <v>6471200</v>
      </c>
      <c r="E3211" s="76">
        <v>480094.99999999994</v>
      </c>
      <c r="F3211" s="77" t="s">
        <v>10174</v>
      </c>
    </row>
    <row r="3212" spans="1:6">
      <c r="A3212" s="82">
        <v>5</v>
      </c>
      <c r="B3212" s="83" t="s">
        <v>2706</v>
      </c>
      <c r="C3212" s="67" t="s">
        <v>2707</v>
      </c>
      <c r="D3212" s="91">
        <v>4843100</v>
      </c>
      <c r="E3212" s="76">
        <v>359310</v>
      </c>
      <c r="F3212" s="77" t="s">
        <v>10174</v>
      </c>
    </row>
    <row r="3213" spans="1:6">
      <c r="A3213" s="82">
        <v>5</v>
      </c>
      <c r="B3213" s="83" t="s">
        <v>2704</v>
      </c>
      <c r="C3213" s="67" t="s">
        <v>2705</v>
      </c>
      <c r="D3213" s="91">
        <v>3228700</v>
      </c>
      <c r="E3213" s="76">
        <v>239539.99999999997</v>
      </c>
      <c r="F3213" s="77" t="s">
        <v>10174</v>
      </c>
    </row>
    <row r="3214" spans="1:6">
      <c r="A3214" s="82">
        <v>5</v>
      </c>
      <c r="B3214" s="83" t="s">
        <v>921</v>
      </c>
      <c r="C3214" s="67" t="s">
        <v>922</v>
      </c>
      <c r="D3214" s="91">
        <v>6471200</v>
      </c>
      <c r="E3214" s="76">
        <v>480094.99999999994</v>
      </c>
      <c r="F3214" s="77" t="s">
        <v>10174</v>
      </c>
    </row>
    <row r="3215" spans="1:6">
      <c r="A3215" s="82">
        <v>5</v>
      </c>
      <c r="B3215" s="83" t="s">
        <v>919</v>
      </c>
      <c r="C3215" s="67" t="s">
        <v>920</v>
      </c>
      <c r="D3215" s="91">
        <v>4843100</v>
      </c>
      <c r="E3215" s="76">
        <v>359310</v>
      </c>
      <c r="F3215" s="77" t="s">
        <v>10174</v>
      </c>
    </row>
    <row r="3216" spans="1:6">
      <c r="A3216" s="82">
        <v>5</v>
      </c>
      <c r="B3216" s="83" t="s">
        <v>917</v>
      </c>
      <c r="C3216" s="67" t="s">
        <v>918</v>
      </c>
      <c r="D3216" s="91">
        <v>3228700</v>
      </c>
      <c r="E3216" s="76">
        <v>239539.99999999997</v>
      </c>
      <c r="F3216" s="77" t="s">
        <v>10174</v>
      </c>
    </row>
    <row r="3217" spans="1:6">
      <c r="A3217" s="82">
        <v>5</v>
      </c>
      <c r="B3217" s="83" t="s">
        <v>5133</v>
      </c>
      <c r="C3217" s="67" t="s">
        <v>8064</v>
      </c>
      <c r="D3217" s="91">
        <v>9987200</v>
      </c>
      <c r="E3217" s="76">
        <v>740949.99999999988</v>
      </c>
      <c r="F3217" s="77" t="s">
        <v>10174</v>
      </c>
    </row>
    <row r="3218" spans="1:6">
      <c r="A3218" s="82">
        <v>5</v>
      </c>
      <c r="B3218" s="83" t="s">
        <v>5134</v>
      </c>
      <c r="C3218" s="67" t="s">
        <v>8065</v>
      </c>
      <c r="D3218" s="91">
        <v>7319400</v>
      </c>
      <c r="E3218" s="76">
        <v>543025</v>
      </c>
      <c r="F3218" s="77" t="s">
        <v>10174</v>
      </c>
    </row>
    <row r="3219" spans="1:6">
      <c r="A3219" s="82">
        <v>5</v>
      </c>
      <c r="B3219" s="83" t="s">
        <v>5135</v>
      </c>
      <c r="C3219" s="67" t="s">
        <v>8066</v>
      </c>
      <c r="D3219" s="91">
        <v>5335600</v>
      </c>
      <c r="E3219" s="76">
        <v>395850</v>
      </c>
      <c r="F3219" s="77" t="s">
        <v>10174</v>
      </c>
    </row>
    <row r="3220" spans="1:6">
      <c r="A3220" s="82">
        <v>5</v>
      </c>
      <c r="B3220" s="83" t="s">
        <v>2027</v>
      </c>
      <c r="C3220" s="67" t="s">
        <v>2028</v>
      </c>
      <c r="D3220" s="91">
        <v>8961100</v>
      </c>
      <c r="E3220" s="76">
        <v>664824.99999999988</v>
      </c>
      <c r="F3220" s="77" t="s">
        <v>10174</v>
      </c>
    </row>
    <row r="3221" spans="1:6">
      <c r="A3221" s="82">
        <v>5</v>
      </c>
      <c r="B3221" s="83" t="s">
        <v>2025</v>
      </c>
      <c r="C3221" s="67" t="s">
        <v>2026</v>
      </c>
      <c r="D3221" s="91">
        <v>6566900</v>
      </c>
      <c r="E3221" s="76">
        <v>487200</v>
      </c>
      <c r="F3221" s="77" t="s">
        <v>10174</v>
      </c>
    </row>
    <row r="3222" spans="1:6">
      <c r="A3222" s="82">
        <v>5</v>
      </c>
      <c r="B3222" s="83" t="s">
        <v>2023</v>
      </c>
      <c r="C3222" s="67" t="s">
        <v>2024</v>
      </c>
      <c r="D3222" s="91">
        <v>4788400</v>
      </c>
      <c r="E3222" s="76">
        <v>355249.99999999994</v>
      </c>
      <c r="F3222" s="77" t="s">
        <v>10174</v>
      </c>
    </row>
    <row r="3223" spans="1:6">
      <c r="A3223" s="82">
        <v>5</v>
      </c>
      <c r="B3223" s="67" t="s">
        <v>7063</v>
      </c>
      <c r="C3223" s="67" t="s">
        <v>8067</v>
      </c>
      <c r="D3223" s="91">
        <v>9439900</v>
      </c>
      <c r="E3223" s="76">
        <v>700349.99999999988</v>
      </c>
      <c r="F3223" s="77" t="s">
        <v>10174</v>
      </c>
    </row>
    <row r="3224" spans="1:6">
      <c r="A3224" s="82">
        <v>5</v>
      </c>
      <c r="B3224" s="67" t="s">
        <v>7064</v>
      </c>
      <c r="C3224" s="67" t="s">
        <v>8068</v>
      </c>
      <c r="D3224" s="91">
        <v>6977400</v>
      </c>
      <c r="E3224" s="76">
        <v>517650</v>
      </c>
      <c r="F3224" s="77" t="s">
        <v>10174</v>
      </c>
    </row>
    <row r="3225" spans="1:6">
      <c r="A3225" s="82">
        <v>5</v>
      </c>
      <c r="B3225" s="67" t="s">
        <v>7065</v>
      </c>
      <c r="C3225" s="67" t="s">
        <v>8069</v>
      </c>
      <c r="D3225" s="91">
        <v>5062000</v>
      </c>
      <c r="E3225" s="76">
        <v>375550</v>
      </c>
      <c r="F3225" s="77" t="s">
        <v>10174</v>
      </c>
    </row>
    <row r="3226" spans="1:6">
      <c r="A3226" s="82">
        <v>5</v>
      </c>
      <c r="B3226" s="67" t="s">
        <v>7066</v>
      </c>
      <c r="C3226" s="67" t="s">
        <v>8070</v>
      </c>
      <c r="D3226" s="91">
        <v>8482300</v>
      </c>
      <c r="E3226" s="76">
        <v>629300</v>
      </c>
      <c r="F3226" s="77" t="s">
        <v>10174</v>
      </c>
    </row>
    <row r="3227" spans="1:6">
      <c r="A3227" s="82">
        <v>5</v>
      </c>
      <c r="B3227" s="67" t="s">
        <v>7067</v>
      </c>
      <c r="C3227" s="67" t="s">
        <v>8071</v>
      </c>
      <c r="D3227" s="91">
        <v>6224900</v>
      </c>
      <c r="E3227" s="76">
        <v>461825</v>
      </c>
      <c r="F3227" s="77" t="s">
        <v>10174</v>
      </c>
    </row>
    <row r="3228" spans="1:6">
      <c r="A3228" s="82">
        <v>5</v>
      </c>
      <c r="B3228" s="67" t="s">
        <v>7068</v>
      </c>
      <c r="C3228" s="67" t="s">
        <v>8072</v>
      </c>
      <c r="D3228" s="91">
        <v>4514800</v>
      </c>
      <c r="E3228" s="76">
        <v>334949.99999999994</v>
      </c>
      <c r="F3228" s="77" t="s">
        <v>10174</v>
      </c>
    </row>
    <row r="3229" spans="1:6">
      <c r="A3229" s="82">
        <v>5</v>
      </c>
      <c r="B3229" s="67" t="s">
        <v>7069</v>
      </c>
      <c r="C3229" s="67" t="s">
        <v>8073</v>
      </c>
      <c r="D3229" s="91">
        <v>11834100</v>
      </c>
      <c r="E3229" s="76">
        <v>877975</v>
      </c>
      <c r="F3229" s="77" t="s">
        <v>10174</v>
      </c>
    </row>
    <row r="3230" spans="1:6">
      <c r="A3230" s="82">
        <v>5</v>
      </c>
      <c r="B3230" s="67" t="s">
        <v>7070</v>
      </c>
      <c r="C3230" s="67" t="s">
        <v>8074</v>
      </c>
      <c r="D3230" s="91">
        <v>8687500</v>
      </c>
      <c r="E3230" s="76">
        <v>644525</v>
      </c>
      <c r="F3230" s="77" t="s">
        <v>10174</v>
      </c>
    </row>
    <row r="3231" spans="1:6">
      <c r="A3231" s="82">
        <v>5</v>
      </c>
      <c r="B3231" s="67" t="s">
        <v>7071</v>
      </c>
      <c r="C3231" s="67" t="s">
        <v>8075</v>
      </c>
      <c r="D3231" s="91">
        <v>6293300</v>
      </c>
      <c r="E3231" s="76">
        <v>466900</v>
      </c>
      <c r="F3231" s="77" t="s">
        <v>10174</v>
      </c>
    </row>
    <row r="3232" spans="1:6">
      <c r="A3232" s="82">
        <v>5</v>
      </c>
      <c r="B3232" s="67" t="s">
        <v>7072</v>
      </c>
      <c r="C3232" s="67" t="s">
        <v>8076</v>
      </c>
      <c r="D3232" s="91">
        <v>10329200</v>
      </c>
      <c r="E3232" s="76">
        <v>766325</v>
      </c>
      <c r="F3232" s="77" t="s">
        <v>10174</v>
      </c>
    </row>
    <row r="3233" spans="1:6">
      <c r="A3233" s="82">
        <v>5</v>
      </c>
      <c r="B3233" s="67" t="s">
        <v>7073</v>
      </c>
      <c r="C3233" s="67" t="s">
        <v>8077</v>
      </c>
      <c r="D3233" s="91">
        <v>7593000</v>
      </c>
      <c r="E3233" s="76">
        <v>563325</v>
      </c>
      <c r="F3233" s="77" t="s">
        <v>10174</v>
      </c>
    </row>
    <row r="3234" spans="1:6">
      <c r="A3234" s="82">
        <v>5</v>
      </c>
      <c r="B3234" s="67" t="s">
        <v>7074</v>
      </c>
      <c r="C3234" s="67" t="s">
        <v>8078</v>
      </c>
      <c r="D3234" s="91">
        <v>5540800</v>
      </c>
      <c r="E3234" s="76">
        <v>411075</v>
      </c>
      <c r="F3234" s="77" t="s">
        <v>10174</v>
      </c>
    </row>
    <row r="3235" spans="1:6">
      <c r="A3235" s="82">
        <v>5</v>
      </c>
      <c r="B3235" s="67" t="s">
        <v>7075</v>
      </c>
      <c r="C3235" s="67" t="s">
        <v>8079</v>
      </c>
      <c r="D3235" s="91">
        <v>9371500</v>
      </c>
      <c r="E3235" s="76">
        <v>695274.99999999988</v>
      </c>
      <c r="F3235" s="77" t="s">
        <v>10174</v>
      </c>
    </row>
    <row r="3236" spans="1:6">
      <c r="A3236" s="82">
        <v>5</v>
      </c>
      <c r="B3236" s="67" t="s">
        <v>7076</v>
      </c>
      <c r="C3236" s="67" t="s">
        <v>8080</v>
      </c>
      <c r="D3236" s="91">
        <v>6908900</v>
      </c>
      <c r="E3236" s="76">
        <v>512575</v>
      </c>
      <c r="F3236" s="77" t="s">
        <v>10174</v>
      </c>
    </row>
    <row r="3237" spans="1:6">
      <c r="A3237" s="82">
        <v>5</v>
      </c>
      <c r="B3237" s="67" t="s">
        <v>7077</v>
      </c>
      <c r="C3237" s="67" t="s">
        <v>8081</v>
      </c>
      <c r="D3237" s="91">
        <v>4993600</v>
      </c>
      <c r="E3237" s="76">
        <v>370474.99999999994</v>
      </c>
      <c r="F3237" s="77" t="s">
        <v>10174</v>
      </c>
    </row>
    <row r="3238" spans="1:6">
      <c r="A3238" s="82">
        <v>5</v>
      </c>
      <c r="B3238" s="67" t="s">
        <v>7078</v>
      </c>
      <c r="C3238" s="67" t="s">
        <v>8082</v>
      </c>
      <c r="D3238" s="91">
        <v>12723400</v>
      </c>
      <c r="E3238" s="76">
        <v>943950</v>
      </c>
      <c r="F3238" s="77" t="s">
        <v>10174</v>
      </c>
    </row>
    <row r="3239" spans="1:6">
      <c r="A3239" s="82">
        <v>5</v>
      </c>
      <c r="B3239" s="67" t="s">
        <v>7079</v>
      </c>
      <c r="C3239" s="67" t="s">
        <v>8083</v>
      </c>
      <c r="D3239" s="91">
        <v>9303100</v>
      </c>
      <c r="E3239" s="76">
        <v>690199.99999999988</v>
      </c>
      <c r="F3239" s="77" t="s">
        <v>10174</v>
      </c>
    </row>
    <row r="3240" spans="1:6">
      <c r="A3240" s="82">
        <v>5</v>
      </c>
      <c r="B3240" s="67" t="s">
        <v>7080</v>
      </c>
      <c r="C3240" s="67" t="s">
        <v>8084</v>
      </c>
      <c r="D3240" s="91">
        <v>6772100</v>
      </c>
      <c r="E3240" s="76">
        <v>502425</v>
      </c>
      <c r="F3240" s="77" t="s">
        <v>10174</v>
      </c>
    </row>
    <row r="3241" spans="1:6">
      <c r="A3241" s="82">
        <v>5</v>
      </c>
      <c r="B3241" s="83" t="s">
        <v>1275</v>
      </c>
      <c r="C3241" s="67" t="s">
        <v>1276</v>
      </c>
      <c r="D3241" s="91">
        <v>3830700</v>
      </c>
      <c r="E3241" s="76">
        <v>284200</v>
      </c>
      <c r="F3241" s="77" t="s">
        <v>10174</v>
      </c>
    </row>
    <row r="3242" spans="1:6">
      <c r="A3242" s="82">
        <v>5</v>
      </c>
      <c r="B3242" s="83" t="s">
        <v>1273</v>
      </c>
      <c r="C3242" s="67" t="s">
        <v>1274</v>
      </c>
      <c r="D3242" s="91">
        <v>2818300</v>
      </c>
      <c r="E3242" s="76">
        <v>209089.99999999997</v>
      </c>
      <c r="F3242" s="77" t="s">
        <v>10174</v>
      </c>
    </row>
    <row r="3243" spans="1:6">
      <c r="A3243" s="82">
        <v>5</v>
      </c>
      <c r="B3243" s="83" t="s">
        <v>1271</v>
      </c>
      <c r="C3243" s="67" t="s">
        <v>1272</v>
      </c>
      <c r="D3243" s="91">
        <v>2024800</v>
      </c>
      <c r="E3243" s="76">
        <v>150220</v>
      </c>
      <c r="F3243" s="77" t="s">
        <v>10174</v>
      </c>
    </row>
    <row r="3244" spans="1:6">
      <c r="A3244" s="82">
        <v>5</v>
      </c>
      <c r="B3244" s="83" t="s">
        <v>1263</v>
      </c>
      <c r="C3244" s="67" t="s">
        <v>1264</v>
      </c>
      <c r="D3244" s="91">
        <v>4186400</v>
      </c>
      <c r="E3244" s="76">
        <v>310590</v>
      </c>
      <c r="F3244" s="77" t="s">
        <v>10174</v>
      </c>
    </row>
    <row r="3245" spans="1:6">
      <c r="A3245" s="82">
        <v>5</v>
      </c>
      <c r="B3245" s="83" t="s">
        <v>1261</v>
      </c>
      <c r="C3245" s="67" t="s">
        <v>1262</v>
      </c>
      <c r="D3245" s="91">
        <v>3037200</v>
      </c>
      <c r="E3245" s="76">
        <v>225329.99999999997</v>
      </c>
      <c r="F3245" s="77" t="s">
        <v>10174</v>
      </c>
    </row>
    <row r="3246" spans="1:6">
      <c r="A3246" s="82">
        <v>5</v>
      </c>
      <c r="B3246" s="83" t="s">
        <v>1259</v>
      </c>
      <c r="C3246" s="67" t="s">
        <v>1260</v>
      </c>
      <c r="D3246" s="91">
        <v>2243700</v>
      </c>
      <c r="E3246" s="76">
        <v>166460</v>
      </c>
      <c r="F3246" s="77" t="s">
        <v>10174</v>
      </c>
    </row>
    <row r="3247" spans="1:6">
      <c r="A3247" s="82">
        <v>5</v>
      </c>
      <c r="B3247" s="83" t="s">
        <v>967</v>
      </c>
      <c r="C3247" s="67" t="s">
        <v>968</v>
      </c>
      <c r="D3247" s="91">
        <v>2339500</v>
      </c>
      <c r="E3247" s="76">
        <v>173564.99999999997</v>
      </c>
      <c r="F3247" s="77" t="s">
        <v>10174</v>
      </c>
    </row>
    <row r="3248" spans="1:6">
      <c r="A3248" s="82">
        <v>5</v>
      </c>
      <c r="B3248" s="83" t="s">
        <v>965</v>
      </c>
      <c r="C3248" s="67" t="s">
        <v>966</v>
      </c>
      <c r="D3248" s="91">
        <v>1737500</v>
      </c>
      <c r="E3248" s="76">
        <v>128904.99999999999</v>
      </c>
      <c r="F3248" s="77" t="s">
        <v>10174</v>
      </c>
    </row>
    <row r="3249" spans="1:6">
      <c r="A3249" s="82">
        <v>5</v>
      </c>
      <c r="B3249" s="83" t="s">
        <v>963</v>
      </c>
      <c r="C3249" s="67" t="s">
        <v>964</v>
      </c>
      <c r="D3249" s="91">
        <v>1231300</v>
      </c>
      <c r="E3249" s="76">
        <v>91349.999999999985</v>
      </c>
      <c r="F3249" s="77" t="s">
        <v>10174</v>
      </c>
    </row>
    <row r="3250" spans="1:6">
      <c r="A3250" s="82">
        <v>5</v>
      </c>
      <c r="B3250" s="67" t="s">
        <v>5802</v>
      </c>
      <c r="C3250" s="67" t="s">
        <v>8085</v>
      </c>
      <c r="D3250" s="91">
        <v>1368100</v>
      </c>
      <c r="E3250" s="76">
        <v>101500</v>
      </c>
      <c r="F3250" s="77" t="s">
        <v>10174</v>
      </c>
    </row>
    <row r="3251" spans="1:6">
      <c r="A3251" s="82">
        <v>5</v>
      </c>
      <c r="B3251" s="67" t="s">
        <v>5803</v>
      </c>
      <c r="C3251" s="67" t="s">
        <v>8086</v>
      </c>
      <c r="D3251" s="91">
        <v>1026100</v>
      </c>
      <c r="E3251" s="76">
        <v>76125</v>
      </c>
      <c r="F3251" s="77" t="s">
        <v>10174</v>
      </c>
    </row>
    <row r="3252" spans="1:6">
      <c r="A3252" s="82">
        <v>5</v>
      </c>
      <c r="B3252" s="67" t="s">
        <v>5804</v>
      </c>
      <c r="C3252" s="67" t="s">
        <v>8087</v>
      </c>
      <c r="D3252" s="91">
        <v>684100</v>
      </c>
      <c r="E3252" s="76">
        <v>50750</v>
      </c>
      <c r="F3252" s="77" t="s">
        <v>10174</v>
      </c>
    </row>
    <row r="3253" spans="1:6">
      <c r="A3253" s="82">
        <v>5</v>
      </c>
      <c r="B3253" s="67" t="s">
        <v>5832</v>
      </c>
      <c r="C3253" s="67" t="s">
        <v>8088</v>
      </c>
      <c r="D3253" s="91">
        <v>1368100</v>
      </c>
      <c r="E3253" s="76">
        <v>101500</v>
      </c>
      <c r="F3253" s="77" t="s">
        <v>10174</v>
      </c>
    </row>
    <row r="3254" spans="1:6">
      <c r="A3254" s="82">
        <v>5</v>
      </c>
      <c r="B3254" s="67" t="s">
        <v>5831</v>
      </c>
      <c r="C3254" s="67" t="s">
        <v>8089</v>
      </c>
      <c r="D3254" s="91">
        <v>1026100</v>
      </c>
      <c r="E3254" s="76">
        <v>76125</v>
      </c>
      <c r="F3254" s="77" t="s">
        <v>10174</v>
      </c>
    </row>
    <row r="3255" spans="1:6">
      <c r="A3255" s="82">
        <v>5</v>
      </c>
      <c r="B3255" s="67" t="s">
        <v>5830</v>
      </c>
      <c r="C3255" s="67" t="s">
        <v>8090</v>
      </c>
      <c r="D3255" s="91">
        <v>684100</v>
      </c>
      <c r="E3255" s="76">
        <v>50750</v>
      </c>
      <c r="F3255" s="77" t="s">
        <v>10174</v>
      </c>
    </row>
    <row r="3256" spans="1:6">
      <c r="A3256" s="82">
        <v>5</v>
      </c>
      <c r="B3256" s="67" t="s">
        <v>5825</v>
      </c>
      <c r="C3256" s="67" t="s">
        <v>8091</v>
      </c>
      <c r="D3256" s="91">
        <v>957700</v>
      </c>
      <c r="E3256" s="76">
        <v>71050</v>
      </c>
      <c r="F3256" s="77" t="s">
        <v>10174</v>
      </c>
    </row>
    <row r="3257" spans="1:6">
      <c r="A3257" s="82">
        <v>5</v>
      </c>
      <c r="B3257" s="67" t="s">
        <v>5824</v>
      </c>
      <c r="C3257" s="67" t="s">
        <v>8092</v>
      </c>
      <c r="D3257" s="91">
        <v>712700</v>
      </c>
      <c r="E3257" s="76">
        <v>52780</v>
      </c>
      <c r="F3257" s="77" t="s">
        <v>10174</v>
      </c>
    </row>
    <row r="3258" spans="1:6">
      <c r="A3258" s="82">
        <v>5</v>
      </c>
      <c r="B3258" s="67" t="s">
        <v>5823</v>
      </c>
      <c r="C3258" s="67" t="s">
        <v>8093</v>
      </c>
      <c r="D3258" s="91">
        <v>479700</v>
      </c>
      <c r="E3258" s="76">
        <v>35525</v>
      </c>
      <c r="F3258" s="77" t="s">
        <v>10174</v>
      </c>
    </row>
    <row r="3259" spans="1:6">
      <c r="A3259" s="82">
        <v>5</v>
      </c>
      <c r="B3259" s="67" t="s">
        <v>5128</v>
      </c>
      <c r="C3259" s="67" t="s">
        <v>8094</v>
      </c>
      <c r="D3259" s="91">
        <v>2261600</v>
      </c>
      <c r="E3259" s="76">
        <v>167474.99999999997</v>
      </c>
      <c r="F3259" s="77" t="s">
        <v>10174</v>
      </c>
    </row>
    <row r="3260" spans="1:6">
      <c r="A3260" s="82">
        <v>5</v>
      </c>
      <c r="B3260" s="67" t="s">
        <v>5129</v>
      </c>
      <c r="C3260" s="67" t="s">
        <v>8095</v>
      </c>
      <c r="D3260" s="91">
        <v>1644800</v>
      </c>
      <c r="E3260" s="76">
        <v>121800</v>
      </c>
      <c r="F3260" s="77" t="s">
        <v>10174</v>
      </c>
    </row>
    <row r="3261" spans="1:6">
      <c r="A3261" s="82">
        <v>5</v>
      </c>
      <c r="B3261" s="67" t="s">
        <v>5130</v>
      </c>
      <c r="C3261" s="67" t="s">
        <v>8096</v>
      </c>
      <c r="D3261" s="91">
        <v>1233600</v>
      </c>
      <c r="E3261" s="76">
        <v>91349.999999999985</v>
      </c>
      <c r="F3261" s="77" t="s">
        <v>10174</v>
      </c>
    </row>
    <row r="3262" spans="1:6">
      <c r="A3262" s="82">
        <v>5</v>
      </c>
      <c r="B3262" s="83" t="s">
        <v>3344</v>
      </c>
      <c r="C3262" s="67" t="s">
        <v>3345</v>
      </c>
      <c r="D3262" s="91">
        <v>836100</v>
      </c>
      <c r="E3262" s="76">
        <v>61914.999999999993</v>
      </c>
      <c r="F3262" s="77" t="s">
        <v>10174</v>
      </c>
    </row>
    <row r="3263" spans="1:6">
      <c r="A3263" s="82">
        <v>5</v>
      </c>
      <c r="B3263" s="83" t="s">
        <v>3342</v>
      </c>
      <c r="C3263" s="67" t="s">
        <v>3343</v>
      </c>
      <c r="D3263" s="91">
        <v>615600</v>
      </c>
      <c r="E3263" s="76">
        <v>45674.999999999993</v>
      </c>
      <c r="F3263" s="77" t="s">
        <v>10174</v>
      </c>
    </row>
    <row r="3264" spans="1:6">
      <c r="A3264" s="82">
        <v>5</v>
      </c>
      <c r="B3264" s="83" t="s">
        <v>3340</v>
      </c>
      <c r="C3264" s="67" t="s">
        <v>3341</v>
      </c>
      <c r="D3264" s="91">
        <v>437800</v>
      </c>
      <c r="E3264" s="76">
        <v>32479.999999999996</v>
      </c>
      <c r="F3264" s="77" t="s">
        <v>10174</v>
      </c>
    </row>
    <row r="3265" spans="1:6">
      <c r="A3265" s="82">
        <v>5</v>
      </c>
      <c r="B3265" s="83" t="s">
        <v>3356</v>
      </c>
      <c r="C3265" s="67" t="s">
        <v>3357</v>
      </c>
      <c r="D3265" s="91">
        <v>957700</v>
      </c>
      <c r="E3265" s="76">
        <v>71050</v>
      </c>
      <c r="F3265" s="77" t="s">
        <v>10174</v>
      </c>
    </row>
    <row r="3266" spans="1:6">
      <c r="A3266" s="82">
        <v>5</v>
      </c>
      <c r="B3266" s="83" t="s">
        <v>3354</v>
      </c>
      <c r="C3266" s="67" t="s">
        <v>3355</v>
      </c>
      <c r="D3266" s="91">
        <v>711400</v>
      </c>
      <c r="E3266" s="76">
        <v>52780</v>
      </c>
      <c r="F3266" s="77" t="s">
        <v>10174</v>
      </c>
    </row>
    <row r="3267" spans="1:6">
      <c r="A3267" s="82">
        <v>5</v>
      </c>
      <c r="B3267" s="83" t="s">
        <v>3352</v>
      </c>
      <c r="C3267" s="67" t="s">
        <v>3353</v>
      </c>
      <c r="D3267" s="91">
        <v>478800</v>
      </c>
      <c r="E3267" s="76">
        <v>35525</v>
      </c>
      <c r="F3267" s="77" t="s">
        <v>10174</v>
      </c>
    </row>
    <row r="3268" spans="1:6">
      <c r="A3268" s="82">
        <v>5</v>
      </c>
      <c r="B3268" s="83" t="s">
        <v>163</v>
      </c>
      <c r="C3268" s="67" t="s">
        <v>164</v>
      </c>
      <c r="D3268" s="91">
        <v>971400</v>
      </c>
      <c r="E3268" s="76">
        <v>72065</v>
      </c>
      <c r="F3268" s="77" t="s">
        <v>10174</v>
      </c>
    </row>
    <row r="3269" spans="1:6">
      <c r="A3269" s="82">
        <v>5</v>
      </c>
      <c r="B3269" s="83" t="s">
        <v>161</v>
      </c>
      <c r="C3269" s="67" t="s">
        <v>162</v>
      </c>
      <c r="D3269" s="91">
        <v>725100</v>
      </c>
      <c r="E3269" s="76">
        <v>53794.999999999993</v>
      </c>
      <c r="F3269" s="77" t="s">
        <v>10174</v>
      </c>
    </row>
    <row r="3270" spans="1:6">
      <c r="A3270" s="82">
        <v>5</v>
      </c>
      <c r="B3270" s="83" t="s">
        <v>160</v>
      </c>
      <c r="C3270" s="67" t="s">
        <v>614</v>
      </c>
      <c r="D3270" s="91">
        <v>492500</v>
      </c>
      <c r="E3270" s="76">
        <v>36540</v>
      </c>
      <c r="F3270" s="77" t="s">
        <v>10174</v>
      </c>
    </row>
    <row r="3271" spans="1:6">
      <c r="A3271" s="82">
        <v>5</v>
      </c>
      <c r="B3271" s="83" t="s">
        <v>181</v>
      </c>
      <c r="C3271" s="67" t="s">
        <v>182</v>
      </c>
      <c r="D3271" s="91">
        <v>1080800</v>
      </c>
      <c r="E3271" s="76">
        <v>80185</v>
      </c>
      <c r="F3271" s="77" t="s">
        <v>10174</v>
      </c>
    </row>
    <row r="3272" spans="1:6">
      <c r="A3272" s="82">
        <v>5</v>
      </c>
      <c r="B3272" s="83" t="s">
        <v>179</v>
      </c>
      <c r="C3272" s="67" t="s">
        <v>180</v>
      </c>
      <c r="D3272" s="91">
        <v>807200</v>
      </c>
      <c r="E3272" s="76">
        <v>59884.999999999993</v>
      </c>
      <c r="F3272" s="77" t="s">
        <v>10174</v>
      </c>
    </row>
    <row r="3273" spans="1:6">
      <c r="A3273" s="82">
        <v>5</v>
      </c>
      <c r="B3273" s="83" t="s">
        <v>177</v>
      </c>
      <c r="C3273" s="67" t="s">
        <v>178</v>
      </c>
      <c r="D3273" s="91">
        <v>547200</v>
      </c>
      <c r="E3273" s="76">
        <v>40600</v>
      </c>
      <c r="F3273" s="77" t="s">
        <v>10174</v>
      </c>
    </row>
    <row r="3274" spans="1:6">
      <c r="A3274" s="82">
        <v>5</v>
      </c>
      <c r="B3274" s="83" t="s">
        <v>733</v>
      </c>
      <c r="C3274" s="67" t="s">
        <v>734</v>
      </c>
      <c r="D3274" s="91">
        <v>2353100</v>
      </c>
      <c r="E3274" s="76">
        <v>174580</v>
      </c>
      <c r="F3274" s="77" t="s">
        <v>10174</v>
      </c>
    </row>
    <row r="3275" spans="1:6">
      <c r="A3275" s="82">
        <v>5</v>
      </c>
      <c r="B3275" s="83" t="s">
        <v>735</v>
      </c>
      <c r="C3275" s="67" t="s">
        <v>736</v>
      </c>
      <c r="D3275" s="91">
        <v>1737500</v>
      </c>
      <c r="E3275" s="76">
        <v>128904.99999999999</v>
      </c>
      <c r="F3275" s="77" t="s">
        <v>10174</v>
      </c>
    </row>
    <row r="3276" spans="1:6">
      <c r="A3276" s="82">
        <v>5</v>
      </c>
      <c r="B3276" s="83" t="s">
        <v>737</v>
      </c>
      <c r="C3276" s="67" t="s">
        <v>738</v>
      </c>
      <c r="D3276" s="91">
        <v>1258700</v>
      </c>
      <c r="E3276" s="76">
        <v>93379.999999999985</v>
      </c>
      <c r="F3276" s="77" t="s">
        <v>10174</v>
      </c>
    </row>
    <row r="3277" spans="1:6">
      <c r="A3277" s="82">
        <v>5</v>
      </c>
      <c r="B3277" s="83" t="s">
        <v>595</v>
      </c>
      <c r="C3277" s="67" t="s">
        <v>596</v>
      </c>
      <c r="D3277" s="91">
        <v>2161600</v>
      </c>
      <c r="E3277" s="76">
        <v>160370</v>
      </c>
      <c r="F3277" s="77" t="s">
        <v>10174</v>
      </c>
    </row>
    <row r="3278" spans="1:6">
      <c r="A3278" s="82">
        <v>5</v>
      </c>
      <c r="B3278" s="83" t="s">
        <v>593</v>
      </c>
      <c r="C3278" s="67" t="s">
        <v>594</v>
      </c>
      <c r="D3278" s="91">
        <v>1587000</v>
      </c>
      <c r="E3278" s="76">
        <v>117739.99999999999</v>
      </c>
      <c r="F3278" s="77" t="s">
        <v>10174</v>
      </c>
    </row>
    <row r="3279" spans="1:6">
      <c r="A3279" s="82">
        <v>5</v>
      </c>
      <c r="B3279" s="83" t="s">
        <v>591</v>
      </c>
      <c r="C3279" s="67" t="s">
        <v>592</v>
      </c>
      <c r="D3279" s="91">
        <v>1149200</v>
      </c>
      <c r="E3279" s="76">
        <v>85260</v>
      </c>
      <c r="F3279" s="77" t="s">
        <v>10174</v>
      </c>
    </row>
    <row r="3280" spans="1:6">
      <c r="A3280" s="82">
        <v>5</v>
      </c>
      <c r="B3280" s="83" t="s">
        <v>2463</v>
      </c>
      <c r="C3280" s="67" t="s">
        <v>2464</v>
      </c>
      <c r="D3280" s="91">
        <v>6348000</v>
      </c>
      <c r="E3280" s="76">
        <v>470959.99999999994</v>
      </c>
      <c r="F3280" s="77" t="s">
        <v>10174</v>
      </c>
    </row>
    <row r="3281" spans="1:6">
      <c r="A3281" s="82">
        <v>5</v>
      </c>
      <c r="B3281" s="83" t="s">
        <v>2461</v>
      </c>
      <c r="C3281" s="67" t="s">
        <v>2462</v>
      </c>
      <c r="D3281" s="91">
        <v>4624200</v>
      </c>
      <c r="E3281" s="76">
        <v>343070</v>
      </c>
      <c r="F3281" s="77" t="s">
        <v>10174</v>
      </c>
    </row>
    <row r="3282" spans="1:6">
      <c r="A3282" s="82">
        <v>5</v>
      </c>
      <c r="B3282" s="83" t="s">
        <v>2459</v>
      </c>
      <c r="C3282" s="67" t="s">
        <v>2460</v>
      </c>
      <c r="D3282" s="91">
        <v>2599400</v>
      </c>
      <c r="E3282" s="76">
        <v>192850</v>
      </c>
      <c r="F3282" s="77" t="s">
        <v>10174</v>
      </c>
    </row>
    <row r="3283" spans="1:6">
      <c r="A3283" s="82">
        <v>5</v>
      </c>
      <c r="B3283" s="83" t="s">
        <v>2457</v>
      </c>
      <c r="C3283" s="67" t="s">
        <v>2458</v>
      </c>
      <c r="D3283" s="91">
        <v>1942700</v>
      </c>
      <c r="E3283" s="76">
        <v>144130</v>
      </c>
      <c r="F3283" s="77" t="s">
        <v>10174</v>
      </c>
    </row>
    <row r="3284" spans="1:6">
      <c r="A3284" s="82">
        <v>5</v>
      </c>
      <c r="B3284" s="83" t="s">
        <v>2477</v>
      </c>
      <c r="C3284" s="67" t="s">
        <v>2478</v>
      </c>
      <c r="D3284" s="91">
        <v>11697300</v>
      </c>
      <c r="E3284" s="76">
        <v>867825</v>
      </c>
      <c r="F3284" s="77" t="s">
        <v>10174</v>
      </c>
    </row>
    <row r="3285" spans="1:6">
      <c r="A3285" s="82">
        <v>5</v>
      </c>
      <c r="B3285" s="83" t="s">
        <v>2475</v>
      </c>
      <c r="C3285" s="67" t="s">
        <v>2476</v>
      </c>
      <c r="D3285" s="91">
        <v>8523300</v>
      </c>
      <c r="E3285" s="76">
        <v>632345</v>
      </c>
      <c r="F3285" s="77" t="s">
        <v>10174</v>
      </c>
    </row>
    <row r="3286" spans="1:6">
      <c r="A3286" s="82">
        <v>5</v>
      </c>
      <c r="B3286" s="83" t="s">
        <v>2473</v>
      </c>
      <c r="C3286" s="67" t="s">
        <v>2474</v>
      </c>
      <c r="D3286" s="91">
        <v>4761000</v>
      </c>
      <c r="E3286" s="76">
        <v>353220</v>
      </c>
      <c r="F3286" s="77" t="s">
        <v>10174</v>
      </c>
    </row>
    <row r="3287" spans="1:6">
      <c r="A3287" s="82">
        <v>5</v>
      </c>
      <c r="B3287" s="83" t="s">
        <v>2471</v>
      </c>
      <c r="C3287" s="67" t="s">
        <v>2472</v>
      </c>
      <c r="D3287" s="91">
        <v>3611800</v>
      </c>
      <c r="E3287" s="76">
        <v>267960</v>
      </c>
      <c r="F3287" s="77" t="s">
        <v>10174</v>
      </c>
    </row>
    <row r="3288" spans="1:6">
      <c r="A3288" s="82">
        <v>5</v>
      </c>
      <c r="B3288" s="83" t="s">
        <v>3535</v>
      </c>
      <c r="C3288" s="67" t="s">
        <v>3536</v>
      </c>
      <c r="D3288" s="91">
        <v>547200</v>
      </c>
      <c r="E3288" s="76">
        <v>40600</v>
      </c>
      <c r="F3288" s="77" t="s">
        <v>10174</v>
      </c>
    </row>
    <row r="3289" spans="1:6">
      <c r="A3289" s="82">
        <v>5</v>
      </c>
      <c r="B3289" s="83" t="s">
        <v>3537</v>
      </c>
      <c r="C3289" s="67" t="s">
        <v>3538</v>
      </c>
      <c r="D3289" s="91">
        <v>410400</v>
      </c>
      <c r="E3289" s="76">
        <v>30450</v>
      </c>
      <c r="F3289" s="77" t="s">
        <v>10174</v>
      </c>
    </row>
    <row r="3290" spans="1:6">
      <c r="A3290" s="82">
        <v>5</v>
      </c>
      <c r="B3290" s="83" t="s">
        <v>3539</v>
      </c>
      <c r="C3290" s="67" t="s">
        <v>3540</v>
      </c>
      <c r="D3290" s="91">
        <v>232600</v>
      </c>
      <c r="E3290" s="76">
        <v>17254.999999999996</v>
      </c>
      <c r="F3290" s="77" t="s">
        <v>10174</v>
      </c>
    </row>
    <row r="3291" spans="1:6">
      <c r="A3291" s="82">
        <v>5</v>
      </c>
      <c r="B3291" s="83" t="s">
        <v>3541</v>
      </c>
      <c r="C3291" s="67" t="s">
        <v>3542</v>
      </c>
      <c r="D3291" s="91">
        <v>177900</v>
      </c>
      <c r="E3291" s="76">
        <v>13195</v>
      </c>
      <c r="F3291" s="77" t="s">
        <v>10174</v>
      </c>
    </row>
    <row r="3292" spans="1:6">
      <c r="A3292" s="82">
        <v>5</v>
      </c>
      <c r="B3292" s="83" t="s">
        <v>5875</v>
      </c>
      <c r="C3292" s="67" t="s">
        <v>8097</v>
      </c>
      <c r="D3292" s="91">
        <v>273600</v>
      </c>
      <c r="E3292" s="76">
        <v>20300</v>
      </c>
      <c r="F3292" s="77" t="s">
        <v>10174</v>
      </c>
    </row>
    <row r="3293" spans="1:6">
      <c r="A3293" s="82">
        <v>5</v>
      </c>
      <c r="B3293" s="83" t="s">
        <v>5876</v>
      </c>
      <c r="C3293" s="67" t="s">
        <v>8098</v>
      </c>
      <c r="D3293" s="91">
        <v>205200</v>
      </c>
      <c r="E3293" s="76">
        <v>15225</v>
      </c>
      <c r="F3293" s="77" t="s">
        <v>10174</v>
      </c>
    </row>
    <row r="3294" spans="1:6">
      <c r="A3294" s="82">
        <v>5</v>
      </c>
      <c r="B3294" s="83" t="s">
        <v>5877</v>
      </c>
      <c r="C3294" s="67" t="s">
        <v>8099</v>
      </c>
      <c r="D3294" s="91">
        <v>123100</v>
      </c>
      <c r="E3294" s="76">
        <v>9135</v>
      </c>
      <c r="F3294" s="77" t="s">
        <v>10174</v>
      </c>
    </row>
    <row r="3295" spans="1:6">
      <c r="A3295" s="82">
        <v>5</v>
      </c>
      <c r="B3295" s="83" t="s">
        <v>5878</v>
      </c>
      <c r="C3295" s="67" t="s">
        <v>8100</v>
      </c>
      <c r="D3295" s="91">
        <v>95800</v>
      </c>
      <c r="E3295" s="76">
        <v>7104.9999999999991</v>
      </c>
      <c r="F3295" s="77" t="s">
        <v>10174</v>
      </c>
    </row>
    <row r="3296" spans="1:6">
      <c r="A3296" s="82">
        <v>5</v>
      </c>
      <c r="B3296" s="83" t="s">
        <v>3547</v>
      </c>
      <c r="C3296" s="67" t="s">
        <v>3548</v>
      </c>
      <c r="D3296" s="91">
        <v>547200</v>
      </c>
      <c r="E3296" s="76">
        <v>40600</v>
      </c>
      <c r="F3296" s="77" t="s">
        <v>10174</v>
      </c>
    </row>
    <row r="3297" spans="1:6">
      <c r="A3297" s="82">
        <v>5</v>
      </c>
      <c r="B3297" s="83" t="s">
        <v>3549</v>
      </c>
      <c r="C3297" s="67" t="s">
        <v>3550</v>
      </c>
      <c r="D3297" s="91">
        <v>410400</v>
      </c>
      <c r="E3297" s="76">
        <v>30450</v>
      </c>
      <c r="F3297" s="77" t="s">
        <v>10174</v>
      </c>
    </row>
    <row r="3298" spans="1:6">
      <c r="A3298" s="82">
        <v>5</v>
      </c>
      <c r="B3298" s="83" t="s">
        <v>3551</v>
      </c>
      <c r="C3298" s="67" t="s">
        <v>3552</v>
      </c>
      <c r="D3298" s="91">
        <v>232600</v>
      </c>
      <c r="E3298" s="76">
        <v>17254.999999999996</v>
      </c>
      <c r="F3298" s="77" t="s">
        <v>10174</v>
      </c>
    </row>
    <row r="3299" spans="1:6">
      <c r="A3299" s="82">
        <v>5</v>
      </c>
      <c r="B3299" s="83" t="s">
        <v>3553</v>
      </c>
      <c r="C3299" s="67" t="s">
        <v>3554</v>
      </c>
      <c r="D3299" s="91">
        <v>177900</v>
      </c>
      <c r="E3299" s="76">
        <v>13195</v>
      </c>
      <c r="F3299" s="77" t="s">
        <v>10174</v>
      </c>
    </row>
    <row r="3300" spans="1:6">
      <c r="A3300" s="82">
        <v>5</v>
      </c>
      <c r="B3300" s="67" t="s">
        <v>7081</v>
      </c>
      <c r="C3300" s="67" t="s">
        <v>8101</v>
      </c>
      <c r="D3300" s="91">
        <v>2161600</v>
      </c>
      <c r="E3300" s="76">
        <v>160370</v>
      </c>
      <c r="F3300" s="77" t="s">
        <v>10174</v>
      </c>
    </row>
    <row r="3301" spans="1:6">
      <c r="A3301" s="82">
        <v>5</v>
      </c>
      <c r="B3301" s="67" t="s">
        <v>7082</v>
      </c>
      <c r="C3301" s="67" t="s">
        <v>8102</v>
      </c>
      <c r="D3301" s="91">
        <v>1573300</v>
      </c>
      <c r="E3301" s="76">
        <v>116725</v>
      </c>
      <c r="F3301" s="77" t="s">
        <v>10174</v>
      </c>
    </row>
    <row r="3302" spans="1:6">
      <c r="A3302" s="82">
        <v>5</v>
      </c>
      <c r="B3302" s="67" t="s">
        <v>7083</v>
      </c>
      <c r="C3302" s="67" t="s">
        <v>8103</v>
      </c>
      <c r="D3302" s="91">
        <v>889300</v>
      </c>
      <c r="E3302" s="76">
        <v>65975</v>
      </c>
      <c r="F3302" s="77" t="s">
        <v>10174</v>
      </c>
    </row>
    <row r="3303" spans="1:6">
      <c r="A3303" s="82">
        <v>5</v>
      </c>
      <c r="B3303" s="67" t="s">
        <v>7084</v>
      </c>
      <c r="C3303" s="67" t="s">
        <v>8104</v>
      </c>
      <c r="D3303" s="91">
        <v>670400</v>
      </c>
      <c r="E3303" s="76">
        <v>49734.999999999993</v>
      </c>
      <c r="F3303" s="77" t="s">
        <v>10174</v>
      </c>
    </row>
    <row r="3304" spans="1:6">
      <c r="A3304" s="82">
        <v>5</v>
      </c>
      <c r="B3304" s="67" t="s">
        <v>7085</v>
      </c>
      <c r="C3304" s="67" t="s">
        <v>8105</v>
      </c>
      <c r="D3304" s="91">
        <v>2161600</v>
      </c>
      <c r="E3304" s="76">
        <v>160370</v>
      </c>
      <c r="F3304" s="77" t="s">
        <v>10174</v>
      </c>
    </row>
    <row r="3305" spans="1:6">
      <c r="A3305" s="82">
        <v>5</v>
      </c>
      <c r="B3305" s="67" t="s">
        <v>7086</v>
      </c>
      <c r="C3305" s="67" t="s">
        <v>8106</v>
      </c>
      <c r="D3305" s="91">
        <v>1573300</v>
      </c>
      <c r="E3305" s="76">
        <v>116725</v>
      </c>
      <c r="F3305" s="77" t="s">
        <v>10174</v>
      </c>
    </row>
    <row r="3306" spans="1:6">
      <c r="A3306" s="82">
        <v>5</v>
      </c>
      <c r="B3306" s="67" t="s">
        <v>7087</v>
      </c>
      <c r="C3306" s="67" t="s">
        <v>8107</v>
      </c>
      <c r="D3306" s="91">
        <v>889300</v>
      </c>
      <c r="E3306" s="76">
        <v>65975</v>
      </c>
      <c r="F3306" s="77" t="s">
        <v>10174</v>
      </c>
    </row>
    <row r="3307" spans="1:6">
      <c r="A3307" s="82">
        <v>5</v>
      </c>
      <c r="B3307" s="67" t="s">
        <v>7088</v>
      </c>
      <c r="C3307" s="67" t="s">
        <v>8108</v>
      </c>
      <c r="D3307" s="91">
        <v>670400</v>
      </c>
      <c r="E3307" s="76">
        <v>49734.999999999993</v>
      </c>
      <c r="F3307" s="77" t="s">
        <v>10174</v>
      </c>
    </row>
    <row r="3308" spans="1:6">
      <c r="A3308" s="82">
        <v>5</v>
      </c>
      <c r="B3308" s="67" t="s">
        <v>5365</v>
      </c>
      <c r="C3308" s="67" t="s">
        <v>8109</v>
      </c>
      <c r="D3308" s="91">
        <v>3174000</v>
      </c>
      <c r="E3308" s="76">
        <v>235479.99999999997</v>
      </c>
      <c r="F3308" s="77" t="s">
        <v>10174</v>
      </c>
    </row>
    <row r="3309" spans="1:6">
      <c r="A3309" s="82">
        <v>5</v>
      </c>
      <c r="B3309" s="67" t="s">
        <v>5881</v>
      </c>
      <c r="C3309" s="67" t="s">
        <v>8110</v>
      </c>
      <c r="D3309" s="91">
        <v>2312100</v>
      </c>
      <c r="E3309" s="76">
        <v>171535</v>
      </c>
      <c r="F3309" s="77" t="s">
        <v>10174</v>
      </c>
    </row>
    <row r="3310" spans="1:6">
      <c r="A3310" s="82">
        <v>5</v>
      </c>
      <c r="B3310" s="67" t="s">
        <v>5366</v>
      </c>
      <c r="C3310" s="67" t="s">
        <v>8111</v>
      </c>
      <c r="D3310" s="91">
        <v>1299700</v>
      </c>
      <c r="E3310" s="76">
        <v>96425</v>
      </c>
      <c r="F3310" s="77" t="s">
        <v>10174</v>
      </c>
    </row>
    <row r="3311" spans="1:6">
      <c r="A3311" s="82">
        <v>5</v>
      </c>
      <c r="B3311" s="67" t="s">
        <v>5367</v>
      </c>
      <c r="C3311" s="67" t="s">
        <v>8112</v>
      </c>
      <c r="D3311" s="91">
        <v>985000</v>
      </c>
      <c r="E3311" s="76">
        <v>73080</v>
      </c>
      <c r="F3311" s="77" t="s">
        <v>10174</v>
      </c>
    </row>
    <row r="3312" spans="1:6">
      <c r="A3312" s="82">
        <v>5</v>
      </c>
      <c r="B3312" s="83" t="s">
        <v>2316</v>
      </c>
      <c r="C3312" s="67" t="s">
        <v>2317</v>
      </c>
      <c r="D3312" s="91">
        <v>3174000</v>
      </c>
      <c r="E3312" s="76">
        <v>235479.99999999997</v>
      </c>
      <c r="F3312" s="77" t="s">
        <v>10174</v>
      </c>
    </row>
    <row r="3313" spans="1:6">
      <c r="A3313" s="82">
        <v>5</v>
      </c>
      <c r="B3313" s="83" t="s">
        <v>2314</v>
      </c>
      <c r="C3313" s="67" t="s">
        <v>2315</v>
      </c>
      <c r="D3313" s="91">
        <v>2312100</v>
      </c>
      <c r="E3313" s="76">
        <v>171535</v>
      </c>
      <c r="F3313" s="77" t="s">
        <v>10174</v>
      </c>
    </row>
    <row r="3314" spans="1:6">
      <c r="A3314" s="82">
        <v>5</v>
      </c>
      <c r="B3314" s="83" t="s">
        <v>2312</v>
      </c>
      <c r="C3314" s="67" t="s">
        <v>2313</v>
      </c>
      <c r="D3314" s="91">
        <v>1299700</v>
      </c>
      <c r="E3314" s="76">
        <v>96425</v>
      </c>
      <c r="F3314" s="77" t="s">
        <v>10174</v>
      </c>
    </row>
    <row r="3315" spans="1:6">
      <c r="A3315" s="82">
        <v>5</v>
      </c>
      <c r="B3315" s="83" t="s">
        <v>2310</v>
      </c>
      <c r="C3315" s="67" t="s">
        <v>2311</v>
      </c>
      <c r="D3315" s="91">
        <v>985000</v>
      </c>
      <c r="E3315" s="76">
        <v>73080</v>
      </c>
      <c r="F3315" s="77" t="s">
        <v>10174</v>
      </c>
    </row>
    <row r="3316" spans="1:6">
      <c r="A3316" s="82">
        <v>5</v>
      </c>
      <c r="B3316" s="67" t="s">
        <v>7089</v>
      </c>
      <c r="C3316" s="67" t="s">
        <v>8113</v>
      </c>
      <c r="D3316" s="91">
        <v>2339500</v>
      </c>
      <c r="E3316" s="76">
        <v>173564.99999999997</v>
      </c>
      <c r="F3316" s="77" t="s">
        <v>10174</v>
      </c>
    </row>
    <row r="3317" spans="1:6">
      <c r="A3317" s="82">
        <v>5</v>
      </c>
      <c r="B3317" s="67" t="s">
        <v>7090</v>
      </c>
      <c r="C3317" s="67" t="s">
        <v>8114</v>
      </c>
      <c r="D3317" s="91">
        <v>1696500</v>
      </c>
      <c r="E3317" s="76">
        <v>125860</v>
      </c>
      <c r="F3317" s="77" t="s">
        <v>10174</v>
      </c>
    </row>
    <row r="3318" spans="1:6">
      <c r="A3318" s="82">
        <v>5</v>
      </c>
      <c r="B3318" s="67" t="s">
        <v>7091</v>
      </c>
      <c r="C3318" s="67" t="s">
        <v>8115</v>
      </c>
      <c r="D3318" s="91">
        <v>957700</v>
      </c>
      <c r="E3318" s="76">
        <v>71050</v>
      </c>
      <c r="F3318" s="77" t="s">
        <v>10174</v>
      </c>
    </row>
    <row r="3319" spans="1:6">
      <c r="A3319" s="82">
        <v>5</v>
      </c>
      <c r="B3319" s="67" t="s">
        <v>7092</v>
      </c>
      <c r="C3319" s="67" t="s">
        <v>8116</v>
      </c>
      <c r="D3319" s="91">
        <v>697700</v>
      </c>
      <c r="E3319" s="76">
        <v>51764.999999999993</v>
      </c>
      <c r="F3319" s="77" t="s">
        <v>10174</v>
      </c>
    </row>
    <row r="3320" spans="1:6">
      <c r="A3320" s="82">
        <v>5</v>
      </c>
      <c r="B3320" s="83" t="s">
        <v>3330</v>
      </c>
      <c r="C3320" s="67" t="s">
        <v>3331</v>
      </c>
      <c r="D3320" s="91">
        <v>1190300</v>
      </c>
      <c r="E3320" s="76">
        <v>88305</v>
      </c>
      <c r="F3320" s="77" t="s">
        <v>10174</v>
      </c>
    </row>
    <row r="3321" spans="1:6">
      <c r="A3321" s="82">
        <v>5</v>
      </c>
      <c r="B3321" s="83" t="s">
        <v>3332</v>
      </c>
      <c r="C3321" s="67" t="s">
        <v>3333</v>
      </c>
      <c r="D3321" s="91">
        <v>861900</v>
      </c>
      <c r="E3321" s="76">
        <v>63944.999999999993</v>
      </c>
      <c r="F3321" s="77" t="s">
        <v>10174</v>
      </c>
    </row>
    <row r="3322" spans="1:6">
      <c r="A3322" s="82">
        <v>5</v>
      </c>
      <c r="B3322" s="83" t="s">
        <v>3334</v>
      </c>
      <c r="C3322" s="67" t="s">
        <v>3335</v>
      </c>
      <c r="D3322" s="91">
        <v>492500</v>
      </c>
      <c r="E3322" s="76">
        <v>36540</v>
      </c>
      <c r="F3322" s="77" t="s">
        <v>10174</v>
      </c>
    </row>
    <row r="3323" spans="1:6">
      <c r="A3323" s="82">
        <v>5</v>
      </c>
      <c r="B3323" s="83" t="s">
        <v>3336</v>
      </c>
      <c r="C3323" s="67" t="s">
        <v>3337</v>
      </c>
      <c r="D3323" s="91">
        <v>355700</v>
      </c>
      <c r="E3323" s="76">
        <v>26390</v>
      </c>
      <c r="F3323" s="77" t="s">
        <v>10174</v>
      </c>
    </row>
    <row r="3324" spans="1:6">
      <c r="A3324" s="82">
        <v>5</v>
      </c>
      <c r="B3324" s="83" t="s">
        <v>3322</v>
      </c>
      <c r="C3324" s="67" t="s">
        <v>3323</v>
      </c>
      <c r="D3324" s="91">
        <v>1587000</v>
      </c>
      <c r="E3324" s="76">
        <v>117739.99999999999</v>
      </c>
      <c r="F3324" s="77" t="s">
        <v>10174</v>
      </c>
    </row>
    <row r="3325" spans="1:6">
      <c r="A3325" s="82">
        <v>5</v>
      </c>
      <c r="B3325" s="83" t="s">
        <v>3324</v>
      </c>
      <c r="C3325" s="67" t="s">
        <v>3325</v>
      </c>
      <c r="D3325" s="91">
        <v>1149200</v>
      </c>
      <c r="E3325" s="76">
        <v>85260</v>
      </c>
      <c r="F3325" s="77" t="s">
        <v>10174</v>
      </c>
    </row>
    <row r="3326" spans="1:6">
      <c r="A3326" s="82">
        <v>5</v>
      </c>
      <c r="B3326" s="83" t="s">
        <v>3326</v>
      </c>
      <c r="C3326" s="67" t="s">
        <v>3327</v>
      </c>
      <c r="D3326" s="91">
        <v>643000</v>
      </c>
      <c r="E3326" s="76">
        <v>47705</v>
      </c>
      <c r="F3326" s="77" t="s">
        <v>10174</v>
      </c>
    </row>
    <row r="3327" spans="1:6">
      <c r="A3327" s="82">
        <v>5</v>
      </c>
      <c r="B3327" s="83" t="s">
        <v>3328</v>
      </c>
      <c r="C3327" s="67" t="s">
        <v>3329</v>
      </c>
      <c r="D3327" s="91">
        <v>492500</v>
      </c>
      <c r="E3327" s="76">
        <v>36540</v>
      </c>
      <c r="F3327" s="77" t="s">
        <v>10174</v>
      </c>
    </row>
    <row r="3328" spans="1:6">
      <c r="A3328" s="82">
        <v>5</v>
      </c>
      <c r="B3328" s="67" t="s">
        <v>6331</v>
      </c>
      <c r="C3328" s="67" t="s">
        <v>6332</v>
      </c>
      <c r="D3328" s="91">
        <v>1176600</v>
      </c>
      <c r="E3328" s="76">
        <v>87290</v>
      </c>
      <c r="F3328" s="77" t="s">
        <v>10174</v>
      </c>
    </row>
    <row r="3329" spans="1:6">
      <c r="A3329" s="82">
        <v>5</v>
      </c>
      <c r="B3329" s="67" t="s">
        <v>6333</v>
      </c>
      <c r="C3329" s="67" t="s">
        <v>6334</v>
      </c>
      <c r="D3329" s="91">
        <v>861900</v>
      </c>
      <c r="E3329" s="76">
        <v>63944.999999999993</v>
      </c>
      <c r="F3329" s="77" t="s">
        <v>10174</v>
      </c>
    </row>
    <row r="3330" spans="1:6">
      <c r="A3330" s="82">
        <v>5</v>
      </c>
      <c r="B3330" s="67" t="s">
        <v>6335</v>
      </c>
      <c r="C3330" s="67" t="s">
        <v>6336</v>
      </c>
      <c r="D3330" s="91">
        <v>478800</v>
      </c>
      <c r="E3330" s="76">
        <v>35525</v>
      </c>
      <c r="F3330" s="77" t="s">
        <v>10174</v>
      </c>
    </row>
    <row r="3331" spans="1:6">
      <c r="A3331" s="82">
        <v>5</v>
      </c>
      <c r="B3331" s="67" t="s">
        <v>6337</v>
      </c>
      <c r="C3331" s="67" t="s">
        <v>6338</v>
      </c>
      <c r="D3331" s="91">
        <v>355700</v>
      </c>
      <c r="E3331" s="76">
        <v>26390</v>
      </c>
      <c r="F3331" s="77" t="s">
        <v>10174</v>
      </c>
    </row>
    <row r="3332" spans="1:6">
      <c r="A3332" s="82">
        <v>5</v>
      </c>
      <c r="B3332" s="67" t="s">
        <v>6339</v>
      </c>
      <c r="C3332" s="67" t="s">
        <v>6340</v>
      </c>
      <c r="D3332" s="91">
        <v>957700</v>
      </c>
      <c r="E3332" s="76">
        <v>71050</v>
      </c>
      <c r="F3332" s="77" t="s">
        <v>10174</v>
      </c>
    </row>
    <row r="3333" spans="1:6">
      <c r="A3333" s="82">
        <v>5</v>
      </c>
      <c r="B3333" s="67" t="s">
        <v>6341</v>
      </c>
      <c r="C3333" s="67" t="s">
        <v>6342</v>
      </c>
      <c r="D3333" s="91">
        <v>697700</v>
      </c>
      <c r="E3333" s="76">
        <v>51764.999999999993</v>
      </c>
      <c r="F3333" s="77" t="s">
        <v>10174</v>
      </c>
    </row>
    <row r="3334" spans="1:6">
      <c r="A3334" s="82">
        <v>5</v>
      </c>
      <c r="B3334" s="67" t="s">
        <v>6343</v>
      </c>
      <c r="C3334" s="67" t="s">
        <v>6344</v>
      </c>
      <c r="D3334" s="91">
        <v>396800</v>
      </c>
      <c r="E3334" s="76">
        <v>29434.999999999996</v>
      </c>
      <c r="F3334" s="77" t="s">
        <v>10174</v>
      </c>
    </row>
    <row r="3335" spans="1:6">
      <c r="A3335" s="82">
        <v>5</v>
      </c>
      <c r="B3335" s="67" t="s">
        <v>6345</v>
      </c>
      <c r="C3335" s="67" t="s">
        <v>6346</v>
      </c>
      <c r="D3335" s="91">
        <v>287300</v>
      </c>
      <c r="E3335" s="76">
        <v>21315</v>
      </c>
      <c r="F3335" s="77" t="s">
        <v>10174</v>
      </c>
    </row>
    <row r="3336" spans="1:6">
      <c r="A3336" s="82">
        <v>5</v>
      </c>
      <c r="B3336" s="83" t="s">
        <v>5014</v>
      </c>
      <c r="C3336" s="67" t="s">
        <v>5015</v>
      </c>
      <c r="D3336" s="91">
        <v>3009800</v>
      </c>
      <c r="E3336" s="76">
        <v>223300</v>
      </c>
      <c r="F3336" s="77" t="s">
        <v>10174</v>
      </c>
    </row>
    <row r="3337" spans="1:6">
      <c r="A3337" s="82">
        <v>5</v>
      </c>
      <c r="B3337" s="83" t="s">
        <v>5016</v>
      </c>
      <c r="C3337" s="67" t="s">
        <v>5017</v>
      </c>
      <c r="D3337" s="91">
        <v>2189000</v>
      </c>
      <c r="E3337" s="76">
        <v>162400</v>
      </c>
      <c r="F3337" s="77" t="s">
        <v>10174</v>
      </c>
    </row>
    <row r="3338" spans="1:6">
      <c r="A3338" s="82">
        <v>5</v>
      </c>
      <c r="B3338" s="83" t="s">
        <v>5018</v>
      </c>
      <c r="C3338" s="67" t="s">
        <v>5019</v>
      </c>
      <c r="D3338" s="91">
        <v>1231300</v>
      </c>
      <c r="E3338" s="76">
        <v>91349.999999999985</v>
      </c>
      <c r="F3338" s="77" t="s">
        <v>10174</v>
      </c>
    </row>
    <row r="3339" spans="1:6">
      <c r="A3339" s="82">
        <v>5</v>
      </c>
      <c r="B3339" s="83" t="s">
        <v>5020</v>
      </c>
      <c r="C3339" s="67" t="s">
        <v>5021</v>
      </c>
      <c r="D3339" s="91">
        <v>903000</v>
      </c>
      <c r="E3339" s="76">
        <v>66990</v>
      </c>
      <c r="F3339" s="77" t="s">
        <v>10174</v>
      </c>
    </row>
    <row r="3340" spans="1:6">
      <c r="A3340" s="82">
        <v>5</v>
      </c>
      <c r="B3340" s="83" t="s">
        <v>1333</v>
      </c>
      <c r="C3340" s="67" t="s">
        <v>1334</v>
      </c>
      <c r="D3340" s="91">
        <v>1641700</v>
      </c>
      <c r="E3340" s="76">
        <v>121800</v>
      </c>
      <c r="F3340" s="77" t="s">
        <v>10174</v>
      </c>
    </row>
    <row r="3341" spans="1:6">
      <c r="A3341" s="82">
        <v>5</v>
      </c>
      <c r="B3341" s="83" t="s">
        <v>1331</v>
      </c>
      <c r="C3341" s="67" t="s">
        <v>1332</v>
      </c>
      <c r="D3341" s="91">
        <v>1203900</v>
      </c>
      <c r="E3341" s="76">
        <v>89319.999999999985</v>
      </c>
      <c r="F3341" s="77" t="s">
        <v>10174</v>
      </c>
    </row>
    <row r="3342" spans="1:6">
      <c r="A3342" s="82">
        <v>5</v>
      </c>
      <c r="B3342" s="83" t="s">
        <v>1329</v>
      </c>
      <c r="C3342" s="67" t="s">
        <v>1330</v>
      </c>
      <c r="D3342" s="91">
        <v>684100</v>
      </c>
      <c r="E3342" s="76">
        <v>50750</v>
      </c>
      <c r="F3342" s="77" t="s">
        <v>10174</v>
      </c>
    </row>
    <row r="3343" spans="1:6">
      <c r="A3343" s="82">
        <v>5</v>
      </c>
      <c r="B3343" s="83" t="s">
        <v>1327</v>
      </c>
      <c r="C3343" s="67" t="s">
        <v>1328</v>
      </c>
      <c r="D3343" s="91">
        <v>506200</v>
      </c>
      <c r="E3343" s="76">
        <v>37555</v>
      </c>
      <c r="F3343" s="77" t="s">
        <v>10174</v>
      </c>
    </row>
    <row r="3344" spans="1:6">
      <c r="A3344" s="82">
        <v>5</v>
      </c>
      <c r="B3344" s="83" t="s">
        <v>1347</v>
      </c>
      <c r="C3344" s="67" t="s">
        <v>1348</v>
      </c>
      <c r="D3344" s="91">
        <v>1313400</v>
      </c>
      <c r="E3344" s="76">
        <v>97439.999999999985</v>
      </c>
      <c r="F3344" s="77" t="s">
        <v>10174</v>
      </c>
    </row>
    <row r="3345" spans="1:6">
      <c r="A3345" s="82">
        <v>5</v>
      </c>
      <c r="B3345" s="83" t="s">
        <v>1345</v>
      </c>
      <c r="C3345" s="67" t="s">
        <v>1346</v>
      </c>
      <c r="D3345" s="91">
        <v>957700</v>
      </c>
      <c r="E3345" s="76">
        <v>71050</v>
      </c>
      <c r="F3345" s="77" t="s">
        <v>10174</v>
      </c>
    </row>
    <row r="3346" spans="1:6">
      <c r="A3346" s="82">
        <v>5</v>
      </c>
      <c r="B3346" s="83" t="s">
        <v>1343</v>
      </c>
      <c r="C3346" s="67" t="s">
        <v>1344</v>
      </c>
      <c r="D3346" s="91">
        <v>533600</v>
      </c>
      <c r="E3346" s="76">
        <v>39584.999999999993</v>
      </c>
      <c r="F3346" s="77" t="s">
        <v>10174</v>
      </c>
    </row>
    <row r="3347" spans="1:6">
      <c r="A3347" s="82">
        <v>5</v>
      </c>
      <c r="B3347" s="83" t="s">
        <v>1341</v>
      </c>
      <c r="C3347" s="67" t="s">
        <v>1342</v>
      </c>
      <c r="D3347" s="91">
        <v>410400</v>
      </c>
      <c r="E3347" s="76">
        <v>30450</v>
      </c>
      <c r="F3347" s="77" t="s">
        <v>10174</v>
      </c>
    </row>
    <row r="3348" spans="1:6">
      <c r="A3348" s="82">
        <v>5</v>
      </c>
      <c r="B3348" s="83" t="s">
        <v>2327</v>
      </c>
      <c r="C3348" s="67" t="s">
        <v>5493</v>
      </c>
      <c r="D3348" s="91">
        <v>1258700</v>
      </c>
      <c r="E3348" s="76">
        <v>93379.999999999985</v>
      </c>
      <c r="F3348" s="77" t="s">
        <v>10174</v>
      </c>
    </row>
    <row r="3349" spans="1:6">
      <c r="A3349" s="82">
        <v>5</v>
      </c>
      <c r="B3349" s="83" t="s">
        <v>2328</v>
      </c>
      <c r="C3349" s="67" t="s">
        <v>5494</v>
      </c>
      <c r="D3349" s="91">
        <v>904600</v>
      </c>
      <c r="E3349" s="76">
        <v>66990</v>
      </c>
      <c r="F3349" s="77" t="s">
        <v>10174</v>
      </c>
    </row>
    <row r="3350" spans="1:6">
      <c r="A3350" s="82">
        <v>5</v>
      </c>
      <c r="B3350" s="83" t="s">
        <v>2329</v>
      </c>
      <c r="C3350" s="67" t="s">
        <v>5495</v>
      </c>
      <c r="D3350" s="91">
        <v>520900</v>
      </c>
      <c r="E3350" s="76">
        <v>38570</v>
      </c>
      <c r="F3350" s="77" t="s">
        <v>10174</v>
      </c>
    </row>
    <row r="3351" spans="1:6">
      <c r="A3351" s="82">
        <v>5</v>
      </c>
      <c r="B3351" s="83" t="s">
        <v>2330</v>
      </c>
      <c r="C3351" s="67" t="s">
        <v>5496</v>
      </c>
      <c r="D3351" s="91">
        <v>370100</v>
      </c>
      <c r="E3351" s="76">
        <v>27404.999999999996</v>
      </c>
      <c r="F3351" s="77" t="s">
        <v>10174</v>
      </c>
    </row>
    <row r="3352" spans="1:6">
      <c r="A3352" s="82">
        <v>5</v>
      </c>
      <c r="B3352" s="83" t="s">
        <v>1626</v>
      </c>
      <c r="C3352" s="67" t="s">
        <v>1627</v>
      </c>
      <c r="D3352" s="91">
        <v>1055400</v>
      </c>
      <c r="E3352" s="76">
        <v>78155</v>
      </c>
      <c r="F3352" s="77" t="s">
        <v>10174</v>
      </c>
    </row>
    <row r="3353" spans="1:6">
      <c r="A3353" s="82">
        <v>5</v>
      </c>
      <c r="B3353" s="83" t="s">
        <v>1624</v>
      </c>
      <c r="C3353" s="67" t="s">
        <v>1625</v>
      </c>
      <c r="D3353" s="91">
        <v>767600</v>
      </c>
      <c r="E3353" s="76">
        <v>56839.999999999993</v>
      </c>
      <c r="F3353" s="77" t="s">
        <v>10174</v>
      </c>
    </row>
    <row r="3354" spans="1:6">
      <c r="A3354" s="82">
        <v>5</v>
      </c>
      <c r="B3354" s="83" t="s">
        <v>1622</v>
      </c>
      <c r="C3354" s="67" t="s">
        <v>1623</v>
      </c>
      <c r="D3354" s="91">
        <v>438600</v>
      </c>
      <c r="E3354" s="76">
        <v>32479.999999999996</v>
      </c>
      <c r="F3354" s="77" t="s">
        <v>10174</v>
      </c>
    </row>
    <row r="3355" spans="1:6">
      <c r="A3355" s="82">
        <v>5</v>
      </c>
      <c r="B3355" s="83" t="s">
        <v>1620</v>
      </c>
      <c r="C3355" s="67" t="s">
        <v>1621</v>
      </c>
      <c r="D3355" s="91">
        <v>315300</v>
      </c>
      <c r="E3355" s="76">
        <v>23344.999999999996</v>
      </c>
      <c r="F3355" s="77" t="s">
        <v>10174</v>
      </c>
    </row>
    <row r="3356" spans="1:6">
      <c r="A3356" s="82">
        <v>5</v>
      </c>
      <c r="B3356" s="83" t="s">
        <v>4528</v>
      </c>
      <c r="C3356" s="67" t="s">
        <v>4529</v>
      </c>
      <c r="D3356" s="91">
        <v>1644800</v>
      </c>
      <c r="E3356" s="76">
        <v>121800</v>
      </c>
      <c r="F3356" s="77" t="s">
        <v>10174</v>
      </c>
    </row>
    <row r="3357" spans="1:6">
      <c r="A3357" s="82">
        <v>5</v>
      </c>
      <c r="B3357" s="83" t="s">
        <v>4530</v>
      </c>
      <c r="C3357" s="67" t="s">
        <v>4531</v>
      </c>
      <c r="D3357" s="91">
        <v>1165100</v>
      </c>
      <c r="E3357" s="76">
        <v>86274.999999999985</v>
      </c>
      <c r="F3357" s="77" t="s">
        <v>10174</v>
      </c>
    </row>
    <row r="3358" spans="1:6">
      <c r="A3358" s="82">
        <v>5</v>
      </c>
      <c r="B3358" s="83" t="s">
        <v>4532</v>
      </c>
      <c r="C3358" s="67" t="s">
        <v>4533</v>
      </c>
      <c r="D3358" s="91">
        <v>616800</v>
      </c>
      <c r="E3358" s="76">
        <v>45674.999999999993</v>
      </c>
      <c r="F3358" s="77" t="s">
        <v>10174</v>
      </c>
    </row>
    <row r="3359" spans="1:6">
      <c r="A3359" s="82">
        <v>5</v>
      </c>
      <c r="B3359" s="83" t="s">
        <v>4534</v>
      </c>
      <c r="C3359" s="67" t="s">
        <v>4535</v>
      </c>
      <c r="D3359" s="91">
        <v>534600</v>
      </c>
      <c r="E3359" s="76">
        <v>39584.999999999993</v>
      </c>
      <c r="F3359" s="77" t="s">
        <v>10174</v>
      </c>
    </row>
    <row r="3360" spans="1:6">
      <c r="A3360" s="82">
        <v>5</v>
      </c>
      <c r="B3360" s="67" t="s">
        <v>5339</v>
      </c>
      <c r="C3360" s="67" t="s">
        <v>8117</v>
      </c>
      <c r="D3360" s="91">
        <v>1398100</v>
      </c>
      <c r="E3360" s="76">
        <v>103529.99999999999</v>
      </c>
      <c r="F3360" s="77" t="s">
        <v>10174</v>
      </c>
    </row>
    <row r="3361" spans="1:6">
      <c r="A3361" s="82">
        <v>5</v>
      </c>
      <c r="B3361" s="67" t="s">
        <v>5340</v>
      </c>
      <c r="C3361" s="67" t="s">
        <v>8118</v>
      </c>
      <c r="D3361" s="91">
        <v>1000600</v>
      </c>
      <c r="E3361" s="76">
        <v>74094.999999999985</v>
      </c>
      <c r="F3361" s="77" t="s">
        <v>10174</v>
      </c>
    </row>
    <row r="3362" spans="1:6">
      <c r="A3362" s="82">
        <v>5</v>
      </c>
      <c r="B3362" s="67" t="s">
        <v>5341</v>
      </c>
      <c r="C3362" s="67" t="s">
        <v>8119</v>
      </c>
      <c r="D3362" s="91">
        <v>534600</v>
      </c>
      <c r="E3362" s="76">
        <v>39584.999999999993</v>
      </c>
      <c r="F3362" s="77" t="s">
        <v>10174</v>
      </c>
    </row>
    <row r="3363" spans="1:6">
      <c r="A3363" s="82">
        <v>5</v>
      </c>
      <c r="B3363" s="67" t="s">
        <v>5342</v>
      </c>
      <c r="C3363" s="67" t="s">
        <v>8120</v>
      </c>
      <c r="D3363" s="91">
        <v>452300</v>
      </c>
      <c r="E3363" s="76">
        <v>33495</v>
      </c>
      <c r="F3363" s="77" t="s">
        <v>10174</v>
      </c>
    </row>
    <row r="3364" spans="1:6">
      <c r="A3364" s="82">
        <v>5</v>
      </c>
      <c r="B3364" s="83" t="s">
        <v>5004</v>
      </c>
      <c r="C3364" s="67" t="s">
        <v>5005</v>
      </c>
      <c r="D3364" s="91">
        <v>1384400</v>
      </c>
      <c r="E3364" s="76">
        <v>102514.99999999999</v>
      </c>
      <c r="F3364" s="77" t="s">
        <v>10174</v>
      </c>
    </row>
    <row r="3365" spans="1:6">
      <c r="A3365" s="82">
        <v>5</v>
      </c>
      <c r="B3365" s="83" t="s">
        <v>5006</v>
      </c>
      <c r="C3365" s="67" t="s">
        <v>5007</v>
      </c>
      <c r="D3365" s="91">
        <v>1000600</v>
      </c>
      <c r="E3365" s="76">
        <v>74094.999999999985</v>
      </c>
      <c r="F3365" s="77" t="s">
        <v>10174</v>
      </c>
    </row>
    <row r="3366" spans="1:6">
      <c r="A3366" s="82">
        <v>5</v>
      </c>
      <c r="B3366" s="83" t="s">
        <v>5008</v>
      </c>
      <c r="C3366" s="67" t="s">
        <v>5009</v>
      </c>
      <c r="D3366" s="91">
        <v>534600</v>
      </c>
      <c r="E3366" s="76">
        <v>39584.999999999993</v>
      </c>
      <c r="F3366" s="77" t="s">
        <v>10174</v>
      </c>
    </row>
    <row r="3367" spans="1:6">
      <c r="A3367" s="82">
        <v>5</v>
      </c>
      <c r="B3367" s="83" t="s">
        <v>5010</v>
      </c>
      <c r="C3367" s="67" t="s">
        <v>5011</v>
      </c>
      <c r="D3367" s="91">
        <v>452300</v>
      </c>
      <c r="E3367" s="76">
        <v>33495</v>
      </c>
      <c r="F3367" s="77" t="s">
        <v>10174</v>
      </c>
    </row>
    <row r="3368" spans="1:6">
      <c r="A3368" s="82">
        <v>5</v>
      </c>
      <c r="B3368" s="83" t="s">
        <v>4395</v>
      </c>
      <c r="C3368" s="67" t="s">
        <v>4396</v>
      </c>
      <c r="D3368" s="91">
        <v>1384400</v>
      </c>
      <c r="E3368" s="76">
        <v>102514.99999999999</v>
      </c>
      <c r="F3368" s="77" t="s">
        <v>10174</v>
      </c>
    </row>
    <row r="3369" spans="1:6">
      <c r="A3369" s="82">
        <v>5</v>
      </c>
      <c r="B3369" s="83" t="s">
        <v>4393</v>
      </c>
      <c r="C3369" s="67" t="s">
        <v>4394</v>
      </c>
      <c r="D3369" s="91">
        <v>1000600</v>
      </c>
      <c r="E3369" s="76">
        <v>74094.999999999985</v>
      </c>
      <c r="F3369" s="77" t="s">
        <v>10174</v>
      </c>
    </row>
    <row r="3370" spans="1:6">
      <c r="A3370" s="82">
        <v>5</v>
      </c>
      <c r="B3370" s="83" t="s">
        <v>4391</v>
      </c>
      <c r="C3370" s="67" t="s">
        <v>4392</v>
      </c>
      <c r="D3370" s="91">
        <v>534600</v>
      </c>
      <c r="E3370" s="76">
        <v>39584.999999999993</v>
      </c>
      <c r="F3370" s="77" t="s">
        <v>10174</v>
      </c>
    </row>
    <row r="3371" spans="1:6">
      <c r="A3371" s="82">
        <v>5</v>
      </c>
      <c r="B3371" s="83" t="s">
        <v>4389</v>
      </c>
      <c r="C3371" s="67" t="s">
        <v>4390</v>
      </c>
      <c r="D3371" s="91">
        <v>452300</v>
      </c>
      <c r="E3371" s="76">
        <v>33495</v>
      </c>
      <c r="F3371" s="77" t="s">
        <v>10174</v>
      </c>
    </row>
    <row r="3372" spans="1:6">
      <c r="A3372" s="82">
        <v>5</v>
      </c>
      <c r="B3372" s="83" t="s">
        <v>5004</v>
      </c>
      <c r="C3372" s="67" t="s">
        <v>5371</v>
      </c>
      <c r="D3372" s="91">
        <v>1384400</v>
      </c>
      <c r="E3372" s="76">
        <v>102514.99999999999</v>
      </c>
      <c r="F3372" s="77" t="s">
        <v>10174</v>
      </c>
    </row>
    <row r="3373" spans="1:6">
      <c r="A3373" s="82">
        <v>5</v>
      </c>
      <c r="B3373" s="83" t="s">
        <v>5006</v>
      </c>
      <c r="C3373" s="67" t="s">
        <v>5370</v>
      </c>
      <c r="D3373" s="91">
        <v>1000600</v>
      </c>
      <c r="E3373" s="76">
        <v>74094.999999999985</v>
      </c>
      <c r="F3373" s="77" t="s">
        <v>10174</v>
      </c>
    </row>
    <row r="3374" spans="1:6">
      <c r="A3374" s="82">
        <v>5</v>
      </c>
      <c r="B3374" s="83" t="s">
        <v>5008</v>
      </c>
      <c r="C3374" s="67" t="s">
        <v>5369</v>
      </c>
      <c r="D3374" s="91">
        <v>534600</v>
      </c>
      <c r="E3374" s="76">
        <v>39584.999999999993</v>
      </c>
      <c r="F3374" s="77" t="s">
        <v>10174</v>
      </c>
    </row>
    <row r="3375" spans="1:6">
      <c r="A3375" s="82">
        <v>5</v>
      </c>
      <c r="B3375" s="83" t="s">
        <v>5010</v>
      </c>
      <c r="C3375" s="67" t="s">
        <v>5368</v>
      </c>
      <c r="D3375" s="91">
        <v>452300</v>
      </c>
      <c r="E3375" s="76">
        <v>33495</v>
      </c>
      <c r="F3375" s="77" t="s">
        <v>10174</v>
      </c>
    </row>
    <row r="3376" spans="1:6">
      <c r="A3376" s="82">
        <v>5</v>
      </c>
      <c r="B3376" s="67" t="s">
        <v>5351</v>
      </c>
      <c r="C3376" s="67" t="s">
        <v>8121</v>
      </c>
      <c r="D3376" s="91">
        <v>1000600</v>
      </c>
      <c r="E3376" s="76">
        <v>74094.999999999985</v>
      </c>
      <c r="F3376" s="77" t="s">
        <v>10174</v>
      </c>
    </row>
    <row r="3377" spans="1:6">
      <c r="A3377" s="82">
        <v>5</v>
      </c>
      <c r="B3377" s="67" t="s">
        <v>5352</v>
      </c>
      <c r="C3377" s="67" t="s">
        <v>8122</v>
      </c>
      <c r="D3377" s="91">
        <v>726500</v>
      </c>
      <c r="E3377" s="76">
        <v>53794.999999999993</v>
      </c>
      <c r="F3377" s="77" t="s">
        <v>10174</v>
      </c>
    </row>
    <row r="3378" spans="1:6">
      <c r="A3378" s="82">
        <v>5</v>
      </c>
      <c r="B3378" s="67" t="s">
        <v>5353</v>
      </c>
      <c r="C3378" s="67" t="s">
        <v>8123</v>
      </c>
      <c r="D3378" s="91">
        <v>411200</v>
      </c>
      <c r="E3378" s="76">
        <v>30450</v>
      </c>
      <c r="F3378" s="77" t="s">
        <v>10174</v>
      </c>
    </row>
    <row r="3379" spans="1:6">
      <c r="A3379" s="82">
        <v>5</v>
      </c>
      <c r="B3379" s="67" t="s">
        <v>5354</v>
      </c>
      <c r="C3379" s="67" t="s">
        <v>8124</v>
      </c>
      <c r="D3379" s="91">
        <v>301500</v>
      </c>
      <c r="E3379" s="76">
        <v>22329.999999999996</v>
      </c>
      <c r="F3379" s="77" t="s">
        <v>10174</v>
      </c>
    </row>
    <row r="3380" spans="1:6">
      <c r="A3380" s="82">
        <v>5</v>
      </c>
      <c r="B3380" s="83" t="s">
        <v>4258</v>
      </c>
      <c r="C3380" s="67" t="s">
        <v>4259</v>
      </c>
      <c r="D3380" s="91">
        <v>1000600</v>
      </c>
      <c r="E3380" s="76">
        <v>74094.999999999985</v>
      </c>
      <c r="F3380" s="77" t="s">
        <v>10174</v>
      </c>
    </row>
    <row r="3381" spans="1:6">
      <c r="A3381" s="82">
        <v>5</v>
      </c>
      <c r="B3381" s="83" t="s">
        <v>4256</v>
      </c>
      <c r="C3381" s="67" t="s">
        <v>4257</v>
      </c>
      <c r="D3381" s="91">
        <v>726500</v>
      </c>
      <c r="E3381" s="76">
        <v>53794.999999999993</v>
      </c>
      <c r="F3381" s="77" t="s">
        <v>10174</v>
      </c>
    </row>
    <row r="3382" spans="1:6">
      <c r="A3382" s="82">
        <v>5</v>
      </c>
      <c r="B3382" s="83" t="s">
        <v>4254</v>
      </c>
      <c r="C3382" s="67" t="s">
        <v>4255</v>
      </c>
      <c r="D3382" s="91">
        <v>411200</v>
      </c>
      <c r="E3382" s="76">
        <v>30450</v>
      </c>
      <c r="F3382" s="77" t="s">
        <v>10174</v>
      </c>
    </row>
    <row r="3383" spans="1:6">
      <c r="A3383" s="82">
        <v>5</v>
      </c>
      <c r="B3383" s="83" t="s">
        <v>4252</v>
      </c>
      <c r="C3383" s="67" t="s">
        <v>4253</v>
      </c>
      <c r="D3383" s="91">
        <v>301500</v>
      </c>
      <c r="E3383" s="76">
        <v>22329.999999999996</v>
      </c>
      <c r="F3383" s="77" t="s">
        <v>10174</v>
      </c>
    </row>
    <row r="3384" spans="1:6">
      <c r="A3384" s="82">
        <v>5</v>
      </c>
      <c r="B3384" s="67" t="s">
        <v>5345</v>
      </c>
      <c r="C3384" s="67" t="s">
        <v>8125</v>
      </c>
      <c r="D3384" s="91">
        <v>699000</v>
      </c>
      <c r="E3384" s="76">
        <v>51764.999999999993</v>
      </c>
      <c r="F3384" s="77" t="s">
        <v>10174</v>
      </c>
    </row>
    <row r="3385" spans="1:6">
      <c r="A3385" s="82">
        <v>5</v>
      </c>
      <c r="B3385" s="67" t="s">
        <v>5346</v>
      </c>
      <c r="C3385" s="67" t="s">
        <v>8126</v>
      </c>
      <c r="D3385" s="91">
        <v>507100</v>
      </c>
      <c r="E3385" s="76">
        <v>37555</v>
      </c>
      <c r="F3385" s="77" t="s">
        <v>10174</v>
      </c>
    </row>
    <row r="3386" spans="1:6">
      <c r="A3386" s="82">
        <v>5</v>
      </c>
      <c r="B3386" s="67" t="s">
        <v>5347</v>
      </c>
      <c r="C3386" s="67" t="s">
        <v>8127</v>
      </c>
      <c r="D3386" s="91">
        <v>287800</v>
      </c>
      <c r="E3386" s="76">
        <v>21315</v>
      </c>
      <c r="F3386" s="77" t="s">
        <v>10174</v>
      </c>
    </row>
    <row r="3387" spans="1:6">
      <c r="A3387" s="82">
        <v>5</v>
      </c>
      <c r="B3387" s="67" t="s">
        <v>5348</v>
      </c>
      <c r="C3387" s="67" t="s">
        <v>8128</v>
      </c>
      <c r="D3387" s="91">
        <v>219300</v>
      </c>
      <c r="E3387" s="76">
        <v>16239.999999999998</v>
      </c>
      <c r="F3387" s="77" t="s">
        <v>10174</v>
      </c>
    </row>
    <row r="3388" spans="1:6">
      <c r="A3388" s="82">
        <v>5</v>
      </c>
      <c r="B3388" s="83" t="s">
        <v>4286</v>
      </c>
      <c r="C3388" s="67" t="s">
        <v>4287</v>
      </c>
      <c r="D3388" s="91">
        <v>712700</v>
      </c>
      <c r="E3388" s="76">
        <v>52780</v>
      </c>
      <c r="F3388" s="77" t="s">
        <v>10174</v>
      </c>
    </row>
    <row r="3389" spans="1:6">
      <c r="A3389" s="82">
        <v>5</v>
      </c>
      <c r="B3389" s="83" t="s">
        <v>4284</v>
      </c>
      <c r="C3389" s="67" t="s">
        <v>4285</v>
      </c>
      <c r="D3389" s="91">
        <v>507100</v>
      </c>
      <c r="E3389" s="76">
        <v>37555</v>
      </c>
      <c r="F3389" s="77" t="s">
        <v>10174</v>
      </c>
    </row>
    <row r="3390" spans="1:6">
      <c r="A3390" s="82">
        <v>5</v>
      </c>
      <c r="B3390" s="83" t="s">
        <v>4282</v>
      </c>
      <c r="C3390" s="67" t="s">
        <v>4283</v>
      </c>
      <c r="D3390" s="91">
        <v>287800</v>
      </c>
      <c r="E3390" s="76">
        <v>21315</v>
      </c>
      <c r="F3390" s="77" t="s">
        <v>10174</v>
      </c>
    </row>
    <row r="3391" spans="1:6">
      <c r="A3391" s="82">
        <v>5</v>
      </c>
      <c r="B3391" s="83" t="s">
        <v>4280</v>
      </c>
      <c r="C3391" s="67" t="s">
        <v>4281</v>
      </c>
      <c r="D3391" s="91">
        <v>219300</v>
      </c>
      <c r="E3391" s="76">
        <v>16239.999999999998</v>
      </c>
      <c r="F3391" s="77" t="s">
        <v>10174</v>
      </c>
    </row>
    <row r="3392" spans="1:6">
      <c r="A3392" s="82">
        <v>5</v>
      </c>
      <c r="B3392" s="83" t="s">
        <v>4518</v>
      </c>
      <c r="C3392" s="67" t="s">
        <v>4519</v>
      </c>
      <c r="D3392" s="91">
        <v>1137700</v>
      </c>
      <c r="E3392" s="76">
        <v>84244.999999999985</v>
      </c>
      <c r="F3392" s="77" t="s">
        <v>10174</v>
      </c>
    </row>
    <row r="3393" spans="1:6">
      <c r="A3393" s="82">
        <v>5</v>
      </c>
      <c r="B3393" s="83" t="s">
        <v>4520</v>
      </c>
      <c r="C3393" s="67" t="s">
        <v>4521</v>
      </c>
      <c r="D3393" s="91">
        <v>808700</v>
      </c>
      <c r="E3393" s="76">
        <v>59884.999999999993</v>
      </c>
      <c r="F3393" s="77" t="s">
        <v>10174</v>
      </c>
    </row>
    <row r="3394" spans="1:6">
      <c r="A3394" s="82">
        <v>5</v>
      </c>
      <c r="B3394" s="83" t="s">
        <v>4522</v>
      </c>
      <c r="C3394" s="67" t="s">
        <v>4523</v>
      </c>
      <c r="D3394" s="91">
        <v>438600</v>
      </c>
      <c r="E3394" s="76">
        <v>32479.999999999996</v>
      </c>
      <c r="F3394" s="77" t="s">
        <v>10174</v>
      </c>
    </row>
    <row r="3395" spans="1:6">
      <c r="A3395" s="82">
        <v>5</v>
      </c>
      <c r="B3395" s="83" t="s">
        <v>4524</v>
      </c>
      <c r="C3395" s="67" t="s">
        <v>4525</v>
      </c>
      <c r="D3395" s="91">
        <v>356400</v>
      </c>
      <c r="E3395" s="76">
        <v>26390</v>
      </c>
      <c r="F3395" s="77" t="s">
        <v>10174</v>
      </c>
    </row>
    <row r="3396" spans="1:6">
      <c r="A3396" s="82">
        <v>5</v>
      </c>
      <c r="B3396" s="83" t="s">
        <v>4272</v>
      </c>
      <c r="C3396" s="67" t="s">
        <v>4273</v>
      </c>
      <c r="D3396" s="91">
        <v>671600</v>
      </c>
      <c r="E3396" s="76">
        <v>49734.999999999993</v>
      </c>
      <c r="F3396" s="77" t="s">
        <v>10174</v>
      </c>
    </row>
    <row r="3397" spans="1:6">
      <c r="A3397" s="82">
        <v>5</v>
      </c>
      <c r="B3397" s="83" t="s">
        <v>4270</v>
      </c>
      <c r="C3397" s="67" t="s">
        <v>4271</v>
      </c>
      <c r="D3397" s="91">
        <v>479700</v>
      </c>
      <c r="E3397" s="76">
        <v>35525</v>
      </c>
      <c r="F3397" s="77" t="s">
        <v>10174</v>
      </c>
    </row>
    <row r="3398" spans="1:6">
      <c r="A3398" s="82">
        <v>5</v>
      </c>
      <c r="B3398" s="83" t="s">
        <v>4268</v>
      </c>
      <c r="C3398" s="67" t="s">
        <v>4269</v>
      </c>
      <c r="D3398" s="91">
        <v>274100</v>
      </c>
      <c r="E3398" s="76">
        <v>20300</v>
      </c>
      <c r="F3398" s="77" t="s">
        <v>10174</v>
      </c>
    </row>
    <row r="3399" spans="1:6">
      <c r="A3399" s="82">
        <v>5</v>
      </c>
      <c r="B3399" s="83" t="s">
        <v>4266</v>
      </c>
      <c r="C3399" s="67" t="s">
        <v>4267</v>
      </c>
      <c r="D3399" s="91">
        <v>205600</v>
      </c>
      <c r="E3399" s="76">
        <v>15225</v>
      </c>
      <c r="F3399" s="77" t="s">
        <v>10174</v>
      </c>
    </row>
    <row r="3400" spans="1:6">
      <c r="A3400" s="82">
        <v>5</v>
      </c>
      <c r="B3400" s="67" t="s">
        <v>5357</v>
      </c>
      <c r="C3400" s="67" t="s">
        <v>8129</v>
      </c>
      <c r="D3400" s="91">
        <v>534600</v>
      </c>
      <c r="E3400" s="76">
        <v>39584.999999999993</v>
      </c>
      <c r="F3400" s="77" t="s">
        <v>10174</v>
      </c>
    </row>
    <row r="3401" spans="1:6">
      <c r="A3401" s="82">
        <v>5</v>
      </c>
      <c r="B3401" s="67" t="s">
        <v>5358</v>
      </c>
      <c r="C3401" s="67" t="s">
        <v>8130</v>
      </c>
      <c r="D3401" s="91">
        <v>383800</v>
      </c>
      <c r="E3401" s="76">
        <v>28419.999999999996</v>
      </c>
      <c r="F3401" s="77" t="s">
        <v>10174</v>
      </c>
    </row>
    <row r="3402" spans="1:6">
      <c r="A3402" s="82">
        <v>5</v>
      </c>
      <c r="B3402" s="67" t="s">
        <v>5359</v>
      </c>
      <c r="C3402" s="67" t="s">
        <v>8131</v>
      </c>
      <c r="D3402" s="91">
        <v>219300</v>
      </c>
      <c r="E3402" s="76">
        <v>16239.999999999998</v>
      </c>
      <c r="F3402" s="77" t="s">
        <v>10174</v>
      </c>
    </row>
    <row r="3403" spans="1:6">
      <c r="A3403" s="82">
        <v>5</v>
      </c>
      <c r="B3403" s="67" t="s">
        <v>5360</v>
      </c>
      <c r="C3403" s="67" t="s">
        <v>8132</v>
      </c>
      <c r="D3403" s="91">
        <v>164500</v>
      </c>
      <c r="E3403" s="76">
        <v>12179.999999999998</v>
      </c>
      <c r="F3403" s="77" t="s">
        <v>10174</v>
      </c>
    </row>
    <row r="3404" spans="1:6">
      <c r="A3404" s="82">
        <v>5</v>
      </c>
      <c r="B3404" s="83" t="s">
        <v>4300</v>
      </c>
      <c r="C3404" s="67" t="s">
        <v>4301</v>
      </c>
      <c r="D3404" s="91">
        <v>534600</v>
      </c>
      <c r="E3404" s="76">
        <v>39584.999999999993</v>
      </c>
      <c r="F3404" s="77" t="s">
        <v>10174</v>
      </c>
    </row>
    <row r="3405" spans="1:6">
      <c r="A3405" s="82">
        <v>5</v>
      </c>
      <c r="B3405" s="83" t="s">
        <v>4298</v>
      </c>
      <c r="C3405" s="67" t="s">
        <v>4299</v>
      </c>
      <c r="D3405" s="91">
        <v>383800</v>
      </c>
      <c r="E3405" s="76">
        <v>28419.999999999996</v>
      </c>
      <c r="F3405" s="77" t="s">
        <v>10174</v>
      </c>
    </row>
    <row r="3406" spans="1:6">
      <c r="A3406" s="82">
        <v>5</v>
      </c>
      <c r="B3406" s="83" t="s">
        <v>4296</v>
      </c>
      <c r="C3406" s="67" t="s">
        <v>4297</v>
      </c>
      <c r="D3406" s="91">
        <v>219300</v>
      </c>
      <c r="E3406" s="76">
        <v>16239.999999999998</v>
      </c>
      <c r="F3406" s="77" t="s">
        <v>10174</v>
      </c>
    </row>
    <row r="3407" spans="1:6">
      <c r="A3407" s="82">
        <v>5</v>
      </c>
      <c r="B3407" s="83" t="s">
        <v>4294</v>
      </c>
      <c r="C3407" s="67" t="s">
        <v>4295</v>
      </c>
      <c r="D3407" s="91">
        <v>164500</v>
      </c>
      <c r="E3407" s="76">
        <v>12179.999999999998</v>
      </c>
      <c r="F3407" s="77" t="s">
        <v>10174</v>
      </c>
    </row>
    <row r="3408" spans="1:6">
      <c r="A3408" s="82">
        <v>5</v>
      </c>
      <c r="B3408" s="67" t="s">
        <v>6611</v>
      </c>
      <c r="C3408" s="67" t="s">
        <v>6612</v>
      </c>
      <c r="D3408" s="91">
        <v>16996300</v>
      </c>
      <c r="E3408" s="76">
        <v>1258600</v>
      </c>
      <c r="F3408" s="77" t="s">
        <v>10174</v>
      </c>
    </row>
    <row r="3409" spans="1:6">
      <c r="A3409" s="82">
        <v>5</v>
      </c>
      <c r="B3409" s="67" t="s">
        <v>6613</v>
      </c>
      <c r="C3409" s="67" t="s">
        <v>6614</v>
      </c>
      <c r="D3409" s="91">
        <v>12473100</v>
      </c>
      <c r="E3409" s="76">
        <v>923650</v>
      </c>
      <c r="F3409" s="77" t="s">
        <v>10174</v>
      </c>
    </row>
    <row r="3410" spans="1:6">
      <c r="A3410" s="82">
        <v>5</v>
      </c>
      <c r="B3410" s="67" t="s">
        <v>6615</v>
      </c>
      <c r="C3410" s="67" t="s">
        <v>6616</v>
      </c>
      <c r="D3410" s="91">
        <v>9115000</v>
      </c>
      <c r="E3410" s="76">
        <v>674974.99999999988</v>
      </c>
      <c r="F3410" s="77" t="s">
        <v>10174</v>
      </c>
    </row>
    <row r="3411" spans="1:6">
      <c r="A3411" s="82">
        <v>5</v>
      </c>
      <c r="B3411" s="67" t="s">
        <v>6617</v>
      </c>
      <c r="C3411" s="67" t="s">
        <v>6618</v>
      </c>
      <c r="D3411" s="91">
        <v>3563700</v>
      </c>
      <c r="E3411" s="76">
        <v>263900</v>
      </c>
      <c r="F3411" s="77" t="s">
        <v>10174</v>
      </c>
    </row>
    <row r="3412" spans="1:6">
      <c r="A3412" s="82">
        <v>5</v>
      </c>
      <c r="B3412" s="67" t="s">
        <v>6619</v>
      </c>
      <c r="C3412" s="67" t="s">
        <v>6620</v>
      </c>
      <c r="D3412" s="91">
        <v>2604300</v>
      </c>
      <c r="E3412" s="76">
        <v>192850</v>
      </c>
      <c r="F3412" s="77" t="s">
        <v>10174</v>
      </c>
    </row>
    <row r="3413" spans="1:6">
      <c r="A3413" s="82">
        <v>5</v>
      </c>
      <c r="B3413" s="67" t="s">
        <v>6621</v>
      </c>
      <c r="C3413" s="67" t="s">
        <v>6622</v>
      </c>
      <c r="D3413" s="91">
        <v>1918900</v>
      </c>
      <c r="E3413" s="76">
        <v>142100</v>
      </c>
      <c r="F3413" s="77" t="s">
        <v>10174</v>
      </c>
    </row>
    <row r="3414" spans="1:6">
      <c r="A3414" s="82">
        <v>5</v>
      </c>
      <c r="B3414" s="67" t="s">
        <v>6623</v>
      </c>
      <c r="C3414" s="67" t="s">
        <v>6624</v>
      </c>
      <c r="D3414" s="91">
        <v>822400</v>
      </c>
      <c r="E3414" s="76">
        <v>60900</v>
      </c>
      <c r="F3414" s="77" t="s">
        <v>10174</v>
      </c>
    </row>
    <row r="3415" spans="1:6">
      <c r="A3415" s="82">
        <v>5</v>
      </c>
      <c r="B3415" s="67" t="s">
        <v>6625</v>
      </c>
      <c r="C3415" s="67" t="s">
        <v>6626</v>
      </c>
      <c r="D3415" s="91">
        <v>616800</v>
      </c>
      <c r="E3415" s="76">
        <v>45674.999999999993</v>
      </c>
      <c r="F3415" s="77" t="s">
        <v>10174</v>
      </c>
    </row>
    <row r="3416" spans="1:6">
      <c r="A3416" s="82">
        <v>5</v>
      </c>
      <c r="B3416" s="67" t="s">
        <v>6627</v>
      </c>
      <c r="C3416" s="67" t="s">
        <v>6628</v>
      </c>
      <c r="D3416" s="91">
        <v>479700</v>
      </c>
      <c r="E3416" s="76">
        <v>35525</v>
      </c>
      <c r="F3416" s="77" t="s">
        <v>10174</v>
      </c>
    </row>
    <row r="3417" spans="1:6">
      <c r="A3417" s="82">
        <v>5</v>
      </c>
      <c r="B3417" s="67" t="s">
        <v>6629</v>
      </c>
      <c r="C3417" s="67" t="s">
        <v>6630</v>
      </c>
      <c r="D3417" s="91">
        <v>342700</v>
      </c>
      <c r="E3417" s="76">
        <v>25375</v>
      </c>
      <c r="F3417" s="77" t="s">
        <v>10174</v>
      </c>
    </row>
    <row r="3418" spans="1:6">
      <c r="A3418" s="82">
        <v>5</v>
      </c>
      <c r="B3418" s="67" t="s">
        <v>6631</v>
      </c>
      <c r="C3418" s="67" t="s">
        <v>6632</v>
      </c>
      <c r="D3418" s="91">
        <v>274100</v>
      </c>
      <c r="E3418" s="76">
        <v>20300</v>
      </c>
      <c r="F3418" s="77" t="s">
        <v>10174</v>
      </c>
    </row>
    <row r="3419" spans="1:6">
      <c r="A3419" s="82">
        <v>5</v>
      </c>
      <c r="B3419" s="67" t="s">
        <v>6633</v>
      </c>
      <c r="C3419" s="67" t="s">
        <v>6634</v>
      </c>
      <c r="D3419" s="91">
        <v>205600</v>
      </c>
      <c r="E3419" s="76">
        <v>15225</v>
      </c>
      <c r="F3419" s="77" t="s">
        <v>10174</v>
      </c>
    </row>
    <row r="3420" spans="1:6">
      <c r="A3420" s="82">
        <v>5</v>
      </c>
      <c r="B3420" s="67" t="s">
        <v>6635</v>
      </c>
      <c r="C3420" s="67" t="s">
        <v>6636</v>
      </c>
      <c r="D3420" s="91">
        <v>342700</v>
      </c>
      <c r="E3420" s="76">
        <v>25375</v>
      </c>
      <c r="F3420" s="77" t="s">
        <v>10174</v>
      </c>
    </row>
    <row r="3421" spans="1:6">
      <c r="A3421" s="82">
        <v>5</v>
      </c>
      <c r="B3421" s="67" t="s">
        <v>6637</v>
      </c>
      <c r="C3421" s="67" t="s">
        <v>6638</v>
      </c>
      <c r="D3421" s="91">
        <v>274100</v>
      </c>
      <c r="E3421" s="76">
        <v>20300</v>
      </c>
      <c r="F3421" s="77" t="s">
        <v>10174</v>
      </c>
    </row>
    <row r="3422" spans="1:6">
      <c r="A3422" s="82">
        <v>5</v>
      </c>
      <c r="B3422" s="67" t="s">
        <v>6639</v>
      </c>
      <c r="C3422" s="67" t="s">
        <v>6640</v>
      </c>
      <c r="D3422" s="91">
        <v>205600</v>
      </c>
      <c r="E3422" s="76">
        <v>15225</v>
      </c>
      <c r="F3422" s="77" t="s">
        <v>10174</v>
      </c>
    </row>
    <row r="3423" spans="1:6">
      <c r="A3423" s="82">
        <v>5</v>
      </c>
      <c r="B3423" s="67" t="s">
        <v>6641</v>
      </c>
      <c r="C3423" s="67" t="s">
        <v>6642</v>
      </c>
      <c r="D3423" s="91">
        <v>205600</v>
      </c>
      <c r="E3423" s="76">
        <v>15225</v>
      </c>
      <c r="F3423" s="77" t="s">
        <v>10174</v>
      </c>
    </row>
    <row r="3424" spans="1:6">
      <c r="A3424" s="82">
        <v>5</v>
      </c>
      <c r="B3424" s="67" t="s">
        <v>6643</v>
      </c>
      <c r="C3424" s="67" t="s">
        <v>6644</v>
      </c>
      <c r="D3424" s="91">
        <v>137100</v>
      </c>
      <c r="E3424" s="76">
        <v>10150</v>
      </c>
      <c r="F3424" s="77" t="s">
        <v>10174</v>
      </c>
    </row>
    <row r="3425" spans="1:6">
      <c r="A3425" s="82">
        <v>5</v>
      </c>
      <c r="B3425" s="67" t="s">
        <v>6645</v>
      </c>
      <c r="C3425" s="67" t="s">
        <v>6646</v>
      </c>
      <c r="D3425" s="91">
        <v>137100</v>
      </c>
      <c r="E3425" s="76">
        <v>10150</v>
      </c>
      <c r="F3425" s="77" t="s">
        <v>10174</v>
      </c>
    </row>
    <row r="3426" spans="1:6">
      <c r="A3426" s="82">
        <v>5</v>
      </c>
      <c r="B3426" s="83" t="s">
        <v>6257</v>
      </c>
      <c r="C3426" s="67" t="s">
        <v>6258</v>
      </c>
      <c r="D3426" s="91">
        <v>17955800</v>
      </c>
      <c r="E3426" s="76">
        <v>1329649.9999999998</v>
      </c>
      <c r="F3426" s="77" t="s">
        <v>10174</v>
      </c>
    </row>
    <row r="3427" spans="1:6" ht="25.5">
      <c r="A3427" s="82">
        <v>5</v>
      </c>
      <c r="B3427" s="83" t="s">
        <v>6259</v>
      </c>
      <c r="C3427" s="67" t="s">
        <v>6260</v>
      </c>
      <c r="D3427" s="91">
        <v>13843800</v>
      </c>
      <c r="E3427" s="76">
        <v>1025150</v>
      </c>
      <c r="F3427" s="77" t="s">
        <v>10174</v>
      </c>
    </row>
    <row r="3428" spans="1:6">
      <c r="A3428" s="82">
        <v>5</v>
      </c>
      <c r="B3428" s="83" t="s">
        <v>6261</v>
      </c>
      <c r="C3428" s="67" t="s">
        <v>6262</v>
      </c>
      <c r="D3428" s="91">
        <v>4386100</v>
      </c>
      <c r="E3428" s="76">
        <v>324800</v>
      </c>
      <c r="F3428" s="77" t="s">
        <v>10174</v>
      </c>
    </row>
    <row r="3429" spans="1:6" ht="25.5">
      <c r="A3429" s="82">
        <v>5</v>
      </c>
      <c r="B3429" s="83" t="s">
        <v>6263</v>
      </c>
      <c r="C3429" s="67" t="s">
        <v>6264</v>
      </c>
      <c r="D3429" s="91">
        <v>3358100</v>
      </c>
      <c r="E3429" s="76">
        <v>248675</v>
      </c>
      <c r="F3429" s="77" t="s">
        <v>10174</v>
      </c>
    </row>
    <row r="3430" spans="1:6">
      <c r="A3430" s="82">
        <v>5</v>
      </c>
      <c r="B3430" s="83" t="s">
        <v>6265</v>
      </c>
      <c r="C3430" s="67" t="s">
        <v>6266</v>
      </c>
      <c r="D3430" s="91">
        <v>1096500</v>
      </c>
      <c r="E3430" s="76">
        <v>81200</v>
      </c>
      <c r="F3430" s="77" t="s">
        <v>10174</v>
      </c>
    </row>
    <row r="3431" spans="1:6" ht="25.5">
      <c r="A3431" s="82">
        <v>5</v>
      </c>
      <c r="B3431" s="83" t="s">
        <v>6267</v>
      </c>
      <c r="C3431" s="67" t="s">
        <v>6268</v>
      </c>
      <c r="D3431" s="91">
        <v>822400</v>
      </c>
      <c r="E3431" s="76">
        <v>60900</v>
      </c>
      <c r="F3431" s="77" t="s">
        <v>10174</v>
      </c>
    </row>
    <row r="3432" spans="1:6">
      <c r="A3432" s="82">
        <v>5</v>
      </c>
      <c r="B3432" s="67" t="s">
        <v>7093</v>
      </c>
      <c r="C3432" s="67" t="s">
        <v>8133</v>
      </c>
      <c r="D3432" s="91">
        <v>527913600</v>
      </c>
      <c r="E3432" s="76">
        <v>39092725</v>
      </c>
      <c r="F3432" s="77" t="s">
        <v>10174</v>
      </c>
    </row>
    <row r="3433" spans="1:6">
      <c r="A3433" s="82">
        <v>5</v>
      </c>
      <c r="B3433" s="67" t="s">
        <v>7094</v>
      </c>
      <c r="C3433" s="67" t="s">
        <v>8134</v>
      </c>
      <c r="D3433" s="91">
        <v>422303400</v>
      </c>
      <c r="E3433" s="76">
        <v>31272150</v>
      </c>
      <c r="F3433" s="77" t="s">
        <v>10174</v>
      </c>
    </row>
    <row r="3434" spans="1:6">
      <c r="A3434" s="82">
        <v>5</v>
      </c>
      <c r="B3434" s="67" t="s">
        <v>7095</v>
      </c>
      <c r="C3434" s="67" t="s">
        <v>8135</v>
      </c>
      <c r="D3434" s="91">
        <v>397220200</v>
      </c>
      <c r="E3434" s="76">
        <v>29414700</v>
      </c>
      <c r="F3434" s="77" t="s">
        <v>10174</v>
      </c>
    </row>
    <row r="3435" spans="1:6">
      <c r="A3435" s="82">
        <v>5</v>
      </c>
      <c r="B3435" s="67" t="s">
        <v>7096</v>
      </c>
      <c r="C3435" s="67" t="s">
        <v>8136</v>
      </c>
      <c r="D3435" s="91">
        <v>317789800</v>
      </c>
      <c r="E3435" s="76">
        <v>23532774.999999996</v>
      </c>
      <c r="F3435" s="77" t="s">
        <v>10174</v>
      </c>
    </row>
    <row r="3436" spans="1:6">
      <c r="A3436" s="82">
        <v>5</v>
      </c>
      <c r="B3436" s="67" t="s">
        <v>5888</v>
      </c>
      <c r="C3436" s="67" t="s">
        <v>8137</v>
      </c>
      <c r="D3436" s="91">
        <v>397220200</v>
      </c>
      <c r="E3436" s="76">
        <v>29414700</v>
      </c>
      <c r="F3436" s="77" t="s">
        <v>10174</v>
      </c>
    </row>
    <row r="3437" spans="1:6">
      <c r="A3437" s="82">
        <v>5</v>
      </c>
      <c r="B3437" s="67" t="s">
        <v>5887</v>
      </c>
      <c r="C3437" s="67" t="s">
        <v>8138</v>
      </c>
      <c r="D3437" s="91">
        <v>317789800</v>
      </c>
      <c r="E3437" s="76">
        <v>23532774.999999996</v>
      </c>
      <c r="F3437" s="77" t="s">
        <v>10174</v>
      </c>
    </row>
    <row r="3438" spans="1:6">
      <c r="A3438" s="82">
        <v>5</v>
      </c>
      <c r="B3438" s="67" t="s">
        <v>7097</v>
      </c>
      <c r="C3438" s="67" t="s">
        <v>8139</v>
      </c>
      <c r="D3438" s="91">
        <v>254807600</v>
      </c>
      <c r="E3438" s="76">
        <v>18868850</v>
      </c>
      <c r="F3438" s="77" t="s">
        <v>10174</v>
      </c>
    </row>
    <row r="3439" spans="1:6">
      <c r="A3439" s="82">
        <v>5</v>
      </c>
      <c r="B3439" s="67" t="s">
        <v>7098</v>
      </c>
      <c r="C3439" s="67" t="s">
        <v>8140</v>
      </c>
      <c r="D3439" s="91">
        <v>203818600</v>
      </c>
      <c r="E3439" s="76">
        <v>15093050</v>
      </c>
      <c r="F3439" s="77" t="s">
        <v>10174</v>
      </c>
    </row>
    <row r="3440" spans="1:6">
      <c r="A3440" s="82">
        <v>5</v>
      </c>
      <c r="B3440" s="67" t="s">
        <v>5895</v>
      </c>
      <c r="C3440" s="67" t="s">
        <v>8141</v>
      </c>
      <c r="D3440" s="91">
        <v>254807600</v>
      </c>
      <c r="E3440" s="76">
        <v>18868850</v>
      </c>
      <c r="F3440" s="77" t="s">
        <v>10174</v>
      </c>
    </row>
    <row r="3441" spans="1:6">
      <c r="A3441" s="82">
        <v>5</v>
      </c>
      <c r="B3441" s="67" t="s">
        <v>5894</v>
      </c>
      <c r="C3441" s="67" t="s">
        <v>8142</v>
      </c>
      <c r="D3441" s="91">
        <v>203818600</v>
      </c>
      <c r="E3441" s="76">
        <v>15093050</v>
      </c>
      <c r="F3441" s="77" t="s">
        <v>10174</v>
      </c>
    </row>
    <row r="3442" spans="1:6">
      <c r="A3442" s="82">
        <v>5</v>
      </c>
      <c r="B3442" s="67" t="s">
        <v>7099</v>
      </c>
      <c r="C3442" s="67" t="s">
        <v>8143</v>
      </c>
      <c r="D3442" s="91">
        <v>181134000</v>
      </c>
      <c r="E3442" s="76">
        <v>13413225</v>
      </c>
      <c r="F3442" s="77" t="s">
        <v>10174</v>
      </c>
    </row>
    <row r="3443" spans="1:6">
      <c r="A3443" s="82">
        <v>5</v>
      </c>
      <c r="B3443" s="67" t="s">
        <v>7100</v>
      </c>
      <c r="C3443" s="67" t="s">
        <v>8144</v>
      </c>
      <c r="D3443" s="91">
        <v>144879800</v>
      </c>
      <c r="E3443" s="76">
        <v>10728549.999999998</v>
      </c>
      <c r="F3443" s="77" t="s">
        <v>10174</v>
      </c>
    </row>
    <row r="3444" spans="1:6">
      <c r="A3444" s="82">
        <v>5</v>
      </c>
      <c r="B3444" s="67" t="s">
        <v>6347</v>
      </c>
      <c r="C3444" s="67" t="s">
        <v>6348</v>
      </c>
      <c r="D3444" s="91">
        <v>181134000</v>
      </c>
      <c r="E3444" s="76">
        <v>13413225</v>
      </c>
      <c r="F3444" s="77" t="s">
        <v>10174</v>
      </c>
    </row>
    <row r="3445" spans="1:6">
      <c r="A3445" s="82">
        <v>5</v>
      </c>
      <c r="B3445" s="67" t="s">
        <v>6349</v>
      </c>
      <c r="C3445" s="67" t="s">
        <v>6350</v>
      </c>
      <c r="D3445" s="91">
        <v>144879800</v>
      </c>
      <c r="E3445" s="76">
        <v>10728549.999999998</v>
      </c>
      <c r="F3445" s="77" t="s">
        <v>10174</v>
      </c>
    </row>
    <row r="3446" spans="1:6">
      <c r="A3446" s="82">
        <v>5</v>
      </c>
      <c r="B3446" s="83" t="s">
        <v>2185</v>
      </c>
      <c r="C3446" s="67" t="s">
        <v>2186</v>
      </c>
      <c r="D3446" s="91">
        <v>90601300</v>
      </c>
      <c r="E3446" s="76">
        <v>6709150</v>
      </c>
      <c r="F3446" s="77" t="s">
        <v>10174</v>
      </c>
    </row>
    <row r="3447" spans="1:6">
      <c r="A3447" s="82">
        <v>5</v>
      </c>
      <c r="B3447" s="83" t="s">
        <v>2183</v>
      </c>
      <c r="C3447" s="67" t="s">
        <v>2184</v>
      </c>
      <c r="D3447" s="91">
        <v>72439900</v>
      </c>
      <c r="E3447" s="76">
        <v>5364274.9999999991</v>
      </c>
      <c r="F3447" s="77" t="s">
        <v>10174</v>
      </c>
    </row>
    <row r="3448" spans="1:6">
      <c r="A3448" s="82">
        <v>5</v>
      </c>
      <c r="B3448" s="83" t="s">
        <v>2067</v>
      </c>
      <c r="C3448" s="67" t="s">
        <v>2068</v>
      </c>
      <c r="D3448" s="91">
        <v>127403800</v>
      </c>
      <c r="E3448" s="76">
        <v>9434425</v>
      </c>
      <c r="F3448" s="77" t="s">
        <v>10174</v>
      </c>
    </row>
    <row r="3449" spans="1:6">
      <c r="A3449" s="82">
        <v>5</v>
      </c>
      <c r="B3449" s="83" t="s">
        <v>2065</v>
      </c>
      <c r="C3449" s="67" t="s">
        <v>2066</v>
      </c>
      <c r="D3449" s="91">
        <v>101909300</v>
      </c>
      <c r="E3449" s="76">
        <v>7546525</v>
      </c>
      <c r="F3449" s="77" t="s">
        <v>10174</v>
      </c>
    </row>
    <row r="3450" spans="1:6">
      <c r="A3450" s="82">
        <v>5</v>
      </c>
      <c r="B3450" s="83" t="s">
        <v>3619</v>
      </c>
      <c r="C3450" s="67" t="s">
        <v>3620</v>
      </c>
      <c r="D3450" s="91">
        <v>173801000</v>
      </c>
      <c r="E3450" s="76">
        <v>12870200</v>
      </c>
      <c r="F3450" s="77" t="s">
        <v>10174</v>
      </c>
    </row>
    <row r="3451" spans="1:6">
      <c r="A3451" s="82">
        <v>5</v>
      </c>
      <c r="B3451" s="83" t="s">
        <v>3617</v>
      </c>
      <c r="C3451" s="67" t="s">
        <v>3618</v>
      </c>
      <c r="D3451" s="91">
        <v>133640300</v>
      </c>
      <c r="E3451" s="76">
        <v>9896250</v>
      </c>
      <c r="F3451" s="77" t="s">
        <v>10174</v>
      </c>
    </row>
    <row r="3452" spans="1:6">
      <c r="A3452" s="82">
        <v>5</v>
      </c>
      <c r="B3452" s="83" t="s">
        <v>3081</v>
      </c>
      <c r="C3452" s="67" t="s">
        <v>3082</v>
      </c>
      <c r="D3452" s="91">
        <v>186822300</v>
      </c>
      <c r="E3452" s="76">
        <v>13834450</v>
      </c>
      <c r="F3452" s="77" t="s">
        <v>10174</v>
      </c>
    </row>
    <row r="3453" spans="1:6">
      <c r="A3453" s="82">
        <v>5</v>
      </c>
      <c r="B3453" s="83" t="s">
        <v>3083</v>
      </c>
      <c r="C3453" s="67" t="s">
        <v>3084</v>
      </c>
      <c r="D3453" s="91">
        <v>144674200</v>
      </c>
      <c r="E3453" s="76">
        <v>10713324.999999998</v>
      </c>
      <c r="F3453" s="77" t="s">
        <v>10174</v>
      </c>
    </row>
    <row r="3454" spans="1:6">
      <c r="A3454" s="82">
        <v>5</v>
      </c>
      <c r="B3454" s="83" t="s">
        <v>4991</v>
      </c>
      <c r="C3454" s="67" t="s">
        <v>4992</v>
      </c>
      <c r="D3454" s="91">
        <v>186822300</v>
      </c>
      <c r="E3454" s="76">
        <v>13834450</v>
      </c>
      <c r="F3454" s="77" t="s">
        <v>10174</v>
      </c>
    </row>
    <row r="3455" spans="1:6">
      <c r="A3455" s="82">
        <v>5</v>
      </c>
      <c r="B3455" s="83" t="s">
        <v>4993</v>
      </c>
      <c r="C3455" s="67" t="s">
        <v>4994</v>
      </c>
      <c r="D3455" s="91">
        <v>144674200</v>
      </c>
      <c r="E3455" s="76">
        <v>10713324.999999998</v>
      </c>
      <c r="F3455" s="77" t="s">
        <v>10174</v>
      </c>
    </row>
    <row r="3456" spans="1:6">
      <c r="A3456" s="82">
        <v>5</v>
      </c>
      <c r="B3456" s="83" t="s">
        <v>1749</v>
      </c>
      <c r="C3456" s="67" t="s">
        <v>1750</v>
      </c>
      <c r="D3456" s="91">
        <v>56403100</v>
      </c>
      <c r="E3456" s="76">
        <v>4176725</v>
      </c>
      <c r="F3456" s="77" t="s">
        <v>10174</v>
      </c>
    </row>
    <row r="3457" spans="1:6">
      <c r="A3457" s="82">
        <v>5</v>
      </c>
      <c r="B3457" s="83" t="s">
        <v>1747</v>
      </c>
      <c r="C3457" s="67" t="s">
        <v>1748</v>
      </c>
      <c r="D3457" s="91">
        <v>42764900</v>
      </c>
      <c r="E3457" s="76">
        <v>3166800</v>
      </c>
      <c r="F3457" s="77" t="s">
        <v>10174</v>
      </c>
    </row>
    <row r="3458" spans="1:6">
      <c r="A3458" s="82">
        <v>5</v>
      </c>
      <c r="B3458" s="83" t="s">
        <v>1775</v>
      </c>
      <c r="C3458" s="67" t="s">
        <v>1776</v>
      </c>
      <c r="D3458" s="91">
        <v>81966100</v>
      </c>
      <c r="E3458" s="76">
        <v>6069700</v>
      </c>
      <c r="F3458" s="77" t="s">
        <v>10174</v>
      </c>
    </row>
    <row r="3459" spans="1:6">
      <c r="A3459" s="82">
        <v>5</v>
      </c>
      <c r="B3459" s="83" t="s">
        <v>1773</v>
      </c>
      <c r="C3459" s="67" t="s">
        <v>1774</v>
      </c>
      <c r="D3459" s="91">
        <v>63187900</v>
      </c>
      <c r="E3459" s="76">
        <v>4679150</v>
      </c>
      <c r="F3459" s="77" t="s">
        <v>10174</v>
      </c>
    </row>
    <row r="3460" spans="1:6">
      <c r="A3460" s="82">
        <v>5</v>
      </c>
      <c r="B3460" s="83" t="s">
        <v>2568</v>
      </c>
      <c r="C3460" s="67" t="s">
        <v>2569</v>
      </c>
      <c r="D3460" s="91">
        <v>125484800</v>
      </c>
      <c r="E3460" s="76">
        <v>9292325</v>
      </c>
      <c r="F3460" s="77" t="s">
        <v>10174</v>
      </c>
    </row>
    <row r="3461" spans="1:6">
      <c r="A3461" s="82">
        <v>5</v>
      </c>
      <c r="B3461" s="83" t="s">
        <v>2566</v>
      </c>
      <c r="C3461" s="67" t="s">
        <v>2567</v>
      </c>
      <c r="D3461" s="91">
        <v>96495200</v>
      </c>
      <c r="E3461" s="76">
        <v>7145600</v>
      </c>
      <c r="F3461" s="77" t="s">
        <v>10174</v>
      </c>
    </row>
    <row r="3462" spans="1:6">
      <c r="A3462" s="82">
        <v>5</v>
      </c>
      <c r="B3462" s="83" t="s">
        <v>727</v>
      </c>
      <c r="C3462" s="67" t="s">
        <v>728</v>
      </c>
      <c r="D3462" s="91">
        <v>115684500</v>
      </c>
      <c r="E3462" s="76">
        <v>8566600</v>
      </c>
      <c r="F3462" s="77" t="s">
        <v>10174</v>
      </c>
    </row>
    <row r="3463" spans="1:6">
      <c r="A3463" s="82">
        <v>5</v>
      </c>
      <c r="B3463" s="83" t="s">
        <v>729</v>
      </c>
      <c r="C3463" s="67" t="s">
        <v>730</v>
      </c>
      <c r="D3463" s="91">
        <v>91629300</v>
      </c>
      <c r="E3463" s="76">
        <v>6785275</v>
      </c>
      <c r="F3463" s="77" t="s">
        <v>10174</v>
      </c>
    </row>
    <row r="3464" spans="1:6">
      <c r="A3464" s="82">
        <v>5</v>
      </c>
      <c r="B3464" s="83" t="s">
        <v>468</v>
      </c>
      <c r="C3464" s="67" t="s">
        <v>469</v>
      </c>
      <c r="D3464" s="91">
        <v>93137000</v>
      </c>
      <c r="E3464" s="76">
        <v>6896925</v>
      </c>
      <c r="F3464" s="77" t="s">
        <v>10174</v>
      </c>
    </row>
    <row r="3465" spans="1:6">
      <c r="A3465" s="82">
        <v>5</v>
      </c>
      <c r="B3465" s="83" t="s">
        <v>466</v>
      </c>
      <c r="C3465" s="67" t="s">
        <v>467</v>
      </c>
      <c r="D3465" s="91">
        <v>77854100</v>
      </c>
      <c r="E3465" s="76">
        <v>5765199.9999999991</v>
      </c>
      <c r="F3465" s="77" t="s">
        <v>10174</v>
      </c>
    </row>
    <row r="3466" spans="1:6">
      <c r="A3466" s="82">
        <v>5</v>
      </c>
      <c r="B3466" s="83" t="s">
        <v>372</v>
      </c>
      <c r="C3466" s="67" t="s">
        <v>373</v>
      </c>
      <c r="D3466" s="91">
        <v>53250500</v>
      </c>
      <c r="E3466" s="76">
        <v>3943275</v>
      </c>
      <c r="F3466" s="77" t="s">
        <v>10174</v>
      </c>
    </row>
    <row r="3467" spans="1:6">
      <c r="A3467" s="82">
        <v>5</v>
      </c>
      <c r="B3467" s="83" t="s">
        <v>370</v>
      </c>
      <c r="C3467" s="67" t="s">
        <v>371</v>
      </c>
      <c r="D3467" s="91">
        <v>45026500</v>
      </c>
      <c r="E3467" s="76">
        <v>3334275</v>
      </c>
      <c r="F3467" s="77" t="s">
        <v>10174</v>
      </c>
    </row>
    <row r="3468" spans="1:6">
      <c r="A3468" s="82">
        <v>5</v>
      </c>
      <c r="B3468" s="83" t="s">
        <v>360</v>
      </c>
      <c r="C3468" s="67" t="s">
        <v>361</v>
      </c>
      <c r="D3468" s="91">
        <v>39818000</v>
      </c>
      <c r="E3468" s="76">
        <v>2948574.9999999995</v>
      </c>
      <c r="F3468" s="77" t="s">
        <v>10174</v>
      </c>
    </row>
    <row r="3469" spans="1:6">
      <c r="A3469" s="82">
        <v>5</v>
      </c>
      <c r="B3469" s="83" t="s">
        <v>358</v>
      </c>
      <c r="C3469" s="67" t="s">
        <v>359</v>
      </c>
      <c r="D3469" s="91">
        <v>33841800</v>
      </c>
      <c r="E3469" s="76">
        <v>2506035</v>
      </c>
      <c r="F3469" s="77" t="s">
        <v>10174</v>
      </c>
    </row>
    <row r="3470" spans="1:6">
      <c r="A3470" s="82">
        <v>5</v>
      </c>
      <c r="B3470" s="83" t="s">
        <v>380</v>
      </c>
      <c r="C3470" s="67" t="s">
        <v>381</v>
      </c>
      <c r="D3470" s="91">
        <v>41394200</v>
      </c>
      <c r="E3470" s="76">
        <v>3065300</v>
      </c>
      <c r="F3470" s="77" t="s">
        <v>10174</v>
      </c>
    </row>
    <row r="3471" spans="1:6">
      <c r="A3471" s="82">
        <v>5</v>
      </c>
      <c r="B3471" s="83" t="s">
        <v>378</v>
      </c>
      <c r="C3471" s="67" t="s">
        <v>379</v>
      </c>
      <c r="D3471" s="91">
        <v>35020600</v>
      </c>
      <c r="E3471" s="76">
        <v>2593325</v>
      </c>
      <c r="F3471" s="77" t="s">
        <v>10174</v>
      </c>
    </row>
    <row r="3472" spans="1:6">
      <c r="A3472" s="82">
        <v>5</v>
      </c>
      <c r="B3472" s="83" t="s">
        <v>384</v>
      </c>
      <c r="C3472" s="67" t="s">
        <v>385</v>
      </c>
      <c r="D3472" s="91">
        <v>30223300</v>
      </c>
      <c r="E3472" s="76">
        <v>2238075</v>
      </c>
      <c r="F3472" s="77" t="s">
        <v>10174</v>
      </c>
    </row>
    <row r="3473" spans="1:6">
      <c r="A3473" s="82">
        <v>5</v>
      </c>
      <c r="B3473" s="83" t="s">
        <v>382</v>
      </c>
      <c r="C3473" s="67" t="s">
        <v>383</v>
      </c>
      <c r="D3473" s="91">
        <v>25741200</v>
      </c>
      <c r="E3473" s="76">
        <v>1906169.9999999998</v>
      </c>
      <c r="F3473" s="77" t="s">
        <v>10174</v>
      </c>
    </row>
    <row r="3474" spans="1:6">
      <c r="A3474" s="82">
        <v>5</v>
      </c>
      <c r="B3474" s="83" t="s">
        <v>390</v>
      </c>
      <c r="C3474" s="67" t="s">
        <v>391</v>
      </c>
      <c r="D3474" s="91">
        <v>15625600</v>
      </c>
      <c r="E3474" s="76">
        <v>1157100</v>
      </c>
      <c r="F3474" s="77" t="s">
        <v>10174</v>
      </c>
    </row>
    <row r="3475" spans="1:6">
      <c r="A3475" s="82">
        <v>5</v>
      </c>
      <c r="B3475" s="83" t="s">
        <v>388</v>
      </c>
      <c r="C3475" s="67" t="s">
        <v>389</v>
      </c>
      <c r="D3475" s="91">
        <v>14172700</v>
      </c>
      <c r="E3475" s="76">
        <v>1049510</v>
      </c>
      <c r="F3475" s="77" t="s">
        <v>10174</v>
      </c>
    </row>
    <row r="3476" spans="1:6">
      <c r="A3476" s="82">
        <v>5</v>
      </c>
      <c r="B3476" s="83" t="s">
        <v>394</v>
      </c>
      <c r="C3476" s="67" t="s">
        <v>395</v>
      </c>
      <c r="D3476" s="91">
        <v>9978500</v>
      </c>
      <c r="E3476" s="76">
        <v>738920</v>
      </c>
      <c r="F3476" s="77" t="s">
        <v>10174</v>
      </c>
    </row>
    <row r="3477" spans="1:6">
      <c r="A3477" s="82">
        <v>5</v>
      </c>
      <c r="B3477" s="83" t="s">
        <v>392</v>
      </c>
      <c r="C3477" s="67" t="s">
        <v>393</v>
      </c>
      <c r="D3477" s="91">
        <v>8977900</v>
      </c>
      <c r="E3477" s="76">
        <v>664824.99999999988</v>
      </c>
      <c r="F3477" s="77" t="s">
        <v>10174</v>
      </c>
    </row>
    <row r="3478" spans="1:6">
      <c r="A3478" s="82">
        <v>5</v>
      </c>
      <c r="B3478" s="83" t="s">
        <v>3200</v>
      </c>
      <c r="C3478" s="67" t="s">
        <v>1047</v>
      </c>
      <c r="D3478" s="91">
        <v>40640400</v>
      </c>
      <c r="E3478" s="76">
        <v>3009475</v>
      </c>
      <c r="F3478" s="77" t="s">
        <v>10174</v>
      </c>
    </row>
    <row r="3479" spans="1:6">
      <c r="A3479" s="82">
        <v>5</v>
      </c>
      <c r="B3479" s="83" t="s">
        <v>3201</v>
      </c>
      <c r="C3479" s="67" t="s">
        <v>3202</v>
      </c>
      <c r="D3479" s="91">
        <v>33841800</v>
      </c>
      <c r="E3479" s="76">
        <v>2506035</v>
      </c>
      <c r="F3479" s="77" t="s">
        <v>10174</v>
      </c>
    </row>
    <row r="3480" spans="1:6">
      <c r="A3480" s="82">
        <v>5</v>
      </c>
      <c r="B3480" s="83" t="s">
        <v>3196</v>
      </c>
      <c r="C3480" s="67" t="s">
        <v>3197</v>
      </c>
      <c r="D3480" s="91">
        <v>26755500</v>
      </c>
      <c r="E3480" s="76">
        <v>1981279.9999999998</v>
      </c>
      <c r="F3480" s="77" t="s">
        <v>10174</v>
      </c>
    </row>
    <row r="3481" spans="1:6">
      <c r="A3481" s="82">
        <v>5</v>
      </c>
      <c r="B3481" s="83" t="s">
        <v>3198</v>
      </c>
      <c r="C3481" s="67" t="s">
        <v>3199</v>
      </c>
      <c r="D3481" s="91">
        <v>22273400</v>
      </c>
      <c r="E3481" s="76">
        <v>1649375</v>
      </c>
      <c r="F3481" s="77" t="s">
        <v>10174</v>
      </c>
    </row>
    <row r="3482" spans="1:6">
      <c r="A3482" s="82">
        <v>5</v>
      </c>
      <c r="B3482" s="83" t="s">
        <v>1046</v>
      </c>
      <c r="C3482" s="67" t="s">
        <v>1047</v>
      </c>
      <c r="D3482" s="91">
        <v>40640400</v>
      </c>
      <c r="E3482" s="76">
        <v>3009475</v>
      </c>
      <c r="F3482" s="77" t="s">
        <v>10174</v>
      </c>
    </row>
    <row r="3483" spans="1:6">
      <c r="A3483" s="82">
        <v>5</v>
      </c>
      <c r="B3483" s="83" t="s">
        <v>1044</v>
      </c>
      <c r="C3483" s="67" t="s">
        <v>1045</v>
      </c>
      <c r="D3483" s="91">
        <v>33841800</v>
      </c>
      <c r="E3483" s="76">
        <v>2506035</v>
      </c>
      <c r="F3483" s="77" t="s">
        <v>10174</v>
      </c>
    </row>
    <row r="3484" spans="1:6">
      <c r="A3484" s="82">
        <v>5</v>
      </c>
      <c r="B3484" s="83" t="s">
        <v>1035</v>
      </c>
      <c r="C3484" s="67" t="s">
        <v>1036</v>
      </c>
      <c r="D3484" s="91">
        <v>26755500</v>
      </c>
      <c r="E3484" s="76">
        <v>1981279.9999999998</v>
      </c>
      <c r="F3484" s="77" t="s">
        <v>10174</v>
      </c>
    </row>
    <row r="3485" spans="1:6">
      <c r="A3485" s="82">
        <v>5</v>
      </c>
      <c r="B3485" s="83" t="s">
        <v>1033</v>
      </c>
      <c r="C3485" s="67" t="s">
        <v>1034</v>
      </c>
      <c r="D3485" s="91">
        <v>22273400</v>
      </c>
      <c r="E3485" s="76">
        <v>1649375</v>
      </c>
      <c r="F3485" s="77" t="s">
        <v>10174</v>
      </c>
    </row>
    <row r="3486" spans="1:6">
      <c r="A3486" s="82">
        <v>5</v>
      </c>
      <c r="B3486" s="83" t="s">
        <v>488</v>
      </c>
      <c r="C3486" s="67" t="s">
        <v>489</v>
      </c>
      <c r="D3486" s="91">
        <v>15625600</v>
      </c>
      <c r="E3486" s="76">
        <v>1157100</v>
      </c>
      <c r="F3486" s="77" t="s">
        <v>10174</v>
      </c>
    </row>
    <row r="3487" spans="1:6">
      <c r="A3487" s="82">
        <v>5</v>
      </c>
      <c r="B3487" s="83" t="s">
        <v>490</v>
      </c>
      <c r="C3487" s="67" t="s">
        <v>491</v>
      </c>
      <c r="D3487" s="91">
        <v>14172700</v>
      </c>
      <c r="E3487" s="76">
        <v>1049510</v>
      </c>
      <c r="F3487" s="77" t="s">
        <v>10174</v>
      </c>
    </row>
    <row r="3488" spans="1:6">
      <c r="A3488" s="82">
        <v>5</v>
      </c>
      <c r="B3488" s="83" t="s">
        <v>492</v>
      </c>
      <c r="C3488" s="67" t="s">
        <v>493</v>
      </c>
      <c r="D3488" s="91">
        <v>9978500</v>
      </c>
      <c r="E3488" s="76">
        <v>738920</v>
      </c>
      <c r="F3488" s="77" t="s">
        <v>10174</v>
      </c>
    </row>
    <row r="3489" spans="1:6">
      <c r="A3489" s="82">
        <v>5</v>
      </c>
      <c r="B3489" s="83" t="s">
        <v>494</v>
      </c>
      <c r="C3489" s="67" t="s">
        <v>495</v>
      </c>
      <c r="D3489" s="91">
        <v>8977900</v>
      </c>
      <c r="E3489" s="76">
        <v>664824.99999999988</v>
      </c>
      <c r="F3489" s="77" t="s">
        <v>10174</v>
      </c>
    </row>
    <row r="3490" spans="1:6">
      <c r="A3490" s="82">
        <v>5</v>
      </c>
      <c r="B3490" s="83" t="s">
        <v>597</v>
      </c>
      <c r="C3490" s="67" t="s">
        <v>598</v>
      </c>
      <c r="D3490" s="91">
        <v>40640400</v>
      </c>
      <c r="E3490" s="76">
        <v>3009475</v>
      </c>
      <c r="F3490" s="77" t="s">
        <v>10174</v>
      </c>
    </row>
    <row r="3491" spans="1:6">
      <c r="A3491" s="82">
        <v>5</v>
      </c>
      <c r="B3491" s="83" t="s">
        <v>1480</v>
      </c>
      <c r="C3491" s="67" t="s">
        <v>1481</v>
      </c>
      <c r="D3491" s="91">
        <v>33841800</v>
      </c>
      <c r="E3491" s="76">
        <v>2506035</v>
      </c>
      <c r="F3491" s="77" t="s">
        <v>10174</v>
      </c>
    </row>
    <row r="3492" spans="1:6">
      <c r="A3492" s="82">
        <v>5</v>
      </c>
      <c r="B3492" s="83" t="s">
        <v>386</v>
      </c>
      <c r="C3492" s="67" t="s">
        <v>387</v>
      </c>
      <c r="D3492" s="91">
        <v>26755500</v>
      </c>
      <c r="E3492" s="76">
        <v>1981279.9999999998</v>
      </c>
      <c r="F3492" s="77" t="s">
        <v>10174</v>
      </c>
    </row>
    <row r="3493" spans="1:6">
      <c r="A3493" s="82">
        <v>5</v>
      </c>
      <c r="B3493" s="83" t="s">
        <v>586</v>
      </c>
      <c r="C3493" s="67" t="s">
        <v>587</v>
      </c>
      <c r="D3493" s="91">
        <v>22273400</v>
      </c>
      <c r="E3493" s="76">
        <v>1649375</v>
      </c>
      <c r="F3493" s="77" t="s">
        <v>10174</v>
      </c>
    </row>
    <row r="3494" spans="1:6">
      <c r="A3494" s="82">
        <v>5</v>
      </c>
      <c r="B3494" s="83" t="s">
        <v>1248</v>
      </c>
      <c r="C3494" s="67" t="s">
        <v>1249</v>
      </c>
      <c r="D3494" s="91">
        <v>12651300</v>
      </c>
      <c r="E3494" s="76">
        <v>936844.99999999988</v>
      </c>
      <c r="F3494" s="77" t="s">
        <v>10174</v>
      </c>
    </row>
    <row r="3495" spans="1:6">
      <c r="A3495" s="82">
        <v>5</v>
      </c>
      <c r="B3495" s="83" t="s">
        <v>1250</v>
      </c>
      <c r="C3495" s="67" t="s">
        <v>1251</v>
      </c>
      <c r="D3495" s="91">
        <v>9718100</v>
      </c>
      <c r="E3495" s="76">
        <v>719634.99999999988</v>
      </c>
      <c r="F3495" s="77" t="s">
        <v>10174</v>
      </c>
    </row>
    <row r="3496" spans="1:6">
      <c r="A3496" s="82">
        <v>5</v>
      </c>
      <c r="B3496" s="83" t="s">
        <v>1244</v>
      </c>
      <c r="C3496" s="67" t="s">
        <v>1245</v>
      </c>
      <c r="D3496" s="91">
        <v>12486800</v>
      </c>
      <c r="E3496" s="76">
        <v>924664.99999999988</v>
      </c>
      <c r="F3496" s="77" t="s">
        <v>10174</v>
      </c>
    </row>
    <row r="3497" spans="1:6">
      <c r="A3497" s="82">
        <v>5</v>
      </c>
      <c r="B3497" s="83" t="s">
        <v>1246</v>
      </c>
      <c r="C3497" s="67" t="s">
        <v>1247</v>
      </c>
      <c r="D3497" s="91">
        <v>9567300</v>
      </c>
      <c r="E3497" s="76">
        <v>708470</v>
      </c>
      <c r="F3497" s="77" t="s">
        <v>10174</v>
      </c>
    </row>
    <row r="3498" spans="1:6">
      <c r="A3498" s="82">
        <v>5</v>
      </c>
      <c r="B3498" s="83" t="s">
        <v>3601</v>
      </c>
      <c r="C3498" s="67" t="s">
        <v>3602</v>
      </c>
      <c r="D3498" s="91">
        <v>15296700</v>
      </c>
      <c r="E3498" s="76">
        <v>1132740</v>
      </c>
      <c r="F3498" s="77" t="s">
        <v>10174</v>
      </c>
    </row>
    <row r="3499" spans="1:6">
      <c r="A3499" s="82">
        <v>5</v>
      </c>
      <c r="B3499" s="83" t="s">
        <v>3599</v>
      </c>
      <c r="C3499" s="67" t="s">
        <v>3600</v>
      </c>
      <c r="D3499" s="91">
        <v>11746600</v>
      </c>
      <c r="E3499" s="76">
        <v>869855</v>
      </c>
      <c r="F3499" s="77" t="s">
        <v>10174</v>
      </c>
    </row>
    <row r="3500" spans="1:6">
      <c r="A3500" s="82">
        <v>5</v>
      </c>
      <c r="B3500" s="83" t="s">
        <v>3926</v>
      </c>
      <c r="C3500" s="67" t="s">
        <v>3927</v>
      </c>
      <c r="D3500" s="91">
        <v>15091100</v>
      </c>
      <c r="E3500" s="76">
        <v>1117515</v>
      </c>
      <c r="F3500" s="77" t="s">
        <v>10174</v>
      </c>
    </row>
    <row r="3501" spans="1:6">
      <c r="A3501" s="82">
        <v>5</v>
      </c>
      <c r="B3501" s="83" t="s">
        <v>3924</v>
      </c>
      <c r="C3501" s="67" t="s">
        <v>3925</v>
      </c>
      <c r="D3501" s="91">
        <v>11623300</v>
      </c>
      <c r="E3501" s="76">
        <v>860719.99999999988</v>
      </c>
      <c r="F3501" s="77" t="s">
        <v>10174</v>
      </c>
    </row>
    <row r="3502" spans="1:6">
      <c r="A3502" s="82">
        <v>5</v>
      </c>
      <c r="B3502" s="83" t="s">
        <v>3589</v>
      </c>
      <c r="C3502" s="67" t="s">
        <v>3590</v>
      </c>
      <c r="D3502" s="91">
        <v>20176300</v>
      </c>
      <c r="E3502" s="76">
        <v>1494079.9999999998</v>
      </c>
      <c r="F3502" s="77" t="s">
        <v>10174</v>
      </c>
    </row>
    <row r="3503" spans="1:6">
      <c r="A3503" s="82">
        <v>5</v>
      </c>
      <c r="B3503" s="83" t="s">
        <v>3587</v>
      </c>
      <c r="C3503" s="67" t="s">
        <v>3588</v>
      </c>
      <c r="D3503" s="91">
        <v>15557100</v>
      </c>
      <c r="E3503" s="76">
        <v>1152025</v>
      </c>
      <c r="F3503" s="77" t="s">
        <v>10174</v>
      </c>
    </row>
    <row r="3504" spans="1:6">
      <c r="A3504" s="82">
        <v>5</v>
      </c>
      <c r="B3504" s="67" t="s">
        <v>5849</v>
      </c>
      <c r="C3504" s="67" t="s">
        <v>8145</v>
      </c>
      <c r="D3504" s="91">
        <v>58047900</v>
      </c>
      <c r="E3504" s="76">
        <v>4298525</v>
      </c>
      <c r="F3504" s="77" t="s">
        <v>10174</v>
      </c>
    </row>
    <row r="3505" spans="1:6">
      <c r="A3505" s="82">
        <v>5</v>
      </c>
      <c r="B3505" s="67" t="s">
        <v>5848</v>
      </c>
      <c r="C3505" s="67" t="s">
        <v>8146</v>
      </c>
      <c r="D3505" s="91">
        <v>44683800</v>
      </c>
      <c r="E3505" s="76">
        <v>3308900</v>
      </c>
      <c r="F3505" s="77" t="s">
        <v>10174</v>
      </c>
    </row>
    <row r="3506" spans="1:6">
      <c r="A3506" s="82">
        <v>5</v>
      </c>
      <c r="B3506" s="67" t="s">
        <v>6351</v>
      </c>
      <c r="C3506" s="67" t="s">
        <v>6352</v>
      </c>
      <c r="D3506" s="91">
        <v>41188600</v>
      </c>
      <c r="E3506" s="76">
        <v>3050075</v>
      </c>
      <c r="F3506" s="77" t="s">
        <v>10174</v>
      </c>
    </row>
    <row r="3507" spans="1:6" ht="25.5">
      <c r="A3507" s="82">
        <v>5</v>
      </c>
      <c r="B3507" s="67" t="s">
        <v>6353</v>
      </c>
      <c r="C3507" s="67" t="s">
        <v>6354</v>
      </c>
      <c r="D3507" s="91">
        <v>31662500</v>
      </c>
      <c r="E3507" s="76">
        <v>2344650</v>
      </c>
      <c r="F3507" s="77" t="s">
        <v>10174</v>
      </c>
    </row>
    <row r="3508" spans="1:6">
      <c r="A3508" s="82">
        <v>5</v>
      </c>
      <c r="B3508" s="67" t="s">
        <v>7101</v>
      </c>
      <c r="C3508" s="67" t="s">
        <v>8147</v>
      </c>
      <c r="D3508" s="91">
        <v>50988900</v>
      </c>
      <c r="E3508" s="76">
        <v>3775800</v>
      </c>
      <c r="F3508" s="77" t="s">
        <v>10174</v>
      </c>
    </row>
    <row r="3509" spans="1:6" ht="25.5">
      <c r="A3509" s="82">
        <v>5</v>
      </c>
      <c r="B3509" s="67" t="s">
        <v>7102</v>
      </c>
      <c r="C3509" s="67" t="s">
        <v>8148</v>
      </c>
      <c r="D3509" s="91">
        <v>39201200</v>
      </c>
      <c r="E3509" s="76">
        <v>2902899.9999999995</v>
      </c>
      <c r="F3509" s="77" t="s">
        <v>10174</v>
      </c>
    </row>
    <row r="3510" spans="1:6">
      <c r="A3510" s="82">
        <v>5</v>
      </c>
      <c r="B3510" s="83" t="s">
        <v>3958</v>
      </c>
      <c r="C3510" s="67" t="s">
        <v>4066</v>
      </c>
      <c r="D3510" s="91">
        <v>47699300</v>
      </c>
      <c r="E3510" s="76">
        <v>3532200</v>
      </c>
      <c r="F3510" s="77" t="s">
        <v>10174</v>
      </c>
    </row>
    <row r="3511" spans="1:6">
      <c r="A3511" s="82">
        <v>5</v>
      </c>
      <c r="B3511" s="83" t="s">
        <v>3959</v>
      </c>
      <c r="C3511" s="67" t="s">
        <v>4065</v>
      </c>
      <c r="D3511" s="91">
        <v>36665400</v>
      </c>
      <c r="E3511" s="76">
        <v>2715124.9999999995</v>
      </c>
      <c r="F3511" s="77" t="s">
        <v>10174</v>
      </c>
    </row>
    <row r="3512" spans="1:6">
      <c r="A3512" s="82">
        <v>5</v>
      </c>
      <c r="B3512" s="83" t="s">
        <v>3962</v>
      </c>
      <c r="C3512" s="67" t="s">
        <v>4071</v>
      </c>
      <c r="D3512" s="91">
        <v>54141500</v>
      </c>
      <c r="E3512" s="76">
        <v>4009250</v>
      </c>
      <c r="F3512" s="77" t="s">
        <v>10174</v>
      </c>
    </row>
    <row r="3513" spans="1:6">
      <c r="A3513" s="82">
        <v>5</v>
      </c>
      <c r="B3513" s="83" t="s">
        <v>3963</v>
      </c>
      <c r="C3513" s="67" t="s">
        <v>4070</v>
      </c>
      <c r="D3513" s="91">
        <v>41668400</v>
      </c>
      <c r="E3513" s="76">
        <v>3085600</v>
      </c>
      <c r="F3513" s="77" t="s">
        <v>10174</v>
      </c>
    </row>
    <row r="3514" spans="1:6">
      <c r="A3514" s="82">
        <v>5</v>
      </c>
      <c r="B3514" s="83" t="s">
        <v>3960</v>
      </c>
      <c r="C3514" s="67" t="s">
        <v>4076</v>
      </c>
      <c r="D3514" s="91">
        <v>60652100</v>
      </c>
      <c r="E3514" s="76">
        <v>4491375</v>
      </c>
      <c r="F3514" s="77" t="s">
        <v>10174</v>
      </c>
    </row>
    <row r="3515" spans="1:6">
      <c r="A3515" s="82">
        <v>5</v>
      </c>
      <c r="B3515" s="83" t="s">
        <v>3961</v>
      </c>
      <c r="C3515" s="67" t="s">
        <v>4075</v>
      </c>
      <c r="D3515" s="91">
        <v>46671300</v>
      </c>
      <c r="E3515" s="76">
        <v>3456075</v>
      </c>
      <c r="F3515" s="77" t="s">
        <v>10174</v>
      </c>
    </row>
    <row r="3516" spans="1:6">
      <c r="A3516" s="82">
        <v>5</v>
      </c>
      <c r="B3516" s="67" t="s">
        <v>6355</v>
      </c>
      <c r="C3516" s="67" t="s">
        <v>6356</v>
      </c>
      <c r="D3516" s="91">
        <v>64695600</v>
      </c>
      <c r="E3516" s="76">
        <v>4790800</v>
      </c>
      <c r="F3516" s="77" t="s">
        <v>10174</v>
      </c>
    </row>
    <row r="3517" spans="1:6">
      <c r="A3517" s="82">
        <v>5</v>
      </c>
      <c r="B3517" s="67" t="s">
        <v>6357</v>
      </c>
      <c r="C3517" s="67" t="s">
        <v>6358</v>
      </c>
      <c r="D3517" s="91">
        <v>49755300</v>
      </c>
      <c r="E3517" s="76">
        <v>3684450</v>
      </c>
      <c r="F3517" s="77" t="s">
        <v>10174</v>
      </c>
    </row>
    <row r="3518" spans="1:6">
      <c r="A3518" s="82">
        <v>5</v>
      </c>
      <c r="B3518" s="67" t="s">
        <v>6359</v>
      </c>
      <c r="C3518" s="67" t="s">
        <v>6360</v>
      </c>
      <c r="D3518" s="91">
        <v>78402300</v>
      </c>
      <c r="E3518" s="76">
        <v>5805799.9999999991</v>
      </c>
      <c r="F3518" s="77" t="s">
        <v>10174</v>
      </c>
    </row>
    <row r="3519" spans="1:6">
      <c r="A3519" s="82">
        <v>5</v>
      </c>
      <c r="B3519" s="67" t="s">
        <v>6361</v>
      </c>
      <c r="C3519" s="67" t="s">
        <v>6362</v>
      </c>
      <c r="D3519" s="91">
        <v>60309500</v>
      </c>
      <c r="E3519" s="76">
        <v>4466000</v>
      </c>
      <c r="F3519" s="77" t="s">
        <v>10174</v>
      </c>
    </row>
    <row r="3520" spans="1:6">
      <c r="A3520" s="82">
        <v>5</v>
      </c>
      <c r="B3520" s="67" t="s">
        <v>6363</v>
      </c>
      <c r="C3520" s="67" t="s">
        <v>6364</v>
      </c>
      <c r="D3520" s="91">
        <v>64695600</v>
      </c>
      <c r="E3520" s="76">
        <v>4790800</v>
      </c>
      <c r="F3520" s="77" t="s">
        <v>10174</v>
      </c>
    </row>
    <row r="3521" spans="1:6">
      <c r="A3521" s="82">
        <v>5</v>
      </c>
      <c r="B3521" s="67" t="s">
        <v>6365</v>
      </c>
      <c r="C3521" s="67" t="s">
        <v>6366</v>
      </c>
      <c r="D3521" s="91">
        <v>49755300</v>
      </c>
      <c r="E3521" s="76">
        <v>3684450</v>
      </c>
      <c r="F3521" s="77" t="s">
        <v>10174</v>
      </c>
    </row>
    <row r="3522" spans="1:6">
      <c r="A3522" s="82">
        <v>5</v>
      </c>
      <c r="B3522" s="67" t="s">
        <v>6367</v>
      </c>
      <c r="C3522" s="67" t="s">
        <v>6368</v>
      </c>
      <c r="D3522" s="91">
        <v>78402300</v>
      </c>
      <c r="E3522" s="76">
        <v>5805799.9999999991</v>
      </c>
      <c r="F3522" s="77" t="s">
        <v>10174</v>
      </c>
    </row>
    <row r="3523" spans="1:6">
      <c r="A3523" s="82">
        <v>5</v>
      </c>
      <c r="B3523" s="67" t="s">
        <v>6369</v>
      </c>
      <c r="C3523" s="67" t="s">
        <v>6370</v>
      </c>
      <c r="D3523" s="91">
        <v>60309500</v>
      </c>
      <c r="E3523" s="76">
        <v>4466000</v>
      </c>
      <c r="F3523" s="77" t="s">
        <v>10174</v>
      </c>
    </row>
    <row r="3524" spans="1:6">
      <c r="A3524" s="82">
        <v>5</v>
      </c>
      <c r="B3524" s="67" t="s">
        <v>6371</v>
      </c>
      <c r="C3524" s="67" t="s">
        <v>6372</v>
      </c>
      <c r="D3524" s="91">
        <v>37076600</v>
      </c>
      <c r="E3524" s="76">
        <v>2745574.9999999995</v>
      </c>
      <c r="F3524" s="77" t="s">
        <v>10174</v>
      </c>
    </row>
    <row r="3525" spans="1:6" ht="25.5">
      <c r="A3525" s="82">
        <v>5</v>
      </c>
      <c r="B3525" s="67" t="s">
        <v>6373</v>
      </c>
      <c r="C3525" s="67" t="s">
        <v>6374</v>
      </c>
      <c r="D3525" s="91">
        <v>28509900</v>
      </c>
      <c r="E3525" s="76">
        <v>2111200</v>
      </c>
      <c r="F3525" s="77" t="s">
        <v>10174</v>
      </c>
    </row>
    <row r="3526" spans="1:6">
      <c r="A3526" s="82">
        <v>5</v>
      </c>
      <c r="B3526" s="67" t="s">
        <v>6375</v>
      </c>
      <c r="C3526" s="67" t="s">
        <v>6376</v>
      </c>
      <c r="D3526" s="91">
        <v>44204100</v>
      </c>
      <c r="E3526" s="76">
        <v>3273375</v>
      </c>
      <c r="F3526" s="77" t="s">
        <v>10174</v>
      </c>
    </row>
    <row r="3527" spans="1:6" ht="25.5">
      <c r="A3527" s="82">
        <v>5</v>
      </c>
      <c r="B3527" s="67" t="s">
        <v>6377</v>
      </c>
      <c r="C3527" s="67" t="s">
        <v>6378</v>
      </c>
      <c r="D3527" s="91">
        <v>34061100</v>
      </c>
      <c r="E3527" s="76">
        <v>2522275</v>
      </c>
      <c r="F3527" s="77" t="s">
        <v>10174</v>
      </c>
    </row>
    <row r="3528" spans="1:6">
      <c r="A3528" s="82">
        <v>5</v>
      </c>
      <c r="B3528" s="83" t="s">
        <v>4822</v>
      </c>
      <c r="C3528" s="67" t="s">
        <v>4823</v>
      </c>
      <c r="D3528" s="91">
        <v>25974200</v>
      </c>
      <c r="E3528" s="76">
        <v>1923425</v>
      </c>
      <c r="F3528" s="77" t="s">
        <v>10174</v>
      </c>
    </row>
    <row r="3529" spans="1:6">
      <c r="A3529" s="82">
        <v>5</v>
      </c>
      <c r="B3529" s="83" t="s">
        <v>4824</v>
      </c>
      <c r="C3529" s="67" t="s">
        <v>4825</v>
      </c>
      <c r="D3529" s="91">
        <v>20011800</v>
      </c>
      <c r="E3529" s="76">
        <v>1481899.9999999998</v>
      </c>
      <c r="F3529" s="77" t="s">
        <v>10174</v>
      </c>
    </row>
    <row r="3530" spans="1:6">
      <c r="A3530" s="82">
        <v>5</v>
      </c>
      <c r="B3530" s="83" t="s">
        <v>4838</v>
      </c>
      <c r="C3530" s="67" t="s">
        <v>4839</v>
      </c>
      <c r="D3530" s="91">
        <v>30291800</v>
      </c>
      <c r="E3530" s="76">
        <v>2243150</v>
      </c>
      <c r="F3530" s="77" t="s">
        <v>10174</v>
      </c>
    </row>
    <row r="3531" spans="1:6">
      <c r="A3531" s="82">
        <v>5</v>
      </c>
      <c r="B3531" s="83" t="s">
        <v>4840</v>
      </c>
      <c r="C3531" s="67" t="s">
        <v>4841</v>
      </c>
      <c r="D3531" s="91">
        <v>23301400</v>
      </c>
      <c r="E3531" s="76">
        <v>1725500</v>
      </c>
      <c r="F3531" s="77" t="s">
        <v>10174</v>
      </c>
    </row>
    <row r="3532" spans="1:6">
      <c r="A3532" s="82">
        <v>5</v>
      </c>
      <c r="B3532" s="83" t="s">
        <v>4830</v>
      </c>
      <c r="C3532" s="67" t="s">
        <v>4831</v>
      </c>
      <c r="D3532" s="91">
        <v>34609400</v>
      </c>
      <c r="E3532" s="76">
        <v>2562875</v>
      </c>
      <c r="F3532" s="77" t="s">
        <v>10174</v>
      </c>
    </row>
    <row r="3533" spans="1:6">
      <c r="A3533" s="82">
        <v>5</v>
      </c>
      <c r="B3533" s="83" t="s">
        <v>4832</v>
      </c>
      <c r="C3533" s="67" t="s">
        <v>4833</v>
      </c>
      <c r="D3533" s="91">
        <v>26659500</v>
      </c>
      <c r="E3533" s="76">
        <v>1974175</v>
      </c>
      <c r="F3533" s="77" t="s">
        <v>10174</v>
      </c>
    </row>
    <row r="3534" spans="1:6">
      <c r="A3534" s="82">
        <v>5</v>
      </c>
      <c r="B3534" s="83" t="s">
        <v>5032</v>
      </c>
      <c r="C3534" s="67" t="s">
        <v>5033</v>
      </c>
      <c r="D3534" s="91">
        <v>25974200</v>
      </c>
      <c r="E3534" s="76">
        <v>1923425</v>
      </c>
      <c r="F3534" s="77" t="s">
        <v>10174</v>
      </c>
    </row>
    <row r="3535" spans="1:6">
      <c r="A3535" s="82">
        <v>5</v>
      </c>
      <c r="B3535" s="83" t="s">
        <v>5034</v>
      </c>
      <c r="C3535" s="67" t="s">
        <v>5035</v>
      </c>
      <c r="D3535" s="91">
        <v>20011800</v>
      </c>
      <c r="E3535" s="76">
        <v>1481899.9999999998</v>
      </c>
      <c r="F3535" s="77" t="s">
        <v>10174</v>
      </c>
    </row>
    <row r="3536" spans="1:6">
      <c r="A3536" s="82">
        <v>5</v>
      </c>
      <c r="B3536" s="83" t="s">
        <v>5040</v>
      </c>
      <c r="C3536" s="67" t="s">
        <v>5041</v>
      </c>
      <c r="D3536" s="91">
        <v>28167300</v>
      </c>
      <c r="E3536" s="76">
        <v>2085825</v>
      </c>
      <c r="F3536" s="77" t="s">
        <v>10174</v>
      </c>
    </row>
    <row r="3537" spans="1:6" ht="25.5">
      <c r="A3537" s="82">
        <v>5</v>
      </c>
      <c r="B3537" s="83" t="s">
        <v>5042</v>
      </c>
      <c r="C3537" s="67" t="s">
        <v>5043</v>
      </c>
      <c r="D3537" s="91">
        <v>21656600</v>
      </c>
      <c r="E3537" s="76">
        <v>1603700</v>
      </c>
      <c r="F3537" s="77" t="s">
        <v>10174</v>
      </c>
    </row>
    <row r="3538" spans="1:6">
      <c r="A3538" s="82">
        <v>5</v>
      </c>
      <c r="B3538" s="83" t="s">
        <v>5036</v>
      </c>
      <c r="C3538" s="67" t="s">
        <v>5037</v>
      </c>
      <c r="D3538" s="91">
        <v>34609400</v>
      </c>
      <c r="E3538" s="76">
        <v>2562875</v>
      </c>
      <c r="F3538" s="77" t="s">
        <v>10174</v>
      </c>
    </row>
    <row r="3539" spans="1:6" ht="25.5">
      <c r="A3539" s="82">
        <v>5</v>
      </c>
      <c r="B3539" s="83" t="s">
        <v>5038</v>
      </c>
      <c r="C3539" s="67" t="s">
        <v>5039</v>
      </c>
      <c r="D3539" s="91">
        <v>26659500</v>
      </c>
      <c r="E3539" s="76">
        <v>1974175</v>
      </c>
      <c r="F3539" s="77" t="s">
        <v>10174</v>
      </c>
    </row>
    <row r="3540" spans="1:6">
      <c r="A3540" s="82">
        <v>5</v>
      </c>
      <c r="B3540" s="67" t="s">
        <v>5896</v>
      </c>
      <c r="C3540" s="67" t="s">
        <v>8149</v>
      </c>
      <c r="D3540" s="91">
        <v>13364000</v>
      </c>
      <c r="E3540" s="76">
        <v>989625</v>
      </c>
      <c r="F3540" s="77" t="s">
        <v>10174</v>
      </c>
    </row>
    <row r="3541" spans="1:6">
      <c r="A3541" s="82">
        <v>5</v>
      </c>
      <c r="B3541" s="67" t="s">
        <v>5897</v>
      </c>
      <c r="C3541" s="67" t="s">
        <v>8150</v>
      </c>
      <c r="D3541" s="91">
        <v>10280000</v>
      </c>
      <c r="E3541" s="76">
        <v>761250</v>
      </c>
      <c r="F3541" s="77" t="s">
        <v>10174</v>
      </c>
    </row>
    <row r="3542" spans="1:6">
      <c r="A3542" s="82">
        <v>5</v>
      </c>
      <c r="B3542" s="67" t="s">
        <v>5898</v>
      </c>
      <c r="C3542" s="67" t="s">
        <v>8151</v>
      </c>
      <c r="D3542" s="91">
        <v>16448000</v>
      </c>
      <c r="E3542" s="76">
        <v>1218000</v>
      </c>
      <c r="F3542" s="77" t="s">
        <v>10174</v>
      </c>
    </row>
    <row r="3543" spans="1:6">
      <c r="A3543" s="82">
        <v>5</v>
      </c>
      <c r="B3543" s="67" t="s">
        <v>5899</v>
      </c>
      <c r="C3543" s="67" t="s">
        <v>8152</v>
      </c>
      <c r="D3543" s="91">
        <v>12610200</v>
      </c>
      <c r="E3543" s="76">
        <v>933800</v>
      </c>
      <c r="F3543" s="77" t="s">
        <v>10174</v>
      </c>
    </row>
    <row r="3544" spans="1:6">
      <c r="A3544" s="82">
        <v>5</v>
      </c>
      <c r="B3544" s="67" t="s">
        <v>5900</v>
      </c>
      <c r="C3544" s="67" t="s">
        <v>8153</v>
      </c>
      <c r="D3544" s="91">
        <v>15077400</v>
      </c>
      <c r="E3544" s="76">
        <v>1116500</v>
      </c>
      <c r="F3544" s="77" t="s">
        <v>10174</v>
      </c>
    </row>
    <row r="3545" spans="1:6">
      <c r="A3545" s="82">
        <v>5</v>
      </c>
      <c r="B3545" s="67" t="s">
        <v>5901</v>
      </c>
      <c r="C3545" s="67" t="s">
        <v>8154</v>
      </c>
      <c r="D3545" s="91">
        <v>11650700</v>
      </c>
      <c r="E3545" s="76">
        <v>862750</v>
      </c>
      <c r="F3545" s="77" t="s">
        <v>10174</v>
      </c>
    </row>
    <row r="3546" spans="1:6">
      <c r="A3546" s="82">
        <v>5</v>
      </c>
      <c r="B3546" s="67" t="s">
        <v>5945</v>
      </c>
      <c r="C3546" s="67" t="s">
        <v>8155</v>
      </c>
      <c r="D3546" s="91">
        <v>6784800</v>
      </c>
      <c r="E3546" s="76">
        <v>502425</v>
      </c>
      <c r="F3546" s="77" t="s">
        <v>10174</v>
      </c>
    </row>
    <row r="3547" spans="1:6" ht="25.5">
      <c r="A3547" s="82">
        <v>5</v>
      </c>
      <c r="B3547" s="67" t="s">
        <v>5944</v>
      </c>
      <c r="C3547" s="67" t="s">
        <v>8156</v>
      </c>
      <c r="D3547" s="91">
        <v>5277100</v>
      </c>
      <c r="E3547" s="76">
        <v>390775</v>
      </c>
      <c r="F3547" s="77" t="s">
        <v>10174</v>
      </c>
    </row>
    <row r="3548" spans="1:6">
      <c r="A3548" s="82">
        <v>5</v>
      </c>
      <c r="B3548" s="67" t="s">
        <v>5902</v>
      </c>
      <c r="C3548" s="67" t="s">
        <v>8157</v>
      </c>
      <c r="D3548" s="91">
        <v>12336000</v>
      </c>
      <c r="E3548" s="76">
        <v>913500</v>
      </c>
      <c r="F3548" s="77" t="s">
        <v>10174</v>
      </c>
    </row>
    <row r="3549" spans="1:6" ht="25.5">
      <c r="A3549" s="82">
        <v>5</v>
      </c>
      <c r="B3549" s="67" t="s">
        <v>5903</v>
      </c>
      <c r="C3549" s="67" t="s">
        <v>8158</v>
      </c>
      <c r="D3549" s="91">
        <v>9457600</v>
      </c>
      <c r="E3549" s="76">
        <v>700349.99999999988</v>
      </c>
      <c r="F3549" s="77" t="s">
        <v>10174</v>
      </c>
    </row>
    <row r="3550" spans="1:6">
      <c r="A3550" s="82">
        <v>5</v>
      </c>
      <c r="B3550" s="67" t="s">
        <v>5904</v>
      </c>
      <c r="C3550" s="67" t="s">
        <v>8159</v>
      </c>
      <c r="D3550" s="91">
        <v>14392000</v>
      </c>
      <c r="E3550" s="76">
        <v>1065750</v>
      </c>
      <c r="F3550" s="77" t="s">
        <v>10174</v>
      </c>
    </row>
    <row r="3551" spans="1:6" ht="25.5">
      <c r="A3551" s="82">
        <v>5</v>
      </c>
      <c r="B3551" s="67" t="s">
        <v>5905</v>
      </c>
      <c r="C3551" s="67" t="s">
        <v>8160</v>
      </c>
      <c r="D3551" s="91">
        <v>11033900</v>
      </c>
      <c r="E3551" s="76">
        <v>817075</v>
      </c>
      <c r="F3551" s="77" t="s">
        <v>10174</v>
      </c>
    </row>
    <row r="3552" spans="1:6">
      <c r="A3552" s="82">
        <v>5</v>
      </c>
      <c r="B3552" s="67" t="s">
        <v>5906</v>
      </c>
      <c r="C3552" s="67" t="s">
        <v>8161</v>
      </c>
      <c r="D3552" s="91">
        <v>13364000</v>
      </c>
      <c r="E3552" s="76">
        <v>989625</v>
      </c>
      <c r="F3552" s="77" t="s">
        <v>10174</v>
      </c>
    </row>
    <row r="3553" spans="1:6" ht="25.5">
      <c r="A3553" s="82">
        <v>5</v>
      </c>
      <c r="B3553" s="67" t="s">
        <v>5907</v>
      </c>
      <c r="C3553" s="67" t="s">
        <v>8162</v>
      </c>
      <c r="D3553" s="91">
        <v>10280000</v>
      </c>
      <c r="E3553" s="76">
        <v>761250</v>
      </c>
      <c r="F3553" s="77" t="s">
        <v>10174</v>
      </c>
    </row>
    <row r="3554" spans="1:6">
      <c r="A3554" s="82">
        <v>5</v>
      </c>
      <c r="B3554" s="83" t="s">
        <v>1709</v>
      </c>
      <c r="C3554" s="67" t="s">
        <v>1710</v>
      </c>
      <c r="D3554" s="91">
        <v>17407500</v>
      </c>
      <c r="E3554" s="76">
        <v>1289050</v>
      </c>
      <c r="F3554" s="77" t="s">
        <v>10174</v>
      </c>
    </row>
    <row r="3555" spans="1:6">
      <c r="A3555" s="82">
        <v>5</v>
      </c>
      <c r="B3555" s="83" t="s">
        <v>1707</v>
      </c>
      <c r="C3555" s="67" t="s">
        <v>1708</v>
      </c>
      <c r="D3555" s="91">
        <v>13364000</v>
      </c>
      <c r="E3555" s="76">
        <v>989625</v>
      </c>
      <c r="F3555" s="77" t="s">
        <v>10174</v>
      </c>
    </row>
    <row r="3556" spans="1:6">
      <c r="A3556" s="82">
        <v>5</v>
      </c>
      <c r="B3556" s="83" t="s">
        <v>1721</v>
      </c>
      <c r="C3556" s="67" t="s">
        <v>1722</v>
      </c>
      <c r="D3556" s="91">
        <v>18709600</v>
      </c>
      <c r="E3556" s="76">
        <v>1385474.9999999998</v>
      </c>
      <c r="F3556" s="77" t="s">
        <v>10174</v>
      </c>
    </row>
    <row r="3557" spans="1:6">
      <c r="A3557" s="82">
        <v>5</v>
      </c>
      <c r="B3557" s="83" t="s">
        <v>1719</v>
      </c>
      <c r="C3557" s="67" t="s">
        <v>1720</v>
      </c>
      <c r="D3557" s="91">
        <v>14392000</v>
      </c>
      <c r="E3557" s="76">
        <v>1065750</v>
      </c>
      <c r="F3557" s="77" t="s">
        <v>10174</v>
      </c>
    </row>
    <row r="3558" spans="1:6">
      <c r="A3558" s="82">
        <v>5</v>
      </c>
      <c r="B3558" s="83" t="s">
        <v>1808</v>
      </c>
      <c r="C3558" s="67" t="s">
        <v>1809</v>
      </c>
      <c r="D3558" s="91">
        <v>21793700</v>
      </c>
      <c r="E3558" s="76">
        <v>1613850</v>
      </c>
      <c r="F3558" s="77" t="s">
        <v>10174</v>
      </c>
    </row>
    <row r="3559" spans="1:6">
      <c r="A3559" s="82">
        <v>5</v>
      </c>
      <c r="B3559" s="83" t="s">
        <v>1806</v>
      </c>
      <c r="C3559" s="67" t="s">
        <v>1807</v>
      </c>
      <c r="D3559" s="91">
        <v>16790700</v>
      </c>
      <c r="E3559" s="76">
        <v>1243375</v>
      </c>
      <c r="F3559" s="77" t="s">
        <v>10174</v>
      </c>
    </row>
    <row r="3560" spans="1:6">
      <c r="A3560" s="82">
        <v>5</v>
      </c>
      <c r="B3560" s="83" t="s">
        <v>3762</v>
      </c>
      <c r="C3560" s="67" t="s">
        <v>3763</v>
      </c>
      <c r="D3560" s="91">
        <v>21793700</v>
      </c>
      <c r="E3560" s="76">
        <v>1613850</v>
      </c>
      <c r="F3560" s="77" t="s">
        <v>10174</v>
      </c>
    </row>
    <row r="3561" spans="1:6" ht="25.5">
      <c r="A3561" s="82">
        <v>5</v>
      </c>
      <c r="B3561" s="83" t="s">
        <v>3760</v>
      </c>
      <c r="C3561" s="67" t="s">
        <v>3761</v>
      </c>
      <c r="D3561" s="91">
        <v>16790700</v>
      </c>
      <c r="E3561" s="76">
        <v>1243375</v>
      </c>
      <c r="F3561" s="77" t="s">
        <v>10174</v>
      </c>
    </row>
    <row r="3562" spans="1:6">
      <c r="A3562" s="82">
        <v>5</v>
      </c>
      <c r="B3562" s="83" t="s">
        <v>3774</v>
      </c>
      <c r="C3562" s="67" t="s">
        <v>3775</v>
      </c>
      <c r="D3562" s="91">
        <v>21793700</v>
      </c>
      <c r="E3562" s="76">
        <v>1613850</v>
      </c>
      <c r="F3562" s="77" t="s">
        <v>10174</v>
      </c>
    </row>
    <row r="3563" spans="1:6" ht="25.5">
      <c r="A3563" s="82">
        <v>5</v>
      </c>
      <c r="B3563" s="83" t="s">
        <v>3772</v>
      </c>
      <c r="C3563" s="67" t="s">
        <v>3773</v>
      </c>
      <c r="D3563" s="91">
        <v>16790700</v>
      </c>
      <c r="E3563" s="76">
        <v>1243375</v>
      </c>
      <c r="F3563" s="77" t="s">
        <v>10174</v>
      </c>
    </row>
    <row r="3564" spans="1:6">
      <c r="A3564" s="82">
        <v>5</v>
      </c>
      <c r="B3564" s="83" t="s">
        <v>3738</v>
      </c>
      <c r="C3564" s="67" t="s">
        <v>3739</v>
      </c>
      <c r="D3564" s="91">
        <v>13364000</v>
      </c>
      <c r="E3564" s="76">
        <v>989625</v>
      </c>
      <c r="F3564" s="77" t="s">
        <v>10174</v>
      </c>
    </row>
    <row r="3565" spans="1:6">
      <c r="A3565" s="82">
        <v>5</v>
      </c>
      <c r="B3565" s="83" t="s">
        <v>3736</v>
      </c>
      <c r="C3565" s="67" t="s">
        <v>3737</v>
      </c>
      <c r="D3565" s="91">
        <v>10280000</v>
      </c>
      <c r="E3565" s="76">
        <v>761250</v>
      </c>
      <c r="F3565" s="77" t="s">
        <v>10174</v>
      </c>
    </row>
    <row r="3566" spans="1:6">
      <c r="A3566" s="82">
        <v>5</v>
      </c>
      <c r="B3566" s="83" t="s">
        <v>3059</v>
      </c>
      <c r="C3566" s="67" t="s">
        <v>3060</v>
      </c>
      <c r="D3566" s="91">
        <v>13364000</v>
      </c>
      <c r="E3566" s="76">
        <v>989625</v>
      </c>
      <c r="F3566" s="77" t="s">
        <v>10174</v>
      </c>
    </row>
    <row r="3567" spans="1:6">
      <c r="A3567" s="82">
        <v>5</v>
      </c>
      <c r="B3567" s="83" t="s">
        <v>3057</v>
      </c>
      <c r="C3567" s="67" t="s">
        <v>3058</v>
      </c>
      <c r="D3567" s="91">
        <v>10280000</v>
      </c>
      <c r="E3567" s="76">
        <v>761250</v>
      </c>
      <c r="F3567" s="77" t="s">
        <v>10174</v>
      </c>
    </row>
    <row r="3568" spans="1:6">
      <c r="A3568" s="82">
        <v>5</v>
      </c>
      <c r="B3568" s="83" t="s">
        <v>1935</v>
      </c>
      <c r="C3568" s="67" t="s">
        <v>1936</v>
      </c>
      <c r="D3568" s="91">
        <v>17407500</v>
      </c>
      <c r="E3568" s="76">
        <v>1289050</v>
      </c>
      <c r="F3568" s="77" t="s">
        <v>10174</v>
      </c>
    </row>
    <row r="3569" spans="1:6">
      <c r="A3569" s="82">
        <v>5</v>
      </c>
      <c r="B3569" s="83" t="s">
        <v>1937</v>
      </c>
      <c r="C3569" s="67" t="s">
        <v>1938</v>
      </c>
      <c r="D3569" s="91">
        <v>13364000</v>
      </c>
      <c r="E3569" s="76">
        <v>989625</v>
      </c>
      <c r="F3569" s="77" t="s">
        <v>10174</v>
      </c>
    </row>
    <row r="3570" spans="1:6">
      <c r="A3570" s="82">
        <v>5</v>
      </c>
      <c r="B3570" s="83" t="s">
        <v>1939</v>
      </c>
      <c r="C3570" s="67" t="s">
        <v>1940</v>
      </c>
      <c r="D3570" s="91">
        <v>18709600</v>
      </c>
      <c r="E3570" s="76">
        <v>1385474.9999999998</v>
      </c>
      <c r="F3570" s="77" t="s">
        <v>10174</v>
      </c>
    </row>
    <row r="3571" spans="1:6">
      <c r="A3571" s="82">
        <v>5</v>
      </c>
      <c r="B3571" s="83" t="s">
        <v>1941</v>
      </c>
      <c r="C3571" s="67" t="s">
        <v>1942</v>
      </c>
      <c r="D3571" s="91">
        <v>14392000</v>
      </c>
      <c r="E3571" s="76">
        <v>1065750</v>
      </c>
      <c r="F3571" s="77" t="s">
        <v>10174</v>
      </c>
    </row>
    <row r="3572" spans="1:6">
      <c r="A3572" s="82">
        <v>5</v>
      </c>
      <c r="B3572" s="83" t="s">
        <v>3047</v>
      </c>
      <c r="C3572" s="67" t="s">
        <v>3048</v>
      </c>
      <c r="D3572" s="91">
        <v>11582200</v>
      </c>
      <c r="E3572" s="76">
        <v>857675</v>
      </c>
      <c r="F3572" s="77" t="s">
        <v>10174</v>
      </c>
    </row>
    <row r="3573" spans="1:6">
      <c r="A3573" s="82">
        <v>5</v>
      </c>
      <c r="B3573" s="83" t="s">
        <v>3045</v>
      </c>
      <c r="C3573" s="67" t="s">
        <v>3046</v>
      </c>
      <c r="D3573" s="91">
        <v>8909400</v>
      </c>
      <c r="E3573" s="76">
        <v>659749.99999999988</v>
      </c>
      <c r="F3573" s="77" t="s">
        <v>10174</v>
      </c>
    </row>
    <row r="3574" spans="1:6">
      <c r="A3574" s="82">
        <v>5</v>
      </c>
      <c r="B3574" s="83" t="s">
        <v>1943</v>
      </c>
      <c r="C3574" s="67" t="s">
        <v>1944</v>
      </c>
      <c r="D3574" s="91">
        <v>20902700</v>
      </c>
      <c r="E3574" s="76">
        <v>1547875</v>
      </c>
      <c r="F3574" s="77" t="s">
        <v>10174</v>
      </c>
    </row>
    <row r="3575" spans="1:6">
      <c r="A3575" s="82">
        <v>5</v>
      </c>
      <c r="B3575" s="83" t="s">
        <v>1945</v>
      </c>
      <c r="C3575" s="67" t="s">
        <v>1946</v>
      </c>
      <c r="D3575" s="91">
        <v>16036800</v>
      </c>
      <c r="E3575" s="76">
        <v>1187550</v>
      </c>
      <c r="F3575" s="77" t="s">
        <v>10174</v>
      </c>
    </row>
    <row r="3576" spans="1:6">
      <c r="A3576" s="82">
        <v>5</v>
      </c>
      <c r="B3576" s="83" t="s">
        <v>5394</v>
      </c>
      <c r="C3576" s="67" t="s">
        <v>5395</v>
      </c>
      <c r="D3576" s="91">
        <v>21793700</v>
      </c>
      <c r="E3576" s="76">
        <v>1613850</v>
      </c>
      <c r="F3576" s="77" t="s">
        <v>10174</v>
      </c>
    </row>
    <row r="3577" spans="1:6" ht="25.5">
      <c r="A3577" s="82">
        <v>5</v>
      </c>
      <c r="B3577" s="83" t="s">
        <v>5392</v>
      </c>
      <c r="C3577" s="67" t="s">
        <v>5393</v>
      </c>
      <c r="D3577" s="91">
        <v>16790700</v>
      </c>
      <c r="E3577" s="76">
        <v>1243375</v>
      </c>
      <c r="F3577" s="77" t="s">
        <v>10174</v>
      </c>
    </row>
    <row r="3578" spans="1:6">
      <c r="A3578" s="82">
        <v>5</v>
      </c>
      <c r="B3578" s="83" t="s">
        <v>2684</v>
      </c>
      <c r="C3578" s="67" t="s">
        <v>2685</v>
      </c>
      <c r="D3578" s="91">
        <v>21793700</v>
      </c>
      <c r="E3578" s="76">
        <v>1613850</v>
      </c>
      <c r="F3578" s="77" t="s">
        <v>10174</v>
      </c>
    </row>
    <row r="3579" spans="1:6" ht="25.5">
      <c r="A3579" s="82">
        <v>5</v>
      </c>
      <c r="B3579" s="83" t="s">
        <v>2682</v>
      </c>
      <c r="C3579" s="67" t="s">
        <v>2683</v>
      </c>
      <c r="D3579" s="91">
        <v>16790700</v>
      </c>
      <c r="E3579" s="76">
        <v>1243375</v>
      </c>
      <c r="F3579" s="77" t="s">
        <v>10174</v>
      </c>
    </row>
    <row r="3580" spans="1:6">
      <c r="A3580" s="82">
        <v>5</v>
      </c>
      <c r="B3580" s="83" t="s">
        <v>2590</v>
      </c>
      <c r="C3580" s="67" t="s">
        <v>2591</v>
      </c>
      <c r="D3580" s="91">
        <v>21793700</v>
      </c>
      <c r="E3580" s="76">
        <v>1613850</v>
      </c>
      <c r="F3580" s="77" t="s">
        <v>10174</v>
      </c>
    </row>
    <row r="3581" spans="1:6" ht="25.5">
      <c r="A3581" s="82">
        <v>5</v>
      </c>
      <c r="B3581" s="83" t="s">
        <v>2588</v>
      </c>
      <c r="C3581" s="67" t="s">
        <v>2589</v>
      </c>
      <c r="D3581" s="91">
        <v>16790700</v>
      </c>
      <c r="E3581" s="76">
        <v>1243375</v>
      </c>
      <c r="F3581" s="77" t="s">
        <v>10174</v>
      </c>
    </row>
    <row r="3582" spans="1:6">
      <c r="A3582" s="82">
        <v>5</v>
      </c>
      <c r="B3582" s="83" t="s">
        <v>4818</v>
      </c>
      <c r="C3582" s="67" t="s">
        <v>4819</v>
      </c>
      <c r="D3582" s="91">
        <v>21656600</v>
      </c>
      <c r="E3582" s="76">
        <v>1603700</v>
      </c>
      <c r="F3582" s="77" t="s">
        <v>10174</v>
      </c>
    </row>
    <row r="3583" spans="1:6">
      <c r="A3583" s="82">
        <v>5</v>
      </c>
      <c r="B3583" s="83" t="s">
        <v>4820</v>
      </c>
      <c r="C3583" s="67" t="s">
        <v>4821</v>
      </c>
      <c r="D3583" s="91">
        <v>16653600</v>
      </c>
      <c r="E3583" s="76">
        <v>1233225</v>
      </c>
      <c r="F3583" s="77" t="s">
        <v>10174</v>
      </c>
    </row>
    <row r="3584" spans="1:6">
      <c r="A3584" s="82">
        <v>5</v>
      </c>
      <c r="B3584" s="83" t="s">
        <v>4826</v>
      </c>
      <c r="C3584" s="67" t="s">
        <v>4827</v>
      </c>
      <c r="D3584" s="91">
        <v>30291800</v>
      </c>
      <c r="E3584" s="76">
        <v>2243150</v>
      </c>
      <c r="F3584" s="77" t="s">
        <v>10174</v>
      </c>
    </row>
    <row r="3585" spans="1:6" ht="25.5">
      <c r="A3585" s="82">
        <v>5</v>
      </c>
      <c r="B3585" s="83" t="s">
        <v>4828</v>
      </c>
      <c r="C3585" s="67" t="s">
        <v>4829</v>
      </c>
      <c r="D3585" s="91">
        <v>23301400</v>
      </c>
      <c r="E3585" s="76">
        <v>1725500</v>
      </c>
      <c r="F3585" s="77" t="s">
        <v>10174</v>
      </c>
    </row>
    <row r="3586" spans="1:6">
      <c r="A3586" s="82">
        <v>5</v>
      </c>
      <c r="B3586" s="83" t="s">
        <v>5382</v>
      </c>
      <c r="C3586" s="67" t="s">
        <v>5383</v>
      </c>
      <c r="D3586" s="91">
        <v>30291800</v>
      </c>
      <c r="E3586" s="76">
        <v>2243150</v>
      </c>
      <c r="F3586" s="77" t="s">
        <v>10174</v>
      </c>
    </row>
    <row r="3587" spans="1:6" ht="25.5">
      <c r="A3587" s="82">
        <v>5</v>
      </c>
      <c r="B3587" s="83" t="s">
        <v>5380</v>
      </c>
      <c r="C3587" s="67" t="s">
        <v>5381</v>
      </c>
      <c r="D3587" s="91">
        <v>23301400</v>
      </c>
      <c r="E3587" s="76">
        <v>1725500</v>
      </c>
      <c r="F3587" s="77" t="s">
        <v>10174</v>
      </c>
    </row>
    <row r="3588" spans="1:6">
      <c r="A3588" s="82">
        <v>5</v>
      </c>
      <c r="B3588" s="83" t="s">
        <v>4834</v>
      </c>
      <c r="C3588" s="67" t="s">
        <v>4835</v>
      </c>
      <c r="D3588" s="91">
        <v>25974200</v>
      </c>
      <c r="E3588" s="76">
        <v>1923425</v>
      </c>
      <c r="F3588" s="77" t="s">
        <v>10174</v>
      </c>
    </row>
    <row r="3589" spans="1:6" ht="25.5">
      <c r="A3589" s="82">
        <v>5</v>
      </c>
      <c r="B3589" s="83" t="s">
        <v>4836</v>
      </c>
      <c r="C3589" s="67" t="s">
        <v>4837</v>
      </c>
      <c r="D3589" s="91">
        <v>20011800</v>
      </c>
      <c r="E3589" s="76">
        <v>1481899.9999999998</v>
      </c>
      <c r="F3589" s="77" t="s">
        <v>10174</v>
      </c>
    </row>
    <row r="3590" spans="1:6">
      <c r="A3590" s="82">
        <v>5</v>
      </c>
      <c r="B3590" s="83" t="s">
        <v>2141</v>
      </c>
      <c r="C3590" s="67" t="s">
        <v>2142</v>
      </c>
      <c r="D3590" s="91">
        <v>34678000</v>
      </c>
      <c r="E3590" s="76">
        <v>2567950</v>
      </c>
      <c r="F3590" s="77" t="s">
        <v>10174</v>
      </c>
    </row>
    <row r="3591" spans="1:6">
      <c r="A3591" s="82">
        <v>5</v>
      </c>
      <c r="B3591" s="83" t="s">
        <v>2143</v>
      </c>
      <c r="C3591" s="67" t="s">
        <v>2144</v>
      </c>
      <c r="D3591" s="91">
        <v>26659500</v>
      </c>
      <c r="E3591" s="76">
        <v>1974175</v>
      </c>
      <c r="F3591" s="77" t="s">
        <v>10174</v>
      </c>
    </row>
    <row r="3592" spans="1:6">
      <c r="A3592" s="82">
        <v>5</v>
      </c>
      <c r="B3592" s="83" t="s">
        <v>2145</v>
      </c>
      <c r="C3592" s="67" t="s">
        <v>2146</v>
      </c>
      <c r="D3592" s="91">
        <v>55717700</v>
      </c>
      <c r="E3592" s="76">
        <v>4125975</v>
      </c>
      <c r="F3592" s="77" t="s">
        <v>10174</v>
      </c>
    </row>
    <row r="3593" spans="1:6">
      <c r="A3593" s="82">
        <v>5</v>
      </c>
      <c r="B3593" s="83" t="s">
        <v>2147</v>
      </c>
      <c r="C3593" s="67" t="s">
        <v>2148</v>
      </c>
      <c r="D3593" s="91">
        <v>42902000</v>
      </c>
      <c r="E3593" s="76">
        <v>3176950</v>
      </c>
      <c r="F3593" s="77" t="s">
        <v>10174</v>
      </c>
    </row>
    <row r="3594" spans="1:6">
      <c r="A3594" s="82">
        <v>5</v>
      </c>
      <c r="B3594" s="83" t="s">
        <v>2001</v>
      </c>
      <c r="C3594" s="67" t="s">
        <v>2002</v>
      </c>
      <c r="D3594" s="91">
        <v>28784100</v>
      </c>
      <c r="E3594" s="76">
        <v>2131500</v>
      </c>
      <c r="F3594" s="77" t="s">
        <v>10174</v>
      </c>
    </row>
    <row r="3595" spans="1:6">
      <c r="A3595" s="82">
        <v>5</v>
      </c>
      <c r="B3595" s="83" t="s">
        <v>1999</v>
      </c>
      <c r="C3595" s="67" t="s">
        <v>2000</v>
      </c>
      <c r="D3595" s="91">
        <v>22136300</v>
      </c>
      <c r="E3595" s="76">
        <v>1639225</v>
      </c>
      <c r="F3595" s="77" t="s">
        <v>10174</v>
      </c>
    </row>
    <row r="3596" spans="1:6">
      <c r="A3596" s="82">
        <v>5</v>
      </c>
      <c r="B3596" s="83" t="s">
        <v>2013</v>
      </c>
      <c r="C3596" s="67" t="s">
        <v>2014</v>
      </c>
      <c r="D3596" s="91">
        <v>33033100</v>
      </c>
      <c r="E3596" s="76">
        <v>2446150</v>
      </c>
      <c r="F3596" s="77" t="s">
        <v>10174</v>
      </c>
    </row>
    <row r="3597" spans="1:6">
      <c r="A3597" s="82">
        <v>5</v>
      </c>
      <c r="B3597" s="83" t="s">
        <v>2011</v>
      </c>
      <c r="C3597" s="67" t="s">
        <v>2012</v>
      </c>
      <c r="D3597" s="91">
        <v>25425900</v>
      </c>
      <c r="E3597" s="76">
        <v>1882825</v>
      </c>
      <c r="F3597" s="77" t="s">
        <v>10174</v>
      </c>
    </row>
    <row r="3598" spans="1:6">
      <c r="A3598" s="82">
        <v>5</v>
      </c>
      <c r="B3598" s="83" t="s">
        <v>1947</v>
      </c>
      <c r="C3598" s="67" t="s">
        <v>1948</v>
      </c>
      <c r="D3598" s="91">
        <v>38790000</v>
      </c>
      <c r="E3598" s="76">
        <v>2872449.9999999995</v>
      </c>
      <c r="F3598" s="77" t="s">
        <v>10174</v>
      </c>
    </row>
    <row r="3599" spans="1:6">
      <c r="A3599" s="82">
        <v>5</v>
      </c>
      <c r="B3599" s="83" t="s">
        <v>1949</v>
      </c>
      <c r="C3599" s="67" t="s">
        <v>1950</v>
      </c>
      <c r="D3599" s="91">
        <v>29812100</v>
      </c>
      <c r="E3599" s="76">
        <v>2207625</v>
      </c>
      <c r="F3599" s="77" t="s">
        <v>10174</v>
      </c>
    </row>
    <row r="3600" spans="1:6">
      <c r="A3600" s="82">
        <v>5</v>
      </c>
      <c r="B3600" s="83" t="s">
        <v>4419</v>
      </c>
      <c r="C3600" s="67" t="s">
        <v>4420</v>
      </c>
      <c r="D3600" s="91">
        <v>38927000</v>
      </c>
      <c r="E3600" s="76">
        <v>2882599.9999999995</v>
      </c>
      <c r="F3600" s="77" t="s">
        <v>10174</v>
      </c>
    </row>
    <row r="3601" spans="1:6">
      <c r="A3601" s="82">
        <v>5</v>
      </c>
      <c r="B3601" s="83" t="s">
        <v>4417</v>
      </c>
      <c r="C3601" s="67" t="s">
        <v>4418</v>
      </c>
      <c r="D3601" s="91">
        <v>29949100</v>
      </c>
      <c r="E3601" s="76">
        <v>2217775</v>
      </c>
      <c r="F3601" s="77" t="s">
        <v>10174</v>
      </c>
    </row>
    <row r="3602" spans="1:6">
      <c r="A3602" s="82">
        <v>5</v>
      </c>
      <c r="B3602" s="83" t="s">
        <v>4431</v>
      </c>
      <c r="C3602" s="67" t="s">
        <v>4432</v>
      </c>
      <c r="D3602" s="91">
        <v>45437700</v>
      </c>
      <c r="E3602" s="76">
        <v>3364725</v>
      </c>
      <c r="F3602" s="77" t="s">
        <v>10174</v>
      </c>
    </row>
    <row r="3603" spans="1:6">
      <c r="A3603" s="82">
        <v>5</v>
      </c>
      <c r="B3603" s="83" t="s">
        <v>4429</v>
      </c>
      <c r="C3603" s="67" t="s">
        <v>4430</v>
      </c>
      <c r="D3603" s="91">
        <v>34952100</v>
      </c>
      <c r="E3603" s="76">
        <v>2588250</v>
      </c>
      <c r="F3603" s="77" t="s">
        <v>10174</v>
      </c>
    </row>
    <row r="3604" spans="1:6">
      <c r="A3604" s="82">
        <v>5</v>
      </c>
      <c r="B3604" s="83" t="s">
        <v>4443</v>
      </c>
      <c r="C3604" s="67" t="s">
        <v>4444</v>
      </c>
      <c r="D3604" s="91">
        <v>51948400</v>
      </c>
      <c r="E3604" s="76">
        <v>3846850</v>
      </c>
      <c r="F3604" s="77" t="s">
        <v>10174</v>
      </c>
    </row>
    <row r="3605" spans="1:6">
      <c r="A3605" s="82">
        <v>5</v>
      </c>
      <c r="B3605" s="83" t="s">
        <v>4441</v>
      </c>
      <c r="C3605" s="67" t="s">
        <v>4442</v>
      </c>
      <c r="D3605" s="91">
        <v>39955000</v>
      </c>
      <c r="E3605" s="76">
        <v>2958724.9999999995</v>
      </c>
      <c r="F3605" s="77" t="s">
        <v>10174</v>
      </c>
    </row>
    <row r="3606" spans="1:6">
      <c r="A3606" s="82">
        <v>5</v>
      </c>
      <c r="B3606" s="83" t="s">
        <v>5952</v>
      </c>
      <c r="C3606" s="67" t="s">
        <v>8163</v>
      </c>
      <c r="D3606" s="91">
        <v>51948400</v>
      </c>
      <c r="E3606" s="76">
        <v>3846850</v>
      </c>
      <c r="F3606" s="77" t="s">
        <v>10174</v>
      </c>
    </row>
    <row r="3607" spans="1:6">
      <c r="A3607" s="82">
        <v>5</v>
      </c>
      <c r="B3607" s="83" t="s">
        <v>5951</v>
      </c>
      <c r="C3607" s="67" t="s">
        <v>8164</v>
      </c>
      <c r="D3607" s="91">
        <v>39955000</v>
      </c>
      <c r="E3607" s="76">
        <v>2958724.9999999995</v>
      </c>
      <c r="F3607" s="77" t="s">
        <v>10174</v>
      </c>
    </row>
    <row r="3608" spans="1:6">
      <c r="A3608" s="82">
        <v>5</v>
      </c>
      <c r="B3608" s="83" t="s">
        <v>3896</v>
      </c>
      <c r="C3608" s="67" t="s">
        <v>3897</v>
      </c>
      <c r="D3608" s="91">
        <v>56266000</v>
      </c>
      <c r="E3608" s="76">
        <v>4166575</v>
      </c>
      <c r="F3608" s="77" t="s">
        <v>10174</v>
      </c>
    </row>
    <row r="3609" spans="1:6">
      <c r="A3609" s="82">
        <v>5</v>
      </c>
      <c r="B3609" s="83" t="s">
        <v>3894</v>
      </c>
      <c r="C3609" s="67" t="s">
        <v>3895</v>
      </c>
      <c r="D3609" s="91">
        <v>43244600</v>
      </c>
      <c r="E3609" s="76">
        <v>3202325</v>
      </c>
      <c r="F3609" s="77" t="s">
        <v>10174</v>
      </c>
    </row>
    <row r="3610" spans="1:6">
      <c r="A3610" s="82">
        <v>5</v>
      </c>
      <c r="B3610" s="83" t="s">
        <v>3908</v>
      </c>
      <c r="C3610" s="67" t="s">
        <v>3909</v>
      </c>
      <c r="D3610" s="91">
        <v>67025800</v>
      </c>
      <c r="E3610" s="76">
        <v>4963350</v>
      </c>
      <c r="F3610" s="77" t="s">
        <v>10174</v>
      </c>
    </row>
    <row r="3611" spans="1:6">
      <c r="A3611" s="82">
        <v>5</v>
      </c>
      <c r="B3611" s="83" t="s">
        <v>3906</v>
      </c>
      <c r="C3611" s="67" t="s">
        <v>3907</v>
      </c>
      <c r="D3611" s="91">
        <v>51605700</v>
      </c>
      <c r="E3611" s="76">
        <v>3821475</v>
      </c>
      <c r="F3611" s="77" t="s">
        <v>10174</v>
      </c>
    </row>
    <row r="3612" spans="1:6">
      <c r="A3612" s="82">
        <v>5</v>
      </c>
      <c r="B3612" s="83" t="s">
        <v>3920</v>
      </c>
      <c r="C3612" s="67" t="s">
        <v>3921</v>
      </c>
      <c r="D3612" s="91">
        <v>75729500</v>
      </c>
      <c r="E3612" s="76">
        <v>5607874.9999999991</v>
      </c>
      <c r="F3612" s="77" t="s">
        <v>10174</v>
      </c>
    </row>
    <row r="3613" spans="1:6">
      <c r="A3613" s="82">
        <v>5</v>
      </c>
      <c r="B3613" s="83" t="s">
        <v>3918</v>
      </c>
      <c r="C3613" s="67" t="s">
        <v>3919</v>
      </c>
      <c r="D3613" s="91">
        <v>58253500</v>
      </c>
      <c r="E3613" s="76">
        <v>4313750</v>
      </c>
      <c r="F3613" s="77" t="s">
        <v>10174</v>
      </c>
    </row>
    <row r="3614" spans="1:6">
      <c r="A3614" s="82">
        <v>5</v>
      </c>
      <c r="B3614" s="83" t="s">
        <v>1861</v>
      </c>
      <c r="C3614" s="67" t="s">
        <v>1862</v>
      </c>
      <c r="D3614" s="91">
        <v>28784100</v>
      </c>
      <c r="E3614" s="76">
        <v>2131500</v>
      </c>
      <c r="F3614" s="77" t="s">
        <v>10174</v>
      </c>
    </row>
    <row r="3615" spans="1:6">
      <c r="A3615" s="82">
        <v>5</v>
      </c>
      <c r="B3615" s="83" t="s">
        <v>1859</v>
      </c>
      <c r="C3615" s="67" t="s">
        <v>1860</v>
      </c>
      <c r="D3615" s="91">
        <v>22136300</v>
      </c>
      <c r="E3615" s="76">
        <v>1639225</v>
      </c>
      <c r="F3615" s="77" t="s">
        <v>10174</v>
      </c>
    </row>
    <row r="3616" spans="1:6">
      <c r="A3616" s="82">
        <v>5</v>
      </c>
      <c r="B3616" s="83" t="s">
        <v>1835</v>
      </c>
      <c r="C3616" s="67" t="s">
        <v>1836</v>
      </c>
      <c r="D3616" s="91">
        <v>32896100</v>
      </c>
      <c r="E3616" s="76">
        <v>2436000</v>
      </c>
      <c r="F3616" s="77" t="s">
        <v>10174</v>
      </c>
    </row>
    <row r="3617" spans="1:6">
      <c r="A3617" s="82">
        <v>5</v>
      </c>
      <c r="B3617" s="83" t="s">
        <v>1833</v>
      </c>
      <c r="C3617" s="67" t="s">
        <v>1834</v>
      </c>
      <c r="D3617" s="91">
        <v>25357400</v>
      </c>
      <c r="E3617" s="76">
        <v>1877750</v>
      </c>
      <c r="F3617" s="77" t="s">
        <v>10174</v>
      </c>
    </row>
    <row r="3618" spans="1:6">
      <c r="A3618" s="82">
        <v>5</v>
      </c>
      <c r="B3618" s="83" t="s">
        <v>1873</v>
      </c>
      <c r="C3618" s="67" t="s">
        <v>1874</v>
      </c>
      <c r="D3618" s="91">
        <v>38790000</v>
      </c>
      <c r="E3618" s="76">
        <v>2872449.9999999995</v>
      </c>
      <c r="F3618" s="77" t="s">
        <v>10174</v>
      </c>
    </row>
    <row r="3619" spans="1:6">
      <c r="A3619" s="82">
        <v>5</v>
      </c>
      <c r="B3619" s="83" t="s">
        <v>1871</v>
      </c>
      <c r="C3619" s="67" t="s">
        <v>1872</v>
      </c>
      <c r="D3619" s="91">
        <v>29812100</v>
      </c>
      <c r="E3619" s="76">
        <v>2207625</v>
      </c>
      <c r="F3619" s="77" t="s">
        <v>10174</v>
      </c>
    </row>
    <row r="3620" spans="1:6">
      <c r="A3620" s="82">
        <v>5</v>
      </c>
      <c r="B3620" s="83" t="s">
        <v>347</v>
      </c>
      <c r="C3620" s="67" t="s">
        <v>613</v>
      </c>
      <c r="D3620" s="91">
        <v>23507000</v>
      </c>
      <c r="E3620" s="76">
        <v>1740725</v>
      </c>
      <c r="F3620" s="77" t="s">
        <v>10174</v>
      </c>
    </row>
    <row r="3621" spans="1:6">
      <c r="A3621" s="82">
        <v>5</v>
      </c>
      <c r="B3621" s="83" t="s">
        <v>346</v>
      </c>
      <c r="C3621" s="67" t="s">
        <v>5497</v>
      </c>
      <c r="D3621" s="91">
        <v>18079100</v>
      </c>
      <c r="E3621" s="76">
        <v>1338785</v>
      </c>
      <c r="F3621" s="77" t="s">
        <v>10174</v>
      </c>
    </row>
    <row r="3622" spans="1:6">
      <c r="A3622" s="82">
        <v>5</v>
      </c>
      <c r="B3622" s="83" t="s">
        <v>675</v>
      </c>
      <c r="C3622" s="67" t="s">
        <v>676</v>
      </c>
      <c r="D3622" s="91">
        <v>23507000</v>
      </c>
      <c r="E3622" s="76">
        <v>1740725</v>
      </c>
      <c r="F3622" s="77" t="s">
        <v>10174</v>
      </c>
    </row>
    <row r="3623" spans="1:6">
      <c r="A3623" s="82">
        <v>5</v>
      </c>
      <c r="B3623" s="83" t="s">
        <v>673</v>
      </c>
      <c r="C3623" s="67" t="s">
        <v>674</v>
      </c>
      <c r="D3623" s="91">
        <v>18079100</v>
      </c>
      <c r="E3623" s="76">
        <v>1338785</v>
      </c>
      <c r="F3623" s="77" t="s">
        <v>10174</v>
      </c>
    </row>
    <row r="3624" spans="1:6">
      <c r="A3624" s="82">
        <v>5</v>
      </c>
      <c r="B3624" s="83" t="s">
        <v>701</v>
      </c>
      <c r="C3624" s="67" t="s">
        <v>702</v>
      </c>
      <c r="D3624" s="91">
        <v>26755500</v>
      </c>
      <c r="E3624" s="76">
        <v>1981279.9999999998</v>
      </c>
      <c r="F3624" s="77" t="s">
        <v>10174</v>
      </c>
    </row>
    <row r="3625" spans="1:6">
      <c r="A3625" s="82">
        <v>5</v>
      </c>
      <c r="B3625" s="83" t="s">
        <v>703</v>
      </c>
      <c r="C3625" s="67" t="s">
        <v>704</v>
      </c>
      <c r="D3625" s="91">
        <v>20971300</v>
      </c>
      <c r="E3625" s="76">
        <v>1552950</v>
      </c>
      <c r="F3625" s="77" t="s">
        <v>10174</v>
      </c>
    </row>
    <row r="3626" spans="1:6">
      <c r="A3626" s="82">
        <v>5</v>
      </c>
      <c r="B3626" s="83" t="s">
        <v>812</v>
      </c>
      <c r="C3626" s="67" t="s">
        <v>813</v>
      </c>
      <c r="D3626" s="91">
        <v>31813300</v>
      </c>
      <c r="E3626" s="76">
        <v>2355814.9999999995</v>
      </c>
      <c r="F3626" s="77" t="s">
        <v>10174</v>
      </c>
    </row>
    <row r="3627" spans="1:6">
      <c r="A3627" s="82">
        <v>5</v>
      </c>
      <c r="B3627" s="83" t="s">
        <v>810</v>
      </c>
      <c r="C3627" s="67" t="s">
        <v>811</v>
      </c>
      <c r="D3627" s="91">
        <v>24233400</v>
      </c>
      <c r="E3627" s="76">
        <v>1794519.9999999998</v>
      </c>
      <c r="F3627" s="77" t="s">
        <v>10174</v>
      </c>
    </row>
    <row r="3628" spans="1:6">
      <c r="A3628" s="82">
        <v>5</v>
      </c>
      <c r="B3628" s="83" t="s">
        <v>846</v>
      </c>
      <c r="C3628" s="67" t="s">
        <v>847</v>
      </c>
      <c r="D3628" s="91">
        <v>12582800</v>
      </c>
      <c r="E3628" s="76">
        <v>931769.99999999988</v>
      </c>
      <c r="F3628" s="77" t="s">
        <v>10174</v>
      </c>
    </row>
    <row r="3629" spans="1:6">
      <c r="A3629" s="82">
        <v>5</v>
      </c>
      <c r="B3629" s="83" t="s">
        <v>844</v>
      </c>
      <c r="C3629" s="67" t="s">
        <v>845</v>
      </c>
      <c r="D3629" s="91">
        <v>9690600</v>
      </c>
      <c r="E3629" s="76">
        <v>717605</v>
      </c>
      <c r="F3629" s="77" t="s">
        <v>10174</v>
      </c>
    </row>
    <row r="3630" spans="1:6">
      <c r="A3630" s="82">
        <v>5</v>
      </c>
      <c r="B3630" s="83" t="s">
        <v>834</v>
      </c>
      <c r="C3630" s="67" t="s">
        <v>835</v>
      </c>
      <c r="D3630" s="91">
        <v>14104200</v>
      </c>
      <c r="E3630" s="76">
        <v>1044434.9999999999</v>
      </c>
      <c r="F3630" s="77" t="s">
        <v>10174</v>
      </c>
    </row>
    <row r="3631" spans="1:6">
      <c r="A3631" s="82">
        <v>5</v>
      </c>
      <c r="B3631" s="83" t="s">
        <v>832</v>
      </c>
      <c r="C3631" s="67" t="s">
        <v>833</v>
      </c>
      <c r="D3631" s="91">
        <v>10855700</v>
      </c>
      <c r="E3631" s="76">
        <v>803880</v>
      </c>
      <c r="F3631" s="77" t="s">
        <v>10174</v>
      </c>
    </row>
    <row r="3632" spans="1:6">
      <c r="A3632" s="82">
        <v>5</v>
      </c>
      <c r="B3632" s="83" t="s">
        <v>1056</v>
      </c>
      <c r="C3632" s="67" t="s">
        <v>1057</v>
      </c>
      <c r="D3632" s="91">
        <v>15694200</v>
      </c>
      <c r="E3632" s="76">
        <v>1162175</v>
      </c>
      <c r="F3632" s="77" t="s">
        <v>10174</v>
      </c>
    </row>
    <row r="3633" spans="1:6">
      <c r="A3633" s="82">
        <v>5</v>
      </c>
      <c r="B3633" s="83" t="s">
        <v>1054</v>
      </c>
      <c r="C3633" s="67" t="s">
        <v>1055</v>
      </c>
      <c r="D3633" s="91">
        <v>12294900</v>
      </c>
      <c r="E3633" s="76">
        <v>910455</v>
      </c>
      <c r="F3633" s="77" t="s">
        <v>10174</v>
      </c>
    </row>
    <row r="3634" spans="1:6">
      <c r="A3634" s="82">
        <v>5</v>
      </c>
      <c r="B3634" s="83" t="s">
        <v>336</v>
      </c>
      <c r="C3634" s="67" t="s">
        <v>337</v>
      </c>
      <c r="D3634" s="91">
        <v>6291400</v>
      </c>
      <c r="E3634" s="76">
        <v>465884.99999999994</v>
      </c>
      <c r="F3634" s="77" t="s">
        <v>10174</v>
      </c>
    </row>
    <row r="3635" spans="1:6">
      <c r="A3635" s="82">
        <v>5</v>
      </c>
      <c r="B3635" s="83" t="s">
        <v>334</v>
      </c>
      <c r="C3635" s="67" t="s">
        <v>335</v>
      </c>
      <c r="D3635" s="91">
        <v>4852200</v>
      </c>
      <c r="E3635" s="76">
        <v>359310</v>
      </c>
      <c r="F3635" s="77" t="s">
        <v>10174</v>
      </c>
    </row>
    <row r="3636" spans="1:6">
      <c r="A3636" s="82">
        <v>5</v>
      </c>
      <c r="B3636" s="83" t="s">
        <v>418</v>
      </c>
      <c r="C3636" s="67" t="s">
        <v>419</v>
      </c>
      <c r="D3636" s="91">
        <v>7017800</v>
      </c>
      <c r="E3636" s="76">
        <v>519679.99999999994</v>
      </c>
      <c r="F3636" s="77" t="s">
        <v>10174</v>
      </c>
    </row>
    <row r="3637" spans="1:6">
      <c r="A3637" s="82">
        <v>5</v>
      </c>
      <c r="B3637" s="83" t="s">
        <v>416</v>
      </c>
      <c r="C3637" s="67" t="s">
        <v>417</v>
      </c>
      <c r="D3637" s="91">
        <v>5427900</v>
      </c>
      <c r="E3637" s="76">
        <v>401940</v>
      </c>
      <c r="F3637" s="77" t="s">
        <v>10174</v>
      </c>
    </row>
    <row r="3638" spans="1:6">
      <c r="A3638" s="82">
        <v>5</v>
      </c>
      <c r="B3638" s="83" t="s">
        <v>705</v>
      </c>
      <c r="C3638" s="67" t="s">
        <v>706</v>
      </c>
      <c r="D3638" s="91">
        <v>7525000</v>
      </c>
      <c r="E3638" s="76">
        <v>557234.99999999988</v>
      </c>
      <c r="F3638" s="77" t="s">
        <v>10174</v>
      </c>
    </row>
    <row r="3639" spans="1:6">
      <c r="A3639" s="82">
        <v>5</v>
      </c>
      <c r="B3639" s="83" t="s">
        <v>707</v>
      </c>
      <c r="C3639" s="67" t="s">
        <v>708</v>
      </c>
      <c r="D3639" s="91">
        <v>5784200</v>
      </c>
      <c r="E3639" s="76">
        <v>428329.99999999994</v>
      </c>
      <c r="F3639" s="77" t="s">
        <v>10174</v>
      </c>
    </row>
    <row r="3640" spans="1:6">
      <c r="A3640" s="82">
        <v>5</v>
      </c>
      <c r="B3640" s="83" t="s">
        <v>709</v>
      </c>
      <c r="C3640" s="67" t="s">
        <v>710</v>
      </c>
      <c r="D3640" s="91">
        <v>8320000</v>
      </c>
      <c r="E3640" s="76">
        <v>616105</v>
      </c>
      <c r="F3640" s="77" t="s">
        <v>10174</v>
      </c>
    </row>
    <row r="3641" spans="1:6">
      <c r="A3641" s="82">
        <v>5</v>
      </c>
      <c r="B3641" s="83" t="s">
        <v>711</v>
      </c>
      <c r="C3641" s="67" t="s">
        <v>712</v>
      </c>
      <c r="D3641" s="91">
        <v>6442100</v>
      </c>
      <c r="E3641" s="76">
        <v>477050</v>
      </c>
      <c r="F3641" s="77" t="s">
        <v>10174</v>
      </c>
    </row>
    <row r="3642" spans="1:6">
      <c r="A3642" s="82">
        <v>5</v>
      </c>
      <c r="B3642" s="83" t="s">
        <v>506</v>
      </c>
      <c r="C3642" s="67" t="s">
        <v>507</v>
      </c>
      <c r="D3642" s="91">
        <v>18079100</v>
      </c>
      <c r="E3642" s="76">
        <v>1338785</v>
      </c>
      <c r="F3642" s="77" t="s">
        <v>10174</v>
      </c>
    </row>
    <row r="3643" spans="1:6">
      <c r="A3643" s="82">
        <v>5</v>
      </c>
      <c r="B3643" s="83" t="s">
        <v>504</v>
      </c>
      <c r="C3643" s="67" t="s">
        <v>505</v>
      </c>
      <c r="D3643" s="91">
        <v>13967100</v>
      </c>
      <c r="E3643" s="76">
        <v>1034284.9999999999</v>
      </c>
      <c r="F3643" s="77" t="s">
        <v>10174</v>
      </c>
    </row>
    <row r="3644" spans="1:6">
      <c r="A3644" s="82">
        <v>5</v>
      </c>
      <c r="B3644" s="83" t="s">
        <v>601</v>
      </c>
      <c r="C3644" s="67" t="s">
        <v>602</v>
      </c>
      <c r="D3644" s="91">
        <v>18805600</v>
      </c>
      <c r="E3644" s="76">
        <v>1392580</v>
      </c>
      <c r="F3644" s="77" t="s">
        <v>10174</v>
      </c>
    </row>
    <row r="3645" spans="1:6">
      <c r="A3645" s="82">
        <v>5</v>
      </c>
      <c r="B3645" s="83" t="s">
        <v>599</v>
      </c>
      <c r="C3645" s="67" t="s">
        <v>600</v>
      </c>
      <c r="D3645" s="91">
        <v>14460600</v>
      </c>
      <c r="E3645" s="76">
        <v>1070825</v>
      </c>
      <c r="F3645" s="77" t="s">
        <v>10174</v>
      </c>
    </row>
    <row r="3646" spans="1:6">
      <c r="A3646" s="82">
        <v>5</v>
      </c>
      <c r="B3646" s="83" t="s">
        <v>3681</v>
      </c>
      <c r="C3646" s="67" t="s">
        <v>3682</v>
      </c>
      <c r="D3646" s="91">
        <v>4413600</v>
      </c>
      <c r="E3646" s="76">
        <v>326829.99999999994</v>
      </c>
      <c r="F3646" s="77" t="s">
        <v>10174</v>
      </c>
    </row>
    <row r="3647" spans="1:6" ht="25.5">
      <c r="A3647" s="82">
        <v>5</v>
      </c>
      <c r="B3647" s="83" t="s">
        <v>3679</v>
      </c>
      <c r="C3647" s="67" t="s">
        <v>3680</v>
      </c>
      <c r="D3647" s="91">
        <v>3399300</v>
      </c>
      <c r="E3647" s="76">
        <v>251720</v>
      </c>
      <c r="F3647" s="77" t="s">
        <v>10174</v>
      </c>
    </row>
    <row r="3648" spans="1:6">
      <c r="A3648" s="82">
        <v>5</v>
      </c>
      <c r="B3648" s="83" t="s">
        <v>3126</v>
      </c>
      <c r="C3648" s="67" t="s">
        <v>3127</v>
      </c>
      <c r="D3648" s="91">
        <v>5825300</v>
      </c>
      <c r="E3648" s="76">
        <v>431375</v>
      </c>
      <c r="F3648" s="77" t="s">
        <v>10174</v>
      </c>
    </row>
    <row r="3649" spans="1:6">
      <c r="A3649" s="82">
        <v>5</v>
      </c>
      <c r="B3649" s="83" t="s">
        <v>3124</v>
      </c>
      <c r="C3649" s="67" t="s">
        <v>3125</v>
      </c>
      <c r="D3649" s="91">
        <v>4454700</v>
      </c>
      <c r="E3649" s="76">
        <v>329874.99999999994</v>
      </c>
      <c r="F3649" s="77" t="s">
        <v>10174</v>
      </c>
    </row>
    <row r="3650" spans="1:6">
      <c r="A3650" s="82">
        <v>5</v>
      </c>
      <c r="B3650" s="83" t="s">
        <v>2648</v>
      </c>
      <c r="C3650" s="67" t="s">
        <v>2649</v>
      </c>
      <c r="D3650" s="91">
        <v>8018400</v>
      </c>
      <c r="E3650" s="76">
        <v>593775</v>
      </c>
      <c r="F3650" s="77" t="s">
        <v>10174</v>
      </c>
    </row>
    <row r="3651" spans="1:6">
      <c r="A3651" s="82">
        <v>5</v>
      </c>
      <c r="B3651" s="83" t="s">
        <v>2646</v>
      </c>
      <c r="C3651" s="67" t="s">
        <v>2647</v>
      </c>
      <c r="D3651" s="91">
        <v>6168000</v>
      </c>
      <c r="E3651" s="76">
        <v>456750</v>
      </c>
      <c r="F3651" s="77" t="s">
        <v>10174</v>
      </c>
    </row>
    <row r="3652" spans="1:6">
      <c r="A3652" s="82">
        <v>5</v>
      </c>
      <c r="B3652" s="83" t="s">
        <v>2660</v>
      </c>
      <c r="C3652" s="67" t="s">
        <v>2661</v>
      </c>
      <c r="D3652" s="91">
        <v>13432600</v>
      </c>
      <c r="E3652" s="76">
        <v>994700</v>
      </c>
      <c r="F3652" s="77" t="s">
        <v>10174</v>
      </c>
    </row>
    <row r="3653" spans="1:6" ht="25.5">
      <c r="A3653" s="82">
        <v>5</v>
      </c>
      <c r="B3653" s="83" t="s">
        <v>2658</v>
      </c>
      <c r="C3653" s="67" t="s">
        <v>2659</v>
      </c>
      <c r="D3653" s="91">
        <v>10348600</v>
      </c>
      <c r="E3653" s="76">
        <v>766325</v>
      </c>
      <c r="F3653" s="77" t="s">
        <v>10174</v>
      </c>
    </row>
    <row r="3654" spans="1:6">
      <c r="A3654" s="82">
        <v>5</v>
      </c>
      <c r="B3654" s="83" t="s">
        <v>3750</v>
      </c>
      <c r="C3654" s="67" t="s">
        <v>3751</v>
      </c>
      <c r="D3654" s="91">
        <v>13432600</v>
      </c>
      <c r="E3654" s="76">
        <v>994700</v>
      </c>
      <c r="F3654" s="77" t="s">
        <v>10174</v>
      </c>
    </row>
    <row r="3655" spans="1:6" ht="25.5">
      <c r="A3655" s="82">
        <v>5</v>
      </c>
      <c r="B3655" s="83" t="s">
        <v>3748</v>
      </c>
      <c r="C3655" s="67" t="s">
        <v>3749</v>
      </c>
      <c r="D3655" s="91">
        <v>10348600</v>
      </c>
      <c r="E3655" s="76">
        <v>766325</v>
      </c>
      <c r="F3655" s="77" t="s">
        <v>10174</v>
      </c>
    </row>
    <row r="3656" spans="1:6">
      <c r="A3656" s="82">
        <v>5</v>
      </c>
      <c r="B3656" s="83" t="s">
        <v>3071</v>
      </c>
      <c r="C3656" s="67" t="s">
        <v>3072</v>
      </c>
      <c r="D3656" s="91">
        <v>12815800</v>
      </c>
      <c r="E3656" s="76">
        <v>949025</v>
      </c>
      <c r="F3656" s="77" t="s">
        <v>10174</v>
      </c>
    </row>
    <row r="3657" spans="1:6" ht="25.5">
      <c r="A3657" s="82">
        <v>5</v>
      </c>
      <c r="B3657" s="83" t="s">
        <v>3073</v>
      </c>
      <c r="C3657" s="67" t="s">
        <v>3074</v>
      </c>
      <c r="D3657" s="91">
        <v>9868800</v>
      </c>
      <c r="E3657" s="76">
        <v>730799.99999999988</v>
      </c>
      <c r="F3657" s="77" t="s">
        <v>10174</v>
      </c>
    </row>
    <row r="3658" spans="1:6">
      <c r="A3658" s="82">
        <v>5</v>
      </c>
      <c r="B3658" s="83" t="s">
        <v>4842</v>
      </c>
      <c r="C3658" s="67" t="s">
        <v>4843</v>
      </c>
      <c r="D3658" s="91">
        <v>15145900</v>
      </c>
      <c r="E3658" s="76">
        <v>1121575</v>
      </c>
      <c r="F3658" s="77" t="s">
        <v>10174</v>
      </c>
    </row>
    <row r="3659" spans="1:6" ht="25.5">
      <c r="A3659" s="82">
        <v>5</v>
      </c>
      <c r="B3659" s="83" t="s">
        <v>4844</v>
      </c>
      <c r="C3659" s="67" t="s">
        <v>4845</v>
      </c>
      <c r="D3659" s="91">
        <v>11650700</v>
      </c>
      <c r="E3659" s="76">
        <v>862750</v>
      </c>
      <c r="F3659" s="77" t="s">
        <v>10174</v>
      </c>
    </row>
    <row r="3660" spans="1:6">
      <c r="A3660" s="82">
        <v>5</v>
      </c>
      <c r="B3660" s="83" t="s">
        <v>627</v>
      </c>
      <c r="C3660" s="67" t="s">
        <v>628</v>
      </c>
      <c r="D3660" s="91">
        <v>6798500</v>
      </c>
      <c r="E3660" s="76">
        <v>503440</v>
      </c>
      <c r="F3660" s="77" t="s">
        <v>10174</v>
      </c>
    </row>
    <row r="3661" spans="1:6">
      <c r="A3661" s="82">
        <v>5</v>
      </c>
      <c r="B3661" s="83" t="s">
        <v>625</v>
      </c>
      <c r="C3661" s="67" t="s">
        <v>626</v>
      </c>
      <c r="D3661" s="91">
        <v>5208500</v>
      </c>
      <c r="E3661" s="76">
        <v>385700</v>
      </c>
      <c r="F3661" s="77" t="s">
        <v>10174</v>
      </c>
    </row>
    <row r="3662" spans="1:6">
      <c r="A3662" s="82">
        <v>5</v>
      </c>
      <c r="B3662" s="83" t="s">
        <v>639</v>
      </c>
      <c r="C3662" s="67" t="s">
        <v>640</v>
      </c>
      <c r="D3662" s="91">
        <v>7593500</v>
      </c>
      <c r="E3662" s="76">
        <v>562309.99999999988</v>
      </c>
      <c r="F3662" s="77" t="s">
        <v>10174</v>
      </c>
    </row>
    <row r="3663" spans="1:6" ht="25.5">
      <c r="A3663" s="82">
        <v>5</v>
      </c>
      <c r="B3663" s="83" t="s">
        <v>637</v>
      </c>
      <c r="C3663" s="67" t="s">
        <v>638</v>
      </c>
      <c r="D3663" s="91">
        <v>5784200</v>
      </c>
      <c r="E3663" s="76">
        <v>428329.99999999994</v>
      </c>
      <c r="F3663" s="77" t="s">
        <v>10174</v>
      </c>
    </row>
    <row r="3664" spans="1:6">
      <c r="A3664" s="82">
        <v>5</v>
      </c>
      <c r="B3664" s="83" t="s">
        <v>651</v>
      </c>
      <c r="C3664" s="67" t="s">
        <v>652</v>
      </c>
      <c r="D3664" s="91">
        <v>7525000</v>
      </c>
      <c r="E3664" s="76">
        <v>557234.99999999988</v>
      </c>
      <c r="F3664" s="77" t="s">
        <v>10174</v>
      </c>
    </row>
    <row r="3665" spans="1:6" ht="25.5">
      <c r="A3665" s="82">
        <v>5</v>
      </c>
      <c r="B3665" s="83" t="s">
        <v>649</v>
      </c>
      <c r="C3665" s="67" t="s">
        <v>650</v>
      </c>
      <c r="D3665" s="91">
        <v>5784200</v>
      </c>
      <c r="E3665" s="76">
        <v>428329.99999999994</v>
      </c>
      <c r="F3665" s="77" t="s">
        <v>10174</v>
      </c>
    </row>
    <row r="3666" spans="1:6">
      <c r="A3666" s="82">
        <v>5</v>
      </c>
      <c r="B3666" s="83" t="s">
        <v>663</v>
      </c>
      <c r="C3666" s="67" t="s">
        <v>664</v>
      </c>
      <c r="D3666" s="91">
        <v>8320000</v>
      </c>
      <c r="E3666" s="76">
        <v>616105</v>
      </c>
      <c r="F3666" s="77" t="s">
        <v>10174</v>
      </c>
    </row>
    <row r="3667" spans="1:6" ht="25.5">
      <c r="A3667" s="82">
        <v>5</v>
      </c>
      <c r="B3667" s="83" t="s">
        <v>661</v>
      </c>
      <c r="C3667" s="67" t="s">
        <v>662</v>
      </c>
      <c r="D3667" s="91">
        <v>6442100</v>
      </c>
      <c r="E3667" s="76">
        <v>477050</v>
      </c>
      <c r="F3667" s="77" t="s">
        <v>10174</v>
      </c>
    </row>
    <row r="3668" spans="1:6">
      <c r="A3668" s="82">
        <v>5</v>
      </c>
      <c r="B3668" s="83" t="s">
        <v>891</v>
      </c>
      <c r="C3668" s="67" t="s">
        <v>892</v>
      </c>
      <c r="D3668" s="91">
        <v>7881400</v>
      </c>
      <c r="E3668" s="76">
        <v>583625</v>
      </c>
      <c r="F3668" s="77" t="s">
        <v>10174</v>
      </c>
    </row>
    <row r="3669" spans="1:6" ht="25.5">
      <c r="A3669" s="82">
        <v>5</v>
      </c>
      <c r="B3669" s="83" t="s">
        <v>889</v>
      </c>
      <c r="C3669" s="67" t="s">
        <v>890</v>
      </c>
      <c r="D3669" s="91">
        <v>6085800</v>
      </c>
      <c r="E3669" s="76">
        <v>450659.99999999994</v>
      </c>
      <c r="F3669" s="77" t="s">
        <v>10174</v>
      </c>
    </row>
    <row r="3670" spans="1:6">
      <c r="A3670" s="82">
        <v>5</v>
      </c>
      <c r="B3670" s="83" t="s">
        <v>312</v>
      </c>
      <c r="C3670" s="67" t="s">
        <v>313</v>
      </c>
      <c r="D3670" s="91">
        <v>4413600</v>
      </c>
      <c r="E3670" s="76">
        <v>326829.99999999994</v>
      </c>
      <c r="F3670" s="77" t="s">
        <v>10174</v>
      </c>
    </row>
    <row r="3671" spans="1:6">
      <c r="A3671" s="82">
        <v>5</v>
      </c>
      <c r="B3671" s="83" t="s">
        <v>310</v>
      </c>
      <c r="C3671" s="67" t="s">
        <v>311</v>
      </c>
      <c r="D3671" s="91">
        <v>3399300</v>
      </c>
      <c r="E3671" s="76">
        <v>251720</v>
      </c>
      <c r="F3671" s="77" t="s">
        <v>10174</v>
      </c>
    </row>
    <row r="3672" spans="1:6">
      <c r="A3672" s="82">
        <v>5</v>
      </c>
      <c r="B3672" s="83" t="s">
        <v>426</v>
      </c>
      <c r="C3672" s="67" t="s">
        <v>427</v>
      </c>
      <c r="D3672" s="91">
        <v>5208500</v>
      </c>
      <c r="E3672" s="76">
        <v>385700</v>
      </c>
      <c r="F3672" s="77" t="s">
        <v>10174</v>
      </c>
    </row>
    <row r="3673" spans="1:6">
      <c r="A3673" s="82">
        <v>5</v>
      </c>
      <c r="B3673" s="83" t="s">
        <v>424</v>
      </c>
      <c r="C3673" s="67" t="s">
        <v>425</v>
      </c>
      <c r="D3673" s="91">
        <v>3988600</v>
      </c>
      <c r="E3673" s="76">
        <v>295365</v>
      </c>
      <c r="F3673" s="77" t="s">
        <v>10174</v>
      </c>
    </row>
    <row r="3674" spans="1:6">
      <c r="A3674" s="82">
        <v>5</v>
      </c>
      <c r="B3674" s="83" t="s">
        <v>713</v>
      </c>
      <c r="C3674" s="67" t="s">
        <v>714</v>
      </c>
      <c r="D3674" s="91">
        <v>5359300</v>
      </c>
      <c r="E3674" s="76">
        <v>396865</v>
      </c>
      <c r="F3674" s="77" t="s">
        <v>10174</v>
      </c>
    </row>
    <row r="3675" spans="1:6">
      <c r="A3675" s="82">
        <v>5</v>
      </c>
      <c r="B3675" s="83" t="s">
        <v>715</v>
      </c>
      <c r="C3675" s="67" t="s">
        <v>716</v>
      </c>
      <c r="D3675" s="91">
        <v>4125700</v>
      </c>
      <c r="E3675" s="76">
        <v>305515</v>
      </c>
      <c r="F3675" s="77" t="s">
        <v>10174</v>
      </c>
    </row>
    <row r="3676" spans="1:6">
      <c r="A3676" s="82">
        <v>5</v>
      </c>
      <c r="B3676" s="83" t="s">
        <v>717</v>
      </c>
      <c r="C3676" s="67" t="s">
        <v>5498</v>
      </c>
      <c r="D3676" s="91">
        <v>6154300</v>
      </c>
      <c r="E3676" s="76">
        <v>455734.99999999994</v>
      </c>
      <c r="F3676" s="77" t="s">
        <v>10174</v>
      </c>
    </row>
    <row r="3677" spans="1:6">
      <c r="A3677" s="82">
        <v>5</v>
      </c>
      <c r="B3677" s="83" t="s">
        <v>718</v>
      </c>
      <c r="C3677" s="67" t="s">
        <v>5499</v>
      </c>
      <c r="D3677" s="91">
        <v>4701400</v>
      </c>
      <c r="E3677" s="76">
        <v>348145</v>
      </c>
      <c r="F3677" s="77" t="s">
        <v>10174</v>
      </c>
    </row>
    <row r="3678" spans="1:6">
      <c r="A3678" s="82">
        <v>5</v>
      </c>
      <c r="B3678" s="83" t="s">
        <v>1484</v>
      </c>
      <c r="C3678" s="67" t="s">
        <v>1485</v>
      </c>
      <c r="D3678" s="91">
        <v>6003500</v>
      </c>
      <c r="E3678" s="76">
        <v>444569.99999999994</v>
      </c>
      <c r="F3678" s="77" t="s">
        <v>10174</v>
      </c>
    </row>
    <row r="3679" spans="1:6">
      <c r="A3679" s="82">
        <v>5</v>
      </c>
      <c r="B3679" s="83" t="s">
        <v>1482</v>
      </c>
      <c r="C3679" s="67" t="s">
        <v>1483</v>
      </c>
      <c r="D3679" s="91">
        <v>4632900</v>
      </c>
      <c r="E3679" s="76">
        <v>343070</v>
      </c>
      <c r="F3679" s="77" t="s">
        <v>10174</v>
      </c>
    </row>
    <row r="3680" spans="1:6">
      <c r="A3680" s="82">
        <v>5</v>
      </c>
      <c r="B3680" s="83" t="s">
        <v>1007</v>
      </c>
      <c r="C3680" s="67" t="s">
        <v>1008</v>
      </c>
      <c r="D3680" s="91">
        <v>6510700</v>
      </c>
      <c r="E3680" s="76">
        <v>482125</v>
      </c>
      <c r="F3680" s="77" t="s">
        <v>10174</v>
      </c>
    </row>
    <row r="3681" spans="1:6">
      <c r="A3681" s="82">
        <v>5</v>
      </c>
      <c r="B3681" s="83" t="s">
        <v>1005</v>
      </c>
      <c r="C3681" s="67" t="s">
        <v>1006</v>
      </c>
      <c r="D3681" s="91">
        <v>5071500</v>
      </c>
      <c r="E3681" s="76">
        <v>375550</v>
      </c>
      <c r="F3681" s="77" t="s">
        <v>10174</v>
      </c>
    </row>
    <row r="3682" spans="1:6">
      <c r="A3682" s="82">
        <v>5</v>
      </c>
      <c r="B3682" s="83" t="s">
        <v>324</v>
      </c>
      <c r="C3682" s="67" t="s">
        <v>325</v>
      </c>
      <c r="D3682" s="91">
        <v>4701400</v>
      </c>
      <c r="E3682" s="76">
        <v>348145</v>
      </c>
      <c r="F3682" s="77" t="s">
        <v>10174</v>
      </c>
    </row>
    <row r="3683" spans="1:6">
      <c r="A3683" s="82">
        <v>5</v>
      </c>
      <c r="B3683" s="83" t="s">
        <v>322</v>
      </c>
      <c r="C3683" s="67" t="s">
        <v>323</v>
      </c>
      <c r="D3683" s="91">
        <v>3618600</v>
      </c>
      <c r="E3683" s="76">
        <v>267960</v>
      </c>
      <c r="F3683" s="77" t="s">
        <v>10174</v>
      </c>
    </row>
    <row r="3684" spans="1:6">
      <c r="A3684" s="82">
        <v>5</v>
      </c>
      <c r="B3684" s="83" t="s">
        <v>422</v>
      </c>
      <c r="C3684" s="67" t="s">
        <v>423</v>
      </c>
      <c r="D3684" s="91">
        <v>5496400</v>
      </c>
      <c r="E3684" s="76">
        <v>407015</v>
      </c>
      <c r="F3684" s="77" t="s">
        <v>10174</v>
      </c>
    </row>
    <row r="3685" spans="1:6">
      <c r="A3685" s="82">
        <v>5</v>
      </c>
      <c r="B3685" s="83" t="s">
        <v>420</v>
      </c>
      <c r="C3685" s="67" t="s">
        <v>421</v>
      </c>
      <c r="D3685" s="91">
        <v>4276500</v>
      </c>
      <c r="E3685" s="76">
        <v>316679.99999999994</v>
      </c>
      <c r="F3685" s="77" t="s">
        <v>10174</v>
      </c>
    </row>
    <row r="3686" spans="1:6">
      <c r="A3686" s="82">
        <v>5</v>
      </c>
      <c r="B3686" s="83" t="s">
        <v>719</v>
      </c>
      <c r="C3686" s="67" t="s">
        <v>720</v>
      </c>
      <c r="D3686" s="91">
        <v>5647200</v>
      </c>
      <c r="E3686" s="76">
        <v>418179.99999999994</v>
      </c>
      <c r="F3686" s="77" t="s">
        <v>10174</v>
      </c>
    </row>
    <row r="3687" spans="1:6">
      <c r="A3687" s="82">
        <v>5</v>
      </c>
      <c r="B3687" s="83" t="s">
        <v>721</v>
      </c>
      <c r="C3687" s="67" t="s">
        <v>722</v>
      </c>
      <c r="D3687" s="91">
        <v>4345000</v>
      </c>
      <c r="E3687" s="76">
        <v>321754.99999999994</v>
      </c>
      <c r="F3687" s="77" t="s">
        <v>10174</v>
      </c>
    </row>
    <row r="3688" spans="1:6">
      <c r="A3688" s="82">
        <v>5</v>
      </c>
      <c r="B3688" s="83" t="s">
        <v>723</v>
      </c>
      <c r="C3688" s="67" t="s">
        <v>724</v>
      </c>
      <c r="D3688" s="91">
        <v>6442100</v>
      </c>
      <c r="E3688" s="76">
        <v>477050</v>
      </c>
      <c r="F3688" s="77" t="s">
        <v>10174</v>
      </c>
    </row>
    <row r="3689" spans="1:6">
      <c r="A3689" s="82">
        <v>5</v>
      </c>
      <c r="B3689" s="83" t="s">
        <v>725</v>
      </c>
      <c r="C3689" s="67" t="s">
        <v>726</v>
      </c>
      <c r="D3689" s="91">
        <v>4989200</v>
      </c>
      <c r="E3689" s="76">
        <v>369460</v>
      </c>
      <c r="F3689" s="77" t="s">
        <v>10174</v>
      </c>
    </row>
    <row r="3690" spans="1:6">
      <c r="A3690" s="82">
        <v>5</v>
      </c>
      <c r="B3690" s="83" t="s">
        <v>3577</v>
      </c>
      <c r="C3690" s="67" t="s">
        <v>3578</v>
      </c>
      <c r="D3690" s="91">
        <v>4413600</v>
      </c>
      <c r="E3690" s="76">
        <v>326829.99999999994</v>
      </c>
      <c r="F3690" s="77" t="s">
        <v>10174</v>
      </c>
    </row>
    <row r="3691" spans="1:6">
      <c r="A3691" s="82">
        <v>5</v>
      </c>
      <c r="B3691" s="83" t="s">
        <v>3575</v>
      </c>
      <c r="C3691" s="67" t="s">
        <v>3576</v>
      </c>
      <c r="D3691" s="91">
        <v>3399300</v>
      </c>
      <c r="E3691" s="76">
        <v>251720</v>
      </c>
      <c r="F3691" s="77" t="s">
        <v>10174</v>
      </c>
    </row>
    <row r="3692" spans="1:6">
      <c r="A3692" s="82">
        <v>5</v>
      </c>
      <c r="B3692" s="83" t="s">
        <v>874</v>
      </c>
      <c r="C3692" s="67" t="s">
        <v>875</v>
      </c>
      <c r="D3692" s="91">
        <v>8840800</v>
      </c>
      <c r="E3692" s="76">
        <v>654674.99999999988</v>
      </c>
      <c r="F3692" s="77" t="s">
        <v>10174</v>
      </c>
    </row>
    <row r="3693" spans="1:6">
      <c r="A3693" s="82">
        <v>5</v>
      </c>
      <c r="B3693" s="83" t="s">
        <v>872</v>
      </c>
      <c r="C3693" s="67" t="s">
        <v>873</v>
      </c>
      <c r="D3693" s="91">
        <v>6812200</v>
      </c>
      <c r="E3693" s="76">
        <v>504454.99999999994</v>
      </c>
      <c r="F3693" s="77" t="s">
        <v>10174</v>
      </c>
    </row>
    <row r="3694" spans="1:6">
      <c r="A3694" s="82">
        <v>5</v>
      </c>
      <c r="B3694" s="83" t="s">
        <v>1413</v>
      </c>
      <c r="C3694" s="67" t="s">
        <v>1414</v>
      </c>
      <c r="D3694" s="91">
        <v>10965400</v>
      </c>
      <c r="E3694" s="76">
        <v>812000</v>
      </c>
      <c r="F3694" s="77" t="s">
        <v>10174</v>
      </c>
    </row>
    <row r="3695" spans="1:6">
      <c r="A3695" s="82">
        <v>5</v>
      </c>
      <c r="B3695" s="83" t="s">
        <v>1411</v>
      </c>
      <c r="C3695" s="67" t="s">
        <v>1412</v>
      </c>
      <c r="D3695" s="91">
        <v>8498200</v>
      </c>
      <c r="E3695" s="76">
        <v>629300</v>
      </c>
      <c r="F3695" s="77" t="s">
        <v>10174</v>
      </c>
    </row>
    <row r="3696" spans="1:6">
      <c r="A3696" s="82">
        <v>5</v>
      </c>
      <c r="B3696" s="83" t="s">
        <v>398</v>
      </c>
      <c r="C3696" s="67" t="s">
        <v>399</v>
      </c>
      <c r="D3696" s="91">
        <v>13021400</v>
      </c>
      <c r="E3696" s="76">
        <v>964250</v>
      </c>
      <c r="F3696" s="77" t="s">
        <v>10174</v>
      </c>
    </row>
    <row r="3697" spans="1:6">
      <c r="A3697" s="82">
        <v>5</v>
      </c>
      <c r="B3697" s="83" t="s">
        <v>396</v>
      </c>
      <c r="C3697" s="67" t="s">
        <v>397</v>
      </c>
      <c r="D3697" s="91">
        <v>10855700</v>
      </c>
      <c r="E3697" s="76">
        <v>803880</v>
      </c>
      <c r="F3697" s="77" t="s">
        <v>10174</v>
      </c>
    </row>
    <row r="3698" spans="1:6">
      <c r="A3698" s="82">
        <v>5</v>
      </c>
      <c r="B3698" s="83" t="s">
        <v>402</v>
      </c>
      <c r="C3698" s="67" t="s">
        <v>403</v>
      </c>
      <c r="D3698" s="91">
        <v>6373600</v>
      </c>
      <c r="E3698" s="76">
        <v>471975</v>
      </c>
      <c r="F3698" s="77" t="s">
        <v>10174</v>
      </c>
    </row>
    <row r="3699" spans="1:6">
      <c r="A3699" s="82">
        <v>5</v>
      </c>
      <c r="B3699" s="83" t="s">
        <v>400</v>
      </c>
      <c r="C3699" s="67" t="s">
        <v>401</v>
      </c>
      <c r="D3699" s="91">
        <v>4920700</v>
      </c>
      <c r="E3699" s="76">
        <v>364385</v>
      </c>
      <c r="F3699" s="77" t="s">
        <v>10174</v>
      </c>
    </row>
    <row r="3700" spans="1:6">
      <c r="A3700" s="82">
        <v>5</v>
      </c>
      <c r="B3700" s="83" t="s">
        <v>3138</v>
      </c>
      <c r="C3700" s="67" t="s">
        <v>3139</v>
      </c>
      <c r="D3700" s="91">
        <v>11870000</v>
      </c>
      <c r="E3700" s="76">
        <v>878989.99999999988</v>
      </c>
      <c r="F3700" s="77" t="s">
        <v>10174</v>
      </c>
    </row>
    <row r="3701" spans="1:6">
      <c r="A3701" s="82">
        <v>5</v>
      </c>
      <c r="B3701" s="83" t="s">
        <v>3136</v>
      </c>
      <c r="C3701" s="67" t="s">
        <v>3137</v>
      </c>
      <c r="D3701" s="91">
        <v>9046400</v>
      </c>
      <c r="E3701" s="76">
        <v>669899.99999999988</v>
      </c>
      <c r="F3701" s="77" t="s">
        <v>10174</v>
      </c>
    </row>
    <row r="3702" spans="1:6">
      <c r="A3702" s="82">
        <v>5</v>
      </c>
      <c r="B3702" s="83" t="s">
        <v>949</v>
      </c>
      <c r="C3702" s="67" t="s">
        <v>950</v>
      </c>
      <c r="D3702" s="91">
        <v>11870000</v>
      </c>
      <c r="E3702" s="76">
        <v>878989.99999999988</v>
      </c>
      <c r="F3702" s="77" t="s">
        <v>10174</v>
      </c>
    </row>
    <row r="3703" spans="1:6">
      <c r="A3703" s="82">
        <v>5</v>
      </c>
      <c r="B3703" s="83" t="s">
        <v>947</v>
      </c>
      <c r="C3703" s="67" t="s">
        <v>948</v>
      </c>
      <c r="D3703" s="91">
        <v>9046400</v>
      </c>
      <c r="E3703" s="76">
        <v>669899.99999999988</v>
      </c>
      <c r="F3703" s="77" t="s">
        <v>10174</v>
      </c>
    </row>
    <row r="3704" spans="1:6">
      <c r="A3704" s="82">
        <v>5</v>
      </c>
      <c r="B3704" s="83" t="s">
        <v>953</v>
      </c>
      <c r="C3704" s="67" t="s">
        <v>954</v>
      </c>
      <c r="D3704" s="91">
        <v>13309200</v>
      </c>
      <c r="E3704" s="76">
        <v>985564.99999999988</v>
      </c>
      <c r="F3704" s="77" t="s">
        <v>10174</v>
      </c>
    </row>
    <row r="3705" spans="1:6">
      <c r="A3705" s="82">
        <v>5</v>
      </c>
      <c r="B3705" s="83" t="s">
        <v>951</v>
      </c>
      <c r="C3705" s="67" t="s">
        <v>952</v>
      </c>
      <c r="D3705" s="91">
        <v>10280000</v>
      </c>
      <c r="E3705" s="76">
        <v>761250</v>
      </c>
      <c r="F3705" s="77" t="s">
        <v>10174</v>
      </c>
    </row>
    <row r="3706" spans="1:6">
      <c r="A3706" s="82">
        <v>5</v>
      </c>
      <c r="B3706" s="83" t="s">
        <v>993</v>
      </c>
      <c r="C3706" s="67" t="s">
        <v>994</v>
      </c>
      <c r="D3706" s="91">
        <v>9402800</v>
      </c>
      <c r="E3706" s="76">
        <v>696290</v>
      </c>
      <c r="F3706" s="77" t="s">
        <v>10174</v>
      </c>
    </row>
    <row r="3707" spans="1:6">
      <c r="A3707" s="82">
        <v>5</v>
      </c>
      <c r="B3707" s="83" t="s">
        <v>991</v>
      </c>
      <c r="C3707" s="67" t="s">
        <v>992</v>
      </c>
      <c r="D3707" s="91">
        <v>7237100</v>
      </c>
      <c r="E3707" s="76">
        <v>535920</v>
      </c>
      <c r="F3707" s="77" t="s">
        <v>10174</v>
      </c>
    </row>
    <row r="3708" spans="1:6">
      <c r="A3708" s="82">
        <v>5</v>
      </c>
      <c r="B3708" s="83" t="s">
        <v>997</v>
      </c>
      <c r="C3708" s="67" t="s">
        <v>998</v>
      </c>
      <c r="D3708" s="91">
        <v>10197800</v>
      </c>
      <c r="E3708" s="76">
        <v>755159.99999999988</v>
      </c>
      <c r="F3708" s="77" t="s">
        <v>10174</v>
      </c>
    </row>
    <row r="3709" spans="1:6">
      <c r="A3709" s="82">
        <v>5</v>
      </c>
      <c r="B3709" s="83" t="s">
        <v>995</v>
      </c>
      <c r="C3709" s="67" t="s">
        <v>996</v>
      </c>
      <c r="D3709" s="91">
        <v>7881400</v>
      </c>
      <c r="E3709" s="76">
        <v>583625</v>
      </c>
      <c r="F3709" s="77" t="s">
        <v>10174</v>
      </c>
    </row>
    <row r="3710" spans="1:6">
      <c r="A3710" s="82">
        <v>5</v>
      </c>
      <c r="B3710" s="83" t="s">
        <v>1108</v>
      </c>
      <c r="C3710" s="67" t="s">
        <v>1109</v>
      </c>
      <c r="D3710" s="91">
        <v>6510700</v>
      </c>
      <c r="E3710" s="76">
        <v>482125</v>
      </c>
      <c r="F3710" s="77" t="s">
        <v>10174</v>
      </c>
    </row>
    <row r="3711" spans="1:6">
      <c r="A3711" s="82">
        <v>5</v>
      </c>
      <c r="B3711" s="83" t="s">
        <v>1110</v>
      </c>
      <c r="C3711" s="67" t="s">
        <v>1111</v>
      </c>
      <c r="D3711" s="91">
        <v>5071500</v>
      </c>
      <c r="E3711" s="76">
        <v>375550</v>
      </c>
      <c r="F3711" s="77" t="s">
        <v>10174</v>
      </c>
    </row>
    <row r="3712" spans="1:6">
      <c r="A3712" s="82">
        <v>5</v>
      </c>
      <c r="B3712" s="67" t="s">
        <v>6379</v>
      </c>
      <c r="C3712" s="67" t="s">
        <v>6380</v>
      </c>
      <c r="D3712" s="91">
        <v>31045700</v>
      </c>
      <c r="E3712" s="76">
        <v>2298975</v>
      </c>
      <c r="F3712" s="77" t="s">
        <v>10174</v>
      </c>
    </row>
    <row r="3713" spans="1:6">
      <c r="A3713" s="82">
        <v>5</v>
      </c>
      <c r="B3713" s="67" t="s">
        <v>6381</v>
      </c>
      <c r="C3713" s="67" t="s">
        <v>6382</v>
      </c>
      <c r="D3713" s="91">
        <v>23849700</v>
      </c>
      <c r="E3713" s="76">
        <v>1766100</v>
      </c>
      <c r="F3713" s="77" t="s">
        <v>10174</v>
      </c>
    </row>
    <row r="3714" spans="1:6">
      <c r="A3714" s="82">
        <v>5</v>
      </c>
      <c r="B3714" s="67" t="s">
        <v>5800</v>
      </c>
      <c r="C3714" s="67" t="s">
        <v>8165</v>
      </c>
      <c r="D3714" s="91">
        <v>17133400</v>
      </c>
      <c r="E3714" s="76">
        <v>1268750</v>
      </c>
      <c r="F3714" s="77" t="s">
        <v>10174</v>
      </c>
    </row>
    <row r="3715" spans="1:6">
      <c r="A3715" s="82">
        <v>5</v>
      </c>
      <c r="B3715" s="67" t="s">
        <v>5801</v>
      </c>
      <c r="C3715" s="67" t="s">
        <v>8166</v>
      </c>
      <c r="D3715" s="91">
        <v>13158400</v>
      </c>
      <c r="E3715" s="76">
        <v>974400</v>
      </c>
      <c r="F3715" s="77" t="s">
        <v>10174</v>
      </c>
    </row>
    <row r="3716" spans="1:6">
      <c r="A3716" s="82">
        <v>5</v>
      </c>
      <c r="B3716" s="67" t="s">
        <v>6383</v>
      </c>
      <c r="C3716" s="67" t="s">
        <v>6384</v>
      </c>
      <c r="D3716" s="91">
        <v>31045700</v>
      </c>
      <c r="E3716" s="76">
        <v>2298975</v>
      </c>
      <c r="F3716" s="77" t="s">
        <v>10174</v>
      </c>
    </row>
    <row r="3717" spans="1:6">
      <c r="A3717" s="82">
        <v>5</v>
      </c>
      <c r="B3717" s="67" t="s">
        <v>6385</v>
      </c>
      <c r="C3717" s="67" t="s">
        <v>6386</v>
      </c>
      <c r="D3717" s="91">
        <v>23849700</v>
      </c>
      <c r="E3717" s="76">
        <v>1766100</v>
      </c>
      <c r="F3717" s="77" t="s">
        <v>10174</v>
      </c>
    </row>
    <row r="3718" spans="1:6">
      <c r="A3718" s="82">
        <v>5</v>
      </c>
      <c r="B3718" s="67" t="s">
        <v>5798</v>
      </c>
      <c r="C3718" s="67" t="s">
        <v>8167</v>
      </c>
      <c r="D3718" s="91">
        <v>11513600</v>
      </c>
      <c r="E3718" s="76">
        <v>852600</v>
      </c>
      <c r="F3718" s="77" t="s">
        <v>10174</v>
      </c>
    </row>
    <row r="3719" spans="1:6">
      <c r="A3719" s="82">
        <v>5</v>
      </c>
      <c r="B3719" s="67" t="s">
        <v>5799</v>
      </c>
      <c r="C3719" s="67" t="s">
        <v>8168</v>
      </c>
      <c r="D3719" s="91">
        <v>8840800</v>
      </c>
      <c r="E3719" s="76">
        <v>654674.99999999988</v>
      </c>
      <c r="F3719" s="77" t="s">
        <v>10174</v>
      </c>
    </row>
    <row r="3720" spans="1:6">
      <c r="A3720" s="82">
        <v>5</v>
      </c>
      <c r="B3720" s="83" t="s">
        <v>555</v>
      </c>
      <c r="C3720" s="67" t="s">
        <v>556</v>
      </c>
      <c r="D3720" s="91">
        <v>5359300</v>
      </c>
      <c r="E3720" s="76">
        <v>396865</v>
      </c>
      <c r="F3720" s="77" t="s">
        <v>10174</v>
      </c>
    </row>
    <row r="3721" spans="1:6">
      <c r="A3721" s="82">
        <v>5</v>
      </c>
      <c r="B3721" s="83" t="s">
        <v>553</v>
      </c>
      <c r="C3721" s="67" t="s">
        <v>554</v>
      </c>
      <c r="D3721" s="91">
        <v>4057200</v>
      </c>
      <c r="E3721" s="76">
        <v>300440</v>
      </c>
      <c r="F3721" s="77" t="s">
        <v>10174</v>
      </c>
    </row>
    <row r="3722" spans="1:6">
      <c r="A3722" s="82">
        <v>5</v>
      </c>
      <c r="B3722" s="83" t="s">
        <v>406</v>
      </c>
      <c r="C3722" s="67" t="s">
        <v>407</v>
      </c>
      <c r="D3722" s="91">
        <v>5359300</v>
      </c>
      <c r="E3722" s="76">
        <v>396865</v>
      </c>
      <c r="F3722" s="77" t="s">
        <v>10174</v>
      </c>
    </row>
    <row r="3723" spans="1:6">
      <c r="A3723" s="82">
        <v>5</v>
      </c>
      <c r="B3723" s="83" t="s">
        <v>404</v>
      </c>
      <c r="C3723" s="67" t="s">
        <v>405</v>
      </c>
      <c r="D3723" s="91">
        <v>4057200</v>
      </c>
      <c r="E3723" s="76">
        <v>300440</v>
      </c>
      <c r="F3723" s="77" t="s">
        <v>10174</v>
      </c>
    </row>
    <row r="3724" spans="1:6">
      <c r="A3724" s="82">
        <v>5</v>
      </c>
      <c r="B3724" s="83" t="s">
        <v>800</v>
      </c>
      <c r="C3724" s="67" t="s">
        <v>801</v>
      </c>
      <c r="D3724" s="91">
        <v>3769300</v>
      </c>
      <c r="E3724" s="76">
        <v>279125</v>
      </c>
      <c r="F3724" s="77" t="s">
        <v>10174</v>
      </c>
    </row>
    <row r="3725" spans="1:6">
      <c r="A3725" s="82">
        <v>5</v>
      </c>
      <c r="B3725" s="83" t="s">
        <v>798</v>
      </c>
      <c r="C3725" s="67" t="s">
        <v>799</v>
      </c>
      <c r="D3725" s="91">
        <v>2892100</v>
      </c>
      <c r="E3725" s="76">
        <v>214164.99999999997</v>
      </c>
      <c r="F3725" s="77" t="s">
        <v>10174</v>
      </c>
    </row>
    <row r="3726" spans="1:6">
      <c r="A3726" s="82">
        <v>5</v>
      </c>
      <c r="B3726" s="67" t="s">
        <v>5841</v>
      </c>
      <c r="C3726" s="67" t="s">
        <v>8169</v>
      </c>
      <c r="D3726" s="91">
        <v>16105400</v>
      </c>
      <c r="E3726" s="76">
        <v>1192625</v>
      </c>
      <c r="F3726" s="77" t="s">
        <v>10174</v>
      </c>
    </row>
    <row r="3727" spans="1:6">
      <c r="A3727" s="82">
        <v>5</v>
      </c>
      <c r="B3727" s="67" t="s">
        <v>5840</v>
      </c>
      <c r="C3727" s="67" t="s">
        <v>8170</v>
      </c>
      <c r="D3727" s="91">
        <v>12404600</v>
      </c>
      <c r="E3727" s="76">
        <v>918575</v>
      </c>
      <c r="F3727" s="77" t="s">
        <v>10174</v>
      </c>
    </row>
    <row r="3728" spans="1:6">
      <c r="A3728" s="82">
        <v>5</v>
      </c>
      <c r="B3728" s="83" t="s">
        <v>1206</v>
      </c>
      <c r="C3728" s="67" t="s">
        <v>1207</v>
      </c>
      <c r="D3728" s="91">
        <v>16036800</v>
      </c>
      <c r="E3728" s="76">
        <v>1187550</v>
      </c>
      <c r="F3728" s="77" t="s">
        <v>10174</v>
      </c>
    </row>
    <row r="3729" spans="1:6">
      <c r="A3729" s="82">
        <v>5</v>
      </c>
      <c r="B3729" s="83" t="s">
        <v>1204</v>
      </c>
      <c r="C3729" s="67" t="s">
        <v>1205</v>
      </c>
      <c r="D3729" s="91">
        <v>12336000</v>
      </c>
      <c r="E3729" s="76">
        <v>913500</v>
      </c>
      <c r="F3729" s="77" t="s">
        <v>10174</v>
      </c>
    </row>
    <row r="3730" spans="1:6">
      <c r="A3730" s="82">
        <v>5</v>
      </c>
      <c r="B3730" s="83" t="s">
        <v>5076</v>
      </c>
      <c r="C3730" s="67" t="s">
        <v>5077</v>
      </c>
      <c r="D3730" s="91">
        <v>16722200</v>
      </c>
      <c r="E3730" s="76">
        <v>1238300</v>
      </c>
      <c r="F3730" s="77" t="s">
        <v>10174</v>
      </c>
    </row>
    <row r="3731" spans="1:6">
      <c r="A3731" s="82">
        <v>5</v>
      </c>
      <c r="B3731" s="83" t="s">
        <v>5078</v>
      </c>
      <c r="C3731" s="67" t="s">
        <v>5079</v>
      </c>
      <c r="D3731" s="91">
        <v>12884300</v>
      </c>
      <c r="E3731" s="76">
        <v>954100</v>
      </c>
      <c r="F3731" s="77" t="s">
        <v>10174</v>
      </c>
    </row>
    <row r="3732" spans="1:6">
      <c r="A3732" s="82">
        <v>5</v>
      </c>
      <c r="B3732" s="83" t="s">
        <v>3786</v>
      </c>
      <c r="C3732" s="67" t="s">
        <v>3787</v>
      </c>
      <c r="D3732" s="91">
        <v>28647000</v>
      </c>
      <c r="E3732" s="76">
        <v>2121350</v>
      </c>
      <c r="F3732" s="77" t="s">
        <v>10174</v>
      </c>
    </row>
    <row r="3733" spans="1:6">
      <c r="A3733" s="82">
        <v>5</v>
      </c>
      <c r="B3733" s="83" t="s">
        <v>3784</v>
      </c>
      <c r="C3733" s="67" t="s">
        <v>3785</v>
      </c>
      <c r="D3733" s="91">
        <v>21999300</v>
      </c>
      <c r="E3733" s="76">
        <v>1629075</v>
      </c>
      <c r="F3733" s="77" t="s">
        <v>10174</v>
      </c>
    </row>
    <row r="3734" spans="1:6">
      <c r="A3734" s="82">
        <v>5</v>
      </c>
      <c r="B3734" s="83" t="s">
        <v>3952</v>
      </c>
      <c r="C3734" s="67" t="s">
        <v>4081</v>
      </c>
      <c r="D3734" s="91">
        <v>24877700</v>
      </c>
      <c r="E3734" s="76">
        <v>1842225</v>
      </c>
      <c r="F3734" s="77" t="s">
        <v>10174</v>
      </c>
    </row>
    <row r="3735" spans="1:6">
      <c r="A3735" s="82">
        <v>5</v>
      </c>
      <c r="B3735" s="83" t="s">
        <v>3953</v>
      </c>
      <c r="C3735" s="67" t="s">
        <v>4080</v>
      </c>
      <c r="D3735" s="91">
        <v>19189400</v>
      </c>
      <c r="E3735" s="76">
        <v>1420999.9999999998</v>
      </c>
      <c r="F3735" s="77" t="s">
        <v>10174</v>
      </c>
    </row>
    <row r="3736" spans="1:6">
      <c r="A3736" s="82">
        <v>5</v>
      </c>
      <c r="B3736" s="83" t="s">
        <v>3954</v>
      </c>
      <c r="C3736" s="67" t="s">
        <v>4086</v>
      </c>
      <c r="D3736" s="91">
        <v>24877700</v>
      </c>
      <c r="E3736" s="76">
        <v>1842225</v>
      </c>
      <c r="F3736" s="77" t="s">
        <v>10174</v>
      </c>
    </row>
    <row r="3737" spans="1:6">
      <c r="A3737" s="82">
        <v>5</v>
      </c>
      <c r="B3737" s="83" t="s">
        <v>3955</v>
      </c>
      <c r="C3737" s="67" t="s">
        <v>4085</v>
      </c>
      <c r="D3737" s="91">
        <v>19189400</v>
      </c>
      <c r="E3737" s="76">
        <v>1420999.9999999998</v>
      </c>
      <c r="F3737" s="77" t="s">
        <v>10174</v>
      </c>
    </row>
    <row r="3738" spans="1:6">
      <c r="A3738" s="82">
        <v>5</v>
      </c>
      <c r="B3738" s="83" t="s">
        <v>4582</v>
      </c>
      <c r="C3738" s="67" t="s">
        <v>4583</v>
      </c>
      <c r="D3738" s="91">
        <v>24877700</v>
      </c>
      <c r="E3738" s="76">
        <v>1842225</v>
      </c>
      <c r="F3738" s="77" t="s">
        <v>10174</v>
      </c>
    </row>
    <row r="3739" spans="1:6">
      <c r="A3739" s="82">
        <v>5</v>
      </c>
      <c r="B3739" s="83" t="s">
        <v>4584</v>
      </c>
      <c r="C3739" s="67" t="s">
        <v>4585</v>
      </c>
      <c r="D3739" s="91">
        <v>19189400</v>
      </c>
      <c r="E3739" s="76">
        <v>1420999.9999999998</v>
      </c>
      <c r="F3739" s="77" t="s">
        <v>10174</v>
      </c>
    </row>
    <row r="3740" spans="1:6">
      <c r="A3740" s="82">
        <v>5</v>
      </c>
      <c r="B3740" s="83" t="s">
        <v>1156</v>
      </c>
      <c r="C3740" s="67" t="s">
        <v>1157</v>
      </c>
      <c r="D3740" s="91">
        <v>14940300</v>
      </c>
      <c r="E3740" s="76">
        <v>1106350</v>
      </c>
      <c r="F3740" s="77" t="s">
        <v>10174</v>
      </c>
    </row>
    <row r="3741" spans="1:6">
      <c r="A3741" s="82">
        <v>5</v>
      </c>
      <c r="B3741" s="83" t="s">
        <v>1154</v>
      </c>
      <c r="C3741" s="67" t="s">
        <v>1155</v>
      </c>
      <c r="D3741" s="91">
        <v>11513600</v>
      </c>
      <c r="E3741" s="76">
        <v>852600</v>
      </c>
      <c r="F3741" s="77" t="s">
        <v>10174</v>
      </c>
    </row>
    <row r="3742" spans="1:6">
      <c r="A3742" s="82">
        <v>5</v>
      </c>
      <c r="B3742" s="83" t="s">
        <v>4814</v>
      </c>
      <c r="C3742" s="67" t="s">
        <v>4815</v>
      </c>
      <c r="D3742" s="91">
        <v>18641100</v>
      </c>
      <c r="E3742" s="76">
        <v>1380399.9999999998</v>
      </c>
      <c r="F3742" s="77" t="s">
        <v>10174</v>
      </c>
    </row>
    <row r="3743" spans="1:6">
      <c r="A3743" s="82">
        <v>5</v>
      </c>
      <c r="B3743" s="83" t="s">
        <v>4816</v>
      </c>
      <c r="C3743" s="67" t="s">
        <v>4817</v>
      </c>
      <c r="D3743" s="91">
        <v>14323500</v>
      </c>
      <c r="E3743" s="76">
        <v>1060675</v>
      </c>
      <c r="F3743" s="77" t="s">
        <v>10174</v>
      </c>
    </row>
    <row r="3744" spans="1:6">
      <c r="A3744" s="82">
        <v>5</v>
      </c>
      <c r="B3744" s="83" t="s">
        <v>3657</v>
      </c>
      <c r="C3744" s="67" t="s">
        <v>3658</v>
      </c>
      <c r="D3744" s="91">
        <v>16653600</v>
      </c>
      <c r="E3744" s="76">
        <v>1233225</v>
      </c>
      <c r="F3744" s="77" t="s">
        <v>10174</v>
      </c>
    </row>
    <row r="3745" spans="1:6">
      <c r="A3745" s="82">
        <v>5</v>
      </c>
      <c r="B3745" s="83" t="s">
        <v>3655</v>
      </c>
      <c r="C3745" s="67" t="s">
        <v>3656</v>
      </c>
      <c r="D3745" s="91">
        <v>12815800</v>
      </c>
      <c r="E3745" s="76">
        <v>949025</v>
      </c>
      <c r="F3745" s="77" t="s">
        <v>10174</v>
      </c>
    </row>
    <row r="3746" spans="1:6">
      <c r="A3746" s="82">
        <v>5</v>
      </c>
      <c r="B3746" s="83" t="s">
        <v>3669</v>
      </c>
      <c r="C3746" s="67" t="s">
        <v>3670</v>
      </c>
      <c r="D3746" s="91">
        <v>16653600</v>
      </c>
      <c r="E3746" s="76">
        <v>1233225</v>
      </c>
      <c r="F3746" s="77" t="s">
        <v>10174</v>
      </c>
    </row>
    <row r="3747" spans="1:6">
      <c r="A3747" s="82">
        <v>5</v>
      </c>
      <c r="B3747" s="83" t="s">
        <v>3667</v>
      </c>
      <c r="C3747" s="67" t="s">
        <v>3668</v>
      </c>
      <c r="D3747" s="91">
        <v>12815800</v>
      </c>
      <c r="E3747" s="76">
        <v>949025</v>
      </c>
      <c r="F3747" s="77" t="s">
        <v>10174</v>
      </c>
    </row>
    <row r="3748" spans="1:6">
      <c r="A3748" s="82">
        <v>5</v>
      </c>
      <c r="B3748" s="83" t="s">
        <v>4546</v>
      </c>
      <c r="C3748" s="67" t="s">
        <v>4547</v>
      </c>
      <c r="D3748" s="91">
        <v>11239500</v>
      </c>
      <c r="E3748" s="76">
        <v>832300</v>
      </c>
      <c r="F3748" s="77" t="s">
        <v>10174</v>
      </c>
    </row>
    <row r="3749" spans="1:6">
      <c r="A3749" s="82">
        <v>5</v>
      </c>
      <c r="B3749" s="83" t="s">
        <v>4548</v>
      </c>
      <c r="C3749" s="67" t="s">
        <v>4549</v>
      </c>
      <c r="D3749" s="91">
        <v>8635200</v>
      </c>
      <c r="E3749" s="76">
        <v>639450</v>
      </c>
      <c r="F3749" s="77" t="s">
        <v>10174</v>
      </c>
    </row>
    <row r="3750" spans="1:6">
      <c r="A3750" s="82">
        <v>5</v>
      </c>
      <c r="B3750" s="83" t="s">
        <v>5120</v>
      </c>
      <c r="C3750" s="67" t="s">
        <v>5121</v>
      </c>
      <c r="D3750" s="91">
        <v>12884300</v>
      </c>
      <c r="E3750" s="76">
        <v>954100</v>
      </c>
      <c r="F3750" s="77" t="s">
        <v>10174</v>
      </c>
    </row>
    <row r="3751" spans="1:6">
      <c r="A3751" s="82">
        <v>5</v>
      </c>
      <c r="B3751" s="83" t="s">
        <v>5122</v>
      </c>
      <c r="C3751" s="67" t="s">
        <v>5123</v>
      </c>
      <c r="D3751" s="91">
        <v>9937400</v>
      </c>
      <c r="E3751" s="76">
        <v>735874.99999999988</v>
      </c>
      <c r="F3751" s="77" t="s">
        <v>10174</v>
      </c>
    </row>
    <row r="3752" spans="1:6">
      <c r="A3752" s="82">
        <v>5</v>
      </c>
      <c r="B3752" s="83" t="s">
        <v>4554</v>
      </c>
      <c r="C3752" s="67" t="s">
        <v>4555</v>
      </c>
      <c r="D3752" s="91">
        <v>12610200</v>
      </c>
      <c r="E3752" s="76">
        <v>933800</v>
      </c>
      <c r="F3752" s="77" t="s">
        <v>10174</v>
      </c>
    </row>
    <row r="3753" spans="1:6">
      <c r="A3753" s="82">
        <v>5</v>
      </c>
      <c r="B3753" s="83" t="s">
        <v>4556</v>
      </c>
      <c r="C3753" s="67" t="s">
        <v>4557</v>
      </c>
      <c r="D3753" s="91">
        <v>9663200</v>
      </c>
      <c r="E3753" s="76">
        <v>715574.99999999988</v>
      </c>
      <c r="F3753" s="77" t="s">
        <v>10174</v>
      </c>
    </row>
    <row r="3754" spans="1:6">
      <c r="A3754" s="82">
        <v>5</v>
      </c>
      <c r="B3754" s="83" t="s">
        <v>4550</v>
      </c>
      <c r="C3754" s="67" t="s">
        <v>4551</v>
      </c>
      <c r="D3754" s="91">
        <v>12610200</v>
      </c>
      <c r="E3754" s="76">
        <v>933800</v>
      </c>
      <c r="F3754" s="77" t="s">
        <v>10174</v>
      </c>
    </row>
    <row r="3755" spans="1:6">
      <c r="A3755" s="82">
        <v>5</v>
      </c>
      <c r="B3755" s="83" t="s">
        <v>4552</v>
      </c>
      <c r="C3755" s="67" t="s">
        <v>4553</v>
      </c>
      <c r="D3755" s="91">
        <v>9663200</v>
      </c>
      <c r="E3755" s="76">
        <v>715574.99999999988</v>
      </c>
      <c r="F3755" s="77" t="s">
        <v>10174</v>
      </c>
    </row>
    <row r="3756" spans="1:6">
      <c r="A3756" s="82">
        <v>5</v>
      </c>
      <c r="B3756" s="83" t="s">
        <v>6387</v>
      </c>
      <c r="C3756" s="67" t="s">
        <v>6388</v>
      </c>
      <c r="D3756" s="91">
        <v>7538700</v>
      </c>
      <c r="E3756" s="76">
        <v>558250</v>
      </c>
      <c r="F3756" s="77" t="s">
        <v>10174</v>
      </c>
    </row>
    <row r="3757" spans="1:6">
      <c r="A3757" s="82">
        <v>5</v>
      </c>
      <c r="B3757" s="83" t="s">
        <v>6389</v>
      </c>
      <c r="C3757" s="67" t="s">
        <v>6390</v>
      </c>
      <c r="D3757" s="91">
        <v>5825300</v>
      </c>
      <c r="E3757" s="76">
        <v>431375</v>
      </c>
      <c r="F3757" s="77" t="s">
        <v>10174</v>
      </c>
    </row>
    <row r="3758" spans="1:6">
      <c r="A3758" s="82">
        <v>5</v>
      </c>
      <c r="B3758" s="67" t="s">
        <v>5118</v>
      </c>
      <c r="C3758" s="67" t="s">
        <v>8171</v>
      </c>
      <c r="D3758" s="91">
        <v>8703800</v>
      </c>
      <c r="E3758" s="76">
        <v>644525</v>
      </c>
      <c r="F3758" s="77" t="s">
        <v>10174</v>
      </c>
    </row>
    <row r="3759" spans="1:6">
      <c r="A3759" s="82">
        <v>5</v>
      </c>
      <c r="B3759" s="67" t="s">
        <v>5119</v>
      </c>
      <c r="C3759" s="67" t="s">
        <v>8172</v>
      </c>
      <c r="D3759" s="91">
        <v>6716300</v>
      </c>
      <c r="E3759" s="76">
        <v>497350</v>
      </c>
      <c r="F3759" s="77" t="s">
        <v>10174</v>
      </c>
    </row>
    <row r="3760" spans="1:6">
      <c r="A3760" s="82">
        <v>5</v>
      </c>
      <c r="B3760" s="83" t="s">
        <v>2712</v>
      </c>
      <c r="C3760" s="67" t="s">
        <v>2713</v>
      </c>
      <c r="D3760" s="91">
        <v>5359300</v>
      </c>
      <c r="E3760" s="76">
        <v>396865</v>
      </c>
      <c r="F3760" s="77" t="s">
        <v>10174</v>
      </c>
    </row>
    <row r="3761" spans="1:6" ht="25.5">
      <c r="A3761" s="82">
        <v>5</v>
      </c>
      <c r="B3761" s="83" t="s">
        <v>2710</v>
      </c>
      <c r="C3761" s="67" t="s">
        <v>2711</v>
      </c>
      <c r="D3761" s="91">
        <v>4057200</v>
      </c>
      <c r="E3761" s="76">
        <v>300440</v>
      </c>
      <c r="F3761" s="77" t="s">
        <v>10174</v>
      </c>
    </row>
    <row r="3762" spans="1:6">
      <c r="A3762" s="82">
        <v>5</v>
      </c>
      <c r="B3762" s="83" t="s">
        <v>925</v>
      </c>
      <c r="C3762" s="67" t="s">
        <v>926</v>
      </c>
      <c r="D3762" s="91">
        <v>5359300</v>
      </c>
      <c r="E3762" s="76">
        <v>396865</v>
      </c>
      <c r="F3762" s="77" t="s">
        <v>10174</v>
      </c>
    </row>
    <row r="3763" spans="1:6">
      <c r="A3763" s="82">
        <v>5</v>
      </c>
      <c r="B3763" s="83" t="s">
        <v>923</v>
      </c>
      <c r="C3763" s="67" t="s">
        <v>924</v>
      </c>
      <c r="D3763" s="91">
        <v>4057200</v>
      </c>
      <c r="E3763" s="76">
        <v>300440</v>
      </c>
      <c r="F3763" s="77" t="s">
        <v>10174</v>
      </c>
    </row>
    <row r="3764" spans="1:6">
      <c r="A3764" s="82">
        <v>5</v>
      </c>
      <c r="B3764" s="83" t="s">
        <v>1687</v>
      </c>
      <c r="C3764" s="67" t="s">
        <v>1688</v>
      </c>
      <c r="D3764" s="91">
        <v>9594700</v>
      </c>
      <c r="E3764" s="76">
        <v>710499.99999999988</v>
      </c>
      <c r="F3764" s="77" t="s">
        <v>10174</v>
      </c>
    </row>
    <row r="3765" spans="1:6">
      <c r="A3765" s="82">
        <v>5</v>
      </c>
      <c r="B3765" s="83" t="s">
        <v>1685</v>
      </c>
      <c r="C3765" s="67" t="s">
        <v>1686</v>
      </c>
      <c r="D3765" s="91">
        <v>7401600</v>
      </c>
      <c r="E3765" s="76">
        <v>548100</v>
      </c>
      <c r="F3765" s="77" t="s">
        <v>10174</v>
      </c>
    </row>
    <row r="3766" spans="1:6">
      <c r="A3766" s="82">
        <v>5</v>
      </c>
      <c r="B3766" s="83" t="s">
        <v>5796</v>
      </c>
      <c r="C3766" s="67" t="s">
        <v>8173</v>
      </c>
      <c r="D3766" s="91">
        <v>4591700</v>
      </c>
      <c r="E3766" s="76">
        <v>340024.99999999994</v>
      </c>
      <c r="F3766" s="77" t="s">
        <v>10174</v>
      </c>
    </row>
    <row r="3767" spans="1:6" ht="25.5">
      <c r="A3767" s="82">
        <v>5</v>
      </c>
      <c r="B3767" s="83" t="s">
        <v>5797</v>
      </c>
      <c r="C3767" s="67" t="s">
        <v>8174</v>
      </c>
      <c r="D3767" s="91">
        <v>3563700</v>
      </c>
      <c r="E3767" s="76">
        <v>263900</v>
      </c>
      <c r="F3767" s="77" t="s">
        <v>10174</v>
      </c>
    </row>
    <row r="3768" spans="1:6">
      <c r="A3768" s="82">
        <v>5</v>
      </c>
      <c r="B3768" s="83" t="s">
        <v>2261</v>
      </c>
      <c r="C3768" s="67" t="s">
        <v>2262</v>
      </c>
      <c r="D3768" s="91">
        <v>9457600</v>
      </c>
      <c r="E3768" s="76">
        <v>700349.99999999988</v>
      </c>
      <c r="F3768" s="77" t="s">
        <v>10174</v>
      </c>
    </row>
    <row r="3769" spans="1:6">
      <c r="A3769" s="82">
        <v>5</v>
      </c>
      <c r="B3769" s="83" t="s">
        <v>2259</v>
      </c>
      <c r="C3769" s="67" t="s">
        <v>2260</v>
      </c>
      <c r="D3769" s="91">
        <v>7264600</v>
      </c>
      <c r="E3769" s="76">
        <v>537950</v>
      </c>
      <c r="F3769" s="77" t="s">
        <v>10174</v>
      </c>
    </row>
    <row r="3770" spans="1:6">
      <c r="A3770" s="82">
        <v>5</v>
      </c>
      <c r="B3770" s="83" t="s">
        <v>913</v>
      </c>
      <c r="C3770" s="67" t="s">
        <v>914</v>
      </c>
      <c r="D3770" s="91">
        <v>8087000</v>
      </c>
      <c r="E3770" s="76">
        <v>598850</v>
      </c>
      <c r="F3770" s="77" t="s">
        <v>10174</v>
      </c>
    </row>
    <row r="3771" spans="1:6">
      <c r="A3771" s="82">
        <v>5</v>
      </c>
      <c r="B3771" s="83" t="s">
        <v>911</v>
      </c>
      <c r="C3771" s="67" t="s">
        <v>912</v>
      </c>
      <c r="D3771" s="91">
        <v>6236500</v>
      </c>
      <c r="E3771" s="76">
        <v>461825</v>
      </c>
      <c r="F3771" s="77" t="s">
        <v>10174</v>
      </c>
    </row>
    <row r="3772" spans="1:6">
      <c r="A3772" s="82">
        <v>5</v>
      </c>
      <c r="B3772" s="67" t="s">
        <v>5126</v>
      </c>
      <c r="C3772" s="67" t="s">
        <v>8175</v>
      </c>
      <c r="D3772" s="91">
        <v>7127500</v>
      </c>
      <c r="E3772" s="76">
        <v>527800</v>
      </c>
      <c r="F3772" s="77" t="s">
        <v>10174</v>
      </c>
    </row>
    <row r="3773" spans="1:6">
      <c r="A3773" s="82">
        <v>5</v>
      </c>
      <c r="B3773" s="67" t="s">
        <v>5127</v>
      </c>
      <c r="C3773" s="67" t="s">
        <v>8176</v>
      </c>
      <c r="D3773" s="91">
        <v>5482700</v>
      </c>
      <c r="E3773" s="76">
        <v>406000</v>
      </c>
      <c r="F3773" s="77" t="s">
        <v>10174</v>
      </c>
    </row>
    <row r="3774" spans="1:6">
      <c r="A3774" s="82">
        <v>5</v>
      </c>
      <c r="B3774" s="83" t="s">
        <v>1172</v>
      </c>
      <c r="C3774" s="67" t="s">
        <v>1173</v>
      </c>
      <c r="D3774" s="91">
        <v>7127500</v>
      </c>
      <c r="E3774" s="76">
        <v>527800</v>
      </c>
      <c r="F3774" s="77" t="s">
        <v>10174</v>
      </c>
    </row>
    <row r="3775" spans="1:6">
      <c r="A3775" s="82">
        <v>5</v>
      </c>
      <c r="B3775" s="83" t="s">
        <v>1170</v>
      </c>
      <c r="C3775" s="67" t="s">
        <v>1171</v>
      </c>
      <c r="D3775" s="91">
        <v>5482700</v>
      </c>
      <c r="E3775" s="76">
        <v>406000</v>
      </c>
      <c r="F3775" s="77" t="s">
        <v>10174</v>
      </c>
    </row>
    <row r="3776" spans="1:6">
      <c r="A3776" s="82">
        <v>5</v>
      </c>
      <c r="B3776" s="67" t="s">
        <v>5124</v>
      </c>
      <c r="C3776" s="67" t="s">
        <v>8177</v>
      </c>
      <c r="D3776" s="91">
        <v>5140000</v>
      </c>
      <c r="E3776" s="76">
        <v>380625</v>
      </c>
      <c r="F3776" s="77" t="s">
        <v>10174</v>
      </c>
    </row>
    <row r="3777" spans="1:6">
      <c r="A3777" s="82">
        <v>5</v>
      </c>
      <c r="B3777" s="67" t="s">
        <v>5125</v>
      </c>
      <c r="C3777" s="67" t="s">
        <v>8178</v>
      </c>
      <c r="D3777" s="91">
        <v>3974900</v>
      </c>
      <c r="E3777" s="76">
        <v>294350</v>
      </c>
      <c r="F3777" s="77" t="s">
        <v>10174</v>
      </c>
    </row>
    <row r="3778" spans="1:6">
      <c r="A3778" s="82">
        <v>5</v>
      </c>
      <c r="B3778" s="83" t="s">
        <v>2100</v>
      </c>
      <c r="C3778" s="67" t="s">
        <v>2101</v>
      </c>
      <c r="D3778" s="91">
        <v>5140000</v>
      </c>
      <c r="E3778" s="76">
        <v>380625</v>
      </c>
      <c r="F3778" s="77" t="s">
        <v>10174</v>
      </c>
    </row>
    <row r="3779" spans="1:6">
      <c r="A3779" s="82">
        <v>5</v>
      </c>
      <c r="B3779" s="83" t="s">
        <v>2098</v>
      </c>
      <c r="C3779" s="67" t="s">
        <v>2099</v>
      </c>
      <c r="D3779" s="91">
        <v>3974900</v>
      </c>
      <c r="E3779" s="76">
        <v>294350</v>
      </c>
      <c r="F3779" s="77" t="s">
        <v>10174</v>
      </c>
    </row>
    <row r="3780" spans="1:6">
      <c r="A3780" s="82">
        <v>5</v>
      </c>
      <c r="B3780" s="83" t="s">
        <v>2029</v>
      </c>
      <c r="C3780" s="67" t="s">
        <v>2030</v>
      </c>
      <c r="D3780" s="91">
        <v>7744300</v>
      </c>
      <c r="E3780" s="76">
        <v>573475</v>
      </c>
      <c r="F3780" s="77" t="s">
        <v>10174</v>
      </c>
    </row>
    <row r="3781" spans="1:6">
      <c r="A3781" s="82">
        <v>5</v>
      </c>
      <c r="B3781" s="83" t="s">
        <v>2031</v>
      </c>
      <c r="C3781" s="67" t="s">
        <v>2032</v>
      </c>
      <c r="D3781" s="91">
        <v>5962400</v>
      </c>
      <c r="E3781" s="76">
        <v>441525</v>
      </c>
      <c r="F3781" s="77" t="s">
        <v>10174</v>
      </c>
    </row>
    <row r="3782" spans="1:6">
      <c r="A3782" s="82">
        <v>5</v>
      </c>
      <c r="B3782" s="67" t="s">
        <v>7103</v>
      </c>
      <c r="C3782" s="67" t="s">
        <v>8179</v>
      </c>
      <c r="D3782" s="91">
        <v>8224000</v>
      </c>
      <c r="E3782" s="76">
        <v>609000</v>
      </c>
      <c r="F3782" s="77" t="s">
        <v>10174</v>
      </c>
    </row>
    <row r="3783" spans="1:6" ht="25.5">
      <c r="A3783" s="82">
        <v>5</v>
      </c>
      <c r="B3783" s="67" t="s">
        <v>7104</v>
      </c>
      <c r="C3783" s="67" t="s">
        <v>8180</v>
      </c>
      <c r="D3783" s="91">
        <v>6305100</v>
      </c>
      <c r="E3783" s="76">
        <v>466900</v>
      </c>
      <c r="F3783" s="77" t="s">
        <v>10174</v>
      </c>
    </row>
    <row r="3784" spans="1:6">
      <c r="A3784" s="82">
        <v>5</v>
      </c>
      <c r="B3784" s="67" t="s">
        <v>7105</v>
      </c>
      <c r="C3784" s="67" t="s">
        <v>8181</v>
      </c>
      <c r="D3784" s="91">
        <v>7401600</v>
      </c>
      <c r="E3784" s="76">
        <v>548100</v>
      </c>
      <c r="F3784" s="77" t="s">
        <v>10174</v>
      </c>
    </row>
    <row r="3785" spans="1:6">
      <c r="A3785" s="82">
        <v>5</v>
      </c>
      <c r="B3785" s="67" t="s">
        <v>7106</v>
      </c>
      <c r="C3785" s="67" t="s">
        <v>8182</v>
      </c>
      <c r="D3785" s="91">
        <v>5688300</v>
      </c>
      <c r="E3785" s="76">
        <v>421225</v>
      </c>
      <c r="F3785" s="77" t="s">
        <v>10174</v>
      </c>
    </row>
    <row r="3786" spans="1:6">
      <c r="A3786" s="82">
        <v>5</v>
      </c>
      <c r="B3786" s="67" t="s">
        <v>7107</v>
      </c>
      <c r="C3786" s="67" t="s">
        <v>8183</v>
      </c>
      <c r="D3786" s="91">
        <v>10280000</v>
      </c>
      <c r="E3786" s="76">
        <v>761250</v>
      </c>
      <c r="F3786" s="77" t="s">
        <v>10174</v>
      </c>
    </row>
    <row r="3787" spans="1:6">
      <c r="A3787" s="82">
        <v>5</v>
      </c>
      <c r="B3787" s="67" t="s">
        <v>7108</v>
      </c>
      <c r="C3787" s="67" t="s">
        <v>8184</v>
      </c>
      <c r="D3787" s="91">
        <v>7881400</v>
      </c>
      <c r="E3787" s="76">
        <v>583625</v>
      </c>
      <c r="F3787" s="77" t="s">
        <v>10174</v>
      </c>
    </row>
    <row r="3788" spans="1:6">
      <c r="A3788" s="82">
        <v>5</v>
      </c>
      <c r="B3788" s="67" t="s">
        <v>7109</v>
      </c>
      <c r="C3788" s="67" t="s">
        <v>8185</v>
      </c>
      <c r="D3788" s="91">
        <v>8977900</v>
      </c>
      <c r="E3788" s="76">
        <v>664824.99999999988</v>
      </c>
      <c r="F3788" s="77" t="s">
        <v>10174</v>
      </c>
    </row>
    <row r="3789" spans="1:6" ht="25.5">
      <c r="A3789" s="82">
        <v>5</v>
      </c>
      <c r="B3789" s="67" t="s">
        <v>7110</v>
      </c>
      <c r="C3789" s="67" t="s">
        <v>8186</v>
      </c>
      <c r="D3789" s="91">
        <v>6921900</v>
      </c>
      <c r="E3789" s="76">
        <v>512575</v>
      </c>
      <c r="F3789" s="77" t="s">
        <v>10174</v>
      </c>
    </row>
    <row r="3790" spans="1:6">
      <c r="A3790" s="82">
        <v>5</v>
      </c>
      <c r="B3790" s="67" t="s">
        <v>7111</v>
      </c>
      <c r="C3790" s="67" t="s">
        <v>8187</v>
      </c>
      <c r="D3790" s="91">
        <v>8155500</v>
      </c>
      <c r="E3790" s="76">
        <v>603925</v>
      </c>
      <c r="F3790" s="77" t="s">
        <v>10174</v>
      </c>
    </row>
    <row r="3791" spans="1:6" ht="25.5">
      <c r="A3791" s="82">
        <v>5</v>
      </c>
      <c r="B3791" s="67" t="s">
        <v>7112</v>
      </c>
      <c r="C3791" s="67" t="s">
        <v>8188</v>
      </c>
      <c r="D3791" s="91">
        <v>6305100</v>
      </c>
      <c r="E3791" s="76">
        <v>466900</v>
      </c>
      <c r="F3791" s="77" t="s">
        <v>10174</v>
      </c>
    </row>
    <row r="3792" spans="1:6">
      <c r="A3792" s="82">
        <v>5</v>
      </c>
      <c r="B3792" s="67" t="s">
        <v>7113</v>
      </c>
      <c r="C3792" s="67" t="s">
        <v>8189</v>
      </c>
      <c r="D3792" s="91">
        <v>11033900</v>
      </c>
      <c r="E3792" s="76">
        <v>817075</v>
      </c>
      <c r="F3792" s="77" t="s">
        <v>10174</v>
      </c>
    </row>
    <row r="3793" spans="1:6" ht="25.5">
      <c r="A3793" s="82">
        <v>5</v>
      </c>
      <c r="B3793" s="67" t="s">
        <v>7114</v>
      </c>
      <c r="C3793" s="67" t="s">
        <v>8190</v>
      </c>
      <c r="D3793" s="91">
        <v>8498200</v>
      </c>
      <c r="E3793" s="76">
        <v>629300</v>
      </c>
      <c r="F3793" s="77" t="s">
        <v>10174</v>
      </c>
    </row>
    <row r="3794" spans="1:6">
      <c r="A3794" s="82">
        <v>5</v>
      </c>
      <c r="B3794" s="83" t="s">
        <v>973</v>
      </c>
      <c r="C3794" s="67" t="s">
        <v>974</v>
      </c>
      <c r="D3794" s="91">
        <v>2056000</v>
      </c>
      <c r="E3794" s="76">
        <v>152250</v>
      </c>
      <c r="F3794" s="77" t="s">
        <v>10174</v>
      </c>
    </row>
    <row r="3795" spans="1:6">
      <c r="A3795" s="82">
        <v>5</v>
      </c>
      <c r="B3795" s="83" t="s">
        <v>971</v>
      </c>
      <c r="C3795" s="67" t="s">
        <v>972</v>
      </c>
      <c r="D3795" s="91">
        <v>1590000</v>
      </c>
      <c r="E3795" s="76">
        <v>117739.99999999999</v>
      </c>
      <c r="F3795" s="77" t="s">
        <v>10174</v>
      </c>
    </row>
    <row r="3796" spans="1:6">
      <c r="A3796" s="82">
        <v>5</v>
      </c>
      <c r="B3796" s="83" t="s">
        <v>1279</v>
      </c>
      <c r="C3796" s="67" t="s">
        <v>1280</v>
      </c>
      <c r="D3796" s="91">
        <v>3330700</v>
      </c>
      <c r="E3796" s="76">
        <v>246645</v>
      </c>
      <c r="F3796" s="77" t="s">
        <v>10174</v>
      </c>
    </row>
    <row r="3797" spans="1:6">
      <c r="A3797" s="82">
        <v>5</v>
      </c>
      <c r="B3797" s="83" t="s">
        <v>1277</v>
      </c>
      <c r="C3797" s="67" t="s">
        <v>1278</v>
      </c>
      <c r="D3797" s="91">
        <v>2535700</v>
      </c>
      <c r="E3797" s="76">
        <v>187775</v>
      </c>
      <c r="F3797" s="77" t="s">
        <v>10174</v>
      </c>
    </row>
    <row r="3798" spans="1:6">
      <c r="A3798" s="82">
        <v>5</v>
      </c>
      <c r="B3798" s="83" t="s">
        <v>1267</v>
      </c>
      <c r="C3798" s="67" t="s">
        <v>1268</v>
      </c>
      <c r="D3798" s="91">
        <v>3618600</v>
      </c>
      <c r="E3798" s="76">
        <v>267960</v>
      </c>
      <c r="F3798" s="77" t="s">
        <v>10174</v>
      </c>
    </row>
    <row r="3799" spans="1:6">
      <c r="A3799" s="82">
        <v>5</v>
      </c>
      <c r="B3799" s="83" t="s">
        <v>1265</v>
      </c>
      <c r="C3799" s="67" t="s">
        <v>1266</v>
      </c>
      <c r="D3799" s="91">
        <v>2736200</v>
      </c>
      <c r="E3799" s="76">
        <v>203000</v>
      </c>
      <c r="F3799" s="77" t="s">
        <v>10174</v>
      </c>
    </row>
    <row r="3800" spans="1:6">
      <c r="A3800" s="82">
        <v>5</v>
      </c>
      <c r="B3800" s="67" t="s">
        <v>5794</v>
      </c>
      <c r="C3800" s="67" t="s">
        <v>8191</v>
      </c>
      <c r="D3800" s="91">
        <v>3215100</v>
      </c>
      <c r="E3800" s="76">
        <v>238525</v>
      </c>
      <c r="F3800" s="77" t="s">
        <v>10174</v>
      </c>
    </row>
    <row r="3801" spans="1:6" ht="25.5">
      <c r="A3801" s="82">
        <v>5</v>
      </c>
      <c r="B3801" s="67" t="s">
        <v>5795</v>
      </c>
      <c r="C3801" s="67" t="s">
        <v>8192</v>
      </c>
      <c r="D3801" s="91">
        <v>2462600</v>
      </c>
      <c r="E3801" s="76">
        <v>182699.99999999997</v>
      </c>
      <c r="F3801" s="77" t="s">
        <v>10174</v>
      </c>
    </row>
    <row r="3802" spans="1:6">
      <c r="A3802" s="82">
        <v>5</v>
      </c>
      <c r="B3802" s="67" t="s">
        <v>5834</v>
      </c>
      <c r="C3802" s="67" t="s">
        <v>8193</v>
      </c>
      <c r="D3802" s="91">
        <v>3215100</v>
      </c>
      <c r="E3802" s="76">
        <v>238525</v>
      </c>
      <c r="F3802" s="77" t="s">
        <v>10174</v>
      </c>
    </row>
    <row r="3803" spans="1:6" ht="25.5">
      <c r="A3803" s="82">
        <v>5</v>
      </c>
      <c r="B3803" s="67" t="s">
        <v>5833</v>
      </c>
      <c r="C3803" s="67" t="s">
        <v>8194</v>
      </c>
      <c r="D3803" s="91">
        <v>2462600</v>
      </c>
      <c r="E3803" s="76">
        <v>182699.99999999997</v>
      </c>
      <c r="F3803" s="77" t="s">
        <v>10174</v>
      </c>
    </row>
    <row r="3804" spans="1:6">
      <c r="A3804" s="82">
        <v>5</v>
      </c>
      <c r="B3804" s="67" t="s">
        <v>5827</v>
      </c>
      <c r="C3804" s="67" t="s">
        <v>8195</v>
      </c>
      <c r="D3804" s="91">
        <v>2120600</v>
      </c>
      <c r="E3804" s="76">
        <v>157325</v>
      </c>
      <c r="F3804" s="77" t="s">
        <v>10174</v>
      </c>
    </row>
    <row r="3805" spans="1:6">
      <c r="A3805" s="82">
        <v>5</v>
      </c>
      <c r="B3805" s="67" t="s">
        <v>5826</v>
      </c>
      <c r="C3805" s="67" t="s">
        <v>8196</v>
      </c>
      <c r="D3805" s="91">
        <v>1641700</v>
      </c>
      <c r="E3805" s="76">
        <v>121800</v>
      </c>
      <c r="F3805" s="77" t="s">
        <v>10174</v>
      </c>
    </row>
    <row r="3806" spans="1:6">
      <c r="A3806" s="82">
        <v>5</v>
      </c>
      <c r="B3806" s="67" t="s">
        <v>5116</v>
      </c>
      <c r="C3806" s="67" t="s">
        <v>8197</v>
      </c>
      <c r="D3806" s="91">
        <v>1983800</v>
      </c>
      <c r="E3806" s="76">
        <v>147175</v>
      </c>
      <c r="F3806" s="77" t="s">
        <v>10174</v>
      </c>
    </row>
    <row r="3807" spans="1:6">
      <c r="A3807" s="82">
        <v>5</v>
      </c>
      <c r="B3807" s="67" t="s">
        <v>5117</v>
      </c>
      <c r="C3807" s="67" t="s">
        <v>8198</v>
      </c>
      <c r="D3807" s="91">
        <v>1504900</v>
      </c>
      <c r="E3807" s="76">
        <v>111650</v>
      </c>
      <c r="F3807" s="77" t="s">
        <v>10174</v>
      </c>
    </row>
    <row r="3808" spans="1:6">
      <c r="A3808" s="82">
        <v>5</v>
      </c>
      <c r="B3808" s="83" t="s">
        <v>3348</v>
      </c>
      <c r="C3808" s="67" t="s">
        <v>3349</v>
      </c>
      <c r="D3808" s="91">
        <v>711400</v>
      </c>
      <c r="E3808" s="76">
        <v>52780</v>
      </c>
      <c r="F3808" s="77" t="s">
        <v>10174</v>
      </c>
    </row>
    <row r="3809" spans="1:6">
      <c r="A3809" s="82">
        <v>5</v>
      </c>
      <c r="B3809" s="83" t="s">
        <v>3346</v>
      </c>
      <c r="C3809" s="67" t="s">
        <v>3347</v>
      </c>
      <c r="D3809" s="91">
        <v>588300</v>
      </c>
      <c r="E3809" s="76">
        <v>43645</v>
      </c>
      <c r="F3809" s="77" t="s">
        <v>10174</v>
      </c>
    </row>
    <row r="3810" spans="1:6">
      <c r="A3810" s="82">
        <v>5</v>
      </c>
      <c r="B3810" s="83" t="s">
        <v>3360</v>
      </c>
      <c r="C3810" s="67" t="s">
        <v>3361</v>
      </c>
      <c r="D3810" s="91">
        <v>807200</v>
      </c>
      <c r="E3810" s="76">
        <v>59884.999999999993</v>
      </c>
      <c r="F3810" s="77" t="s">
        <v>10174</v>
      </c>
    </row>
    <row r="3811" spans="1:6">
      <c r="A3811" s="82">
        <v>5</v>
      </c>
      <c r="B3811" s="83" t="s">
        <v>3358</v>
      </c>
      <c r="C3811" s="67" t="s">
        <v>3359</v>
      </c>
      <c r="D3811" s="91">
        <v>670400</v>
      </c>
      <c r="E3811" s="76">
        <v>49734.999999999993</v>
      </c>
      <c r="F3811" s="77" t="s">
        <v>10174</v>
      </c>
    </row>
    <row r="3812" spans="1:6">
      <c r="A3812" s="82">
        <v>5</v>
      </c>
      <c r="B3812" s="83" t="s">
        <v>410</v>
      </c>
      <c r="C3812" s="67" t="s">
        <v>411</v>
      </c>
      <c r="D3812" s="91">
        <v>861900</v>
      </c>
      <c r="E3812" s="76">
        <v>63944.999999999993</v>
      </c>
      <c r="F3812" s="77" t="s">
        <v>10174</v>
      </c>
    </row>
    <row r="3813" spans="1:6">
      <c r="A3813" s="82">
        <v>5</v>
      </c>
      <c r="B3813" s="83" t="s">
        <v>408</v>
      </c>
      <c r="C3813" s="67" t="s">
        <v>409</v>
      </c>
      <c r="D3813" s="91">
        <v>725100</v>
      </c>
      <c r="E3813" s="76">
        <v>53794.999999999993</v>
      </c>
      <c r="F3813" s="77" t="s">
        <v>10174</v>
      </c>
    </row>
    <row r="3814" spans="1:6">
      <c r="A3814" s="82">
        <v>5</v>
      </c>
      <c r="B3814" s="83" t="s">
        <v>414</v>
      </c>
      <c r="C3814" s="67" t="s">
        <v>415</v>
      </c>
      <c r="D3814" s="91">
        <v>1012400</v>
      </c>
      <c r="E3814" s="76">
        <v>75110</v>
      </c>
      <c r="F3814" s="77" t="s">
        <v>10174</v>
      </c>
    </row>
    <row r="3815" spans="1:6">
      <c r="A3815" s="82">
        <v>5</v>
      </c>
      <c r="B3815" s="83" t="s">
        <v>412</v>
      </c>
      <c r="C3815" s="67" t="s">
        <v>413</v>
      </c>
      <c r="D3815" s="91">
        <v>861900</v>
      </c>
      <c r="E3815" s="76">
        <v>63944.999999999993</v>
      </c>
      <c r="F3815" s="77" t="s">
        <v>10174</v>
      </c>
    </row>
    <row r="3816" spans="1:6">
      <c r="A3816" s="82">
        <v>5</v>
      </c>
      <c r="B3816" s="83" t="s">
        <v>605</v>
      </c>
      <c r="C3816" s="67" t="s">
        <v>606</v>
      </c>
      <c r="D3816" s="91">
        <v>1874300</v>
      </c>
      <c r="E3816" s="76">
        <v>139055</v>
      </c>
      <c r="F3816" s="77" t="s">
        <v>10174</v>
      </c>
    </row>
    <row r="3817" spans="1:6">
      <c r="A3817" s="82">
        <v>5</v>
      </c>
      <c r="B3817" s="83" t="s">
        <v>603</v>
      </c>
      <c r="C3817" s="67" t="s">
        <v>604</v>
      </c>
      <c r="D3817" s="91">
        <v>1450200</v>
      </c>
      <c r="E3817" s="76">
        <v>107589.99999999999</v>
      </c>
      <c r="F3817" s="77" t="s">
        <v>10174</v>
      </c>
    </row>
    <row r="3818" spans="1:6">
      <c r="A3818" s="82">
        <v>5</v>
      </c>
      <c r="B3818" s="83" t="s">
        <v>697</v>
      </c>
      <c r="C3818" s="67" t="s">
        <v>698</v>
      </c>
      <c r="D3818" s="91">
        <v>2024800</v>
      </c>
      <c r="E3818" s="76">
        <v>150220</v>
      </c>
      <c r="F3818" s="77" t="s">
        <v>10174</v>
      </c>
    </row>
    <row r="3819" spans="1:6">
      <c r="A3819" s="82">
        <v>5</v>
      </c>
      <c r="B3819" s="83" t="s">
        <v>699</v>
      </c>
      <c r="C3819" s="67" t="s">
        <v>700</v>
      </c>
      <c r="D3819" s="91">
        <v>1587000</v>
      </c>
      <c r="E3819" s="76">
        <v>117739.99999999999</v>
      </c>
      <c r="F3819" s="77" t="s">
        <v>10174</v>
      </c>
    </row>
    <row r="3820" spans="1:6">
      <c r="A3820" s="82">
        <v>5</v>
      </c>
      <c r="B3820" s="83" t="s">
        <v>3527</v>
      </c>
      <c r="C3820" s="67" t="s">
        <v>3528</v>
      </c>
      <c r="D3820" s="91">
        <v>547200</v>
      </c>
      <c r="E3820" s="76">
        <v>40600</v>
      </c>
      <c r="F3820" s="77" t="s">
        <v>10174</v>
      </c>
    </row>
    <row r="3821" spans="1:6">
      <c r="A3821" s="82">
        <v>5</v>
      </c>
      <c r="B3821" s="83" t="s">
        <v>3529</v>
      </c>
      <c r="C3821" s="67" t="s">
        <v>3530</v>
      </c>
      <c r="D3821" s="91">
        <v>478800</v>
      </c>
      <c r="E3821" s="76">
        <v>35525</v>
      </c>
      <c r="F3821" s="77" t="s">
        <v>10174</v>
      </c>
    </row>
    <row r="3822" spans="1:6">
      <c r="A3822" s="82">
        <v>5</v>
      </c>
      <c r="B3822" s="83" t="s">
        <v>3531</v>
      </c>
      <c r="C3822" s="67" t="s">
        <v>3532</v>
      </c>
      <c r="D3822" s="91">
        <v>547200</v>
      </c>
      <c r="E3822" s="76">
        <v>40600</v>
      </c>
      <c r="F3822" s="77" t="s">
        <v>10174</v>
      </c>
    </row>
    <row r="3823" spans="1:6">
      <c r="A3823" s="82">
        <v>5</v>
      </c>
      <c r="B3823" s="83" t="s">
        <v>3533</v>
      </c>
      <c r="C3823" s="67" t="s">
        <v>3534</v>
      </c>
      <c r="D3823" s="91">
        <v>478800</v>
      </c>
      <c r="E3823" s="76">
        <v>35525</v>
      </c>
      <c r="F3823" s="77" t="s">
        <v>10174</v>
      </c>
    </row>
    <row r="3824" spans="1:6">
      <c r="A3824" s="82">
        <v>5</v>
      </c>
      <c r="B3824" s="67" t="s">
        <v>7115</v>
      </c>
      <c r="C3824" s="67" t="s">
        <v>8199</v>
      </c>
      <c r="D3824" s="91">
        <v>1983800</v>
      </c>
      <c r="E3824" s="76">
        <v>147175</v>
      </c>
      <c r="F3824" s="77" t="s">
        <v>10174</v>
      </c>
    </row>
    <row r="3825" spans="1:6" ht="25.5">
      <c r="A3825" s="82">
        <v>5</v>
      </c>
      <c r="B3825" s="67" t="s">
        <v>7116</v>
      </c>
      <c r="C3825" s="67" t="s">
        <v>8200</v>
      </c>
      <c r="D3825" s="91">
        <v>1573300</v>
      </c>
      <c r="E3825" s="76">
        <v>116725</v>
      </c>
      <c r="F3825" s="77" t="s">
        <v>10174</v>
      </c>
    </row>
    <row r="3826" spans="1:6">
      <c r="A3826" s="82">
        <v>5</v>
      </c>
      <c r="B3826" s="67" t="s">
        <v>7117</v>
      </c>
      <c r="C3826" s="67" t="s">
        <v>8201</v>
      </c>
      <c r="D3826" s="91">
        <v>1983800</v>
      </c>
      <c r="E3826" s="76">
        <v>147175</v>
      </c>
      <c r="F3826" s="77" t="s">
        <v>10174</v>
      </c>
    </row>
    <row r="3827" spans="1:6" ht="25.5">
      <c r="A3827" s="82">
        <v>5</v>
      </c>
      <c r="B3827" s="67" t="s">
        <v>7118</v>
      </c>
      <c r="C3827" s="67" t="s">
        <v>8202</v>
      </c>
      <c r="D3827" s="91">
        <v>1573300</v>
      </c>
      <c r="E3827" s="76">
        <v>116725</v>
      </c>
      <c r="F3827" s="77" t="s">
        <v>10174</v>
      </c>
    </row>
    <row r="3828" spans="1:6" ht="25.5">
      <c r="A3828" s="82">
        <v>5</v>
      </c>
      <c r="B3828" s="67" t="s">
        <v>6391</v>
      </c>
      <c r="C3828" s="67" t="s">
        <v>6392</v>
      </c>
      <c r="D3828" s="91">
        <v>861900</v>
      </c>
      <c r="E3828" s="76">
        <v>63944.999999999993</v>
      </c>
      <c r="F3828" s="77" t="s">
        <v>10174</v>
      </c>
    </row>
    <row r="3829" spans="1:6">
      <c r="A3829" s="82">
        <v>5</v>
      </c>
      <c r="B3829" s="67" t="s">
        <v>6393</v>
      </c>
      <c r="C3829" s="67" t="s">
        <v>6394</v>
      </c>
      <c r="D3829" s="91">
        <v>1080800</v>
      </c>
      <c r="E3829" s="76">
        <v>80185</v>
      </c>
      <c r="F3829" s="77" t="s">
        <v>10174</v>
      </c>
    </row>
    <row r="3830" spans="1:6" ht="25.5">
      <c r="A3830" s="82">
        <v>5</v>
      </c>
      <c r="B3830" s="67" t="s">
        <v>6395</v>
      </c>
      <c r="C3830" s="67" t="s">
        <v>6396</v>
      </c>
      <c r="D3830" s="91">
        <v>697700</v>
      </c>
      <c r="E3830" s="76">
        <v>51764.999999999993</v>
      </c>
      <c r="F3830" s="77" t="s">
        <v>10174</v>
      </c>
    </row>
    <row r="3831" spans="1:6">
      <c r="A3831" s="82">
        <v>5</v>
      </c>
      <c r="B3831" s="67" t="s">
        <v>6397</v>
      </c>
      <c r="C3831" s="67" t="s">
        <v>6398</v>
      </c>
      <c r="D3831" s="91">
        <v>875600</v>
      </c>
      <c r="E3831" s="76">
        <v>64959.999999999993</v>
      </c>
      <c r="F3831" s="77" t="s">
        <v>10174</v>
      </c>
    </row>
    <row r="3832" spans="1:6">
      <c r="A3832" s="82">
        <v>5</v>
      </c>
      <c r="B3832" s="67" t="s">
        <v>5337</v>
      </c>
      <c r="C3832" s="67" t="s">
        <v>8203</v>
      </c>
      <c r="D3832" s="91">
        <v>2886700</v>
      </c>
      <c r="E3832" s="76">
        <v>214164.99999999997</v>
      </c>
      <c r="F3832" s="77" t="s">
        <v>10174</v>
      </c>
    </row>
    <row r="3833" spans="1:6">
      <c r="A3833" s="82">
        <v>5</v>
      </c>
      <c r="B3833" s="67" t="s">
        <v>5338</v>
      </c>
      <c r="C3833" s="67" t="s">
        <v>8204</v>
      </c>
      <c r="D3833" s="91">
        <v>2312100</v>
      </c>
      <c r="E3833" s="76">
        <v>171535</v>
      </c>
      <c r="F3833" s="77" t="s">
        <v>10174</v>
      </c>
    </row>
    <row r="3834" spans="1:6">
      <c r="A3834" s="82">
        <v>5</v>
      </c>
      <c r="B3834" s="83" t="s">
        <v>2320</v>
      </c>
      <c r="C3834" s="67" t="s">
        <v>2321</v>
      </c>
      <c r="D3834" s="91">
        <v>2886700</v>
      </c>
      <c r="E3834" s="76">
        <v>214164.99999999997</v>
      </c>
      <c r="F3834" s="77" t="s">
        <v>10174</v>
      </c>
    </row>
    <row r="3835" spans="1:6">
      <c r="A3835" s="82">
        <v>5</v>
      </c>
      <c r="B3835" s="83" t="s">
        <v>2318</v>
      </c>
      <c r="C3835" s="67" t="s">
        <v>2319</v>
      </c>
      <c r="D3835" s="91">
        <v>2312100</v>
      </c>
      <c r="E3835" s="76">
        <v>171535</v>
      </c>
      <c r="F3835" s="77" t="s">
        <v>10174</v>
      </c>
    </row>
    <row r="3836" spans="1:6">
      <c r="A3836" s="82">
        <v>5</v>
      </c>
      <c r="B3836" s="83" t="s">
        <v>4987</v>
      </c>
      <c r="C3836" s="67" t="s">
        <v>4988</v>
      </c>
      <c r="D3836" s="91">
        <v>2736200</v>
      </c>
      <c r="E3836" s="76">
        <v>203000</v>
      </c>
      <c r="F3836" s="77" t="s">
        <v>10174</v>
      </c>
    </row>
    <row r="3837" spans="1:6" ht="25.5">
      <c r="A3837" s="82">
        <v>5</v>
      </c>
      <c r="B3837" s="83" t="s">
        <v>4989</v>
      </c>
      <c r="C3837" s="67" t="s">
        <v>4990</v>
      </c>
      <c r="D3837" s="91">
        <v>2189000</v>
      </c>
      <c r="E3837" s="76">
        <v>162400</v>
      </c>
      <c r="F3837" s="77" t="s">
        <v>10174</v>
      </c>
    </row>
    <row r="3838" spans="1:6">
      <c r="A3838" s="82">
        <v>5</v>
      </c>
      <c r="B3838" s="83" t="s">
        <v>1337</v>
      </c>
      <c r="C3838" s="67" t="s">
        <v>1338</v>
      </c>
      <c r="D3838" s="91">
        <v>1504900</v>
      </c>
      <c r="E3838" s="76">
        <v>111650</v>
      </c>
      <c r="F3838" s="77" t="s">
        <v>10174</v>
      </c>
    </row>
    <row r="3839" spans="1:6">
      <c r="A3839" s="82">
        <v>5</v>
      </c>
      <c r="B3839" s="83" t="s">
        <v>1335</v>
      </c>
      <c r="C3839" s="67" t="s">
        <v>1336</v>
      </c>
      <c r="D3839" s="91">
        <v>1203900</v>
      </c>
      <c r="E3839" s="76">
        <v>89319.999999999985</v>
      </c>
      <c r="F3839" s="77" t="s">
        <v>10174</v>
      </c>
    </row>
    <row r="3840" spans="1:6">
      <c r="A3840" s="82">
        <v>5</v>
      </c>
      <c r="B3840" s="83" t="s">
        <v>1351</v>
      </c>
      <c r="C3840" s="67" t="s">
        <v>1352</v>
      </c>
      <c r="D3840" s="91">
        <v>1203900</v>
      </c>
      <c r="E3840" s="76">
        <v>89319.999999999985</v>
      </c>
      <c r="F3840" s="77" t="s">
        <v>10174</v>
      </c>
    </row>
    <row r="3841" spans="1:6">
      <c r="A3841" s="82">
        <v>5</v>
      </c>
      <c r="B3841" s="83" t="s">
        <v>1349</v>
      </c>
      <c r="C3841" s="67" t="s">
        <v>1350</v>
      </c>
      <c r="D3841" s="91">
        <v>957700</v>
      </c>
      <c r="E3841" s="76">
        <v>71050</v>
      </c>
      <c r="F3841" s="77" t="s">
        <v>10174</v>
      </c>
    </row>
    <row r="3842" spans="1:6">
      <c r="A3842" s="82">
        <v>5</v>
      </c>
      <c r="B3842" s="83" t="s">
        <v>3338</v>
      </c>
      <c r="C3842" s="67" t="s">
        <v>5500</v>
      </c>
      <c r="D3842" s="91">
        <v>1135500</v>
      </c>
      <c r="E3842" s="76">
        <v>84244.999999999985</v>
      </c>
      <c r="F3842" s="77" t="s">
        <v>10174</v>
      </c>
    </row>
    <row r="3843" spans="1:6">
      <c r="A3843" s="82">
        <v>5</v>
      </c>
      <c r="B3843" s="83" t="s">
        <v>3339</v>
      </c>
      <c r="C3843" s="67" t="s">
        <v>5501</v>
      </c>
      <c r="D3843" s="91">
        <v>903000</v>
      </c>
      <c r="E3843" s="76">
        <v>66990</v>
      </c>
      <c r="F3843" s="77" t="s">
        <v>10174</v>
      </c>
    </row>
    <row r="3844" spans="1:6">
      <c r="A3844" s="82">
        <v>5</v>
      </c>
      <c r="B3844" s="83" t="s">
        <v>1630</v>
      </c>
      <c r="C3844" s="67" t="s">
        <v>1631</v>
      </c>
      <c r="D3844" s="91">
        <v>957700</v>
      </c>
      <c r="E3844" s="76">
        <v>71050</v>
      </c>
      <c r="F3844" s="77" t="s">
        <v>10174</v>
      </c>
    </row>
    <row r="3845" spans="1:6">
      <c r="A3845" s="82">
        <v>5</v>
      </c>
      <c r="B3845" s="83" t="s">
        <v>1628</v>
      </c>
      <c r="C3845" s="67" t="s">
        <v>1629</v>
      </c>
      <c r="D3845" s="91">
        <v>766100</v>
      </c>
      <c r="E3845" s="76">
        <v>56839.999999999993</v>
      </c>
      <c r="F3845" s="77" t="s">
        <v>10174</v>
      </c>
    </row>
    <row r="3846" spans="1:6">
      <c r="A3846" s="82">
        <v>5</v>
      </c>
      <c r="B3846" s="83" t="s">
        <v>6399</v>
      </c>
      <c r="C3846" s="67" t="s">
        <v>6400</v>
      </c>
      <c r="D3846" s="91">
        <v>547200</v>
      </c>
      <c r="E3846" s="76">
        <v>40600</v>
      </c>
      <c r="F3846" s="77" t="s">
        <v>10174</v>
      </c>
    </row>
    <row r="3847" spans="1:6" ht="25.5">
      <c r="A3847" s="82">
        <v>5</v>
      </c>
      <c r="B3847" s="83" t="s">
        <v>5874</v>
      </c>
      <c r="C3847" s="67" t="s">
        <v>8205</v>
      </c>
      <c r="D3847" s="91">
        <v>478800</v>
      </c>
      <c r="E3847" s="76">
        <v>35525</v>
      </c>
      <c r="F3847" s="77" t="s">
        <v>10174</v>
      </c>
    </row>
    <row r="3848" spans="1:6" ht="25.5">
      <c r="A3848" s="82">
        <v>5</v>
      </c>
      <c r="B3848" s="67" t="s">
        <v>5329</v>
      </c>
      <c r="C3848" s="67" t="s">
        <v>8206</v>
      </c>
      <c r="D3848" s="91">
        <v>1327100</v>
      </c>
      <c r="E3848" s="76">
        <v>98454.999999999985</v>
      </c>
      <c r="F3848" s="77" t="s">
        <v>10174</v>
      </c>
    </row>
    <row r="3849" spans="1:6" ht="25.5">
      <c r="A3849" s="82">
        <v>5</v>
      </c>
      <c r="B3849" s="67" t="s">
        <v>5330</v>
      </c>
      <c r="C3849" s="67" t="s">
        <v>8207</v>
      </c>
      <c r="D3849" s="91">
        <v>1053400</v>
      </c>
      <c r="E3849" s="76">
        <v>78155</v>
      </c>
      <c r="F3849" s="77" t="s">
        <v>10174</v>
      </c>
    </row>
    <row r="3850" spans="1:6" ht="25.5">
      <c r="A3850" s="82">
        <v>5</v>
      </c>
      <c r="B3850" s="83" t="s">
        <v>4983</v>
      </c>
      <c r="C3850" s="67" t="s">
        <v>4984</v>
      </c>
      <c r="D3850" s="91">
        <v>1327100</v>
      </c>
      <c r="E3850" s="76">
        <v>98454.999999999985</v>
      </c>
      <c r="F3850" s="77" t="s">
        <v>10174</v>
      </c>
    </row>
    <row r="3851" spans="1:6" ht="25.5">
      <c r="A3851" s="82">
        <v>5</v>
      </c>
      <c r="B3851" s="83" t="s">
        <v>4985</v>
      </c>
      <c r="C3851" s="67" t="s">
        <v>4986</v>
      </c>
      <c r="D3851" s="91">
        <v>1053400</v>
      </c>
      <c r="E3851" s="76">
        <v>78155</v>
      </c>
      <c r="F3851" s="77" t="s">
        <v>10174</v>
      </c>
    </row>
    <row r="3852" spans="1:6">
      <c r="A3852" s="82">
        <v>5</v>
      </c>
      <c r="B3852" s="83" t="s">
        <v>4399</v>
      </c>
      <c r="C3852" s="67" t="s">
        <v>4400</v>
      </c>
      <c r="D3852" s="91">
        <v>1327100</v>
      </c>
      <c r="E3852" s="76">
        <v>98454.999999999985</v>
      </c>
      <c r="F3852" s="77" t="s">
        <v>10174</v>
      </c>
    </row>
    <row r="3853" spans="1:6" ht="25.5">
      <c r="A3853" s="82">
        <v>5</v>
      </c>
      <c r="B3853" s="83" t="s">
        <v>4397</v>
      </c>
      <c r="C3853" s="67" t="s">
        <v>4398</v>
      </c>
      <c r="D3853" s="91">
        <v>1053400</v>
      </c>
      <c r="E3853" s="76">
        <v>78155</v>
      </c>
      <c r="F3853" s="77" t="s">
        <v>10174</v>
      </c>
    </row>
    <row r="3854" spans="1:6">
      <c r="A3854" s="82">
        <v>5</v>
      </c>
      <c r="B3854" s="83" t="s">
        <v>4983</v>
      </c>
      <c r="C3854" s="67" t="s">
        <v>5373</v>
      </c>
      <c r="D3854" s="91">
        <v>1327100</v>
      </c>
      <c r="E3854" s="76">
        <v>98454.999999999985</v>
      </c>
      <c r="F3854" s="77" t="s">
        <v>10174</v>
      </c>
    </row>
    <row r="3855" spans="1:6" ht="25.5">
      <c r="A3855" s="82">
        <v>5</v>
      </c>
      <c r="B3855" s="83" t="s">
        <v>4985</v>
      </c>
      <c r="C3855" s="67" t="s">
        <v>5372</v>
      </c>
      <c r="D3855" s="91">
        <v>1053400</v>
      </c>
      <c r="E3855" s="76">
        <v>78155</v>
      </c>
      <c r="F3855" s="77" t="s">
        <v>10174</v>
      </c>
    </row>
    <row r="3856" spans="1:6">
      <c r="A3856" s="82">
        <v>5</v>
      </c>
      <c r="B3856" s="83" t="s">
        <v>4542</v>
      </c>
      <c r="C3856" s="67" t="s">
        <v>4543</v>
      </c>
      <c r="D3856" s="91">
        <v>1559600</v>
      </c>
      <c r="E3856" s="76">
        <v>115710</v>
      </c>
      <c r="F3856" s="77" t="s">
        <v>10174</v>
      </c>
    </row>
    <row r="3857" spans="1:6" ht="25.5">
      <c r="A3857" s="82">
        <v>5</v>
      </c>
      <c r="B3857" s="83" t="s">
        <v>4544</v>
      </c>
      <c r="C3857" s="67" t="s">
        <v>4545</v>
      </c>
      <c r="D3857" s="91">
        <v>1258700</v>
      </c>
      <c r="E3857" s="76">
        <v>93379.999999999985</v>
      </c>
      <c r="F3857" s="77" t="s">
        <v>10174</v>
      </c>
    </row>
    <row r="3858" spans="1:6" ht="25.5">
      <c r="A3858" s="82">
        <v>5</v>
      </c>
      <c r="B3858" s="67" t="s">
        <v>5333</v>
      </c>
      <c r="C3858" s="67" t="s">
        <v>8208</v>
      </c>
      <c r="D3858" s="91">
        <v>903000</v>
      </c>
      <c r="E3858" s="76">
        <v>66990</v>
      </c>
      <c r="F3858" s="77" t="s">
        <v>10174</v>
      </c>
    </row>
    <row r="3859" spans="1:6" ht="25.5">
      <c r="A3859" s="82">
        <v>5</v>
      </c>
      <c r="B3859" s="67" t="s">
        <v>5334</v>
      </c>
      <c r="C3859" s="67" t="s">
        <v>8209</v>
      </c>
      <c r="D3859" s="91">
        <v>725100</v>
      </c>
      <c r="E3859" s="76">
        <v>53794.999999999993</v>
      </c>
      <c r="F3859" s="77" t="s">
        <v>10174</v>
      </c>
    </row>
    <row r="3860" spans="1:6">
      <c r="A3860" s="82">
        <v>5</v>
      </c>
      <c r="B3860" s="83" t="s">
        <v>4262</v>
      </c>
      <c r="C3860" s="67" t="s">
        <v>4263</v>
      </c>
      <c r="D3860" s="91">
        <v>889300</v>
      </c>
      <c r="E3860" s="76">
        <v>65975</v>
      </c>
      <c r="F3860" s="77" t="s">
        <v>10174</v>
      </c>
    </row>
    <row r="3861" spans="1:6" ht="25.5">
      <c r="A3861" s="82">
        <v>5</v>
      </c>
      <c r="B3861" s="83" t="s">
        <v>4260</v>
      </c>
      <c r="C3861" s="67" t="s">
        <v>4261</v>
      </c>
      <c r="D3861" s="91">
        <v>725100</v>
      </c>
      <c r="E3861" s="76">
        <v>53794.999999999993</v>
      </c>
      <c r="F3861" s="77" t="s">
        <v>10174</v>
      </c>
    </row>
    <row r="3862" spans="1:6" ht="25.5">
      <c r="A3862" s="82">
        <v>5</v>
      </c>
      <c r="B3862" s="67" t="s">
        <v>5331</v>
      </c>
      <c r="C3862" s="67" t="s">
        <v>8210</v>
      </c>
      <c r="D3862" s="91">
        <v>643000</v>
      </c>
      <c r="E3862" s="76">
        <v>47705</v>
      </c>
      <c r="F3862" s="77" t="s">
        <v>10174</v>
      </c>
    </row>
    <row r="3863" spans="1:6" ht="25.5">
      <c r="A3863" s="82">
        <v>5</v>
      </c>
      <c r="B3863" s="67" t="s">
        <v>5332</v>
      </c>
      <c r="C3863" s="67" t="s">
        <v>8211</v>
      </c>
      <c r="D3863" s="91">
        <v>478800</v>
      </c>
      <c r="E3863" s="76">
        <v>35525</v>
      </c>
      <c r="F3863" s="77" t="s">
        <v>10174</v>
      </c>
    </row>
    <row r="3864" spans="1:6">
      <c r="A3864" s="82">
        <v>5</v>
      </c>
      <c r="B3864" s="83" t="s">
        <v>4290</v>
      </c>
      <c r="C3864" s="67" t="s">
        <v>4291</v>
      </c>
      <c r="D3864" s="91">
        <v>629300</v>
      </c>
      <c r="E3864" s="76">
        <v>46689.999999999993</v>
      </c>
      <c r="F3864" s="77" t="s">
        <v>10174</v>
      </c>
    </row>
    <row r="3865" spans="1:6" ht="25.5">
      <c r="A3865" s="82">
        <v>5</v>
      </c>
      <c r="B3865" s="83" t="s">
        <v>4288</v>
      </c>
      <c r="C3865" s="67" t="s">
        <v>4289</v>
      </c>
      <c r="D3865" s="91">
        <v>478800</v>
      </c>
      <c r="E3865" s="76">
        <v>35525</v>
      </c>
      <c r="F3865" s="77" t="s">
        <v>10174</v>
      </c>
    </row>
    <row r="3866" spans="1:6">
      <c r="A3866" s="82">
        <v>5</v>
      </c>
      <c r="B3866" s="83" t="s">
        <v>4538</v>
      </c>
      <c r="C3866" s="67" t="s">
        <v>4539</v>
      </c>
      <c r="D3866" s="91">
        <v>1080800</v>
      </c>
      <c r="E3866" s="76">
        <v>80185</v>
      </c>
      <c r="F3866" s="77" t="s">
        <v>10174</v>
      </c>
    </row>
    <row r="3867" spans="1:6" ht="25.5">
      <c r="A3867" s="82">
        <v>5</v>
      </c>
      <c r="B3867" s="83" t="s">
        <v>4540</v>
      </c>
      <c r="C3867" s="67" t="s">
        <v>4541</v>
      </c>
      <c r="D3867" s="91">
        <v>861900</v>
      </c>
      <c r="E3867" s="76">
        <v>63944.999999999993</v>
      </c>
      <c r="F3867" s="77" t="s">
        <v>10174</v>
      </c>
    </row>
    <row r="3868" spans="1:6">
      <c r="A3868" s="82">
        <v>5</v>
      </c>
      <c r="B3868" s="83" t="s">
        <v>4276</v>
      </c>
      <c r="C3868" s="67" t="s">
        <v>4277</v>
      </c>
      <c r="D3868" s="91">
        <v>602000</v>
      </c>
      <c r="E3868" s="76">
        <v>44659.999999999993</v>
      </c>
      <c r="F3868" s="77" t="s">
        <v>10174</v>
      </c>
    </row>
    <row r="3869" spans="1:6" ht="25.5">
      <c r="A3869" s="82">
        <v>5</v>
      </c>
      <c r="B3869" s="83" t="s">
        <v>4274</v>
      </c>
      <c r="C3869" s="67" t="s">
        <v>4275</v>
      </c>
      <c r="D3869" s="91">
        <v>478800</v>
      </c>
      <c r="E3869" s="76">
        <v>35525</v>
      </c>
      <c r="F3869" s="77" t="s">
        <v>10174</v>
      </c>
    </row>
    <row r="3870" spans="1:6" ht="25.5">
      <c r="A3870" s="82">
        <v>5</v>
      </c>
      <c r="B3870" s="67" t="s">
        <v>5335</v>
      </c>
      <c r="C3870" s="67" t="s">
        <v>8212</v>
      </c>
      <c r="D3870" s="91">
        <v>547200</v>
      </c>
      <c r="E3870" s="76">
        <v>40600</v>
      </c>
      <c r="F3870" s="77" t="s">
        <v>10174</v>
      </c>
    </row>
    <row r="3871" spans="1:6" ht="25.5">
      <c r="A3871" s="82">
        <v>5</v>
      </c>
      <c r="B3871" s="67" t="s">
        <v>5336</v>
      </c>
      <c r="C3871" s="67" t="s">
        <v>8213</v>
      </c>
      <c r="D3871" s="91">
        <v>383100</v>
      </c>
      <c r="E3871" s="76">
        <v>28419.999999999996</v>
      </c>
      <c r="F3871" s="77" t="s">
        <v>10174</v>
      </c>
    </row>
    <row r="3872" spans="1:6">
      <c r="A3872" s="82">
        <v>5</v>
      </c>
      <c r="B3872" s="83" t="s">
        <v>4304</v>
      </c>
      <c r="C3872" s="67" t="s">
        <v>4305</v>
      </c>
      <c r="D3872" s="91">
        <v>547200</v>
      </c>
      <c r="E3872" s="76">
        <v>40600</v>
      </c>
      <c r="F3872" s="77" t="s">
        <v>10174</v>
      </c>
    </row>
    <row r="3873" spans="1:6" ht="25.5">
      <c r="A3873" s="82">
        <v>5</v>
      </c>
      <c r="B3873" s="83" t="s">
        <v>4302</v>
      </c>
      <c r="C3873" s="67" t="s">
        <v>4303</v>
      </c>
      <c r="D3873" s="91">
        <v>383100</v>
      </c>
      <c r="E3873" s="76">
        <v>28419.999999999996</v>
      </c>
      <c r="F3873" s="77" t="s">
        <v>10174</v>
      </c>
    </row>
    <row r="3874" spans="1:6">
      <c r="A3874" s="82">
        <v>5</v>
      </c>
      <c r="B3874" s="83" t="s">
        <v>3559</v>
      </c>
      <c r="C3874" s="67" t="s">
        <v>3560</v>
      </c>
      <c r="D3874" s="91">
        <v>1450200</v>
      </c>
      <c r="E3874" s="76">
        <v>107589.99999999999</v>
      </c>
      <c r="F3874" s="77" t="s">
        <v>10174</v>
      </c>
    </row>
    <row r="3875" spans="1:6" ht="25.5">
      <c r="A3875" s="82">
        <v>5</v>
      </c>
      <c r="B3875" s="83" t="s">
        <v>3557</v>
      </c>
      <c r="C3875" s="67" t="s">
        <v>3558</v>
      </c>
      <c r="D3875" s="91">
        <v>1149200</v>
      </c>
      <c r="E3875" s="76">
        <v>85260</v>
      </c>
      <c r="F3875" s="77" t="s">
        <v>10174</v>
      </c>
    </row>
    <row r="3876" spans="1:6">
      <c r="A3876" s="82">
        <v>5</v>
      </c>
      <c r="B3876" s="83" t="s">
        <v>3565</v>
      </c>
      <c r="C3876" s="67" t="s">
        <v>3566</v>
      </c>
      <c r="D3876" s="91">
        <v>1080800</v>
      </c>
      <c r="E3876" s="76">
        <v>80185</v>
      </c>
      <c r="F3876" s="77" t="s">
        <v>10174</v>
      </c>
    </row>
    <row r="3877" spans="1:6" ht="25.5">
      <c r="A3877" s="82">
        <v>5</v>
      </c>
      <c r="B3877" s="83" t="s">
        <v>3563</v>
      </c>
      <c r="C3877" s="67" t="s">
        <v>3564</v>
      </c>
      <c r="D3877" s="91">
        <v>861900</v>
      </c>
      <c r="E3877" s="76">
        <v>63944.999999999993</v>
      </c>
      <c r="F3877" s="77" t="s">
        <v>10174</v>
      </c>
    </row>
    <row r="3878" spans="1:6">
      <c r="A3878" s="82">
        <v>5</v>
      </c>
      <c r="B3878" s="83" t="s">
        <v>2467</v>
      </c>
      <c r="C3878" s="67" t="s">
        <v>2468</v>
      </c>
      <c r="D3878" s="91">
        <v>5705000</v>
      </c>
      <c r="E3878" s="76">
        <v>423254.99999999994</v>
      </c>
      <c r="F3878" s="77" t="s">
        <v>10174</v>
      </c>
    </row>
    <row r="3879" spans="1:6">
      <c r="A3879" s="82">
        <v>5</v>
      </c>
      <c r="B3879" s="83" t="s">
        <v>2465</v>
      </c>
      <c r="C3879" s="67" t="s">
        <v>2466</v>
      </c>
      <c r="D3879" s="91">
        <v>4624200</v>
      </c>
      <c r="E3879" s="76">
        <v>343070</v>
      </c>
      <c r="F3879" s="77" t="s">
        <v>10174</v>
      </c>
    </row>
    <row r="3880" spans="1:6">
      <c r="A3880" s="82">
        <v>5</v>
      </c>
      <c r="B3880" s="83" t="s">
        <v>2481</v>
      </c>
      <c r="C3880" s="67" t="s">
        <v>2482</v>
      </c>
      <c r="D3880" s="91">
        <v>10616500</v>
      </c>
      <c r="E3880" s="76">
        <v>787639.99999999988</v>
      </c>
      <c r="F3880" s="77" t="s">
        <v>10174</v>
      </c>
    </row>
    <row r="3881" spans="1:6">
      <c r="A3881" s="82">
        <v>5</v>
      </c>
      <c r="B3881" s="83" t="s">
        <v>2479</v>
      </c>
      <c r="C3881" s="67" t="s">
        <v>2480</v>
      </c>
      <c r="D3881" s="91">
        <v>8523300</v>
      </c>
      <c r="E3881" s="76">
        <v>632345</v>
      </c>
      <c r="F3881" s="77" t="s">
        <v>10174</v>
      </c>
    </row>
    <row r="3882" spans="1:6">
      <c r="A3882" s="82">
        <v>5</v>
      </c>
      <c r="B3882" s="67" t="s">
        <v>6647</v>
      </c>
      <c r="C3882" s="67" t="s">
        <v>6648</v>
      </c>
      <c r="D3882" s="91">
        <v>14707200</v>
      </c>
      <c r="E3882" s="76">
        <v>1091125</v>
      </c>
      <c r="F3882" s="77" t="s">
        <v>10174</v>
      </c>
    </row>
    <row r="3883" spans="1:6">
      <c r="A3883" s="82">
        <v>5</v>
      </c>
      <c r="B3883" s="67" t="s">
        <v>6649</v>
      </c>
      <c r="C3883" s="67" t="s">
        <v>6650</v>
      </c>
      <c r="D3883" s="91">
        <v>11355300</v>
      </c>
      <c r="E3883" s="76">
        <v>842450</v>
      </c>
      <c r="F3883" s="77" t="s">
        <v>10174</v>
      </c>
    </row>
    <row r="3884" spans="1:6">
      <c r="A3884" s="82">
        <v>5</v>
      </c>
      <c r="B3884" s="67" t="s">
        <v>6651</v>
      </c>
      <c r="C3884" s="67" t="s">
        <v>6652</v>
      </c>
      <c r="D3884" s="91">
        <v>3078200</v>
      </c>
      <c r="E3884" s="76">
        <v>228375</v>
      </c>
      <c r="F3884" s="77" t="s">
        <v>10174</v>
      </c>
    </row>
    <row r="3885" spans="1:6">
      <c r="A3885" s="82">
        <v>5</v>
      </c>
      <c r="B3885" s="67" t="s">
        <v>6653</v>
      </c>
      <c r="C3885" s="67" t="s">
        <v>6654</v>
      </c>
      <c r="D3885" s="91">
        <v>2394200</v>
      </c>
      <c r="E3885" s="76">
        <v>177624.99999999997</v>
      </c>
      <c r="F3885" s="77" t="s">
        <v>10174</v>
      </c>
    </row>
    <row r="3886" spans="1:6">
      <c r="A3886" s="82">
        <v>5</v>
      </c>
      <c r="B3886" s="67" t="s">
        <v>6655</v>
      </c>
      <c r="C3886" s="67" t="s">
        <v>6656</v>
      </c>
      <c r="D3886" s="91">
        <v>752500</v>
      </c>
      <c r="E3886" s="76">
        <v>55825</v>
      </c>
      <c r="F3886" s="77" t="s">
        <v>10174</v>
      </c>
    </row>
    <row r="3887" spans="1:6">
      <c r="A3887" s="82">
        <v>5</v>
      </c>
      <c r="B3887" s="67" t="s">
        <v>6657</v>
      </c>
      <c r="C3887" s="67" t="s">
        <v>6658</v>
      </c>
      <c r="D3887" s="91">
        <v>547200</v>
      </c>
      <c r="E3887" s="76">
        <v>40600</v>
      </c>
      <c r="F3887" s="77" t="s">
        <v>10174</v>
      </c>
    </row>
    <row r="3888" spans="1:6">
      <c r="A3888" s="82">
        <v>5</v>
      </c>
      <c r="B3888" s="67" t="s">
        <v>6659</v>
      </c>
      <c r="C3888" s="67" t="s">
        <v>6660</v>
      </c>
      <c r="D3888" s="91">
        <v>342000</v>
      </c>
      <c r="E3888" s="76">
        <v>25375</v>
      </c>
      <c r="F3888" s="77" t="s">
        <v>10174</v>
      </c>
    </row>
    <row r="3889" spans="1:6">
      <c r="A3889" s="82">
        <v>5</v>
      </c>
      <c r="B3889" s="67" t="s">
        <v>6661</v>
      </c>
      <c r="C3889" s="67" t="s">
        <v>6662</v>
      </c>
      <c r="D3889" s="91">
        <v>273600</v>
      </c>
      <c r="E3889" s="76">
        <v>20300</v>
      </c>
      <c r="F3889" s="77" t="s">
        <v>10174</v>
      </c>
    </row>
    <row r="3890" spans="1:6">
      <c r="A3890" s="82">
        <v>5</v>
      </c>
      <c r="B3890" s="67" t="s">
        <v>6663</v>
      </c>
      <c r="C3890" s="67" t="s">
        <v>6664</v>
      </c>
      <c r="D3890" s="91">
        <v>273600</v>
      </c>
      <c r="E3890" s="76">
        <v>20300</v>
      </c>
      <c r="F3890" s="77" t="s">
        <v>10174</v>
      </c>
    </row>
    <row r="3891" spans="1:6">
      <c r="A3891" s="82">
        <v>5</v>
      </c>
      <c r="B3891" s="67" t="s">
        <v>6665</v>
      </c>
      <c r="C3891" s="67" t="s">
        <v>6666</v>
      </c>
      <c r="D3891" s="91">
        <v>205200</v>
      </c>
      <c r="E3891" s="76">
        <v>15225</v>
      </c>
      <c r="F3891" s="77" t="s">
        <v>10174</v>
      </c>
    </row>
    <row r="3892" spans="1:6">
      <c r="A3892" s="82">
        <v>5</v>
      </c>
      <c r="B3892" s="67" t="s">
        <v>6667</v>
      </c>
      <c r="C3892" s="67" t="s">
        <v>6668</v>
      </c>
      <c r="D3892" s="91">
        <v>136800</v>
      </c>
      <c r="E3892" s="76">
        <v>10150</v>
      </c>
      <c r="F3892" s="77" t="s">
        <v>10174</v>
      </c>
    </row>
    <row r="3893" spans="1:6">
      <c r="A3893" s="82">
        <v>5</v>
      </c>
      <c r="B3893" s="67" t="s">
        <v>6669</v>
      </c>
      <c r="C3893" s="67" t="s">
        <v>6670</v>
      </c>
      <c r="D3893" s="91">
        <v>136800</v>
      </c>
      <c r="E3893" s="76">
        <v>10150</v>
      </c>
      <c r="F3893" s="77" t="s">
        <v>10174</v>
      </c>
    </row>
    <row r="3894" spans="1:6">
      <c r="A3894" s="82">
        <v>5</v>
      </c>
      <c r="B3894" s="70" t="s">
        <v>3875</v>
      </c>
      <c r="C3894" s="70" t="s">
        <v>8214</v>
      </c>
      <c r="D3894" s="96">
        <v>287300</v>
      </c>
      <c r="E3894" s="76">
        <v>21315</v>
      </c>
      <c r="F3894" s="77" t="s">
        <v>10174</v>
      </c>
    </row>
    <row r="3895" spans="1:6">
      <c r="A3895" s="82">
        <v>5</v>
      </c>
      <c r="B3895" s="70" t="s">
        <v>3870</v>
      </c>
      <c r="C3895" s="70" t="s">
        <v>8215</v>
      </c>
      <c r="D3895" s="96">
        <v>164200</v>
      </c>
      <c r="E3895" s="76">
        <v>12179.999999999998</v>
      </c>
      <c r="F3895" s="77" t="s">
        <v>10174</v>
      </c>
    </row>
    <row r="3896" spans="1:6">
      <c r="A3896" s="82">
        <v>5</v>
      </c>
      <c r="B3896" s="70" t="s">
        <v>3882</v>
      </c>
      <c r="C3896" s="70" t="s">
        <v>8216</v>
      </c>
      <c r="D3896" s="96">
        <v>82200</v>
      </c>
      <c r="E3896" s="76">
        <v>6089.9999999999991</v>
      </c>
      <c r="F3896" s="77" t="s">
        <v>10174</v>
      </c>
    </row>
    <row r="3897" spans="1:6">
      <c r="A3897" s="82">
        <v>5</v>
      </c>
      <c r="B3897" s="70" t="s">
        <v>3887</v>
      </c>
      <c r="C3897" s="70" t="s">
        <v>8217</v>
      </c>
      <c r="D3897" s="96">
        <v>82200</v>
      </c>
      <c r="E3897" s="76">
        <v>6089.9999999999991</v>
      </c>
      <c r="F3897" s="77" t="s">
        <v>10174</v>
      </c>
    </row>
    <row r="3898" spans="1:6">
      <c r="A3898" s="82">
        <v>5</v>
      </c>
      <c r="B3898" s="70" t="s">
        <v>3876</v>
      </c>
      <c r="C3898" s="70" t="s">
        <v>8218</v>
      </c>
      <c r="D3898" s="96">
        <v>54800</v>
      </c>
      <c r="E3898" s="76">
        <v>4059.9999999999995</v>
      </c>
      <c r="F3898" s="77" t="s">
        <v>10174</v>
      </c>
    </row>
    <row r="3899" spans="1:6">
      <c r="A3899" s="82">
        <v>5</v>
      </c>
      <c r="B3899" s="70" t="s">
        <v>3877</v>
      </c>
      <c r="C3899" s="70" t="s">
        <v>8219</v>
      </c>
      <c r="D3899" s="96">
        <v>68500</v>
      </c>
      <c r="E3899" s="76">
        <v>5075</v>
      </c>
      <c r="F3899" s="77" t="s">
        <v>10174</v>
      </c>
    </row>
    <row r="3900" spans="1:6">
      <c r="A3900" s="82">
        <v>5</v>
      </c>
      <c r="B3900" s="70" t="s">
        <v>7119</v>
      </c>
      <c r="C3900" s="70" t="s">
        <v>8220</v>
      </c>
      <c r="D3900" s="96">
        <v>72439900</v>
      </c>
      <c r="E3900" s="76">
        <v>5364274.9999999991</v>
      </c>
      <c r="F3900" s="77" t="s">
        <v>10174</v>
      </c>
    </row>
    <row r="3901" spans="1:6">
      <c r="A3901" s="82">
        <v>5</v>
      </c>
      <c r="B3901" s="70" t="s">
        <v>7120</v>
      </c>
      <c r="C3901" s="70" t="s">
        <v>8221</v>
      </c>
      <c r="D3901" s="96">
        <v>90601300</v>
      </c>
      <c r="E3901" s="76">
        <v>6709150</v>
      </c>
      <c r="F3901" s="77" t="s">
        <v>10174</v>
      </c>
    </row>
    <row r="3902" spans="1:6">
      <c r="A3902" s="82">
        <v>5</v>
      </c>
      <c r="B3902" s="70" t="s">
        <v>7121</v>
      </c>
      <c r="C3902" s="70" t="s">
        <v>8222</v>
      </c>
      <c r="D3902" s="96">
        <v>101909300</v>
      </c>
      <c r="E3902" s="76">
        <v>7546525</v>
      </c>
      <c r="F3902" s="77" t="s">
        <v>10174</v>
      </c>
    </row>
    <row r="3903" spans="1:6">
      <c r="A3903" s="82">
        <v>5</v>
      </c>
      <c r="B3903" s="70" t="s">
        <v>7122</v>
      </c>
      <c r="C3903" s="70" t="s">
        <v>8223</v>
      </c>
      <c r="D3903" s="96">
        <v>127403800</v>
      </c>
      <c r="E3903" s="76">
        <v>9434425</v>
      </c>
      <c r="F3903" s="77" t="s">
        <v>10174</v>
      </c>
    </row>
    <row r="3904" spans="1:6">
      <c r="A3904" s="82">
        <v>5</v>
      </c>
      <c r="B3904" s="70" t="s">
        <v>7123</v>
      </c>
      <c r="C3904" s="70" t="s">
        <v>8224</v>
      </c>
      <c r="D3904" s="96">
        <v>158929200</v>
      </c>
      <c r="E3904" s="76">
        <v>11768924.999999998</v>
      </c>
      <c r="F3904" s="77" t="s">
        <v>10174</v>
      </c>
    </row>
    <row r="3905" spans="1:6">
      <c r="A3905" s="82">
        <v>5</v>
      </c>
      <c r="B3905" s="70" t="s">
        <v>7124</v>
      </c>
      <c r="C3905" s="70" t="s">
        <v>8225</v>
      </c>
      <c r="D3905" s="96">
        <v>198610100</v>
      </c>
      <c r="E3905" s="76">
        <v>14707350</v>
      </c>
      <c r="F3905" s="77" t="s">
        <v>10174</v>
      </c>
    </row>
    <row r="3906" spans="1:6">
      <c r="A3906" s="82">
        <v>5</v>
      </c>
      <c r="B3906" s="70" t="s">
        <v>7125</v>
      </c>
      <c r="C3906" s="70" t="s">
        <v>8226</v>
      </c>
      <c r="D3906" s="96">
        <v>211151700</v>
      </c>
      <c r="E3906" s="76">
        <v>15636075</v>
      </c>
      <c r="F3906" s="77" t="s">
        <v>10174</v>
      </c>
    </row>
    <row r="3907" spans="1:6">
      <c r="A3907" s="82">
        <v>5</v>
      </c>
      <c r="B3907" s="70" t="s">
        <v>7126</v>
      </c>
      <c r="C3907" s="70" t="s">
        <v>8227</v>
      </c>
      <c r="D3907" s="96">
        <v>263991000</v>
      </c>
      <c r="E3907" s="76">
        <v>19548900</v>
      </c>
      <c r="F3907" s="77" t="s">
        <v>10174</v>
      </c>
    </row>
    <row r="3908" spans="1:6">
      <c r="A3908" s="82">
        <v>5</v>
      </c>
      <c r="B3908" s="70" t="s">
        <v>5886</v>
      </c>
      <c r="C3908" s="70" t="s">
        <v>8228</v>
      </c>
      <c r="D3908" s="96">
        <v>198238800</v>
      </c>
      <c r="E3908" s="76">
        <v>14707350</v>
      </c>
      <c r="F3908" s="77" t="s">
        <v>10174</v>
      </c>
    </row>
    <row r="3909" spans="1:6">
      <c r="A3909" s="82">
        <v>5</v>
      </c>
      <c r="B3909" s="70" t="s">
        <v>5885</v>
      </c>
      <c r="C3909" s="70" t="s">
        <v>8229</v>
      </c>
      <c r="D3909" s="96">
        <v>158632100</v>
      </c>
      <c r="E3909" s="76">
        <v>11768924.999999998</v>
      </c>
      <c r="F3909" s="77" t="s">
        <v>10174</v>
      </c>
    </row>
    <row r="3910" spans="1:6">
      <c r="A3910" s="82">
        <v>5</v>
      </c>
      <c r="B3910" s="70" t="s">
        <v>5893</v>
      </c>
      <c r="C3910" s="70" t="s">
        <v>8230</v>
      </c>
      <c r="D3910" s="96">
        <v>127165600</v>
      </c>
      <c r="E3910" s="76">
        <v>9434425</v>
      </c>
      <c r="F3910" s="77" t="s">
        <v>10174</v>
      </c>
    </row>
    <row r="3911" spans="1:6">
      <c r="A3911" s="82">
        <v>5</v>
      </c>
      <c r="B3911" s="70" t="s">
        <v>5892</v>
      </c>
      <c r="C3911" s="70" t="s">
        <v>8231</v>
      </c>
      <c r="D3911" s="96">
        <v>101718800</v>
      </c>
      <c r="E3911" s="76">
        <v>7546525</v>
      </c>
      <c r="F3911" s="77" t="s">
        <v>10174</v>
      </c>
    </row>
    <row r="3912" spans="1:6">
      <c r="A3912" s="82">
        <v>5</v>
      </c>
      <c r="B3912" s="70" t="s">
        <v>7127</v>
      </c>
      <c r="C3912" s="70" t="s">
        <v>8232</v>
      </c>
      <c r="D3912" s="96">
        <v>72304500</v>
      </c>
      <c r="E3912" s="76">
        <v>5364274.9999999991</v>
      </c>
      <c r="F3912" s="77" t="s">
        <v>10174</v>
      </c>
    </row>
    <row r="3913" spans="1:6">
      <c r="A3913" s="82">
        <v>5</v>
      </c>
      <c r="B3913" s="70" t="s">
        <v>7128</v>
      </c>
      <c r="C3913" s="70" t="s">
        <v>8233</v>
      </c>
      <c r="D3913" s="96">
        <v>90431900</v>
      </c>
      <c r="E3913" s="76">
        <v>6709150</v>
      </c>
      <c r="F3913" s="77" t="s">
        <v>10174</v>
      </c>
    </row>
    <row r="3914" spans="1:6">
      <c r="A3914" s="82">
        <v>5</v>
      </c>
      <c r="B3914" s="70" t="s">
        <v>2182</v>
      </c>
      <c r="C3914" s="70" t="s">
        <v>8234</v>
      </c>
      <c r="D3914" s="96">
        <v>45216000</v>
      </c>
      <c r="E3914" s="76">
        <v>3354575</v>
      </c>
      <c r="F3914" s="77" t="s">
        <v>10174</v>
      </c>
    </row>
    <row r="3915" spans="1:6">
      <c r="A3915" s="82">
        <v>5</v>
      </c>
      <c r="B3915" s="70" t="s">
        <v>2181</v>
      </c>
      <c r="C3915" s="70" t="s">
        <v>8235</v>
      </c>
      <c r="D3915" s="96">
        <v>36186500</v>
      </c>
      <c r="E3915" s="76">
        <v>2684674.9999999995</v>
      </c>
      <c r="F3915" s="77" t="s">
        <v>10174</v>
      </c>
    </row>
    <row r="3916" spans="1:6">
      <c r="A3916" s="82">
        <v>5</v>
      </c>
      <c r="B3916" s="70" t="s">
        <v>2188</v>
      </c>
      <c r="C3916" s="70" t="s">
        <v>8236</v>
      </c>
      <c r="D3916" s="96">
        <v>63617000</v>
      </c>
      <c r="E3916" s="76">
        <v>4719750</v>
      </c>
      <c r="F3916" s="77" t="s">
        <v>10174</v>
      </c>
    </row>
    <row r="3917" spans="1:6">
      <c r="A3917" s="82">
        <v>5</v>
      </c>
      <c r="B3917" s="70" t="s">
        <v>2187</v>
      </c>
      <c r="C3917" s="70" t="s">
        <v>8237</v>
      </c>
      <c r="D3917" s="96">
        <v>50893600</v>
      </c>
      <c r="E3917" s="76">
        <v>3775800</v>
      </c>
      <c r="F3917" s="77" t="s">
        <v>10174</v>
      </c>
    </row>
    <row r="3918" spans="1:6">
      <c r="A3918" s="82">
        <v>5</v>
      </c>
      <c r="B3918" s="70" t="s">
        <v>2695</v>
      </c>
      <c r="C3918" s="70" t="s">
        <v>8238</v>
      </c>
      <c r="D3918" s="96">
        <v>63617000</v>
      </c>
      <c r="E3918" s="76">
        <v>4719750</v>
      </c>
      <c r="F3918" s="77" t="s">
        <v>10174</v>
      </c>
    </row>
    <row r="3919" spans="1:6">
      <c r="A3919" s="82">
        <v>5</v>
      </c>
      <c r="B3919" s="70" t="s">
        <v>2694</v>
      </c>
      <c r="C3919" s="70" t="s">
        <v>8239</v>
      </c>
      <c r="D3919" s="96">
        <v>50893600</v>
      </c>
      <c r="E3919" s="76">
        <v>3775800</v>
      </c>
      <c r="F3919" s="77" t="s">
        <v>10174</v>
      </c>
    </row>
    <row r="3920" spans="1:6">
      <c r="A3920" s="82">
        <v>5</v>
      </c>
      <c r="B3920" s="70" t="s">
        <v>3616</v>
      </c>
      <c r="C3920" s="70" t="s">
        <v>8240</v>
      </c>
      <c r="D3920" s="96">
        <v>75249800</v>
      </c>
      <c r="E3920" s="76">
        <v>5572349.9999999991</v>
      </c>
      <c r="F3920" s="77" t="s">
        <v>10174</v>
      </c>
    </row>
    <row r="3921" spans="1:6">
      <c r="A3921" s="82">
        <v>5</v>
      </c>
      <c r="B3921" s="70" t="s">
        <v>3615</v>
      </c>
      <c r="C3921" s="70" t="s">
        <v>8241</v>
      </c>
      <c r="D3921" s="96">
        <v>60309500</v>
      </c>
      <c r="E3921" s="76">
        <v>4466000</v>
      </c>
      <c r="F3921" s="77" t="s">
        <v>10174</v>
      </c>
    </row>
    <row r="3922" spans="1:6">
      <c r="A3922" s="82">
        <v>5</v>
      </c>
      <c r="B3922" s="70" t="s">
        <v>3091</v>
      </c>
      <c r="C3922" s="70" t="s">
        <v>8242</v>
      </c>
      <c r="D3922" s="96">
        <v>90601300</v>
      </c>
      <c r="E3922" s="76">
        <v>6709150</v>
      </c>
      <c r="F3922" s="77" t="s">
        <v>10174</v>
      </c>
    </row>
    <row r="3923" spans="1:6">
      <c r="A3923" s="82">
        <v>5</v>
      </c>
      <c r="B3923" s="70" t="s">
        <v>3092</v>
      </c>
      <c r="C3923" s="70" t="s">
        <v>8243</v>
      </c>
      <c r="D3923" s="96">
        <v>72097200</v>
      </c>
      <c r="E3923" s="76">
        <v>5338899.9999999991</v>
      </c>
      <c r="F3923" s="77" t="s">
        <v>10174</v>
      </c>
    </row>
    <row r="3924" spans="1:6">
      <c r="A3924" s="82">
        <v>5</v>
      </c>
      <c r="B3924" s="70" t="s">
        <v>5028</v>
      </c>
      <c r="C3924" s="70" t="s">
        <v>8244</v>
      </c>
      <c r="D3924" s="96">
        <v>126375800</v>
      </c>
      <c r="E3924" s="76">
        <v>9358300</v>
      </c>
      <c r="F3924" s="77" t="s">
        <v>10174</v>
      </c>
    </row>
    <row r="3925" spans="1:6">
      <c r="A3925" s="82">
        <v>5</v>
      </c>
      <c r="B3925" s="70" t="s">
        <v>5029</v>
      </c>
      <c r="C3925" s="70" t="s">
        <v>8245</v>
      </c>
      <c r="D3925" s="96">
        <v>101772200</v>
      </c>
      <c r="E3925" s="76">
        <v>7536375</v>
      </c>
      <c r="F3925" s="77" t="s">
        <v>10174</v>
      </c>
    </row>
    <row r="3926" spans="1:6">
      <c r="A3926" s="82">
        <v>5</v>
      </c>
      <c r="B3926" s="70" t="s">
        <v>1746</v>
      </c>
      <c r="C3926" s="70" t="s">
        <v>8246</v>
      </c>
      <c r="D3926" s="96">
        <v>25631500</v>
      </c>
      <c r="E3926" s="76">
        <v>1898050</v>
      </c>
      <c r="F3926" s="77" t="s">
        <v>10174</v>
      </c>
    </row>
    <row r="3927" spans="1:6">
      <c r="A3927" s="82">
        <v>5</v>
      </c>
      <c r="B3927" s="70" t="s">
        <v>1745</v>
      </c>
      <c r="C3927" s="70" t="s">
        <v>8247</v>
      </c>
      <c r="D3927" s="96">
        <v>20491500</v>
      </c>
      <c r="E3927" s="76">
        <v>1517425</v>
      </c>
      <c r="F3927" s="77" t="s">
        <v>10174</v>
      </c>
    </row>
    <row r="3928" spans="1:6">
      <c r="A3928" s="82">
        <v>5</v>
      </c>
      <c r="B3928" s="70" t="s">
        <v>1772</v>
      </c>
      <c r="C3928" s="70" t="s">
        <v>8248</v>
      </c>
      <c r="D3928" s="96">
        <v>38447300</v>
      </c>
      <c r="E3928" s="76">
        <v>2847074.9999999995</v>
      </c>
      <c r="F3928" s="77" t="s">
        <v>10174</v>
      </c>
    </row>
    <row r="3929" spans="1:6">
      <c r="A3929" s="82">
        <v>5</v>
      </c>
      <c r="B3929" s="70" t="s">
        <v>1771</v>
      </c>
      <c r="C3929" s="70" t="s">
        <v>8249</v>
      </c>
      <c r="D3929" s="96">
        <v>29058200</v>
      </c>
      <c r="E3929" s="76">
        <v>2151800</v>
      </c>
      <c r="F3929" s="77" t="s">
        <v>10174</v>
      </c>
    </row>
    <row r="3930" spans="1:6">
      <c r="A3930" s="82">
        <v>5</v>
      </c>
      <c r="B3930" s="70" t="s">
        <v>2565</v>
      </c>
      <c r="C3930" s="70" t="s">
        <v>8250</v>
      </c>
      <c r="D3930" s="96">
        <v>57910800</v>
      </c>
      <c r="E3930" s="76">
        <v>4288375</v>
      </c>
      <c r="F3930" s="77" t="s">
        <v>10174</v>
      </c>
    </row>
    <row r="3931" spans="1:6">
      <c r="A3931" s="82">
        <v>5</v>
      </c>
      <c r="B3931" s="70" t="s">
        <v>2564</v>
      </c>
      <c r="C3931" s="70" t="s">
        <v>8251</v>
      </c>
      <c r="D3931" s="96">
        <v>43587300</v>
      </c>
      <c r="E3931" s="76">
        <v>3227700</v>
      </c>
      <c r="F3931" s="77" t="s">
        <v>10174</v>
      </c>
    </row>
    <row r="3932" spans="1:6">
      <c r="A3932" s="82">
        <v>5</v>
      </c>
      <c r="B3932" s="70" t="s">
        <v>357</v>
      </c>
      <c r="C3932" s="70" t="s">
        <v>8252</v>
      </c>
      <c r="D3932" s="96">
        <v>20971300</v>
      </c>
      <c r="E3932" s="76">
        <v>1552950</v>
      </c>
      <c r="F3932" s="77" t="s">
        <v>10174</v>
      </c>
    </row>
    <row r="3933" spans="1:6">
      <c r="A3933" s="82">
        <v>5</v>
      </c>
      <c r="B3933" s="70" t="s">
        <v>356</v>
      </c>
      <c r="C3933" s="70" t="s">
        <v>8253</v>
      </c>
      <c r="D3933" s="96">
        <v>16201300</v>
      </c>
      <c r="E3933" s="76">
        <v>1199730</v>
      </c>
      <c r="F3933" s="77" t="s">
        <v>10174</v>
      </c>
    </row>
    <row r="3934" spans="1:6">
      <c r="A3934" s="82">
        <v>5</v>
      </c>
      <c r="B3934" s="70" t="s">
        <v>369</v>
      </c>
      <c r="C3934" s="70" t="s">
        <v>8254</v>
      </c>
      <c r="D3934" s="96">
        <v>26974800</v>
      </c>
      <c r="E3934" s="76">
        <v>1997519.9999999998</v>
      </c>
      <c r="F3934" s="77" t="s">
        <v>10174</v>
      </c>
    </row>
    <row r="3935" spans="1:6">
      <c r="A3935" s="82">
        <v>5</v>
      </c>
      <c r="B3935" s="70" t="s">
        <v>368</v>
      </c>
      <c r="C3935" s="70" t="s">
        <v>8255</v>
      </c>
      <c r="D3935" s="96">
        <v>22341900</v>
      </c>
      <c r="E3935" s="76">
        <v>1654450</v>
      </c>
      <c r="F3935" s="77" t="s">
        <v>10174</v>
      </c>
    </row>
    <row r="3936" spans="1:6">
      <c r="A3936" s="82">
        <v>5</v>
      </c>
      <c r="B3936" s="70" t="s">
        <v>471</v>
      </c>
      <c r="C3936" s="70" t="s">
        <v>8256</v>
      </c>
      <c r="D3936" s="96">
        <v>46643900</v>
      </c>
      <c r="E3936" s="76">
        <v>3454045</v>
      </c>
      <c r="F3936" s="77" t="s">
        <v>10174</v>
      </c>
    </row>
    <row r="3937" spans="1:6">
      <c r="A3937" s="82">
        <v>5</v>
      </c>
      <c r="B3937" s="70" t="s">
        <v>470</v>
      </c>
      <c r="C3937" s="70" t="s">
        <v>8257</v>
      </c>
      <c r="D3937" s="96">
        <v>35363300</v>
      </c>
      <c r="E3937" s="76">
        <v>2618699.9999999995</v>
      </c>
      <c r="F3937" s="77" t="s">
        <v>10174</v>
      </c>
    </row>
    <row r="3938" spans="1:6">
      <c r="A3938" s="82">
        <v>5</v>
      </c>
      <c r="B3938" s="70" t="s">
        <v>784</v>
      </c>
      <c r="C3938" s="70" t="s">
        <v>8258</v>
      </c>
      <c r="D3938" s="96">
        <v>57842300</v>
      </c>
      <c r="E3938" s="76">
        <v>4283300</v>
      </c>
      <c r="F3938" s="77" t="s">
        <v>10174</v>
      </c>
    </row>
    <row r="3939" spans="1:6">
      <c r="A3939" s="82">
        <v>5</v>
      </c>
      <c r="B3939" s="70" t="s">
        <v>785</v>
      </c>
      <c r="C3939" s="70" t="s">
        <v>8259</v>
      </c>
      <c r="D3939" s="96">
        <v>43381700</v>
      </c>
      <c r="E3939" s="76">
        <v>3212475</v>
      </c>
      <c r="F3939" s="77" t="s">
        <v>10174</v>
      </c>
    </row>
    <row r="3940" spans="1:6">
      <c r="A3940" s="82">
        <v>5</v>
      </c>
      <c r="B3940" s="70" t="s">
        <v>125</v>
      </c>
      <c r="C3940" s="70" t="s">
        <v>8260</v>
      </c>
      <c r="D3940" s="96">
        <v>3440400</v>
      </c>
      <c r="E3940" s="76">
        <v>254764.99999999997</v>
      </c>
      <c r="F3940" s="77" t="s">
        <v>10174</v>
      </c>
    </row>
    <row r="3941" spans="1:6">
      <c r="A3941" s="82">
        <v>5</v>
      </c>
      <c r="B3941" s="70" t="s">
        <v>124</v>
      </c>
      <c r="C3941" s="70" t="s">
        <v>8261</v>
      </c>
      <c r="D3941" s="96">
        <v>3042900</v>
      </c>
      <c r="E3941" s="76">
        <v>225329.99999999997</v>
      </c>
      <c r="F3941" s="77" t="s">
        <v>10174</v>
      </c>
    </row>
    <row r="3942" spans="1:6">
      <c r="A3942" s="82">
        <v>5</v>
      </c>
      <c r="B3942" s="70" t="s">
        <v>1032</v>
      </c>
      <c r="C3942" s="70" t="s">
        <v>8262</v>
      </c>
      <c r="D3942" s="96">
        <v>13309200</v>
      </c>
      <c r="E3942" s="76">
        <v>985564.99999999988</v>
      </c>
      <c r="F3942" s="77" t="s">
        <v>10174</v>
      </c>
    </row>
    <row r="3943" spans="1:6">
      <c r="A3943" s="82">
        <v>5</v>
      </c>
      <c r="B3943" s="70" t="s">
        <v>1031</v>
      </c>
      <c r="C3943" s="70" t="s">
        <v>8263</v>
      </c>
      <c r="D3943" s="96">
        <v>9978500</v>
      </c>
      <c r="E3943" s="76">
        <v>738920</v>
      </c>
      <c r="F3943" s="77" t="s">
        <v>10174</v>
      </c>
    </row>
    <row r="3944" spans="1:6">
      <c r="A3944" s="82">
        <v>5</v>
      </c>
      <c r="B3944" s="70" t="s">
        <v>3208</v>
      </c>
      <c r="C3944" s="70" t="s">
        <v>8264</v>
      </c>
      <c r="D3944" s="96">
        <v>13309200</v>
      </c>
      <c r="E3944" s="76">
        <v>985564.99999999988</v>
      </c>
      <c r="F3944" s="77" t="s">
        <v>10174</v>
      </c>
    </row>
    <row r="3945" spans="1:6">
      <c r="A3945" s="82">
        <v>5</v>
      </c>
      <c r="B3945" s="70" t="s">
        <v>3209</v>
      </c>
      <c r="C3945" s="70" t="s">
        <v>8265</v>
      </c>
      <c r="D3945" s="96">
        <v>9978500</v>
      </c>
      <c r="E3945" s="76">
        <v>738920</v>
      </c>
      <c r="F3945" s="77" t="s">
        <v>10174</v>
      </c>
    </row>
    <row r="3946" spans="1:6">
      <c r="A3946" s="82">
        <v>5</v>
      </c>
      <c r="B3946" s="70" t="s">
        <v>487</v>
      </c>
      <c r="C3946" s="70" t="s">
        <v>8266</v>
      </c>
      <c r="D3946" s="96">
        <v>3440400</v>
      </c>
      <c r="E3946" s="76">
        <v>254764.99999999997</v>
      </c>
      <c r="F3946" s="77" t="s">
        <v>10174</v>
      </c>
    </row>
    <row r="3947" spans="1:6">
      <c r="A3947" s="82">
        <v>5</v>
      </c>
      <c r="B3947" s="70" t="s">
        <v>486</v>
      </c>
      <c r="C3947" s="70" t="s">
        <v>8267</v>
      </c>
      <c r="D3947" s="96">
        <v>3042900</v>
      </c>
      <c r="E3947" s="76">
        <v>225329.99999999997</v>
      </c>
      <c r="F3947" s="77" t="s">
        <v>10174</v>
      </c>
    </row>
    <row r="3948" spans="1:6">
      <c r="A3948" s="82">
        <v>5</v>
      </c>
      <c r="B3948" s="70" t="s">
        <v>123</v>
      </c>
      <c r="C3948" s="70" t="s">
        <v>8268</v>
      </c>
      <c r="D3948" s="96">
        <v>5427900</v>
      </c>
      <c r="E3948" s="76">
        <v>401940</v>
      </c>
      <c r="F3948" s="77" t="s">
        <v>10174</v>
      </c>
    </row>
    <row r="3949" spans="1:6">
      <c r="A3949" s="82">
        <v>5</v>
      </c>
      <c r="B3949" s="70" t="s">
        <v>122</v>
      </c>
      <c r="C3949" s="70" t="s">
        <v>8269</v>
      </c>
      <c r="D3949" s="96">
        <v>5057800</v>
      </c>
      <c r="E3949" s="76">
        <v>374535</v>
      </c>
      <c r="F3949" s="77" t="s">
        <v>10174</v>
      </c>
    </row>
    <row r="3950" spans="1:6">
      <c r="A3950" s="82">
        <v>5</v>
      </c>
      <c r="B3950" s="70" t="s">
        <v>1043</v>
      </c>
      <c r="C3950" s="70" t="s">
        <v>8270</v>
      </c>
      <c r="D3950" s="96">
        <v>20244800</v>
      </c>
      <c r="E3950" s="76">
        <v>1499154.9999999998</v>
      </c>
      <c r="F3950" s="77" t="s">
        <v>10174</v>
      </c>
    </row>
    <row r="3951" spans="1:6">
      <c r="A3951" s="82">
        <v>5</v>
      </c>
      <c r="B3951" s="70" t="s">
        <v>1042</v>
      </c>
      <c r="C3951" s="70" t="s">
        <v>8271</v>
      </c>
      <c r="D3951" s="96">
        <v>15187000</v>
      </c>
      <c r="E3951" s="76">
        <v>1124619.9999999998</v>
      </c>
      <c r="F3951" s="77" t="s">
        <v>10174</v>
      </c>
    </row>
    <row r="3952" spans="1:6">
      <c r="A3952" s="82">
        <v>5</v>
      </c>
      <c r="B3952" s="70" t="s">
        <v>3215</v>
      </c>
      <c r="C3952" s="70" t="s">
        <v>8272</v>
      </c>
      <c r="D3952" s="96">
        <v>20244800</v>
      </c>
      <c r="E3952" s="76">
        <v>1499154.9999999998</v>
      </c>
      <c r="F3952" s="77" t="s">
        <v>10174</v>
      </c>
    </row>
    <row r="3953" spans="1:6">
      <c r="A3953" s="82">
        <v>5</v>
      </c>
      <c r="B3953" s="70" t="s">
        <v>3216</v>
      </c>
      <c r="C3953" s="70" t="s">
        <v>8273</v>
      </c>
      <c r="D3953" s="96">
        <v>15187000</v>
      </c>
      <c r="E3953" s="76">
        <v>1124619.9999999998</v>
      </c>
      <c r="F3953" s="77" t="s">
        <v>10174</v>
      </c>
    </row>
    <row r="3954" spans="1:6">
      <c r="A3954" s="82">
        <v>5</v>
      </c>
      <c r="B3954" s="70" t="s">
        <v>479</v>
      </c>
      <c r="C3954" s="70" t="s">
        <v>8274</v>
      </c>
      <c r="D3954" s="96">
        <v>5427900</v>
      </c>
      <c r="E3954" s="76">
        <v>401940</v>
      </c>
      <c r="F3954" s="77" t="s">
        <v>10174</v>
      </c>
    </row>
    <row r="3955" spans="1:6">
      <c r="A3955" s="82">
        <v>5</v>
      </c>
      <c r="B3955" s="70" t="s">
        <v>478</v>
      </c>
      <c r="C3955" s="70" t="s">
        <v>8275</v>
      </c>
      <c r="D3955" s="96">
        <v>5057800</v>
      </c>
      <c r="E3955" s="76">
        <v>374535</v>
      </c>
      <c r="F3955" s="77" t="s">
        <v>10174</v>
      </c>
    </row>
    <row r="3956" spans="1:6">
      <c r="A3956" s="82">
        <v>5</v>
      </c>
      <c r="B3956" s="70" t="s">
        <v>270</v>
      </c>
      <c r="C3956" s="70" t="s">
        <v>8276</v>
      </c>
      <c r="D3956" s="96">
        <v>13309200</v>
      </c>
      <c r="E3956" s="76">
        <v>985564.99999999988</v>
      </c>
      <c r="F3956" s="77" t="s">
        <v>10174</v>
      </c>
    </row>
    <row r="3957" spans="1:6">
      <c r="A3957" s="82">
        <v>5</v>
      </c>
      <c r="B3957" s="70" t="s">
        <v>269</v>
      </c>
      <c r="C3957" s="70" t="s">
        <v>8277</v>
      </c>
      <c r="D3957" s="96">
        <v>9978500</v>
      </c>
      <c r="E3957" s="76">
        <v>738920</v>
      </c>
      <c r="F3957" s="77" t="s">
        <v>10174</v>
      </c>
    </row>
    <row r="3958" spans="1:6">
      <c r="A3958" s="82">
        <v>5</v>
      </c>
      <c r="B3958" s="70" t="s">
        <v>459</v>
      </c>
      <c r="C3958" s="70" t="s">
        <v>8278</v>
      </c>
      <c r="D3958" s="96">
        <v>20244800</v>
      </c>
      <c r="E3958" s="76">
        <v>1499154.9999999998</v>
      </c>
      <c r="F3958" s="77" t="s">
        <v>10174</v>
      </c>
    </row>
    <row r="3959" spans="1:6">
      <c r="A3959" s="82">
        <v>5</v>
      </c>
      <c r="B3959" s="70" t="s">
        <v>458</v>
      </c>
      <c r="C3959" s="70" t="s">
        <v>8279</v>
      </c>
      <c r="D3959" s="96">
        <v>15187000</v>
      </c>
      <c r="E3959" s="76">
        <v>1124619.9999999998</v>
      </c>
      <c r="F3959" s="77" t="s">
        <v>10174</v>
      </c>
    </row>
    <row r="3960" spans="1:6">
      <c r="A3960" s="82">
        <v>5</v>
      </c>
      <c r="B3960" s="70" t="s">
        <v>1255</v>
      </c>
      <c r="C3960" s="70" t="s">
        <v>8280</v>
      </c>
      <c r="D3960" s="96">
        <v>3166200</v>
      </c>
      <c r="E3960" s="76">
        <v>234464.99999999997</v>
      </c>
      <c r="F3960" s="77" t="s">
        <v>10174</v>
      </c>
    </row>
    <row r="3961" spans="1:6">
      <c r="A3961" s="82">
        <v>5</v>
      </c>
      <c r="B3961" s="70" t="s">
        <v>1256</v>
      </c>
      <c r="C3961" s="70" t="s">
        <v>8281</v>
      </c>
      <c r="D3961" s="96">
        <v>2357600</v>
      </c>
      <c r="E3961" s="76">
        <v>174580</v>
      </c>
      <c r="F3961" s="77" t="s">
        <v>10174</v>
      </c>
    </row>
    <row r="3962" spans="1:6">
      <c r="A3962" s="82">
        <v>5</v>
      </c>
      <c r="B3962" s="70" t="s">
        <v>1257</v>
      </c>
      <c r="C3962" s="70" t="s">
        <v>8282</v>
      </c>
      <c r="D3962" s="96">
        <v>3234800</v>
      </c>
      <c r="E3962" s="76">
        <v>239539.99999999997</v>
      </c>
      <c r="F3962" s="77" t="s">
        <v>10174</v>
      </c>
    </row>
    <row r="3963" spans="1:6">
      <c r="A3963" s="82">
        <v>5</v>
      </c>
      <c r="B3963" s="70" t="s">
        <v>1258</v>
      </c>
      <c r="C3963" s="70" t="s">
        <v>8283</v>
      </c>
      <c r="D3963" s="96">
        <v>2426100</v>
      </c>
      <c r="E3963" s="76">
        <v>179655</v>
      </c>
      <c r="F3963" s="77" t="s">
        <v>10174</v>
      </c>
    </row>
    <row r="3964" spans="1:6">
      <c r="A3964" s="82">
        <v>5</v>
      </c>
      <c r="B3964" s="70" t="s">
        <v>4736</v>
      </c>
      <c r="C3964" s="70" t="s">
        <v>8284</v>
      </c>
      <c r="D3964" s="96">
        <v>5222300</v>
      </c>
      <c r="E3964" s="76">
        <v>386715</v>
      </c>
      <c r="F3964" s="77" t="s">
        <v>10174</v>
      </c>
    </row>
    <row r="3965" spans="1:6">
      <c r="A3965" s="82">
        <v>5</v>
      </c>
      <c r="B3965" s="70" t="s">
        <v>4737</v>
      </c>
      <c r="C3965" s="70" t="s">
        <v>8285</v>
      </c>
      <c r="D3965" s="96">
        <v>6976700</v>
      </c>
      <c r="E3965" s="76">
        <v>516634.99999999994</v>
      </c>
      <c r="F3965" s="77" t="s">
        <v>10174</v>
      </c>
    </row>
    <row r="3966" spans="1:6">
      <c r="A3966" s="82">
        <v>5</v>
      </c>
      <c r="B3966" s="70" t="s">
        <v>4738</v>
      </c>
      <c r="C3966" s="70" t="s">
        <v>8286</v>
      </c>
      <c r="D3966" s="96">
        <v>5290800</v>
      </c>
      <c r="E3966" s="76">
        <v>391790</v>
      </c>
      <c r="F3966" s="77" t="s">
        <v>10174</v>
      </c>
    </row>
    <row r="3967" spans="1:6">
      <c r="A3967" s="82">
        <v>5</v>
      </c>
      <c r="B3967" s="70" t="s">
        <v>4739</v>
      </c>
      <c r="C3967" s="70" t="s">
        <v>8287</v>
      </c>
      <c r="D3967" s="96">
        <v>7059000</v>
      </c>
      <c r="E3967" s="76">
        <v>522725</v>
      </c>
      <c r="F3967" s="77" t="s">
        <v>10174</v>
      </c>
    </row>
    <row r="3968" spans="1:6">
      <c r="A3968" s="82">
        <v>5</v>
      </c>
      <c r="B3968" s="70" t="s">
        <v>3591</v>
      </c>
      <c r="C3968" s="70" t="s">
        <v>8288</v>
      </c>
      <c r="D3968" s="96">
        <v>6935600</v>
      </c>
      <c r="E3968" s="76">
        <v>513590</v>
      </c>
      <c r="F3968" s="77" t="s">
        <v>10174</v>
      </c>
    </row>
    <row r="3969" spans="1:6">
      <c r="A3969" s="82">
        <v>5</v>
      </c>
      <c r="B3969" s="70" t="s">
        <v>3592</v>
      </c>
      <c r="C3969" s="70" t="s">
        <v>8289</v>
      </c>
      <c r="D3969" s="96">
        <v>9334300</v>
      </c>
      <c r="E3969" s="76">
        <v>691215</v>
      </c>
      <c r="F3969" s="77" t="s">
        <v>10174</v>
      </c>
    </row>
    <row r="3970" spans="1:6">
      <c r="A3970" s="82">
        <v>5</v>
      </c>
      <c r="B3970" s="70" t="s">
        <v>7129</v>
      </c>
      <c r="C3970" s="70" t="s">
        <v>8290</v>
      </c>
      <c r="D3970" s="96">
        <v>23575500</v>
      </c>
      <c r="E3970" s="76">
        <v>1745800</v>
      </c>
      <c r="F3970" s="77" t="s">
        <v>10174</v>
      </c>
    </row>
    <row r="3971" spans="1:6">
      <c r="A3971" s="82">
        <v>5</v>
      </c>
      <c r="B3971" s="70" t="s">
        <v>7130</v>
      </c>
      <c r="C3971" s="70" t="s">
        <v>8291</v>
      </c>
      <c r="D3971" s="96">
        <v>19600600</v>
      </c>
      <c r="E3971" s="76">
        <v>1451449.9999999998</v>
      </c>
      <c r="F3971" s="77" t="s">
        <v>10174</v>
      </c>
    </row>
    <row r="3972" spans="1:6">
      <c r="A3972" s="82">
        <v>5</v>
      </c>
      <c r="B3972" s="70" t="s">
        <v>7131</v>
      </c>
      <c r="C3972" s="70" t="s">
        <v>8292</v>
      </c>
      <c r="D3972" s="96">
        <v>19052300</v>
      </c>
      <c r="E3972" s="76">
        <v>1410849.9999999998</v>
      </c>
      <c r="F3972" s="77" t="s">
        <v>10174</v>
      </c>
    </row>
    <row r="3973" spans="1:6">
      <c r="A3973" s="82">
        <v>5</v>
      </c>
      <c r="B3973" s="70" t="s">
        <v>7132</v>
      </c>
      <c r="C3973" s="70" t="s">
        <v>8293</v>
      </c>
      <c r="D3973" s="96">
        <v>15831200</v>
      </c>
      <c r="E3973" s="76">
        <v>1172325</v>
      </c>
      <c r="F3973" s="77" t="s">
        <v>10174</v>
      </c>
    </row>
    <row r="3974" spans="1:6">
      <c r="A3974" s="82">
        <v>5</v>
      </c>
      <c r="B3974" s="70" t="s">
        <v>5851</v>
      </c>
      <c r="C3974" s="70" t="s">
        <v>8294</v>
      </c>
      <c r="D3974" s="96">
        <v>26796600</v>
      </c>
      <c r="E3974" s="76">
        <v>1984325</v>
      </c>
      <c r="F3974" s="77" t="s">
        <v>10174</v>
      </c>
    </row>
    <row r="3975" spans="1:6">
      <c r="A3975" s="82">
        <v>5</v>
      </c>
      <c r="B3975" s="70" t="s">
        <v>5850</v>
      </c>
      <c r="C3975" s="70" t="s">
        <v>8295</v>
      </c>
      <c r="D3975" s="96">
        <v>22341900</v>
      </c>
      <c r="E3975" s="76">
        <v>1654450</v>
      </c>
      <c r="F3975" s="77" t="s">
        <v>10174</v>
      </c>
    </row>
    <row r="3976" spans="1:6">
      <c r="A3976" s="82">
        <v>5</v>
      </c>
      <c r="B3976" s="70" t="s">
        <v>7133</v>
      </c>
      <c r="C3976" s="70" t="s">
        <v>8296</v>
      </c>
      <c r="D3976" s="96">
        <v>24877700</v>
      </c>
      <c r="E3976" s="76">
        <v>1842225</v>
      </c>
      <c r="F3976" s="77" t="s">
        <v>10174</v>
      </c>
    </row>
    <row r="3977" spans="1:6">
      <c r="A3977" s="82">
        <v>5</v>
      </c>
      <c r="B3977" s="70" t="s">
        <v>7134</v>
      </c>
      <c r="C3977" s="70" t="s">
        <v>8297</v>
      </c>
      <c r="D3977" s="96">
        <v>29880600</v>
      </c>
      <c r="E3977" s="76">
        <v>2212700</v>
      </c>
      <c r="F3977" s="77" t="s">
        <v>10174</v>
      </c>
    </row>
    <row r="3978" spans="1:6">
      <c r="A3978" s="82">
        <v>5</v>
      </c>
      <c r="B3978" s="70" t="s">
        <v>7135</v>
      </c>
      <c r="C3978" s="70" t="s">
        <v>8298</v>
      </c>
      <c r="D3978" s="96">
        <v>30154700</v>
      </c>
      <c r="E3978" s="76">
        <v>2233000</v>
      </c>
      <c r="F3978" s="77" t="s">
        <v>10174</v>
      </c>
    </row>
    <row r="3979" spans="1:6">
      <c r="A3979" s="82">
        <v>5</v>
      </c>
      <c r="B3979" s="70" t="s">
        <v>7136</v>
      </c>
      <c r="C3979" s="70" t="s">
        <v>8299</v>
      </c>
      <c r="D3979" s="96">
        <v>36185700</v>
      </c>
      <c r="E3979" s="76">
        <v>2679599.9999999995</v>
      </c>
      <c r="F3979" s="77" t="s">
        <v>10174</v>
      </c>
    </row>
    <row r="3980" spans="1:6">
      <c r="A3980" s="82">
        <v>5</v>
      </c>
      <c r="B3980" s="70" t="s">
        <v>7137</v>
      </c>
      <c r="C3980" s="70" t="s">
        <v>8300</v>
      </c>
      <c r="D3980" s="96">
        <v>24877700</v>
      </c>
      <c r="E3980" s="76">
        <v>1842225</v>
      </c>
      <c r="F3980" s="77" t="s">
        <v>10174</v>
      </c>
    </row>
    <row r="3981" spans="1:6">
      <c r="A3981" s="82">
        <v>5</v>
      </c>
      <c r="B3981" s="70" t="s">
        <v>7138</v>
      </c>
      <c r="C3981" s="70" t="s">
        <v>8301</v>
      </c>
      <c r="D3981" s="96">
        <v>29880600</v>
      </c>
      <c r="E3981" s="76">
        <v>2212700</v>
      </c>
      <c r="F3981" s="77" t="s">
        <v>10174</v>
      </c>
    </row>
    <row r="3982" spans="1:6">
      <c r="A3982" s="82">
        <v>5</v>
      </c>
      <c r="B3982" s="70" t="s">
        <v>7139</v>
      </c>
      <c r="C3982" s="70" t="s">
        <v>8302</v>
      </c>
      <c r="D3982" s="96">
        <v>30154700</v>
      </c>
      <c r="E3982" s="76">
        <v>2233000</v>
      </c>
      <c r="F3982" s="77" t="s">
        <v>10174</v>
      </c>
    </row>
    <row r="3983" spans="1:6">
      <c r="A3983" s="82">
        <v>5</v>
      </c>
      <c r="B3983" s="70" t="s">
        <v>7140</v>
      </c>
      <c r="C3983" s="70" t="s">
        <v>8303</v>
      </c>
      <c r="D3983" s="96">
        <v>36185700</v>
      </c>
      <c r="E3983" s="76">
        <v>2679599.9999999995</v>
      </c>
      <c r="F3983" s="77" t="s">
        <v>10174</v>
      </c>
    </row>
    <row r="3984" spans="1:6">
      <c r="A3984" s="82">
        <v>5</v>
      </c>
      <c r="B3984" s="70" t="s">
        <v>7141</v>
      </c>
      <c r="C3984" s="70" t="s">
        <v>8304</v>
      </c>
      <c r="D3984" s="96">
        <v>14255000</v>
      </c>
      <c r="E3984" s="76">
        <v>1055600</v>
      </c>
      <c r="F3984" s="77" t="s">
        <v>10174</v>
      </c>
    </row>
    <row r="3985" spans="1:6">
      <c r="A3985" s="82">
        <v>5</v>
      </c>
      <c r="B3985" s="70" t="s">
        <v>7142</v>
      </c>
      <c r="C3985" s="70" t="s">
        <v>8305</v>
      </c>
      <c r="D3985" s="96">
        <v>17133400</v>
      </c>
      <c r="E3985" s="76">
        <v>1268750</v>
      </c>
      <c r="F3985" s="77" t="s">
        <v>10174</v>
      </c>
    </row>
    <row r="3986" spans="1:6">
      <c r="A3986" s="82">
        <v>5</v>
      </c>
      <c r="B3986" s="70" t="s">
        <v>7143</v>
      </c>
      <c r="C3986" s="70" t="s">
        <v>8306</v>
      </c>
      <c r="D3986" s="96">
        <v>17064800</v>
      </c>
      <c r="E3986" s="76">
        <v>1263675</v>
      </c>
      <c r="F3986" s="77" t="s">
        <v>10174</v>
      </c>
    </row>
    <row r="3987" spans="1:6">
      <c r="A3987" s="82">
        <v>5</v>
      </c>
      <c r="B3987" s="70" t="s">
        <v>7144</v>
      </c>
      <c r="C3987" s="70" t="s">
        <v>8307</v>
      </c>
      <c r="D3987" s="96">
        <v>20423000</v>
      </c>
      <c r="E3987" s="76">
        <v>1512350</v>
      </c>
      <c r="F3987" s="77" t="s">
        <v>10174</v>
      </c>
    </row>
    <row r="3988" spans="1:6">
      <c r="A3988" s="82">
        <v>5</v>
      </c>
      <c r="B3988" s="70" t="s">
        <v>4008</v>
      </c>
      <c r="C3988" s="70" t="s">
        <v>8308</v>
      </c>
      <c r="D3988" s="96">
        <v>21999300</v>
      </c>
      <c r="E3988" s="76">
        <v>1629075</v>
      </c>
      <c r="F3988" s="77" t="s">
        <v>10174</v>
      </c>
    </row>
    <row r="3989" spans="1:6">
      <c r="A3989" s="82">
        <v>5</v>
      </c>
      <c r="B3989" s="70" t="s">
        <v>4009</v>
      </c>
      <c r="C3989" s="70" t="s">
        <v>8309</v>
      </c>
      <c r="D3989" s="96">
        <v>16516600</v>
      </c>
      <c r="E3989" s="76">
        <v>1223075</v>
      </c>
      <c r="F3989" s="77" t="s">
        <v>10174</v>
      </c>
    </row>
    <row r="3990" spans="1:6">
      <c r="A3990" s="82">
        <v>5</v>
      </c>
      <c r="B3990" s="70" t="s">
        <v>4012</v>
      </c>
      <c r="C3990" s="70" t="s">
        <v>8310</v>
      </c>
      <c r="D3990" s="96">
        <v>27961700</v>
      </c>
      <c r="E3990" s="76">
        <v>2070600</v>
      </c>
      <c r="F3990" s="77" t="s">
        <v>10174</v>
      </c>
    </row>
    <row r="3991" spans="1:6">
      <c r="A3991" s="82">
        <v>5</v>
      </c>
      <c r="B3991" s="70" t="s">
        <v>4013</v>
      </c>
      <c r="C3991" s="70" t="s">
        <v>8311</v>
      </c>
      <c r="D3991" s="96">
        <v>20971300</v>
      </c>
      <c r="E3991" s="76">
        <v>1552950</v>
      </c>
      <c r="F3991" s="77" t="s">
        <v>10174</v>
      </c>
    </row>
    <row r="3992" spans="1:6">
      <c r="A3992" s="82">
        <v>5</v>
      </c>
      <c r="B3992" s="70" t="s">
        <v>4016</v>
      </c>
      <c r="C3992" s="70" t="s">
        <v>8312</v>
      </c>
      <c r="D3992" s="96">
        <v>25014700</v>
      </c>
      <c r="E3992" s="76">
        <v>1852375</v>
      </c>
      <c r="F3992" s="77" t="s">
        <v>10174</v>
      </c>
    </row>
    <row r="3993" spans="1:6">
      <c r="A3993" s="82">
        <v>5</v>
      </c>
      <c r="B3993" s="70" t="s">
        <v>4017</v>
      </c>
      <c r="C3993" s="70" t="s">
        <v>8313</v>
      </c>
      <c r="D3993" s="96">
        <v>18778200</v>
      </c>
      <c r="E3993" s="76">
        <v>1390549.9999999998</v>
      </c>
      <c r="F3993" s="77" t="s">
        <v>10174</v>
      </c>
    </row>
    <row r="3994" spans="1:6">
      <c r="A3994" s="82">
        <v>5</v>
      </c>
      <c r="B3994" s="70" t="s">
        <v>3580</v>
      </c>
      <c r="C3994" s="70" t="s">
        <v>8314</v>
      </c>
      <c r="D3994" s="96">
        <v>3015500</v>
      </c>
      <c r="E3994" s="76">
        <v>223300</v>
      </c>
      <c r="F3994" s="77" t="s">
        <v>10174</v>
      </c>
    </row>
    <row r="3995" spans="1:6">
      <c r="A3995" s="82">
        <v>5</v>
      </c>
      <c r="B3995" s="70" t="s">
        <v>3579</v>
      </c>
      <c r="C3995" s="70" t="s">
        <v>8315</v>
      </c>
      <c r="D3995" s="96">
        <v>2535700</v>
      </c>
      <c r="E3995" s="76">
        <v>187775</v>
      </c>
      <c r="F3995" s="77" t="s">
        <v>10174</v>
      </c>
    </row>
    <row r="3996" spans="1:6">
      <c r="A3996" s="82">
        <v>5</v>
      </c>
      <c r="B3996" s="70" t="s">
        <v>5946</v>
      </c>
      <c r="C3996" s="70" t="s">
        <v>8316</v>
      </c>
      <c r="D3996" s="96">
        <v>2672800</v>
      </c>
      <c r="E3996" s="76">
        <v>197925</v>
      </c>
      <c r="F3996" s="77" t="s">
        <v>10174</v>
      </c>
    </row>
    <row r="3997" spans="1:6">
      <c r="A3997" s="82">
        <v>5</v>
      </c>
      <c r="B3997" s="70" t="s">
        <v>5947</v>
      </c>
      <c r="C3997" s="70" t="s">
        <v>8317</v>
      </c>
      <c r="D3997" s="96">
        <v>3152500</v>
      </c>
      <c r="E3997" s="76">
        <v>233450</v>
      </c>
      <c r="F3997" s="77" t="s">
        <v>10174</v>
      </c>
    </row>
    <row r="3998" spans="1:6">
      <c r="A3998" s="82">
        <v>5</v>
      </c>
      <c r="B3998" s="70" t="s">
        <v>3684</v>
      </c>
      <c r="C3998" s="70" t="s">
        <v>8318</v>
      </c>
      <c r="D3998" s="96">
        <v>2028600</v>
      </c>
      <c r="E3998" s="76">
        <v>150220</v>
      </c>
      <c r="F3998" s="77" t="s">
        <v>10174</v>
      </c>
    </row>
    <row r="3999" spans="1:6">
      <c r="A3999" s="82">
        <v>5</v>
      </c>
      <c r="B3999" s="70" t="s">
        <v>3683</v>
      </c>
      <c r="C3999" s="70" t="s">
        <v>8319</v>
      </c>
      <c r="D3999" s="96">
        <v>1521400</v>
      </c>
      <c r="E3999" s="76">
        <v>112664.99999999999</v>
      </c>
      <c r="F3999" s="77" t="s">
        <v>10174</v>
      </c>
    </row>
    <row r="4000" spans="1:6">
      <c r="A4000" s="82">
        <v>5</v>
      </c>
      <c r="B4000" s="70" t="s">
        <v>3129</v>
      </c>
      <c r="C4000" s="70" t="s">
        <v>8320</v>
      </c>
      <c r="D4000" s="96">
        <v>2672800</v>
      </c>
      <c r="E4000" s="76">
        <v>197925</v>
      </c>
      <c r="F4000" s="77" t="s">
        <v>10174</v>
      </c>
    </row>
    <row r="4001" spans="1:6">
      <c r="A4001" s="82">
        <v>5</v>
      </c>
      <c r="B4001" s="70" t="s">
        <v>3128</v>
      </c>
      <c r="C4001" s="70" t="s">
        <v>8321</v>
      </c>
      <c r="D4001" s="96">
        <v>2261600</v>
      </c>
      <c r="E4001" s="76">
        <v>167474.99999999997</v>
      </c>
      <c r="F4001" s="77" t="s">
        <v>10174</v>
      </c>
    </row>
    <row r="4002" spans="1:6">
      <c r="A4002" s="82">
        <v>5</v>
      </c>
      <c r="B4002" s="70" t="s">
        <v>5927</v>
      </c>
      <c r="C4002" s="70" t="s">
        <v>8322</v>
      </c>
      <c r="D4002" s="96">
        <v>4728800</v>
      </c>
      <c r="E4002" s="76">
        <v>350174.99999999994</v>
      </c>
      <c r="F4002" s="77" t="s">
        <v>10174</v>
      </c>
    </row>
    <row r="4003" spans="1:6">
      <c r="A4003" s="82">
        <v>5</v>
      </c>
      <c r="B4003" s="70" t="s">
        <v>5926</v>
      </c>
      <c r="C4003" s="70" t="s">
        <v>8323</v>
      </c>
      <c r="D4003" s="96">
        <v>5688300</v>
      </c>
      <c r="E4003" s="76">
        <v>421225</v>
      </c>
      <c r="F4003" s="77" t="s">
        <v>10174</v>
      </c>
    </row>
    <row r="4004" spans="1:6">
      <c r="A4004" s="82">
        <v>5</v>
      </c>
      <c r="B4004" s="70" t="s">
        <v>5937</v>
      </c>
      <c r="C4004" s="70" t="s">
        <v>8324</v>
      </c>
      <c r="D4004" s="96">
        <v>5140000</v>
      </c>
      <c r="E4004" s="76">
        <v>380625</v>
      </c>
      <c r="F4004" s="77" t="s">
        <v>10174</v>
      </c>
    </row>
    <row r="4005" spans="1:6">
      <c r="A4005" s="82">
        <v>5</v>
      </c>
      <c r="B4005" s="70" t="s">
        <v>5936</v>
      </c>
      <c r="C4005" s="70" t="s">
        <v>8325</v>
      </c>
      <c r="D4005" s="96">
        <v>6168000</v>
      </c>
      <c r="E4005" s="76">
        <v>456750</v>
      </c>
      <c r="F4005" s="77" t="s">
        <v>10174</v>
      </c>
    </row>
    <row r="4006" spans="1:6">
      <c r="A4006" s="82">
        <v>5</v>
      </c>
      <c r="B4006" s="70" t="s">
        <v>5932</v>
      </c>
      <c r="C4006" s="70" t="s">
        <v>8326</v>
      </c>
      <c r="D4006" s="96">
        <v>5551200</v>
      </c>
      <c r="E4006" s="76">
        <v>411075</v>
      </c>
      <c r="F4006" s="77" t="s">
        <v>10174</v>
      </c>
    </row>
    <row r="4007" spans="1:6">
      <c r="A4007" s="82">
        <v>5</v>
      </c>
      <c r="B4007" s="70" t="s">
        <v>5931</v>
      </c>
      <c r="C4007" s="70" t="s">
        <v>8327</v>
      </c>
      <c r="D4007" s="96">
        <v>6647700</v>
      </c>
      <c r="E4007" s="76">
        <v>492275</v>
      </c>
      <c r="F4007" s="77" t="s">
        <v>10174</v>
      </c>
    </row>
    <row r="4008" spans="1:6">
      <c r="A4008" s="82">
        <v>5</v>
      </c>
      <c r="B4008" s="70" t="s">
        <v>2651</v>
      </c>
      <c r="C4008" s="70" t="s">
        <v>8328</v>
      </c>
      <c r="D4008" s="96">
        <v>3700800</v>
      </c>
      <c r="E4008" s="76">
        <v>274050</v>
      </c>
      <c r="F4008" s="77" t="s">
        <v>10174</v>
      </c>
    </row>
    <row r="4009" spans="1:6">
      <c r="A4009" s="82">
        <v>5</v>
      </c>
      <c r="B4009" s="70" t="s">
        <v>2650</v>
      </c>
      <c r="C4009" s="70" t="s">
        <v>8329</v>
      </c>
      <c r="D4009" s="96">
        <v>3084000</v>
      </c>
      <c r="E4009" s="76">
        <v>228375</v>
      </c>
      <c r="F4009" s="77" t="s">
        <v>10174</v>
      </c>
    </row>
    <row r="4010" spans="1:6">
      <c r="A4010" s="82">
        <v>5</v>
      </c>
      <c r="B4010" s="70" t="s">
        <v>3753</v>
      </c>
      <c r="C4010" s="70" t="s">
        <v>8330</v>
      </c>
      <c r="D4010" s="96">
        <v>6236500</v>
      </c>
      <c r="E4010" s="76">
        <v>461825</v>
      </c>
      <c r="F4010" s="77" t="s">
        <v>10174</v>
      </c>
    </row>
    <row r="4011" spans="1:6">
      <c r="A4011" s="82">
        <v>5</v>
      </c>
      <c r="B4011" s="70" t="s">
        <v>3752</v>
      </c>
      <c r="C4011" s="70" t="s">
        <v>8331</v>
      </c>
      <c r="D4011" s="96">
        <v>5208500</v>
      </c>
      <c r="E4011" s="76">
        <v>385700</v>
      </c>
      <c r="F4011" s="77" t="s">
        <v>10174</v>
      </c>
    </row>
    <row r="4012" spans="1:6">
      <c r="A4012" s="82">
        <v>5</v>
      </c>
      <c r="B4012" s="70" t="s">
        <v>2663</v>
      </c>
      <c r="C4012" s="70" t="s">
        <v>8332</v>
      </c>
      <c r="D4012" s="96">
        <v>6236500</v>
      </c>
      <c r="E4012" s="76">
        <v>461825</v>
      </c>
      <c r="F4012" s="77" t="s">
        <v>10174</v>
      </c>
    </row>
    <row r="4013" spans="1:6">
      <c r="A4013" s="82">
        <v>5</v>
      </c>
      <c r="B4013" s="70" t="s">
        <v>2662</v>
      </c>
      <c r="C4013" s="70" t="s">
        <v>8333</v>
      </c>
      <c r="D4013" s="96">
        <v>5208500</v>
      </c>
      <c r="E4013" s="76">
        <v>385700</v>
      </c>
      <c r="F4013" s="77" t="s">
        <v>10174</v>
      </c>
    </row>
    <row r="4014" spans="1:6">
      <c r="A4014" s="82">
        <v>5</v>
      </c>
      <c r="B4014" s="70" t="s">
        <v>3069</v>
      </c>
      <c r="C4014" s="70" t="s">
        <v>8334</v>
      </c>
      <c r="D4014" s="96">
        <v>5962400</v>
      </c>
      <c r="E4014" s="76">
        <v>441525</v>
      </c>
      <c r="F4014" s="77" t="s">
        <v>10174</v>
      </c>
    </row>
    <row r="4015" spans="1:6">
      <c r="A4015" s="82">
        <v>5</v>
      </c>
      <c r="B4015" s="70" t="s">
        <v>3070</v>
      </c>
      <c r="C4015" s="70" t="s">
        <v>8335</v>
      </c>
      <c r="D4015" s="96">
        <v>4934400</v>
      </c>
      <c r="E4015" s="76">
        <v>365399.99999999994</v>
      </c>
      <c r="F4015" s="77" t="s">
        <v>10174</v>
      </c>
    </row>
    <row r="4016" spans="1:6">
      <c r="A4016" s="82">
        <v>5</v>
      </c>
      <c r="B4016" s="70" t="s">
        <v>4909</v>
      </c>
      <c r="C4016" s="70" t="s">
        <v>8336</v>
      </c>
      <c r="D4016" s="96">
        <v>5825300</v>
      </c>
      <c r="E4016" s="76">
        <v>431375</v>
      </c>
      <c r="F4016" s="77" t="s">
        <v>10174</v>
      </c>
    </row>
    <row r="4017" spans="1:6">
      <c r="A4017" s="82">
        <v>5</v>
      </c>
      <c r="B4017" s="70" t="s">
        <v>4908</v>
      </c>
      <c r="C4017" s="70" t="s">
        <v>8337</v>
      </c>
      <c r="D4017" s="96">
        <v>6990400</v>
      </c>
      <c r="E4017" s="76">
        <v>517650</v>
      </c>
      <c r="F4017" s="77" t="s">
        <v>10174</v>
      </c>
    </row>
    <row r="4018" spans="1:6">
      <c r="A4018" s="82">
        <v>5</v>
      </c>
      <c r="B4018" s="70" t="s">
        <v>4868</v>
      </c>
      <c r="C4018" s="70" t="s">
        <v>8338</v>
      </c>
      <c r="D4018" s="96">
        <v>11993400</v>
      </c>
      <c r="E4018" s="76">
        <v>888125</v>
      </c>
      <c r="F4018" s="77" t="s">
        <v>10174</v>
      </c>
    </row>
    <row r="4019" spans="1:6">
      <c r="A4019" s="82">
        <v>5</v>
      </c>
      <c r="B4019" s="70" t="s">
        <v>4869</v>
      </c>
      <c r="C4019" s="70" t="s">
        <v>8339</v>
      </c>
      <c r="D4019" s="96">
        <v>10005900</v>
      </c>
      <c r="E4019" s="76">
        <v>740949.99999999988</v>
      </c>
      <c r="F4019" s="77" t="s">
        <v>10174</v>
      </c>
    </row>
    <row r="4020" spans="1:6">
      <c r="A4020" s="82">
        <v>5</v>
      </c>
      <c r="B4020" s="70" t="s">
        <v>4900</v>
      </c>
      <c r="C4020" s="70" t="s">
        <v>8340</v>
      </c>
      <c r="D4020" s="96">
        <v>13980800</v>
      </c>
      <c r="E4020" s="76">
        <v>1035300</v>
      </c>
      <c r="F4020" s="77" t="s">
        <v>10174</v>
      </c>
    </row>
    <row r="4021" spans="1:6">
      <c r="A4021" s="82">
        <v>5</v>
      </c>
      <c r="B4021" s="70" t="s">
        <v>4901</v>
      </c>
      <c r="C4021" s="70" t="s">
        <v>8341</v>
      </c>
      <c r="D4021" s="96">
        <v>11650700</v>
      </c>
      <c r="E4021" s="76">
        <v>862750</v>
      </c>
      <c r="F4021" s="77" t="s">
        <v>10174</v>
      </c>
    </row>
    <row r="4022" spans="1:6">
      <c r="A4022" s="82">
        <v>5</v>
      </c>
      <c r="B4022" s="70" t="s">
        <v>4884</v>
      </c>
      <c r="C4022" s="70" t="s">
        <v>8342</v>
      </c>
      <c r="D4022" s="96">
        <v>15968300</v>
      </c>
      <c r="E4022" s="76">
        <v>1182475</v>
      </c>
      <c r="F4022" s="77" t="s">
        <v>10174</v>
      </c>
    </row>
    <row r="4023" spans="1:6">
      <c r="A4023" s="82">
        <v>5</v>
      </c>
      <c r="B4023" s="70" t="s">
        <v>4885</v>
      </c>
      <c r="C4023" s="70" t="s">
        <v>8343</v>
      </c>
      <c r="D4023" s="96">
        <v>13364000</v>
      </c>
      <c r="E4023" s="76">
        <v>989625</v>
      </c>
      <c r="F4023" s="77" t="s">
        <v>10174</v>
      </c>
    </row>
    <row r="4024" spans="1:6">
      <c r="A4024" s="82">
        <v>5</v>
      </c>
      <c r="B4024" s="70" t="s">
        <v>5050</v>
      </c>
      <c r="C4024" s="70" t="s">
        <v>8344</v>
      </c>
      <c r="D4024" s="96">
        <v>11993400</v>
      </c>
      <c r="E4024" s="76">
        <v>888125</v>
      </c>
      <c r="F4024" s="77" t="s">
        <v>10174</v>
      </c>
    </row>
    <row r="4025" spans="1:6">
      <c r="A4025" s="82">
        <v>5</v>
      </c>
      <c r="B4025" s="70" t="s">
        <v>5051</v>
      </c>
      <c r="C4025" s="70" t="s">
        <v>8345</v>
      </c>
      <c r="D4025" s="96">
        <v>10005900</v>
      </c>
      <c r="E4025" s="76">
        <v>740949.99999999988</v>
      </c>
      <c r="F4025" s="77" t="s">
        <v>10174</v>
      </c>
    </row>
    <row r="4026" spans="1:6">
      <c r="A4026" s="82">
        <v>5</v>
      </c>
      <c r="B4026" s="70" t="s">
        <v>5066</v>
      </c>
      <c r="C4026" s="70" t="s">
        <v>8346</v>
      </c>
      <c r="D4026" s="96">
        <v>13021400</v>
      </c>
      <c r="E4026" s="76">
        <v>964250</v>
      </c>
      <c r="F4026" s="77" t="s">
        <v>10174</v>
      </c>
    </row>
    <row r="4027" spans="1:6">
      <c r="A4027" s="82">
        <v>5</v>
      </c>
      <c r="B4027" s="70" t="s">
        <v>5067</v>
      </c>
      <c r="C4027" s="70" t="s">
        <v>8347</v>
      </c>
      <c r="D4027" s="96">
        <v>10828300</v>
      </c>
      <c r="E4027" s="76">
        <v>801850</v>
      </c>
      <c r="F4027" s="77" t="s">
        <v>10174</v>
      </c>
    </row>
    <row r="4028" spans="1:6">
      <c r="A4028" s="82">
        <v>5</v>
      </c>
      <c r="B4028" s="70" t="s">
        <v>5058</v>
      </c>
      <c r="C4028" s="70" t="s">
        <v>8348</v>
      </c>
      <c r="D4028" s="96">
        <v>15968300</v>
      </c>
      <c r="E4028" s="76">
        <v>1182475</v>
      </c>
      <c r="F4028" s="77" t="s">
        <v>10174</v>
      </c>
    </row>
    <row r="4029" spans="1:6">
      <c r="A4029" s="82">
        <v>5</v>
      </c>
      <c r="B4029" s="70" t="s">
        <v>5059</v>
      </c>
      <c r="C4029" s="70" t="s">
        <v>8349</v>
      </c>
      <c r="D4029" s="96">
        <v>13364000</v>
      </c>
      <c r="E4029" s="76">
        <v>989625</v>
      </c>
      <c r="F4029" s="77" t="s">
        <v>10174</v>
      </c>
    </row>
    <row r="4030" spans="1:6">
      <c r="A4030" s="82">
        <v>5</v>
      </c>
      <c r="B4030" s="70" t="s">
        <v>5385</v>
      </c>
      <c r="C4030" s="70" t="s">
        <v>8350</v>
      </c>
      <c r="D4030" s="96">
        <v>13980800</v>
      </c>
      <c r="E4030" s="76">
        <v>1035300</v>
      </c>
      <c r="F4030" s="77" t="s">
        <v>10174</v>
      </c>
    </row>
    <row r="4031" spans="1:6">
      <c r="A4031" s="82">
        <v>5</v>
      </c>
      <c r="B4031" s="70" t="s">
        <v>5384</v>
      </c>
      <c r="C4031" s="70" t="s">
        <v>8351</v>
      </c>
      <c r="D4031" s="96">
        <v>11650700</v>
      </c>
      <c r="E4031" s="76">
        <v>862750</v>
      </c>
      <c r="F4031" s="77" t="s">
        <v>10174</v>
      </c>
    </row>
    <row r="4032" spans="1:6">
      <c r="A4032" s="82">
        <v>5</v>
      </c>
      <c r="B4032" s="70" t="s">
        <v>5912</v>
      </c>
      <c r="C4032" s="70" t="s">
        <v>8352</v>
      </c>
      <c r="D4032" s="96">
        <v>5140000</v>
      </c>
      <c r="E4032" s="76">
        <v>380625</v>
      </c>
      <c r="F4032" s="77" t="s">
        <v>10174</v>
      </c>
    </row>
    <row r="4033" spans="1:6">
      <c r="A4033" s="82">
        <v>5</v>
      </c>
      <c r="B4033" s="70" t="s">
        <v>5911</v>
      </c>
      <c r="C4033" s="70" t="s">
        <v>8353</v>
      </c>
      <c r="D4033" s="96">
        <v>6168000</v>
      </c>
      <c r="E4033" s="76">
        <v>456750</v>
      </c>
      <c r="F4033" s="77" t="s">
        <v>10174</v>
      </c>
    </row>
    <row r="4034" spans="1:6">
      <c r="A4034" s="82">
        <v>5</v>
      </c>
      <c r="B4034" s="70" t="s">
        <v>5922</v>
      </c>
      <c r="C4034" s="70" t="s">
        <v>8354</v>
      </c>
      <c r="D4034" s="96">
        <v>5825300</v>
      </c>
      <c r="E4034" s="76">
        <v>431375</v>
      </c>
      <c r="F4034" s="77" t="s">
        <v>10174</v>
      </c>
    </row>
    <row r="4035" spans="1:6">
      <c r="A4035" s="82">
        <v>5</v>
      </c>
      <c r="B4035" s="70" t="s">
        <v>5921</v>
      </c>
      <c r="C4035" s="70" t="s">
        <v>8355</v>
      </c>
      <c r="D4035" s="96">
        <v>6990400</v>
      </c>
      <c r="E4035" s="76">
        <v>517650</v>
      </c>
      <c r="F4035" s="77" t="s">
        <v>10174</v>
      </c>
    </row>
    <row r="4036" spans="1:6">
      <c r="A4036" s="82">
        <v>5</v>
      </c>
      <c r="B4036" s="70" t="s">
        <v>5917</v>
      </c>
      <c r="C4036" s="70" t="s">
        <v>8356</v>
      </c>
      <c r="D4036" s="96">
        <v>6305100</v>
      </c>
      <c r="E4036" s="76">
        <v>466900</v>
      </c>
      <c r="F4036" s="77" t="s">
        <v>10174</v>
      </c>
    </row>
    <row r="4037" spans="1:6">
      <c r="A4037" s="82">
        <v>5</v>
      </c>
      <c r="B4037" s="70" t="s">
        <v>5916</v>
      </c>
      <c r="C4037" s="70" t="s">
        <v>8357</v>
      </c>
      <c r="D4037" s="96">
        <v>7607200</v>
      </c>
      <c r="E4037" s="76">
        <v>563325</v>
      </c>
      <c r="F4037" s="77" t="s">
        <v>10174</v>
      </c>
    </row>
    <row r="4038" spans="1:6">
      <c r="A4038" s="82">
        <v>5</v>
      </c>
      <c r="B4038" s="70" t="s">
        <v>1959</v>
      </c>
      <c r="C4038" s="70" t="s">
        <v>8358</v>
      </c>
      <c r="D4038" s="96">
        <v>8018400</v>
      </c>
      <c r="E4038" s="76">
        <v>593775</v>
      </c>
      <c r="F4038" s="77" t="s">
        <v>10174</v>
      </c>
    </row>
    <row r="4039" spans="1:6">
      <c r="A4039" s="82">
        <v>5</v>
      </c>
      <c r="B4039" s="70" t="s">
        <v>1960</v>
      </c>
      <c r="C4039" s="70" t="s">
        <v>8359</v>
      </c>
      <c r="D4039" s="96">
        <v>6716300</v>
      </c>
      <c r="E4039" s="76">
        <v>497350</v>
      </c>
      <c r="F4039" s="77" t="s">
        <v>10174</v>
      </c>
    </row>
    <row r="4040" spans="1:6">
      <c r="A4040" s="82">
        <v>5</v>
      </c>
      <c r="B4040" s="70" t="s">
        <v>1967</v>
      </c>
      <c r="C4040" s="70" t="s">
        <v>8360</v>
      </c>
      <c r="D4040" s="96">
        <v>8635200</v>
      </c>
      <c r="E4040" s="76">
        <v>639450</v>
      </c>
      <c r="F4040" s="77" t="s">
        <v>10174</v>
      </c>
    </row>
    <row r="4041" spans="1:6">
      <c r="A4041" s="82">
        <v>5</v>
      </c>
      <c r="B4041" s="70" t="s">
        <v>1968</v>
      </c>
      <c r="C4041" s="70" t="s">
        <v>8361</v>
      </c>
      <c r="D4041" s="96">
        <v>7196000</v>
      </c>
      <c r="E4041" s="76">
        <v>532875</v>
      </c>
      <c r="F4041" s="77" t="s">
        <v>10174</v>
      </c>
    </row>
    <row r="4042" spans="1:6">
      <c r="A4042" s="82">
        <v>5</v>
      </c>
      <c r="B4042" s="70" t="s">
        <v>1712</v>
      </c>
      <c r="C4042" s="70" t="s">
        <v>8362</v>
      </c>
      <c r="D4042" s="96">
        <v>8018400</v>
      </c>
      <c r="E4042" s="76">
        <v>593775</v>
      </c>
      <c r="F4042" s="77" t="s">
        <v>10174</v>
      </c>
    </row>
    <row r="4043" spans="1:6">
      <c r="A4043" s="82">
        <v>5</v>
      </c>
      <c r="B4043" s="70" t="s">
        <v>1711</v>
      </c>
      <c r="C4043" s="70" t="s">
        <v>8363</v>
      </c>
      <c r="D4043" s="96">
        <v>6716300</v>
      </c>
      <c r="E4043" s="76">
        <v>497350</v>
      </c>
      <c r="F4043" s="77" t="s">
        <v>10174</v>
      </c>
    </row>
    <row r="4044" spans="1:6">
      <c r="A4044" s="82">
        <v>5</v>
      </c>
      <c r="B4044" s="70" t="s">
        <v>1724</v>
      </c>
      <c r="C4044" s="70" t="s">
        <v>8364</v>
      </c>
      <c r="D4044" s="96">
        <v>8635200</v>
      </c>
      <c r="E4044" s="76">
        <v>639450</v>
      </c>
      <c r="F4044" s="77" t="s">
        <v>10174</v>
      </c>
    </row>
    <row r="4045" spans="1:6">
      <c r="A4045" s="82">
        <v>5</v>
      </c>
      <c r="B4045" s="70" t="s">
        <v>1723</v>
      </c>
      <c r="C4045" s="70" t="s">
        <v>8365</v>
      </c>
      <c r="D4045" s="96">
        <v>7196000</v>
      </c>
      <c r="E4045" s="76">
        <v>532875</v>
      </c>
      <c r="F4045" s="77" t="s">
        <v>10174</v>
      </c>
    </row>
    <row r="4046" spans="1:6">
      <c r="A4046" s="82">
        <v>5</v>
      </c>
      <c r="B4046" s="70" t="s">
        <v>3050</v>
      </c>
      <c r="C4046" s="70" t="s">
        <v>8366</v>
      </c>
      <c r="D4046" s="96">
        <v>5345600</v>
      </c>
      <c r="E4046" s="76">
        <v>395850</v>
      </c>
      <c r="F4046" s="77" t="s">
        <v>10174</v>
      </c>
    </row>
    <row r="4047" spans="1:6">
      <c r="A4047" s="82">
        <v>5</v>
      </c>
      <c r="B4047" s="70" t="s">
        <v>3049</v>
      </c>
      <c r="C4047" s="70" t="s">
        <v>8367</v>
      </c>
      <c r="D4047" s="96">
        <v>4454700</v>
      </c>
      <c r="E4047" s="76">
        <v>329874.99999999994</v>
      </c>
      <c r="F4047" s="77" t="s">
        <v>10174</v>
      </c>
    </row>
    <row r="4048" spans="1:6">
      <c r="A4048" s="82">
        <v>5</v>
      </c>
      <c r="B4048" s="70" t="s">
        <v>2155</v>
      </c>
      <c r="C4048" s="70" t="s">
        <v>8368</v>
      </c>
      <c r="D4048" s="96">
        <v>16036800</v>
      </c>
      <c r="E4048" s="76">
        <v>1187550</v>
      </c>
      <c r="F4048" s="77" t="s">
        <v>10174</v>
      </c>
    </row>
    <row r="4049" spans="1:6">
      <c r="A4049" s="82">
        <v>5</v>
      </c>
      <c r="B4049" s="70" t="s">
        <v>2156</v>
      </c>
      <c r="C4049" s="70" t="s">
        <v>8369</v>
      </c>
      <c r="D4049" s="96">
        <v>13364000</v>
      </c>
      <c r="E4049" s="76">
        <v>989625</v>
      </c>
      <c r="F4049" s="77" t="s">
        <v>10174</v>
      </c>
    </row>
    <row r="4050" spans="1:6">
      <c r="A4050" s="82">
        <v>5</v>
      </c>
      <c r="B4050" s="70" t="s">
        <v>3765</v>
      </c>
      <c r="C4050" s="70" t="s">
        <v>8370</v>
      </c>
      <c r="D4050" s="96">
        <v>10074400</v>
      </c>
      <c r="E4050" s="76">
        <v>746025</v>
      </c>
      <c r="F4050" s="77" t="s">
        <v>10174</v>
      </c>
    </row>
    <row r="4051" spans="1:6">
      <c r="A4051" s="82">
        <v>5</v>
      </c>
      <c r="B4051" s="70" t="s">
        <v>3764</v>
      </c>
      <c r="C4051" s="70" t="s">
        <v>8371</v>
      </c>
      <c r="D4051" s="96">
        <v>8429600</v>
      </c>
      <c r="E4051" s="76">
        <v>624225</v>
      </c>
      <c r="F4051" s="77" t="s">
        <v>10174</v>
      </c>
    </row>
    <row r="4052" spans="1:6">
      <c r="A4052" s="82">
        <v>5</v>
      </c>
      <c r="B4052" s="70" t="s">
        <v>3777</v>
      </c>
      <c r="C4052" s="70" t="s">
        <v>8372</v>
      </c>
      <c r="D4052" s="96">
        <v>10074400</v>
      </c>
      <c r="E4052" s="76">
        <v>746025</v>
      </c>
      <c r="F4052" s="77" t="s">
        <v>10174</v>
      </c>
    </row>
    <row r="4053" spans="1:6">
      <c r="A4053" s="82">
        <v>5</v>
      </c>
      <c r="B4053" s="70" t="s">
        <v>3776</v>
      </c>
      <c r="C4053" s="70" t="s">
        <v>8373</v>
      </c>
      <c r="D4053" s="96">
        <v>8429600</v>
      </c>
      <c r="E4053" s="76">
        <v>624225</v>
      </c>
      <c r="F4053" s="77" t="s">
        <v>10174</v>
      </c>
    </row>
    <row r="4054" spans="1:6">
      <c r="A4054" s="82">
        <v>5</v>
      </c>
      <c r="B4054" s="70" t="s">
        <v>1975</v>
      </c>
      <c r="C4054" s="70" t="s">
        <v>8374</v>
      </c>
      <c r="D4054" s="96">
        <v>9663200</v>
      </c>
      <c r="E4054" s="76">
        <v>715574.99999999988</v>
      </c>
      <c r="F4054" s="77" t="s">
        <v>10174</v>
      </c>
    </row>
    <row r="4055" spans="1:6">
      <c r="A4055" s="82">
        <v>5</v>
      </c>
      <c r="B4055" s="70" t="s">
        <v>1976</v>
      </c>
      <c r="C4055" s="70" t="s">
        <v>8375</v>
      </c>
      <c r="D4055" s="96">
        <v>8018400</v>
      </c>
      <c r="E4055" s="76">
        <v>593775</v>
      </c>
      <c r="F4055" s="77" t="s">
        <v>10174</v>
      </c>
    </row>
    <row r="4056" spans="1:6">
      <c r="A4056" s="82">
        <v>5</v>
      </c>
      <c r="B4056" s="70" t="s">
        <v>1811</v>
      </c>
      <c r="C4056" s="70" t="s">
        <v>8376</v>
      </c>
      <c r="D4056" s="96">
        <v>10074400</v>
      </c>
      <c r="E4056" s="76">
        <v>746025</v>
      </c>
      <c r="F4056" s="77" t="s">
        <v>10174</v>
      </c>
    </row>
    <row r="4057" spans="1:6">
      <c r="A4057" s="82">
        <v>5</v>
      </c>
      <c r="B4057" s="70" t="s">
        <v>1810</v>
      </c>
      <c r="C4057" s="70" t="s">
        <v>8377</v>
      </c>
      <c r="D4057" s="96">
        <v>8429600</v>
      </c>
      <c r="E4057" s="76">
        <v>624225</v>
      </c>
      <c r="F4057" s="77" t="s">
        <v>10174</v>
      </c>
    </row>
    <row r="4058" spans="1:6">
      <c r="A4058" s="82">
        <v>5</v>
      </c>
      <c r="B4058" s="70" t="s">
        <v>3741</v>
      </c>
      <c r="C4058" s="70" t="s">
        <v>8378</v>
      </c>
      <c r="D4058" s="96">
        <v>6168000</v>
      </c>
      <c r="E4058" s="76">
        <v>456750</v>
      </c>
      <c r="F4058" s="77" t="s">
        <v>10174</v>
      </c>
    </row>
    <row r="4059" spans="1:6">
      <c r="A4059" s="82">
        <v>5</v>
      </c>
      <c r="B4059" s="70" t="s">
        <v>3740</v>
      </c>
      <c r="C4059" s="70" t="s">
        <v>8379</v>
      </c>
      <c r="D4059" s="96">
        <v>5140000</v>
      </c>
      <c r="E4059" s="76">
        <v>380625</v>
      </c>
      <c r="F4059" s="77" t="s">
        <v>10174</v>
      </c>
    </row>
    <row r="4060" spans="1:6">
      <c r="A4060" s="82">
        <v>5</v>
      </c>
      <c r="B4060" s="70" t="s">
        <v>3062</v>
      </c>
      <c r="C4060" s="70" t="s">
        <v>8380</v>
      </c>
      <c r="D4060" s="96">
        <v>6168000</v>
      </c>
      <c r="E4060" s="76">
        <v>456750</v>
      </c>
      <c r="F4060" s="77" t="s">
        <v>10174</v>
      </c>
    </row>
    <row r="4061" spans="1:6">
      <c r="A4061" s="82">
        <v>5</v>
      </c>
      <c r="B4061" s="70" t="s">
        <v>3061</v>
      </c>
      <c r="C4061" s="70" t="s">
        <v>8381</v>
      </c>
      <c r="D4061" s="96">
        <v>5140000</v>
      </c>
      <c r="E4061" s="76">
        <v>380625</v>
      </c>
      <c r="F4061" s="77" t="s">
        <v>10174</v>
      </c>
    </row>
    <row r="4062" spans="1:6">
      <c r="A4062" s="82">
        <v>5</v>
      </c>
      <c r="B4062" s="70" t="s">
        <v>2163</v>
      </c>
      <c r="C4062" s="70" t="s">
        <v>8382</v>
      </c>
      <c r="D4062" s="96">
        <v>25768600</v>
      </c>
      <c r="E4062" s="76">
        <v>1908200</v>
      </c>
      <c r="F4062" s="77" t="s">
        <v>10174</v>
      </c>
    </row>
    <row r="4063" spans="1:6">
      <c r="A4063" s="82">
        <v>5</v>
      </c>
      <c r="B4063" s="70" t="s">
        <v>2164</v>
      </c>
      <c r="C4063" s="70" t="s">
        <v>8383</v>
      </c>
      <c r="D4063" s="96">
        <v>21451000</v>
      </c>
      <c r="E4063" s="76">
        <v>1588475</v>
      </c>
      <c r="F4063" s="77" t="s">
        <v>10174</v>
      </c>
    </row>
    <row r="4064" spans="1:6">
      <c r="A4064" s="82">
        <v>5</v>
      </c>
      <c r="B4064" s="70" t="s">
        <v>5397</v>
      </c>
      <c r="C4064" s="70" t="s">
        <v>8384</v>
      </c>
      <c r="D4064" s="96">
        <v>10074400</v>
      </c>
      <c r="E4064" s="76">
        <v>746025</v>
      </c>
      <c r="F4064" s="77" t="s">
        <v>10174</v>
      </c>
    </row>
    <row r="4065" spans="1:6">
      <c r="A4065" s="82">
        <v>5</v>
      </c>
      <c r="B4065" s="70" t="s">
        <v>5396</v>
      </c>
      <c r="C4065" s="70" t="s">
        <v>8385</v>
      </c>
      <c r="D4065" s="96">
        <v>8429600</v>
      </c>
      <c r="E4065" s="76">
        <v>624225</v>
      </c>
      <c r="F4065" s="77" t="s">
        <v>10174</v>
      </c>
    </row>
    <row r="4066" spans="1:6">
      <c r="A4066" s="82">
        <v>5</v>
      </c>
      <c r="B4066" s="70" t="s">
        <v>2593</v>
      </c>
      <c r="C4066" s="70" t="s">
        <v>8386</v>
      </c>
      <c r="D4066" s="96">
        <v>10074400</v>
      </c>
      <c r="E4066" s="76">
        <v>746025</v>
      </c>
      <c r="F4066" s="77" t="s">
        <v>10174</v>
      </c>
    </row>
    <row r="4067" spans="1:6">
      <c r="A4067" s="82">
        <v>5</v>
      </c>
      <c r="B4067" s="70" t="s">
        <v>2592</v>
      </c>
      <c r="C4067" s="70" t="s">
        <v>8387</v>
      </c>
      <c r="D4067" s="96">
        <v>8429600</v>
      </c>
      <c r="E4067" s="76">
        <v>624225</v>
      </c>
      <c r="F4067" s="77" t="s">
        <v>10174</v>
      </c>
    </row>
    <row r="4068" spans="1:6">
      <c r="A4068" s="82">
        <v>5</v>
      </c>
      <c r="B4068" s="70" t="s">
        <v>2687</v>
      </c>
      <c r="C4068" s="70" t="s">
        <v>8388</v>
      </c>
      <c r="D4068" s="96">
        <v>10074400</v>
      </c>
      <c r="E4068" s="76">
        <v>746025</v>
      </c>
      <c r="F4068" s="77" t="s">
        <v>10174</v>
      </c>
    </row>
    <row r="4069" spans="1:6">
      <c r="A4069" s="82">
        <v>5</v>
      </c>
      <c r="B4069" s="70" t="s">
        <v>2686</v>
      </c>
      <c r="C4069" s="70" t="s">
        <v>8389</v>
      </c>
      <c r="D4069" s="96">
        <v>8429600</v>
      </c>
      <c r="E4069" s="76">
        <v>624225</v>
      </c>
      <c r="F4069" s="77" t="s">
        <v>10174</v>
      </c>
    </row>
    <row r="4070" spans="1:6">
      <c r="A4070" s="82">
        <v>5</v>
      </c>
      <c r="B4070" s="70" t="s">
        <v>4860</v>
      </c>
      <c r="C4070" s="70" t="s">
        <v>8390</v>
      </c>
      <c r="D4070" s="96">
        <v>10005900</v>
      </c>
      <c r="E4070" s="76">
        <v>740949.99999999988</v>
      </c>
      <c r="F4070" s="77" t="s">
        <v>10174</v>
      </c>
    </row>
    <row r="4071" spans="1:6">
      <c r="A4071" s="82">
        <v>5</v>
      </c>
      <c r="B4071" s="70" t="s">
        <v>4861</v>
      </c>
      <c r="C4071" s="70" t="s">
        <v>8391</v>
      </c>
      <c r="D4071" s="96">
        <v>8361100</v>
      </c>
      <c r="E4071" s="76">
        <v>619150</v>
      </c>
      <c r="F4071" s="77" t="s">
        <v>10174</v>
      </c>
    </row>
    <row r="4072" spans="1:6">
      <c r="A4072" s="82">
        <v>5</v>
      </c>
      <c r="B4072" s="70" t="s">
        <v>4892</v>
      </c>
      <c r="C4072" s="70" t="s">
        <v>8392</v>
      </c>
      <c r="D4072" s="96">
        <v>11993400</v>
      </c>
      <c r="E4072" s="76">
        <v>888125</v>
      </c>
      <c r="F4072" s="77" t="s">
        <v>10174</v>
      </c>
    </row>
    <row r="4073" spans="1:6">
      <c r="A4073" s="82">
        <v>5</v>
      </c>
      <c r="B4073" s="70" t="s">
        <v>4893</v>
      </c>
      <c r="C4073" s="70" t="s">
        <v>8393</v>
      </c>
      <c r="D4073" s="96">
        <v>10005900</v>
      </c>
      <c r="E4073" s="76">
        <v>740949.99999999988</v>
      </c>
      <c r="F4073" s="77" t="s">
        <v>10174</v>
      </c>
    </row>
    <row r="4074" spans="1:6">
      <c r="A4074" s="82">
        <v>5</v>
      </c>
      <c r="B4074" s="70" t="s">
        <v>4876</v>
      </c>
      <c r="C4074" s="70" t="s">
        <v>8394</v>
      </c>
      <c r="D4074" s="96">
        <v>13980800</v>
      </c>
      <c r="E4074" s="76">
        <v>1035300</v>
      </c>
      <c r="F4074" s="77" t="s">
        <v>10174</v>
      </c>
    </row>
    <row r="4075" spans="1:6">
      <c r="A4075" s="82">
        <v>5</v>
      </c>
      <c r="B4075" s="70" t="s">
        <v>4877</v>
      </c>
      <c r="C4075" s="70" t="s">
        <v>8395</v>
      </c>
      <c r="D4075" s="96">
        <v>11650700</v>
      </c>
      <c r="E4075" s="76">
        <v>862750</v>
      </c>
      <c r="F4075" s="77" t="s">
        <v>10174</v>
      </c>
    </row>
    <row r="4076" spans="1:6">
      <c r="A4076" s="82">
        <v>5</v>
      </c>
      <c r="B4076" s="70" t="s">
        <v>2004</v>
      </c>
      <c r="C4076" s="70" t="s">
        <v>8396</v>
      </c>
      <c r="D4076" s="96">
        <v>13295500</v>
      </c>
      <c r="E4076" s="76">
        <v>984550</v>
      </c>
      <c r="F4076" s="77" t="s">
        <v>10174</v>
      </c>
    </row>
    <row r="4077" spans="1:6">
      <c r="A4077" s="82">
        <v>5</v>
      </c>
      <c r="B4077" s="70" t="s">
        <v>2003</v>
      </c>
      <c r="C4077" s="70" t="s">
        <v>8397</v>
      </c>
      <c r="D4077" s="96">
        <v>11102400</v>
      </c>
      <c r="E4077" s="76">
        <v>822150</v>
      </c>
      <c r="F4077" s="77" t="s">
        <v>10174</v>
      </c>
    </row>
    <row r="4078" spans="1:6">
      <c r="A4078" s="82">
        <v>5</v>
      </c>
      <c r="B4078" s="70" t="s">
        <v>2016</v>
      </c>
      <c r="C4078" s="70" t="s">
        <v>8398</v>
      </c>
      <c r="D4078" s="96">
        <v>15283000</v>
      </c>
      <c r="E4078" s="76">
        <v>1131725</v>
      </c>
      <c r="F4078" s="77" t="s">
        <v>10174</v>
      </c>
    </row>
    <row r="4079" spans="1:6">
      <c r="A4079" s="82">
        <v>5</v>
      </c>
      <c r="B4079" s="70" t="s">
        <v>2015</v>
      </c>
      <c r="C4079" s="70" t="s">
        <v>8399</v>
      </c>
      <c r="D4079" s="96">
        <v>12747200</v>
      </c>
      <c r="E4079" s="76">
        <v>943950</v>
      </c>
      <c r="F4079" s="77" t="s">
        <v>10174</v>
      </c>
    </row>
    <row r="4080" spans="1:6">
      <c r="A4080" s="82">
        <v>5</v>
      </c>
      <c r="B4080" s="70" t="s">
        <v>1983</v>
      </c>
      <c r="C4080" s="70" t="s">
        <v>8400</v>
      </c>
      <c r="D4080" s="96">
        <v>17887200</v>
      </c>
      <c r="E4080" s="76">
        <v>1324574.9999999998</v>
      </c>
      <c r="F4080" s="77" t="s">
        <v>10174</v>
      </c>
    </row>
    <row r="4081" spans="1:6">
      <c r="A4081" s="82">
        <v>5</v>
      </c>
      <c r="B4081" s="70" t="s">
        <v>1984</v>
      </c>
      <c r="C4081" s="70" t="s">
        <v>8401</v>
      </c>
      <c r="D4081" s="96">
        <v>14940300</v>
      </c>
      <c r="E4081" s="76">
        <v>1106350</v>
      </c>
      <c r="F4081" s="77" t="s">
        <v>10174</v>
      </c>
    </row>
    <row r="4082" spans="1:6">
      <c r="A4082" s="82">
        <v>5</v>
      </c>
      <c r="B4082" s="70" t="s">
        <v>4422</v>
      </c>
      <c r="C4082" s="70" t="s">
        <v>8402</v>
      </c>
      <c r="D4082" s="96">
        <v>18024300</v>
      </c>
      <c r="E4082" s="76">
        <v>1334724.9999999998</v>
      </c>
      <c r="F4082" s="77" t="s">
        <v>10174</v>
      </c>
    </row>
    <row r="4083" spans="1:6">
      <c r="A4083" s="82">
        <v>5</v>
      </c>
      <c r="B4083" s="70" t="s">
        <v>4421</v>
      </c>
      <c r="C4083" s="70" t="s">
        <v>8403</v>
      </c>
      <c r="D4083" s="96">
        <v>15008800</v>
      </c>
      <c r="E4083" s="76">
        <v>1111425</v>
      </c>
      <c r="F4083" s="77" t="s">
        <v>10174</v>
      </c>
    </row>
    <row r="4084" spans="1:6">
      <c r="A4084" s="82">
        <v>5</v>
      </c>
      <c r="B4084" s="70" t="s">
        <v>4434</v>
      </c>
      <c r="C4084" s="70" t="s">
        <v>8404</v>
      </c>
      <c r="D4084" s="96">
        <v>20971300</v>
      </c>
      <c r="E4084" s="76">
        <v>1552950</v>
      </c>
      <c r="F4084" s="77" t="s">
        <v>10174</v>
      </c>
    </row>
    <row r="4085" spans="1:6">
      <c r="A4085" s="82">
        <v>5</v>
      </c>
      <c r="B4085" s="70" t="s">
        <v>4433</v>
      </c>
      <c r="C4085" s="70" t="s">
        <v>8405</v>
      </c>
      <c r="D4085" s="96">
        <v>17476000</v>
      </c>
      <c r="E4085" s="76">
        <v>1294125</v>
      </c>
      <c r="F4085" s="77" t="s">
        <v>10174</v>
      </c>
    </row>
    <row r="4086" spans="1:6">
      <c r="A4086" s="82">
        <v>5</v>
      </c>
      <c r="B4086" s="70" t="s">
        <v>4446</v>
      </c>
      <c r="C4086" s="70" t="s">
        <v>8406</v>
      </c>
      <c r="D4086" s="96">
        <v>23986700</v>
      </c>
      <c r="E4086" s="76">
        <v>1776250</v>
      </c>
      <c r="F4086" s="77" t="s">
        <v>10174</v>
      </c>
    </row>
    <row r="4087" spans="1:6">
      <c r="A4087" s="82">
        <v>5</v>
      </c>
      <c r="B4087" s="70" t="s">
        <v>4445</v>
      </c>
      <c r="C4087" s="70" t="s">
        <v>8407</v>
      </c>
      <c r="D4087" s="96">
        <v>20011800</v>
      </c>
      <c r="E4087" s="76">
        <v>1481899.9999999998</v>
      </c>
      <c r="F4087" s="77" t="s">
        <v>10174</v>
      </c>
    </row>
    <row r="4088" spans="1:6">
      <c r="A4088" s="82">
        <v>5</v>
      </c>
      <c r="B4088" s="70" t="s">
        <v>5954</v>
      </c>
      <c r="C4088" s="70" t="s">
        <v>8408</v>
      </c>
      <c r="D4088" s="96">
        <v>23986700</v>
      </c>
      <c r="E4088" s="76">
        <v>1776250</v>
      </c>
      <c r="F4088" s="77" t="s">
        <v>10174</v>
      </c>
    </row>
    <row r="4089" spans="1:6">
      <c r="A4089" s="82">
        <v>5</v>
      </c>
      <c r="B4089" s="70" t="s">
        <v>5953</v>
      </c>
      <c r="C4089" s="70" t="s">
        <v>8409</v>
      </c>
      <c r="D4089" s="96">
        <v>20011800</v>
      </c>
      <c r="E4089" s="76">
        <v>1481899.9999999998</v>
      </c>
      <c r="F4089" s="77" t="s">
        <v>10174</v>
      </c>
    </row>
    <row r="4090" spans="1:6">
      <c r="A4090" s="82">
        <v>5</v>
      </c>
      <c r="B4090" s="70" t="s">
        <v>3898</v>
      </c>
      <c r="C4090" s="70" t="s">
        <v>8410</v>
      </c>
      <c r="D4090" s="96">
        <v>21656600</v>
      </c>
      <c r="E4090" s="76">
        <v>1603700</v>
      </c>
      <c r="F4090" s="77" t="s">
        <v>10174</v>
      </c>
    </row>
    <row r="4091" spans="1:6">
      <c r="A4091" s="82">
        <v>5</v>
      </c>
      <c r="B4091" s="70" t="s">
        <v>3899</v>
      </c>
      <c r="C4091" s="70" t="s">
        <v>8411</v>
      </c>
      <c r="D4091" s="96">
        <v>25974200</v>
      </c>
      <c r="E4091" s="76">
        <v>1923425</v>
      </c>
      <c r="F4091" s="77" t="s">
        <v>10174</v>
      </c>
    </row>
    <row r="4092" spans="1:6">
      <c r="A4092" s="82">
        <v>5</v>
      </c>
      <c r="B4092" s="70" t="s">
        <v>3910</v>
      </c>
      <c r="C4092" s="70" t="s">
        <v>8412</v>
      </c>
      <c r="D4092" s="96">
        <v>25837100</v>
      </c>
      <c r="E4092" s="76">
        <v>1913275</v>
      </c>
      <c r="F4092" s="77" t="s">
        <v>10174</v>
      </c>
    </row>
    <row r="4093" spans="1:6">
      <c r="A4093" s="82">
        <v>5</v>
      </c>
      <c r="B4093" s="70" t="s">
        <v>3911</v>
      </c>
      <c r="C4093" s="70" t="s">
        <v>8413</v>
      </c>
      <c r="D4093" s="96">
        <v>30977100</v>
      </c>
      <c r="E4093" s="76">
        <v>2293900</v>
      </c>
      <c r="F4093" s="77" t="s">
        <v>10174</v>
      </c>
    </row>
    <row r="4094" spans="1:6">
      <c r="A4094" s="82">
        <v>5</v>
      </c>
      <c r="B4094" s="70" t="s">
        <v>3922</v>
      </c>
      <c r="C4094" s="70" t="s">
        <v>8414</v>
      </c>
      <c r="D4094" s="96">
        <v>29126700</v>
      </c>
      <c r="E4094" s="76">
        <v>2156875</v>
      </c>
      <c r="F4094" s="77" t="s">
        <v>10174</v>
      </c>
    </row>
    <row r="4095" spans="1:6">
      <c r="A4095" s="82">
        <v>5</v>
      </c>
      <c r="B4095" s="70" t="s">
        <v>3923</v>
      </c>
      <c r="C4095" s="70" t="s">
        <v>8415</v>
      </c>
      <c r="D4095" s="96">
        <v>34952100</v>
      </c>
      <c r="E4095" s="76">
        <v>2588250</v>
      </c>
      <c r="F4095" s="77" t="s">
        <v>10174</v>
      </c>
    </row>
    <row r="4096" spans="1:6">
      <c r="A4096" s="82">
        <v>5</v>
      </c>
      <c r="B4096" s="70" t="s">
        <v>1864</v>
      </c>
      <c r="C4096" s="70" t="s">
        <v>8416</v>
      </c>
      <c r="D4096" s="96">
        <v>13295500</v>
      </c>
      <c r="E4096" s="76">
        <v>984550</v>
      </c>
      <c r="F4096" s="77" t="s">
        <v>10174</v>
      </c>
    </row>
    <row r="4097" spans="1:6">
      <c r="A4097" s="82">
        <v>5</v>
      </c>
      <c r="B4097" s="70" t="s">
        <v>1863</v>
      </c>
      <c r="C4097" s="70" t="s">
        <v>8417</v>
      </c>
      <c r="D4097" s="96">
        <v>11102400</v>
      </c>
      <c r="E4097" s="76">
        <v>822150</v>
      </c>
      <c r="F4097" s="77" t="s">
        <v>10174</v>
      </c>
    </row>
    <row r="4098" spans="1:6">
      <c r="A4098" s="82">
        <v>5</v>
      </c>
      <c r="B4098" s="70" t="s">
        <v>1838</v>
      </c>
      <c r="C4098" s="70" t="s">
        <v>8418</v>
      </c>
      <c r="D4098" s="96">
        <v>15214400</v>
      </c>
      <c r="E4098" s="76">
        <v>1126650</v>
      </c>
      <c r="F4098" s="77" t="s">
        <v>10174</v>
      </c>
    </row>
    <row r="4099" spans="1:6">
      <c r="A4099" s="82">
        <v>5</v>
      </c>
      <c r="B4099" s="70" t="s">
        <v>1837</v>
      </c>
      <c r="C4099" s="70" t="s">
        <v>8419</v>
      </c>
      <c r="D4099" s="96">
        <v>12678700</v>
      </c>
      <c r="E4099" s="76">
        <v>938875</v>
      </c>
      <c r="F4099" s="77" t="s">
        <v>10174</v>
      </c>
    </row>
    <row r="4100" spans="1:6">
      <c r="A4100" s="82">
        <v>5</v>
      </c>
      <c r="B4100" s="70" t="s">
        <v>1876</v>
      </c>
      <c r="C4100" s="70" t="s">
        <v>8420</v>
      </c>
      <c r="D4100" s="96">
        <v>17887200</v>
      </c>
      <c r="E4100" s="76">
        <v>1324574.9999999998</v>
      </c>
      <c r="F4100" s="77" t="s">
        <v>10174</v>
      </c>
    </row>
    <row r="4101" spans="1:6">
      <c r="A4101" s="82">
        <v>5</v>
      </c>
      <c r="B4101" s="70" t="s">
        <v>1875</v>
      </c>
      <c r="C4101" s="70" t="s">
        <v>8421</v>
      </c>
      <c r="D4101" s="96">
        <v>14940300</v>
      </c>
      <c r="E4101" s="76">
        <v>1106350</v>
      </c>
      <c r="F4101" s="77" t="s">
        <v>10174</v>
      </c>
    </row>
    <row r="4102" spans="1:6">
      <c r="A4102" s="82">
        <v>5</v>
      </c>
      <c r="B4102" s="70" t="s">
        <v>678</v>
      </c>
      <c r="C4102" s="70" t="s">
        <v>8422</v>
      </c>
      <c r="D4102" s="96">
        <v>10855700</v>
      </c>
      <c r="E4102" s="76">
        <v>803880</v>
      </c>
      <c r="F4102" s="77" t="s">
        <v>10174</v>
      </c>
    </row>
    <row r="4103" spans="1:6">
      <c r="A4103" s="82">
        <v>5</v>
      </c>
      <c r="B4103" s="70" t="s">
        <v>677</v>
      </c>
      <c r="C4103" s="70" t="s">
        <v>8423</v>
      </c>
      <c r="D4103" s="96">
        <v>8182900</v>
      </c>
      <c r="E4103" s="76">
        <v>605955</v>
      </c>
      <c r="F4103" s="77" t="s">
        <v>10174</v>
      </c>
    </row>
    <row r="4104" spans="1:6">
      <c r="A4104" s="82">
        <v>5</v>
      </c>
      <c r="B4104" s="70" t="s">
        <v>849</v>
      </c>
      <c r="C4104" s="70" t="s">
        <v>8424</v>
      </c>
      <c r="D4104" s="96">
        <v>5784200</v>
      </c>
      <c r="E4104" s="76">
        <v>428329.99999999994</v>
      </c>
      <c r="F4104" s="77" t="s">
        <v>10174</v>
      </c>
    </row>
    <row r="4105" spans="1:6">
      <c r="A4105" s="82">
        <v>5</v>
      </c>
      <c r="B4105" s="70" t="s">
        <v>848</v>
      </c>
      <c r="C4105" s="70" t="s">
        <v>8425</v>
      </c>
      <c r="D4105" s="96">
        <v>4345000</v>
      </c>
      <c r="E4105" s="76">
        <v>321754.99999999994</v>
      </c>
      <c r="F4105" s="77" t="s">
        <v>10174</v>
      </c>
    </row>
    <row r="4106" spans="1:6">
      <c r="A4106" s="82">
        <v>5</v>
      </c>
      <c r="B4106" s="70" t="s">
        <v>1113</v>
      </c>
      <c r="C4106" s="70" t="s">
        <v>8426</v>
      </c>
      <c r="D4106" s="96">
        <v>12294900</v>
      </c>
      <c r="E4106" s="76">
        <v>910455</v>
      </c>
      <c r="F4106" s="77" t="s">
        <v>10174</v>
      </c>
    </row>
    <row r="4107" spans="1:6">
      <c r="A4107" s="82">
        <v>5</v>
      </c>
      <c r="B4107" s="70" t="s">
        <v>1112</v>
      </c>
      <c r="C4107" s="70" t="s">
        <v>8427</v>
      </c>
      <c r="D4107" s="96">
        <v>9402800</v>
      </c>
      <c r="E4107" s="76">
        <v>696290</v>
      </c>
      <c r="F4107" s="77" t="s">
        <v>10174</v>
      </c>
    </row>
    <row r="4108" spans="1:6">
      <c r="A4108" s="82">
        <v>5</v>
      </c>
      <c r="B4108" s="70" t="s">
        <v>837</v>
      </c>
      <c r="C4108" s="70" t="s">
        <v>8428</v>
      </c>
      <c r="D4108" s="96">
        <v>6510700</v>
      </c>
      <c r="E4108" s="76">
        <v>482125</v>
      </c>
      <c r="F4108" s="77" t="s">
        <v>10174</v>
      </c>
    </row>
    <row r="4109" spans="1:6">
      <c r="A4109" s="82">
        <v>5</v>
      </c>
      <c r="B4109" s="70" t="s">
        <v>836</v>
      </c>
      <c r="C4109" s="70" t="s">
        <v>8429</v>
      </c>
      <c r="D4109" s="96">
        <v>4920700</v>
      </c>
      <c r="E4109" s="76">
        <v>364385</v>
      </c>
      <c r="F4109" s="77" t="s">
        <v>10174</v>
      </c>
    </row>
    <row r="4110" spans="1:6">
      <c r="A4110" s="82">
        <v>5</v>
      </c>
      <c r="B4110" s="70" t="s">
        <v>815</v>
      </c>
      <c r="C4110" s="70" t="s">
        <v>8430</v>
      </c>
      <c r="D4110" s="96">
        <v>14460600</v>
      </c>
      <c r="E4110" s="76">
        <v>1070825</v>
      </c>
      <c r="F4110" s="77" t="s">
        <v>10174</v>
      </c>
    </row>
    <row r="4111" spans="1:6">
      <c r="A4111" s="82">
        <v>5</v>
      </c>
      <c r="B4111" s="70" t="s">
        <v>814</v>
      </c>
      <c r="C4111" s="70" t="s">
        <v>8431</v>
      </c>
      <c r="D4111" s="96">
        <v>10855700</v>
      </c>
      <c r="E4111" s="76">
        <v>803880</v>
      </c>
      <c r="F4111" s="77" t="s">
        <v>10174</v>
      </c>
    </row>
    <row r="4112" spans="1:6">
      <c r="A4112" s="82">
        <v>5</v>
      </c>
      <c r="B4112" s="70" t="s">
        <v>1059</v>
      </c>
      <c r="C4112" s="70" t="s">
        <v>8432</v>
      </c>
      <c r="D4112" s="96">
        <v>7237100</v>
      </c>
      <c r="E4112" s="76">
        <v>535920</v>
      </c>
      <c r="F4112" s="77" t="s">
        <v>10174</v>
      </c>
    </row>
    <row r="4113" spans="1:6">
      <c r="A4113" s="82">
        <v>5</v>
      </c>
      <c r="B4113" s="70" t="s">
        <v>1058</v>
      </c>
      <c r="C4113" s="70" t="s">
        <v>8433</v>
      </c>
      <c r="D4113" s="96">
        <v>5427900</v>
      </c>
      <c r="E4113" s="76">
        <v>401940</v>
      </c>
      <c r="F4113" s="77" t="s">
        <v>10174</v>
      </c>
    </row>
    <row r="4114" spans="1:6">
      <c r="A4114" s="82">
        <v>5</v>
      </c>
      <c r="B4114" s="70" t="s">
        <v>349</v>
      </c>
      <c r="C4114" s="70" t="s">
        <v>8434</v>
      </c>
      <c r="D4114" s="96">
        <v>10855700</v>
      </c>
      <c r="E4114" s="76">
        <v>803880</v>
      </c>
      <c r="F4114" s="77" t="s">
        <v>10174</v>
      </c>
    </row>
    <row r="4115" spans="1:6">
      <c r="A4115" s="82">
        <v>5</v>
      </c>
      <c r="B4115" s="70" t="s">
        <v>348</v>
      </c>
      <c r="C4115" s="70" t="s">
        <v>8435</v>
      </c>
      <c r="D4115" s="96">
        <v>8182900</v>
      </c>
      <c r="E4115" s="76">
        <v>605955</v>
      </c>
      <c r="F4115" s="77" t="s">
        <v>10174</v>
      </c>
    </row>
    <row r="4116" spans="1:6">
      <c r="A4116" s="82">
        <v>5</v>
      </c>
      <c r="B4116" s="70" t="s">
        <v>339</v>
      </c>
      <c r="C4116" s="70" t="s">
        <v>8436</v>
      </c>
      <c r="D4116" s="96">
        <v>2892100</v>
      </c>
      <c r="E4116" s="76">
        <v>214164.99999999997</v>
      </c>
      <c r="F4116" s="77" t="s">
        <v>10174</v>
      </c>
    </row>
    <row r="4117" spans="1:6">
      <c r="A4117" s="82">
        <v>5</v>
      </c>
      <c r="B4117" s="70" t="s">
        <v>338</v>
      </c>
      <c r="C4117" s="70" t="s">
        <v>8437</v>
      </c>
      <c r="D4117" s="96">
        <v>2165700</v>
      </c>
      <c r="E4117" s="76">
        <v>160370</v>
      </c>
      <c r="F4117" s="77" t="s">
        <v>10174</v>
      </c>
    </row>
    <row r="4118" spans="1:6">
      <c r="A4118" s="82">
        <v>5</v>
      </c>
      <c r="B4118" s="70" t="s">
        <v>451</v>
      </c>
      <c r="C4118" s="70" t="s">
        <v>8438</v>
      </c>
      <c r="D4118" s="96">
        <v>3248500</v>
      </c>
      <c r="E4118" s="76">
        <v>240554.99999999997</v>
      </c>
      <c r="F4118" s="77" t="s">
        <v>10174</v>
      </c>
    </row>
    <row r="4119" spans="1:6">
      <c r="A4119" s="82">
        <v>5</v>
      </c>
      <c r="B4119" s="70" t="s">
        <v>450</v>
      </c>
      <c r="C4119" s="70" t="s">
        <v>8439</v>
      </c>
      <c r="D4119" s="96">
        <v>2453500</v>
      </c>
      <c r="E4119" s="76">
        <v>181685</v>
      </c>
      <c r="F4119" s="77" t="s">
        <v>10174</v>
      </c>
    </row>
    <row r="4120" spans="1:6">
      <c r="A4120" s="82">
        <v>5</v>
      </c>
      <c r="B4120" s="70" t="s">
        <v>1115</v>
      </c>
      <c r="C4120" s="70" t="s">
        <v>8440</v>
      </c>
      <c r="D4120" s="96">
        <v>3467800</v>
      </c>
      <c r="E4120" s="76">
        <v>256795</v>
      </c>
      <c r="F4120" s="77" t="s">
        <v>10174</v>
      </c>
    </row>
    <row r="4121" spans="1:6">
      <c r="A4121" s="82">
        <v>5</v>
      </c>
      <c r="B4121" s="70" t="s">
        <v>1114</v>
      </c>
      <c r="C4121" s="70" t="s">
        <v>8441</v>
      </c>
      <c r="D4121" s="96">
        <v>2604300</v>
      </c>
      <c r="E4121" s="76">
        <v>192850</v>
      </c>
      <c r="F4121" s="77" t="s">
        <v>10174</v>
      </c>
    </row>
    <row r="4122" spans="1:6">
      <c r="A4122" s="82">
        <v>5</v>
      </c>
      <c r="B4122" s="70" t="s">
        <v>1117</v>
      </c>
      <c r="C4122" s="70" t="s">
        <v>8442</v>
      </c>
      <c r="D4122" s="96">
        <v>3837900</v>
      </c>
      <c r="E4122" s="76">
        <v>284200</v>
      </c>
      <c r="F4122" s="77" t="s">
        <v>10174</v>
      </c>
    </row>
    <row r="4123" spans="1:6">
      <c r="A4123" s="82">
        <v>5</v>
      </c>
      <c r="B4123" s="70" t="s">
        <v>1116</v>
      </c>
      <c r="C4123" s="70" t="s">
        <v>8443</v>
      </c>
      <c r="D4123" s="96">
        <v>2892100</v>
      </c>
      <c r="E4123" s="76">
        <v>214164.99999999997</v>
      </c>
      <c r="F4123" s="77" t="s">
        <v>10174</v>
      </c>
    </row>
    <row r="4124" spans="1:6">
      <c r="A4124" s="82">
        <v>5</v>
      </c>
      <c r="B4124" s="70" t="s">
        <v>503</v>
      </c>
      <c r="C4124" s="70" t="s">
        <v>8444</v>
      </c>
      <c r="D4124" s="96">
        <v>8320000</v>
      </c>
      <c r="E4124" s="76">
        <v>616105</v>
      </c>
      <c r="F4124" s="77" t="s">
        <v>10174</v>
      </c>
    </row>
    <row r="4125" spans="1:6">
      <c r="A4125" s="82">
        <v>5</v>
      </c>
      <c r="B4125" s="70" t="s">
        <v>502</v>
      </c>
      <c r="C4125" s="70" t="s">
        <v>8445</v>
      </c>
      <c r="D4125" s="96">
        <v>6510700</v>
      </c>
      <c r="E4125" s="76">
        <v>482125</v>
      </c>
      <c r="F4125" s="77" t="s">
        <v>10174</v>
      </c>
    </row>
    <row r="4126" spans="1:6">
      <c r="A4126" s="82">
        <v>5</v>
      </c>
      <c r="B4126" s="70" t="s">
        <v>610</v>
      </c>
      <c r="C4126" s="70" t="s">
        <v>8446</v>
      </c>
      <c r="D4126" s="96">
        <v>8676300</v>
      </c>
      <c r="E4126" s="76">
        <v>642495</v>
      </c>
      <c r="F4126" s="77" t="s">
        <v>10174</v>
      </c>
    </row>
    <row r="4127" spans="1:6">
      <c r="A4127" s="82">
        <v>5</v>
      </c>
      <c r="B4127" s="70" t="s">
        <v>611</v>
      </c>
      <c r="C4127" s="70" t="s">
        <v>8447</v>
      </c>
      <c r="D4127" s="96">
        <v>6510700</v>
      </c>
      <c r="E4127" s="76">
        <v>482125</v>
      </c>
      <c r="F4127" s="77" t="s">
        <v>10174</v>
      </c>
    </row>
    <row r="4128" spans="1:6">
      <c r="A4128" s="82">
        <v>5</v>
      </c>
      <c r="B4128" s="70" t="s">
        <v>630</v>
      </c>
      <c r="C4128" s="70" t="s">
        <v>8448</v>
      </c>
      <c r="D4128" s="96">
        <v>3111400</v>
      </c>
      <c r="E4128" s="76">
        <v>230404.99999999997</v>
      </c>
      <c r="F4128" s="77" t="s">
        <v>10174</v>
      </c>
    </row>
    <row r="4129" spans="1:6">
      <c r="A4129" s="82">
        <v>5</v>
      </c>
      <c r="B4129" s="70" t="s">
        <v>629</v>
      </c>
      <c r="C4129" s="70" t="s">
        <v>8449</v>
      </c>
      <c r="D4129" s="96">
        <v>2385000</v>
      </c>
      <c r="E4129" s="76">
        <v>176610</v>
      </c>
      <c r="F4129" s="77" t="s">
        <v>10174</v>
      </c>
    </row>
    <row r="4130" spans="1:6">
      <c r="A4130" s="82">
        <v>5</v>
      </c>
      <c r="B4130" s="70" t="s">
        <v>642</v>
      </c>
      <c r="C4130" s="70" t="s">
        <v>8450</v>
      </c>
      <c r="D4130" s="96">
        <v>3536300</v>
      </c>
      <c r="E4130" s="76">
        <v>261870</v>
      </c>
      <c r="F4130" s="77" t="s">
        <v>10174</v>
      </c>
    </row>
    <row r="4131" spans="1:6">
      <c r="A4131" s="82">
        <v>5</v>
      </c>
      <c r="B4131" s="70" t="s">
        <v>641</v>
      </c>
      <c r="C4131" s="70" t="s">
        <v>8451</v>
      </c>
      <c r="D4131" s="96">
        <v>2672800</v>
      </c>
      <c r="E4131" s="76">
        <v>197925</v>
      </c>
      <c r="F4131" s="77" t="s">
        <v>10174</v>
      </c>
    </row>
    <row r="4132" spans="1:6">
      <c r="A4132" s="82">
        <v>5</v>
      </c>
      <c r="B4132" s="70" t="s">
        <v>654</v>
      </c>
      <c r="C4132" s="70" t="s">
        <v>8452</v>
      </c>
      <c r="D4132" s="96">
        <v>3467800</v>
      </c>
      <c r="E4132" s="76">
        <v>256795</v>
      </c>
      <c r="F4132" s="77" t="s">
        <v>10174</v>
      </c>
    </row>
    <row r="4133" spans="1:6">
      <c r="A4133" s="82">
        <v>5</v>
      </c>
      <c r="B4133" s="70" t="s">
        <v>653</v>
      </c>
      <c r="C4133" s="70" t="s">
        <v>8453</v>
      </c>
      <c r="D4133" s="96">
        <v>2453500</v>
      </c>
      <c r="E4133" s="76">
        <v>181685</v>
      </c>
      <c r="F4133" s="77" t="s">
        <v>10174</v>
      </c>
    </row>
    <row r="4134" spans="1:6">
      <c r="A4134" s="82">
        <v>5</v>
      </c>
      <c r="B4134" s="70" t="s">
        <v>666</v>
      </c>
      <c r="C4134" s="70" t="s">
        <v>8454</v>
      </c>
      <c r="D4134" s="96">
        <v>3837900</v>
      </c>
      <c r="E4134" s="76">
        <v>284200</v>
      </c>
      <c r="F4134" s="77" t="s">
        <v>10174</v>
      </c>
    </row>
    <row r="4135" spans="1:6">
      <c r="A4135" s="82">
        <v>5</v>
      </c>
      <c r="B4135" s="70" t="s">
        <v>665</v>
      </c>
      <c r="C4135" s="70" t="s">
        <v>8455</v>
      </c>
      <c r="D4135" s="96">
        <v>2892100</v>
      </c>
      <c r="E4135" s="76">
        <v>214164.99999999997</v>
      </c>
      <c r="F4135" s="77" t="s">
        <v>10174</v>
      </c>
    </row>
    <row r="4136" spans="1:6">
      <c r="A4136" s="82">
        <v>5</v>
      </c>
      <c r="B4136" s="70" t="s">
        <v>894</v>
      </c>
      <c r="C4136" s="70" t="s">
        <v>8456</v>
      </c>
      <c r="D4136" s="96">
        <v>3618600</v>
      </c>
      <c r="E4136" s="76">
        <v>267960</v>
      </c>
      <c r="F4136" s="77" t="s">
        <v>10174</v>
      </c>
    </row>
    <row r="4137" spans="1:6">
      <c r="A4137" s="82">
        <v>5</v>
      </c>
      <c r="B4137" s="70" t="s">
        <v>893</v>
      </c>
      <c r="C4137" s="70" t="s">
        <v>8457</v>
      </c>
      <c r="D4137" s="96">
        <v>2741300</v>
      </c>
      <c r="E4137" s="76">
        <v>203000</v>
      </c>
      <c r="F4137" s="77" t="s">
        <v>10174</v>
      </c>
    </row>
    <row r="4138" spans="1:6">
      <c r="A4138" s="82">
        <v>5</v>
      </c>
      <c r="B4138" s="70" t="s">
        <v>315</v>
      </c>
      <c r="C4138" s="70" t="s">
        <v>8458</v>
      </c>
      <c r="D4138" s="96">
        <v>2028600</v>
      </c>
      <c r="E4138" s="76">
        <v>150220</v>
      </c>
      <c r="F4138" s="77" t="s">
        <v>10174</v>
      </c>
    </row>
    <row r="4139" spans="1:6">
      <c r="A4139" s="82">
        <v>5</v>
      </c>
      <c r="B4139" s="70" t="s">
        <v>314</v>
      </c>
      <c r="C4139" s="70" t="s">
        <v>8459</v>
      </c>
      <c r="D4139" s="96">
        <v>1521400</v>
      </c>
      <c r="E4139" s="76">
        <v>112664.99999999999</v>
      </c>
      <c r="F4139" s="77" t="s">
        <v>10174</v>
      </c>
    </row>
    <row r="4140" spans="1:6">
      <c r="A4140" s="82">
        <v>5</v>
      </c>
      <c r="B4140" s="70" t="s">
        <v>435</v>
      </c>
      <c r="C4140" s="70" t="s">
        <v>8460</v>
      </c>
      <c r="D4140" s="96">
        <v>2385000</v>
      </c>
      <c r="E4140" s="76">
        <v>176610</v>
      </c>
      <c r="F4140" s="77" t="s">
        <v>10174</v>
      </c>
    </row>
    <row r="4141" spans="1:6">
      <c r="A4141" s="82">
        <v>5</v>
      </c>
      <c r="B4141" s="70" t="s">
        <v>434</v>
      </c>
      <c r="C4141" s="70" t="s">
        <v>8461</v>
      </c>
      <c r="D4141" s="96">
        <v>1809300</v>
      </c>
      <c r="E4141" s="76">
        <v>133980</v>
      </c>
      <c r="F4141" s="77" t="s">
        <v>10174</v>
      </c>
    </row>
    <row r="4142" spans="1:6">
      <c r="A4142" s="82">
        <v>5</v>
      </c>
      <c r="B4142" s="70" t="s">
        <v>1119</v>
      </c>
      <c r="C4142" s="70" t="s">
        <v>8462</v>
      </c>
      <c r="D4142" s="96">
        <v>2453500</v>
      </c>
      <c r="E4142" s="76">
        <v>181685</v>
      </c>
      <c r="F4142" s="77" t="s">
        <v>10174</v>
      </c>
    </row>
    <row r="4143" spans="1:6">
      <c r="A4143" s="82">
        <v>5</v>
      </c>
      <c r="B4143" s="70" t="s">
        <v>1118</v>
      </c>
      <c r="C4143" s="70" t="s">
        <v>8463</v>
      </c>
      <c r="D4143" s="96">
        <v>1877800</v>
      </c>
      <c r="E4143" s="76">
        <v>139055</v>
      </c>
      <c r="F4143" s="77" t="s">
        <v>10174</v>
      </c>
    </row>
    <row r="4144" spans="1:6">
      <c r="A4144" s="82">
        <v>5</v>
      </c>
      <c r="B4144" s="70" t="s">
        <v>1121</v>
      </c>
      <c r="C4144" s="70" t="s">
        <v>8464</v>
      </c>
      <c r="D4144" s="96">
        <v>2823600</v>
      </c>
      <c r="E4144" s="76">
        <v>209089.99999999997</v>
      </c>
      <c r="F4144" s="77" t="s">
        <v>10174</v>
      </c>
    </row>
    <row r="4145" spans="1:6">
      <c r="A4145" s="82">
        <v>5</v>
      </c>
      <c r="B4145" s="70" t="s">
        <v>1120</v>
      </c>
      <c r="C4145" s="70" t="s">
        <v>8465</v>
      </c>
      <c r="D4145" s="96">
        <v>2165700</v>
      </c>
      <c r="E4145" s="76">
        <v>160370</v>
      </c>
      <c r="F4145" s="77" t="s">
        <v>10174</v>
      </c>
    </row>
    <row r="4146" spans="1:6">
      <c r="A4146" s="82">
        <v>5</v>
      </c>
      <c r="B4146" s="70" t="s">
        <v>825</v>
      </c>
      <c r="C4146" s="70" t="s">
        <v>8466</v>
      </c>
      <c r="D4146" s="96">
        <v>2741300</v>
      </c>
      <c r="E4146" s="76">
        <v>203000</v>
      </c>
      <c r="F4146" s="77" t="s">
        <v>10174</v>
      </c>
    </row>
    <row r="4147" spans="1:6">
      <c r="A4147" s="82">
        <v>5</v>
      </c>
      <c r="B4147" s="70" t="s">
        <v>824</v>
      </c>
      <c r="C4147" s="70" t="s">
        <v>8467</v>
      </c>
      <c r="D4147" s="96">
        <v>2097100</v>
      </c>
      <c r="E4147" s="76">
        <v>155295</v>
      </c>
      <c r="F4147" s="77" t="s">
        <v>10174</v>
      </c>
    </row>
    <row r="4148" spans="1:6">
      <c r="A4148" s="82">
        <v>5</v>
      </c>
      <c r="B4148" s="70" t="s">
        <v>1010</v>
      </c>
      <c r="C4148" s="70" t="s">
        <v>8468</v>
      </c>
      <c r="D4148" s="96">
        <v>2892100</v>
      </c>
      <c r="E4148" s="76">
        <v>214164.99999999997</v>
      </c>
      <c r="F4148" s="77" t="s">
        <v>10174</v>
      </c>
    </row>
    <row r="4149" spans="1:6">
      <c r="A4149" s="82">
        <v>5</v>
      </c>
      <c r="B4149" s="70" t="s">
        <v>1009</v>
      </c>
      <c r="C4149" s="70" t="s">
        <v>8469</v>
      </c>
      <c r="D4149" s="96">
        <v>2165700</v>
      </c>
      <c r="E4149" s="76">
        <v>160370</v>
      </c>
      <c r="F4149" s="77" t="s">
        <v>10174</v>
      </c>
    </row>
    <row r="4150" spans="1:6">
      <c r="A4150" s="82">
        <v>5</v>
      </c>
      <c r="B4150" s="70" t="s">
        <v>327</v>
      </c>
      <c r="C4150" s="70" t="s">
        <v>8470</v>
      </c>
      <c r="D4150" s="96">
        <v>2165700</v>
      </c>
      <c r="E4150" s="76">
        <v>160370</v>
      </c>
      <c r="F4150" s="77" t="s">
        <v>10174</v>
      </c>
    </row>
    <row r="4151" spans="1:6">
      <c r="A4151" s="82">
        <v>5</v>
      </c>
      <c r="B4151" s="70" t="s">
        <v>326</v>
      </c>
      <c r="C4151" s="70" t="s">
        <v>8471</v>
      </c>
      <c r="D4151" s="96">
        <v>1658500</v>
      </c>
      <c r="E4151" s="76">
        <v>122814.99999999999</v>
      </c>
      <c r="F4151" s="77" t="s">
        <v>10174</v>
      </c>
    </row>
    <row r="4152" spans="1:6">
      <c r="A4152" s="82">
        <v>5</v>
      </c>
      <c r="B4152" s="70" t="s">
        <v>443</v>
      </c>
      <c r="C4152" s="70" t="s">
        <v>8472</v>
      </c>
      <c r="D4152" s="96">
        <v>2535700</v>
      </c>
      <c r="E4152" s="76">
        <v>187775</v>
      </c>
      <c r="F4152" s="77" t="s">
        <v>10174</v>
      </c>
    </row>
    <row r="4153" spans="1:6">
      <c r="A4153" s="82">
        <v>5</v>
      </c>
      <c r="B4153" s="70" t="s">
        <v>442</v>
      </c>
      <c r="C4153" s="70" t="s">
        <v>8473</v>
      </c>
      <c r="D4153" s="96">
        <v>1946400</v>
      </c>
      <c r="E4153" s="76">
        <v>144130</v>
      </c>
      <c r="F4153" s="77" t="s">
        <v>10174</v>
      </c>
    </row>
    <row r="4154" spans="1:6">
      <c r="A4154" s="82">
        <v>5</v>
      </c>
      <c r="B4154" s="70" t="s">
        <v>1123</v>
      </c>
      <c r="C4154" s="70" t="s">
        <v>8474</v>
      </c>
      <c r="D4154" s="96">
        <v>2604300</v>
      </c>
      <c r="E4154" s="76">
        <v>192850</v>
      </c>
      <c r="F4154" s="77" t="s">
        <v>10174</v>
      </c>
    </row>
    <row r="4155" spans="1:6">
      <c r="A4155" s="82">
        <v>5</v>
      </c>
      <c r="B4155" s="70" t="s">
        <v>1122</v>
      </c>
      <c r="C4155" s="70" t="s">
        <v>8475</v>
      </c>
      <c r="D4155" s="96">
        <v>1946400</v>
      </c>
      <c r="E4155" s="76">
        <v>144130</v>
      </c>
      <c r="F4155" s="77" t="s">
        <v>10174</v>
      </c>
    </row>
    <row r="4156" spans="1:6">
      <c r="A4156" s="82">
        <v>5</v>
      </c>
      <c r="B4156" s="70" t="s">
        <v>1125</v>
      </c>
      <c r="C4156" s="70" t="s">
        <v>8476</v>
      </c>
      <c r="D4156" s="96">
        <v>2960600</v>
      </c>
      <c r="E4156" s="76">
        <v>219239.99999999997</v>
      </c>
      <c r="F4156" s="77" t="s">
        <v>10174</v>
      </c>
    </row>
    <row r="4157" spans="1:6">
      <c r="A4157" s="82">
        <v>5</v>
      </c>
      <c r="B4157" s="70" t="s">
        <v>1124</v>
      </c>
      <c r="C4157" s="70" t="s">
        <v>8477</v>
      </c>
      <c r="D4157" s="96">
        <v>2247900</v>
      </c>
      <c r="E4157" s="76">
        <v>166460</v>
      </c>
      <c r="F4157" s="77" t="s">
        <v>10174</v>
      </c>
    </row>
    <row r="4158" spans="1:6">
      <c r="A4158" s="82">
        <v>5</v>
      </c>
      <c r="B4158" s="70" t="s">
        <v>877</v>
      </c>
      <c r="C4158" s="70" t="s">
        <v>8478</v>
      </c>
      <c r="D4158" s="96">
        <v>5071500</v>
      </c>
      <c r="E4158" s="76">
        <v>375550</v>
      </c>
      <c r="F4158" s="77" t="s">
        <v>10174</v>
      </c>
    </row>
    <row r="4159" spans="1:6">
      <c r="A4159" s="82">
        <v>5</v>
      </c>
      <c r="B4159" s="70" t="s">
        <v>876</v>
      </c>
      <c r="C4159" s="70" t="s">
        <v>8479</v>
      </c>
      <c r="D4159" s="96">
        <v>4249100</v>
      </c>
      <c r="E4159" s="76">
        <v>314650</v>
      </c>
      <c r="F4159" s="77" t="s">
        <v>10174</v>
      </c>
    </row>
    <row r="4160" spans="1:6">
      <c r="A4160" s="82">
        <v>5</v>
      </c>
      <c r="B4160" s="70" t="s">
        <v>1416</v>
      </c>
      <c r="C4160" s="70" t="s">
        <v>8480</v>
      </c>
      <c r="D4160" s="96">
        <v>5071500</v>
      </c>
      <c r="E4160" s="76">
        <v>375550</v>
      </c>
      <c r="F4160" s="77" t="s">
        <v>10174</v>
      </c>
    </row>
    <row r="4161" spans="1:6">
      <c r="A4161" s="82">
        <v>5</v>
      </c>
      <c r="B4161" s="70" t="s">
        <v>1415</v>
      </c>
      <c r="C4161" s="70" t="s">
        <v>8481</v>
      </c>
      <c r="D4161" s="96">
        <v>4249100</v>
      </c>
      <c r="E4161" s="76">
        <v>314650</v>
      </c>
      <c r="F4161" s="77" t="s">
        <v>10174</v>
      </c>
    </row>
    <row r="4162" spans="1:6">
      <c r="A4162" s="82">
        <v>5</v>
      </c>
      <c r="B4162" s="70" t="s">
        <v>278</v>
      </c>
      <c r="C4162" s="70" t="s">
        <v>8482</v>
      </c>
      <c r="D4162" s="96">
        <v>6510700</v>
      </c>
      <c r="E4162" s="76">
        <v>482125</v>
      </c>
      <c r="F4162" s="77" t="s">
        <v>10174</v>
      </c>
    </row>
    <row r="4163" spans="1:6">
      <c r="A4163" s="82">
        <v>5</v>
      </c>
      <c r="B4163" s="70" t="s">
        <v>277</v>
      </c>
      <c r="C4163" s="70" t="s">
        <v>8483</v>
      </c>
      <c r="D4163" s="96">
        <v>4920700</v>
      </c>
      <c r="E4163" s="76">
        <v>364385</v>
      </c>
      <c r="F4163" s="77" t="s">
        <v>10174</v>
      </c>
    </row>
    <row r="4164" spans="1:6">
      <c r="A4164" s="82">
        <v>5</v>
      </c>
      <c r="B4164" s="70" t="s">
        <v>7145</v>
      </c>
      <c r="C4164" s="70" t="s">
        <v>8484</v>
      </c>
      <c r="D4164" s="96">
        <v>3015500</v>
      </c>
      <c r="E4164" s="76">
        <v>223300</v>
      </c>
      <c r="F4164" s="77" t="s">
        <v>10174</v>
      </c>
    </row>
    <row r="4165" spans="1:6">
      <c r="A4165" s="82">
        <v>5</v>
      </c>
      <c r="B4165" s="70" t="s">
        <v>7146</v>
      </c>
      <c r="C4165" s="70" t="s">
        <v>8485</v>
      </c>
      <c r="D4165" s="96">
        <v>2056000</v>
      </c>
      <c r="E4165" s="76">
        <v>152250</v>
      </c>
      <c r="F4165" s="77" t="s">
        <v>10174</v>
      </c>
    </row>
    <row r="4166" spans="1:6">
      <c r="A4166" s="82">
        <v>5</v>
      </c>
      <c r="B4166" s="70" t="s">
        <v>3141</v>
      </c>
      <c r="C4166" s="70" t="s">
        <v>8486</v>
      </c>
      <c r="D4166" s="96">
        <v>5427900</v>
      </c>
      <c r="E4166" s="76">
        <v>401940</v>
      </c>
      <c r="F4166" s="77" t="s">
        <v>10174</v>
      </c>
    </row>
    <row r="4167" spans="1:6">
      <c r="A4167" s="82">
        <v>5</v>
      </c>
      <c r="B4167" s="70" t="s">
        <v>3140</v>
      </c>
      <c r="C4167" s="70" t="s">
        <v>8487</v>
      </c>
      <c r="D4167" s="96">
        <v>4125700</v>
      </c>
      <c r="E4167" s="76">
        <v>305515</v>
      </c>
      <c r="F4167" s="77" t="s">
        <v>10174</v>
      </c>
    </row>
    <row r="4168" spans="1:6">
      <c r="A4168" s="82">
        <v>5</v>
      </c>
      <c r="B4168" s="70" t="s">
        <v>937</v>
      </c>
      <c r="C4168" s="70" t="s">
        <v>8488</v>
      </c>
      <c r="D4168" s="96">
        <v>5427900</v>
      </c>
      <c r="E4168" s="76">
        <v>401940</v>
      </c>
      <c r="F4168" s="77" t="s">
        <v>10174</v>
      </c>
    </row>
    <row r="4169" spans="1:6">
      <c r="A4169" s="82">
        <v>5</v>
      </c>
      <c r="B4169" s="70" t="s">
        <v>938</v>
      </c>
      <c r="C4169" s="70" t="s">
        <v>8489</v>
      </c>
      <c r="D4169" s="96">
        <v>4125700</v>
      </c>
      <c r="E4169" s="76">
        <v>305515</v>
      </c>
      <c r="F4169" s="77" t="s">
        <v>10174</v>
      </c>
    </row>
    <row r="4170" spans="1:6">
      <c r="A4170" s="82">
        <v>5</v>
      </c>
      <c r="B4170" s="70" t="s">
        <v>946</v>
      </c>
      <c r="C4170" s="70" t="s">
        <v>8490</v>
      </c>
      <c r="D4170" s="96">
        <v>6140600</v>
      </c>
      <c r="E4170" s="76">
        <v>454719.99999999994</v>
      </c>
      <c r="F4170" s="77" t="s">
        <v>10174</v>
      </c>
    </row>
    <row r="4171" spans="1:6">
      <c r="A4171" s="82">
        <v>5</v>
      </c>
      <c r="B4171" s="70" t="s">
        <v>945</v>
      </c>
      <c r="C4171" s="70" t="s">
        <v>8491</v>
      </c>
      <c r="D4171" s="96">
        <v>4632900</v>
      </c>
      <c r="E4171" s="76">
        <v>343070</v>
      </c>
      <c r="F4171" s="77" t="s">
        <v>10174</v>
      </c>
    </row>
    <row r="4172" spans="1:6">
      <c r="A4172" s="82">
        <v>5</v>
      </c>
      <c r="B4172" s="70" t="s">
        <v>982</v>
      </c>
      <c r="C4172" s="70" t="s">
        <v>8492</v>
      </c>
      <c r="D4172" s="96">
        <v>4345000</v>
      </c>
      <c r="E4172" s="76">
        <v>321754.99999999994</v>
      </c>
      <c r="F4172" s="77" t="s">
        <v>10174</v>
      </c>
    </row>
    <row r="4173" spans="1:6">
      <c r="A4173" s="82">
        <v>5</v>
      </c>
      <c r="B4173" s="70" t="s">
        <v>981</v>
      </c>
      <c r="C4173" s="70" t="s">
        <v>8493</v>
      </c>
      <c r="D4173" s="96">
        <v>3248500</v>
      </c>
      <c r="E4173" s="76">
        <v>240554.99999999997</v>
      </c>
      <c r="F4173" s="77" t="s">
        <v>10174</v>
      </c>
    </row>
    <row r="4174" spans="1:6">
      <c r="A4174" s="82">
        <v>5</v>
      </c>
      <c r="B4174" s="70" t="s">
        <v>990</v>
      </c>
      <c r="C4174" s="70" t="s">
        <v>8494</v>
      </c>
      <c r="D4174" s="96">
        <v>4701400</v>
      </c>
      <c r="E4174" s="76">
        <v>348145</v>
      </c>
      <c r="F4174" s="77" t="s">
        <v>10174</v>
      </c>
    </row>
    <row r="4175" spans="1:6">
      <c r="A4175" s="82">
        <v>5</v>
      </c>
      <c r="B4175" s="70" t="s">
        <v>989</v>
      </c>
      <c r="C4175" s="70" t="s">
        <v>8495</v>
      </c>
      <c r="D4175" s="96">
        <v>3536300</v>
      </c>
      <c r="E4175" s="76">
        <v>261870</v>
      </c>
      <c r="F4175" s="77" t="s">
        <v>10174</v>
      </c>
    </row>
    <row r="4176" spans="1:6">
      <c r="A4176" s="82">
        <v>5</v>
      </c>
      <c r="B4176" s="70" t="s">
        <v>1106</v>
      </c>
      <c r="C4176" s="70" t="s">
        <v>8496</v>
      </c>
      <c r="D4176" s="96">
        <v>2741300</v>
      </c>
      <c r="E4176" s="76">
        <v>203000</v>
      </c>
      <c r="F4176" s="77" t="s">
        <v>10174</v>
      </c>
    </row>
    <row r="4177" spans="1:6">
      <c r="A4177" s="82">
        <v>5</v>
      </c>
      <c r="B4177" s="70" t="s">
        <v>1107</v>
      </c>
      <c r="C4177" s="70" t="s">
        <v>8497</v>
      </c>
      <c r="D4177" s="96">
        <v>2165700</v>
      </c>
      <c r="E4177" s="76">
        <v>160370</v>
      </c>
      <c r="F4177" s="77" t="s">
        <v>10174</v>
      </c>
    </row>
    <row r="4178" spans="1:6">
      <c r="A4178" s="82">
        <v>5</v>
      </c>
      <c r="B4178" s="70" t="s">
        <v>7147</v>
      </c>
      <c r="C4178" s="70" t="s">
        <v>8498</v>
      </c>
      <c r="D4178" s="96">
        <v>14323500</v>
      </c>
      <c r="E4178" s="76">
        <v>1060675</v>
      </c>
      <c r="F4178" s="77" t="s">
        <v>10174</v>
      </c>
    </row>
    <row r="4179" spans="1:6">
      <c r="A4179" s="82">
        <v>5</v>
      </c>
      <c r="B4179" s="70" t="s">
        <v>7148</v>
      </c>
      <c r="C4179" s="70" t="s">
        <v>8499</v>
      </c>
      <c r="D4179" s="96">
        <v>11924800</v>
      </c>
      <c r="E4179" s="76">
        <v>883050</v>
      </c>
      <c r="F4179" s="77" t="s">
        <v>10174</v>
      </c>
    </row>
    <row r="4180" spans="1:6">
      <c r="A4180" s="82">
        <v>5</v>
      </c>
      <c r="B4180" s="70" t="s">
        <v>5820</v>
      </c>
      <c r="C4180" s="70" t="s">
        <v>8500</v>
      </c>
      <c r="D4180" s="96">
        <v>7881400</v>
      </c>
      <c r="E4180" s="76">
        <v>583625</v>
      </c>
      <c r="F4180" s="77" t="s">
        <v>10174</v>
      </c>
    </row>
    <row r="4181" spans="1:6">
      <c r="A4181" s="82">
        <v>5</v>
      </c>
      <c r="B4181" s="70" t="s">
        <v>5821</v>
      </c>
      <c r="C4181" s="70" t="s">
        <v>8501</v>
      </c>
      <c r="D4181" s="96">
        <v>6579200</v>
      </c>
      <c r="E4181" s="76">
        <v>487200</v>
      </c>
      <c r="F4181" s="77" t="s">
        <v>10174</v>
      </c>
    </row>
    <row r="4182" spans="1:6">
      <c r="A4182" s="82">
        <v>5</v>
      </c>
      <c r="B4182" s="70" t="s">
        <v>5815</v>
      </c>
      <c r="C4182" s="70" t="s">
        <v>8502</v>
      </c>
      <c r="D4182" s="96">
        <v>5345600</v>
      </c>
      <c r="E4182" s="76">
        <v>395850</v>
      </c>
      <c r="F4182" s="77" t="s">
        <v>10174</v>
      </c>
    </row>
    <row r="4183" spans="1:6">
      <c r="A4183" s="82">
        <v>5</v>
      </c>
      <c r="B4183" s="70" t="s">
        <v>5816</v>
      </c>
      <c r="C4183" s="70" t="s">
        <v>8503</v>
      </c>
      <c r="D4183" s="96">
        <v>4454700</v>
      </c>
      <c r="E4183" s="76">
        <v>329874.99999999994</v>
      </c>
      <c r="F4183" s="77" t="s">
        <v>10174</v>
      </c>
    </row>
    <row r="4184" spans="1:6">
      <c r="A4184" s="82">
        <v>5</v>
      </c>
      <c r="B4184" s="70" t="s">
        <v>552</v>
      </c>
      <c r="C4184" s="70" t="s">
        <v>8504</v>
      </c>
      <c r="D4184" s="96">
        <v>2672800</v>
      </c>
      <c r="E4184" s="76">
        <v>197925</v>
      </c>
      <c r="F4184" s="77" t="s">
        <v>10174</v>
      </c>
    </row>
    <row r="4185" spans="1:6">
      <c r="A4185" s="82">
        <v>5</v>
      </c>
      <c r="B4185" s="70" t="s">
        <v>551</v>
      </c>
      <c r="C4185" s="70" t="s">
        <v>8505</v>
      </c>
      <c r="D4185" s="96">
        <v>1864100</v>
      </c>
      <c r="E4185" s="76">
        <v>138039.99999999997</v>
      </c>
      <c r="F4185" s="77" t="s">
        <v>10174</v>
      </c>
    </row>
    <row r="4186" spans="1:6">
      <c r="A4186" s="82">
        <v>5</v>
      </c>
      <c r="B4186" s="70" t="s">
        <v>221</v>
      </c>
      <c r="C4186" s="70" t="s">
        <v>8506</v>
      </c>
      <c r="D4186" s="96">
        <v>2672800</v>
      </c>
      <c r="E4186" s="76">
        <v>197925</v>
      </c>
      <c r="F4186" s="77" t="s">
        <v>10174</v>
      </c>
    </row>
    <row r="4187" spans="1:6">
      <c r="A4187" s="82">
        <v>5</v>
      </c>
      <c r="B4187" s="70" t="s">
        <v>220</v>
      </c>
      <c r="C4187" s="70" t="s">
        <v>8507</v>
      </c>
      <c r="D4187" s="96">
        <v>1864100</v>
      </c>
      <c r="E4187" s="76">
        <v>138039.99999999997</v>
      </c>
      <c r="F4187" s="77" t="s">
        <v>10174</v>
      </c>
    </row>
    <row r="4188" spans="1:6">
      <c r="A4188" s="82">
        <v>5</v>
      </c>
      <c r="B4188" s="70" t="s">
        <v>588</v>
      </c>
      <c r="C4188" s="70" t="s">
        <v>8508</v>
      </c>
      <c r="D4188" s="96">
        <v>2631700</v>
      </c>
      <c r="E4188" s="76">
        <v>194879.99999999997</v>
      </c>
      <c r="F4188" s="77" t="s">
        <v>10174</v>
      </c>
    </row>
    <row r="4189" spans="1:6">
      <c r="A4189" s="82">
        <v>5</v>
      </c>
      <c r="B4189" s="70" t="s">
        <v>589</v>
      </c>
      <c r="C4189" s="70" t="s">
        <v>8509</v>
      </c>
      <c r="D4189" s="96">
        <v>1946400</v>
      </c>
      <c r="E4189" s="76">
        <v>144130</v>
      </c>
      <c r="F4189" s="77" t="s">
        <v>10174</v>
      </c>
    </row>
    <row r="4190" spans="1:6">
      <c r="A4190" s="82">
        <v>5</v>
      </c>
      <c r="B4190" s="70" t="s">
        <v>5074</v>
      </c>
      <c r="C4190" s="70" t="s">
        <v>8510</v>
      </c>
      <c r="D4190" s="96">
        <v>7744300</v>
      </c>
      <c r="E4190" s="76">
        <v>573475</v>
      </c>
      <c r="F4190" s="77" t="s">
        <v>10174</v>
      </c>
    </row>
    <row r="4191" spans="1:6">
      <c r="A4191" s="82">
        <v>5</v>
      </c>
      <c r="B4191" s="70" t="s">
        <v>5075</v>
      </c>
      <c r="C4191" s="70" t="s">
        <v>8511</v>
      </c>
      <c r="D4191" s="96">
        <v>6442100</v>
      </c>
      <c r="E4191" s="76">
        <v>477050</v>
      </c>
      <c r="F4191" s="77" t="s">
        <v>10174</v>
      </c>
    </row>
    <row r="4192" spans="1:6">
      <c r="A4192" s="82">
        <v>5</v>
      </c>
      <c r="B4192" s="70" t="s">
        <v>3789</v>
      </c>
      <c r="C4192" s="70" t="s">
        <v>8512</v>
      </c>
      <c r="D4192" s="96">
        <v>13227000</v>
      </c>
      <c r="E4192" s="76">
        <v>979475</v>
      </c>
      <c r="F4192" s="77" t="s">
        <v>10174</v>
      </c>
    </row>
    <row r="4193" spans="1:6">
      <c r="A4193" s="82">
        <v>5</v>
      </c>
      <c r="B4193" s="70" t="s">
        <v>3788</v>
      </c>
      <c r="C4193" s="70" t="s">
        <v>8513</v>
      </c>
      <c r="D4193" s="96">
        <v>11033900</v>
      </c>
      <c r="E4193" s="76">
        <v>817075</v>
      </c>
      <c r="F4193" s="77" t="s">
        <v>10174</v>
      </c>
    </row>
    <row r="4194" spans="1:6">
      <c r="A4194" s="82">
        <v>5</v>
      </c>
      <c r="B4194" s="70" t="s">
        <v>3970</v>
      </c>
      <c r="C4194" s="78" t="s">
        <v>8514</v>
      </c>
      <c r="D4194" s="97">
        <v>9594700</v>
      </c>
      <c r="E4194" s="76">
        <v>710499.99999999988</v>
      </c>
      <c r="F4194" s="77" t="s">
        <v>10174</v>
      </c>
    </row>
    <row r="4195" spans="1:6">
      <c r="A4195" s="82">
        <v>5</v>
      </c>
      <c r="B4195" s="70" t="s">
        <v>3969</v>
      </c>
      <c r="C4195" s="78" t="s">
        <v>8515</v>
      </c>
      <c r="D4195" s="97">
        <v>11513600</v>
      </c>
      <c r="E4195" s="76">
        <v>852600</v>
      </c>
      <c r="F4195" s="77" t="s">
        <v>10174</v>
      </c>
    </row>
    <row r="4196" spans="1:6">
      <c r="A4196" s="82">
        <v>5</v>
      </c>
      <c r="B4196" s="70" t="s">
        <v>3975</v>
      </c>
      <c r="C4196" s="78" t="s">
        <v>8516</v>
      </c>
      <c r="D4196" s="97">
        <v>9594700</v>
      </c>
      <c r="E4196" s="76">
        <v>710499.99999999988</v>
      </c>
      <c r="F4196" s="77" t="s">
        <v>10174</v>
      </c>
    </row>
    <row r="4197" spans="1:6">
      <c r="A4197" s="82">
        <v>5</v>
      </c>
      <c r="B4197" s="70" t="s">
        <v>3974</v>
      </c>
      <c r="C4197" s="78" t="s">
        <v>8517</v>
      </c>
      <c r="D4197" s="97">
        <v>11513600</v>
      </c>
      <c r="E4197" s="76">
        <v>852600</v>
      </c>
      <c r="F4197" s="77" t="s">
        <v>10174</v>
      </c>
    </row>
    <row r="4198" spans="1:6">
      <c r="A4198" s="82">
        <v>5</v>
      </c>
      <c r="B4198" s="70" t="s">
        <v>5843</v>
      </c>
      <c r="C4198" s="78" t="s">
        <v>8518</v>
      </c>
      <c r="D4198" s="97">
        <v>7812800</v>
      </c>
      <c r="E4198" s="76">
        <v>578550</v>
      </c>
      <c r="F4198" s="77" t="s">
        <v>10174</v>
      </c>
    </row>
    <row r="4199" spans="1:6">
      <c r="A4199" s="82">
        <v>5</v>
      </c>
      <c r="B4199" s="70" t="s">
        <v>5842</v>
      </c>
      <c r="C4199" s="78" t="s">
        <v>8519</v>
      </c>
      <c r="D4199" s="97">
        <v>6510700</v>
      </c>
      <c r="E4199" s="76">
        <v>482125</v>
      </c>
      <c r="F4199" s="77" t="s">
        <v>10174</v>
      </c>
    </row>
    <row r="4200" spans="1:6">
      <c r="A4200" s="82">
        <v>5</v>
      </c>
      <c r="B4200" s="70" t="s">
        <v>1209</v>
      </c>
      <c r="C4200" s="78" t="s">
        <v>8520</v>
      </c>
      <c r="D4200" s="97">
        <v>7401600</v>
      </c>
      <c r="E4200" s="76">
        <v>548100</v>
      </c>
      <c r="F4200" s="77" t="s">
        <v>10174</v>
      </c>
    </row>
    <row r="4201" spans="1:6">
      <c r="A4201" s="82">
        <v>5</v>
      </c>
      <c r="B4201" s="70" t="s">
        <v>1208</v>
      </c>
      <c r="C4201" s="78" t="s">
        <v>8521</v>
      </c>
      <c r="D4201" s="97">
        <v>6168000</v>
      </c>
      <c r="E4201" s="76">
        <v>456750</v>
      </c>
      <c r="F4201" s="77" t="s">
        <v>10174</v>
      </c>
    </row>
    <row r="4202" spans="1:6">
      <c r="A4202" s="82">
        <v>5</v>
      </c>
      <c r="B4202" s="70" t="s">
        <v>4410</v>
      </c>
      <c r="C4202" s="78" t="s">
        <v>8522</v>
      </c>
      <c r="D4202" s="97">
        <v>11513600</v>
      </c>
      <c r="E4202" s="76">
        <v>852600</v>
      </c>
      <c r="F4202" s="77" t="s">
        <v>10174</v>
      </c>
    </row>
    <row r="4203" spans="1:6">
      <c r="A4203" s="82">
        <v>5</v>
      </c>
      <c r="B4203" s="70" t="s">
        <v>4409</v>
      </c>
      <c r="C4203" s="78" t="s">
        <v>8523</v>
      </c>
      <c r="D4203" s="97">
        <v>9594700</v>
      </c>
      <c r="E4203" s="76">
        <v>710499.99999999988</v>
      </c>
      <c r="F4203" s="77" t="s">
        <v>10174</v>
      </c>
    </row>
    <row r="4204" spans="1:6">
      <c r="A4204" s="82">
        <v>5</v>
      </c>
      <c r="B4204" s="70" t="s">
        <v>1159</v>
      </c>
      <c r="C4204" s="78" t="s">
        <v>8524</v>
      </c>
      <c r="D4204" s="97">
        <v>6921900</v>
      </c>
      <c r="E4204" s="76">
        <v>512575</v>
      </c>
      <c r="F4204" s="77" t="s">
        <v>10174</v>
      </c>
    </row>
    <row r="4205" spans="1:6">
      <c r="A4205" s="82">
        <v>5</v>
      </c>
      <c r="B4205" s="70" t="s">
        <v>1158</v>
      </c>
      <c r="C4205" s="78" t="s">
        <v>8525</v>
      </c>
      <c r="D4205" s="97">
        <v>5756800</v>
      </c>
      <c r="E4205" s="76">
        <v>426300</v>
      </c>
      <c r="F4205" s="77" t="s">
        <v>10174</v>
      </c>
    </row>
    <row r="4206" spans="1:6">
      <c r="A4206" s="82">
        <v>5</v>
      </c>
      <c r="B4206" s="70" t="s">
        <v>803</v>
      </c>
      <c r="C4206" s="70" t="s">
        <v>8526</v>
      </c>
      <c r="D4206" s="96">
        <v>1740800</v>
      </c>
      <c r="E4206" s="76">
        <v>128904.99999999999</v>
      </c>
      <c r="F4206" s="77" t="s">
        <v>10174</v>
      </c>
    </row>
    <row r="4207" spans="1:6">
      <c r="A4207" s="82">
        <v>5</v>
      </c>
      <c r="B4207" s="70" t="s">
        <v>802</v>
      </c>
      <c r="C4207" s="70" t="s">
        <v>8527</v>
      </c>
      <c r="D4207" s="96">
        <v>1302100</v>
      </c>
      <c r="E4207" s="76">
        <v>96425</v>
      </c>
      <c r="F4207" s="77" t="s">
        <v>10174</v>
      </c>
    </row>
    <row r="4208" spans="1:6">
      <c r="A4208" s="82">
        <v>5</v>
      </c>
      <c r="B4208" s="70" t="s">
        <v>5144</v>
      </c>
      <c r="C4208" s="70" t="s">
        <v>8528</v>
      </c>
      <c r="D4208" s="96">
        <v>5962400</v>
      </c>
      <c r="E4208" s="76">
        <v>441525</v>
      </c>
      <c r="F4208" s="77" t="s">
        <v>10174</v>
      </c>
    </row>
    <row r="4209" spans="1:6">
      <c r="A4209" s="82">
        <v>5</v>
      </c>
      <c r="B4209" s="70" t="s">
        <v>5145</v>
      </c>
      <c r="C4209" s="70" t="s">
        <v>8529</v>
      </c>
      <c r="D4209" s="96">
        <v>5002900</v>
      </c>
      <c r="E4209" s="76">
        <v>370474.99999999994</v>
      </c>
      <c r="F4209" s="77" t="s">
        <v>10174</v>
      </c>
    </row>
    <row r="4210" spans="1:6">
      <c r="A4210" s="82">
        <v>5</v>
      </c>
      <c r="B4210" s="70" t="s">
        <v>4564</v>
      </c>
      <c r="C4210" s="70" t="s">
        <v>8530</v>
      </c>
      <c r="D4210" s="96">
        <v>5208500</v>
      </c>
      <c r="E4210" s="76">
        <v>385700</v>
      </c>
      <c r="F4210" s="77" t="s">
        <v>10174</v>
      </c>
    </row>
    <row r="4211" spans="1:6">
      <c r="A4211" s="82">
        <v>5</v>
      </c>
      <c r="B4211" s="70" t="s">
        <v>4565</v>
      </c>
      <c r="C4211" s="70" t="s">
        <v>8531</v>
      </c>
      <c r="D4211" s="96">
        <v>4317600</v>
      </c>
      <c r="E4211" s="76">
        <v>319725</v>
      </c>
      <c r="F4211" s="77" t="s">
        <v>10174</v>
      </c>
    </row>
    <row r="4212" spans="1:6">
      <c r="A4212" s="82">
        <v>5</v>
      </c>
      <c r="B4212" s="70" t="s">
        <v>4580</v>
      </c>
      <c r="C4212" s="70" t="s">
        <v>8532</v>
      </c>
      <c r="D4212" s="96">
        <v>5825300</v>
      </c>
      <c r="E4212" s="76">
        <v>431375</v>
      </c>
      <c r="F4212" s="77" t="s">
        <v>10174</v>
      </c>
    </row>
    <row r="4213" spans="1:6">
      <c r="A4213" s="82">
        <v>5</v>
      </c>
      <c r="B4213" s="70" t="s">
        <v>4581</v>
      </c>
      <c r="C4213" s="70" t="s">
        <v>8533</v>
      </c>
      <c r="D4213" s="96">
        <v>4865900</v>
      </c>
      <c r="E4213" s="76">
        <v>360324.99999999994</v>
      </c>
      <c r="F4213" s="77" t="s">
        <v>10174</v>
      </c>
    </row>
    <row r="4214" spans="1:6">
      <c r="A4214" s="82">
        <v>5</v>
      </c>
      <c r="B4214" s="70" t="s">
        <v>4572</v>
      </c>
      <c r="C4214" s="70" t="s">
        <v>8534</v>
      </c>
      <c r="D4214" s="96">
        <v>5825300</v>
      </c>
      <c r="E4214" s="76">
        <v>431375</v>
      </c>
      <c r="F4214" s="77" t="s">
        <v>10174</v>
      </c>
    </row>
    <row r="4215" spans="1:6">
      <c r="A4215" s="82">
        <v>5</v>
      </c>
      <c r="B4215" s="70" t="s">
        <v>4573</v>
      </c>
      <c r="C4215" s="70" t="s">
        <v>8535</v>
      </c>
      <c r="D4215" s="96">
        <v>4865900</v>
      </c>
      <c r="E4215" s="76">
        <v>360324.99999999994</v>
      </c>
      <c r="F4215" s="77" t="s">
        <v>10174</v>
      </c>
    </row>
    <row r="4216" spans="1:6">
      <c r="A4216" s="82">
        <v>5</v>
      </c>
      <c r="B4216" s="70" t="s">
        <v>4852</v>
      </c>
      <c r="C4216" s="70" t="s">
        <v>8536</v>
      </c>
      <c r="D4216" s="96">
        <v>8635200</v>
      </c>
      <c r="E4216" s="76">
        <v>639450</v>
      </c>
      <c r="F4216" s="77" t="s">
        <v>10174</v>
      </c>
    </row>
    <row r="4217" spans="1:6">
      <c r="A4217" s="82">
        <v>5</v>
      </c>
      <c r="B4217" s="70" t="s">
        <v>4853</v>
      </c>
      <c r="C4217" s="70" t="s">
        <v>8537</v>
      </c>
      <c r="D4217" s="96">
        <v>7196000</v>
      </c>
      <c r="E4217" s="76">
        <v>532875</v>
      </c>
      <c r="F4217" s="77" t="s">
        <v>10174</v>
      </c>
    </row>
    <row r="4218" spans="1:6">
      <c r="A4218" s="82">
        <v>5</v>
      </c>
      <c r="B4218" s="70" t="s">
        <v>3660</v>
      </c>
      <c r="C4218" s="70" t="s">
        <v>8538</v>
      </c>
      <c r="D4218" s="96">
        <v>7744300</v>
      </c>
      <c r="E4218" s="76">
        <v>573475</v>
      </c>
      <c r="F4218" s="77" t="s">
        <v>10174</v>
      </c>
    </row>
    <row r="4219" spans="1:6">
      <c r="A4219" s="82">
        <v>5</v>
      </c>
      <c r="B4219" s="70" t="s">
        <v>3659</v>
      </c>
      <c r="C4219" s="70" t="s">
        <v>8539</v>
      </c>
      <c r="D4219" s="96">
        <v>6442100</v>
      </c>
      <c r="E4219" s="76">
        <v>477050</v>
      </c>
      <c r="F4219" s="77" t="s">
        <v>10174</v>
      </c>
    </row>
    <row r="4220" spans="1:6">
      <c r="A4220" s="82">
        <v>5</v>
      </c>
      <c r="B4220" s="70" t="s">
        <v>3672</v>
      </c>
      <c r="C4220" s="70" t="s">
        <v>8540</v>
      </c>
      <c r="D4220" s="96">
        <v>7744300</v>
      </c>
      <c r="E4220" s="76">
        <v>573475</v>
      </c>
      <c r="F4220" s="77" t="s">
        <v>10174</v>
      </c>
    </row>
    <row r="4221" spans="1:6">
      <c r="A4221" s="82">
        <v>5</v>
      </c>
      <c r="B4221" s="70" t="s">
        <v>3671</v>
      </c>
      <c r="C4221" s="70" t="s">
        <v>8541</v>
      </c>
      <c r="D4221" s="96">
        <v>6442100</v>
      </c>
      <c r="E4221" s="76">
        <v>477050</v>
      </c>
      <c r="F4221" s="77" t="s">
        <v>10174</v>
      </c>
    </row>
    <row r="4222" spans="1:6">
      <c r="A4222" s="82">
        <v>5</v>
      </c>
      <c r="B4222" s="70" t="s">
        <v>7149</v>
      </c>
      <c r="C4222" s="70" t="s">
        <v>8542</v>
      </c>
      <c r="D4222" s="96">
        <v>2946900</v>
      </c>
      <c r="E4222" s="76">
        <v>218225</v>
      </c>
      <c r="F4222" s="77" t="s">
        <v>10174</v>
      </c>
    </row>
    <row r="4223" spans="1:6">
      <c r="A4223" s="82">
        <v>5</v>
      </c>
      <c r="B4223" s="70" t="s">
        <v>7150</v>
      </c>
      <c r="C4223" s="70" t="s">
        <v>8543</v>
      </c>
      <c r="D4223" s="96">
        <v>3495200</v>
      </c>
      <c r="E4223" s="76">
        <v>258825</v>
      </c>
      <c r="F4223" s="77" t="s">
        <v>10174</v>
      </c>
    </row>
    <row r="4224" spans="1:6">
      <c r="A4224" s="82">
        <v>5</v>
      </c>
      <c r="B4224" s="70" t="s">
        <v>5136</v>
      </c>
      <c r="C4224" s="70" t="s">
        <v>8544</v>
      </c>
      <c r="D4224" s="96">
        <v>4043500</v>
      </c>
      <c r="E4224" s="76">
        <v>299425</v>
      </c>
      <c r="F4224" s="77" t="s">
        <v>10174</v>
      </c>
    </row>
    <row r="4225" spans="1:6">
      <c r="A4225" s="82">
        <v>5</v>
      </c>
      <c r="B4225" s="70" t="s">
        <v>5137</v>
      </c>
      <c r="C4225" s="70" t="s">
        <v>8545</v>
      </c>
      <c r="D4225" s="96">
        <v>3358100</v>
      </c>
      <c r="E4225" s="76">
        <v>248675</v>
      </c>
      <c r="F4225" s="77" t="s">
        <v>10174</v>
      </c>
    </row>
    <row r="4226" spans="1:6">
      <c r="A4226" s="82">
        <v>5</v>
      </c>
      <c r="B4226" s="70" t="s">
        <v>928</v>
      </c>
      <c r="C4226" s="70" t="s">
        <v>8546</v>
      </c>
      <c r="D4226" s="96">
        <v>2672800</v>
      </c>
      <c r="E4226" s="76">
        <v>197925</v>
      </c>
      <c r="F4226" s="77" t="s">
        <v>10174</v>
      </c>
    </row>
    <row r="4227" spans="1:6">
      <c r="A4227" s="82">
        <v>5</v>
      </c>
      <c r="B4227" s="70" t="s">
        <v>927</v>
      </c>
      <c r="C4227" s="70" t="s">
        <v>8547</v>
      </c>
      <c r="D4227" s="96">
        <v>1864100</v>
      </c>
      <c r="E4227" s="76">
        <v>138039.99999999997</v>
      </c>
      <c r="F4227" s="77" t="s">
        <v>10174</v>
      </c>
    </row>
    <row r="4228" spans="1:6">
      <c r="A4228" s="82">
        <v>5</v>
      </c>
      <c r="B4228" s="70" t="s">
        <v>2715</v>
      </c>
      <c r="C4228" s="70" t="s">
        <v>8548</v>
      </c>
      <c r="D4228" s="96">
        <v>2672800</v>
      </c>
      <c r="E4228" s="76">
        <v>197925</v>
      </c>
      <c r="F4228" s="77" t="s">
        <v>10174</v>
      </c>
    </row>
    <row r="4229" spans="1:6">
      <c r="A4229" s="82">
        <v>5</v>
      </c>
      <c r="B4229" s="70" t="s">
        <v>2714</v>
      </c>
      <c r="C4229" s="70" t="s">
        <v>8549</v>
      </c>
      <c r="D4229" s="96">
        <v>1864100</v>
      </c>
      <c r="E4229" s="76">
        <v>138039.99999999997</v>
      </c>
      <c r="F4229" s="77" t="s">
        <v>10174</v>
      </c>
    </row>
    <row r="4230" spans="1:6">
      <c r="A4230" s="82">
        <v>5</v>
      </c>
      <c r="B4230" s="70" t="s">
        <v>1690</v>
      </c>
      <c r="C4230" s="70" t="s">
        <v>8550</v>
      </c>
      <c r="D4230" s="96">
        <v>4454700</v>
      </c>
      <c r="E4230" s="76">
        <v>329874.99999999994</v>
      </c>
      <c r="F4230" s="77" t="s">
        <v>10174</v>
      </c>
    </row>
    <row r="4231" spans="1:6">
      <c r="A4231" s="82">
        <v>5</v>
      </c>
      <c r="B4231" s="70" t="s">
        <v>1689</v>
      </c>
      <c r="C4231" s="70" t="s">
        <v>8551</v>
      </c>
      <c r="D4231" s="96">
        <v>3700800</v>
      </c>
      <c r="E4231" s="76">
        <v>274050</v>
      </c>
      <c r="F4231" s="77" t="s">
        <v>10174</v>
      </c>
    </row>
    <row r="4232" spans="1:6">
      <c r="A4232" s="82">
        <v>5</v>
      </c>
      <c r="B4232" s="70" t="s">
        <v>5811</v>
      </c>
      <c r="C4232" s="70" t="s">
        <v>8552</v>
      </c>
      <c r="D4232" s="96">
        <v>1781900</v>
      </c>
      <c r="E4232" s="76">
        <v>131950</v>
      </c>
      <c r="F4232" s="77" t="s">
        <v>10174</v>
      </c>
    </row>
    <row r="4233" spans="1:6">
      <c r="A4233" s="82">
        <v>5</v>
      </c>
      <c r="B4233" s="70" t="s">
        <v>5810</v>
      </c>
      <c r="C4233" s="70" t="s">
        <v>8553</v>
      </c>
      <c r="D4233" s="96">
        <v>2124500</v>
      </c>
      <c r="E4233" s="76">
        <v>157325</v>
      </c>
      <c r="F4233" s="77" t="s">
        <v>10174</v>
      </c>
    </row>
    <row r="4234" spans="1:6">
      <c r="A4234" s="82">
        <v>5</v>
      </c>
      <c r="B4234" s="70" t="s">
        <v>5154</v>
      </c>
      <c r="C4234" s="70" t="s">
        <v>8554</v>
      </c>
      <c r="D4234" s="96">
        <v>3289600</v>
      </c>
      <c r="E4234" s="76">
        <v>243600</v>
      </c>
      <c r="F4234" s="77" t="s">
        <v>10174</v>
      </c>
    </row>
    <row r="4235" spans="1:6">
      <c r="A4235" s="82">
        <v>5</v>
      </c>
      <c r="B4235" s="70" t="s">
        <v>5155</v>
      </c>
      <c r="C4235" s="70" t="s">
        <v>8555</v>
      </c>
      <c r="D4235" s="96">
        <v>2741300</v>
      </c>
      <c r="E4235" s="76">
        <v>203000</v>
      </c>
      <c r="F4235" s="77" t="s">
        <v>10174</v>
      </c>
    </row>
    <row r="4236" spans="1:6">
      <c r="A4236" s="82">
        <v>5</v>
      </c>
      <c r="B4236" s="70" t="s">
        <v>5149</v>
      </c>
      <c r="C4236" s="70" t="s">
        <v>8556</v>
      </c>
      <c r="D4236" s="96">
        <v>2398700</v>
      </c>
      <c r="E4236" s="76">
        <v>177624.99999999997</v>
      </c>
      <c r="F4236" s="77" t="s">
        <v>10174</v>
      </c>
    </row>
    <row r="4237" spans="1:6">
      <c r="A4237" s="82">
        <v>5</v>
      </c>
      <c r="B4237" s="70" t="s">
        <v>5150</v>
      </c>
      <c r="C4237" s="70" t="s">
        <v>8557</v>
      </c>
      <c r="D4237" s="96">
        <v>1987500</v>
      </c>
      <c r="E4237" s="76">
        <v>147175</v>
      </c>
      <c r="F4237" s="77" t="s">
        <v>10174</v>
      </c>
    </row>
    <row r="4238" spans="1:6">
      <c r="A4238" s="82">
        <v>5</v>
      </c>
      <c r="B4238" s="70" t="s">
        <v>2103</v>
      </c>
      <c r="C4238" s="70" t="s">
        <v>8558</v>
      </c>
      <c r="D4238" s="96">
        <v>2398700</v>
      </c>
      <c r="E4238" s="76">
        <v>177624.99999999997</v>
      </c>
      <c r="F4238" s="77" t="s">
        <v>10174</v>
      </c>
    </row>
    <row r="4239" spans="1:6">
      <c r="A4239" s="82">
        <v>5</v>
      </c>
      <c r="B4239" s="70" t="s">
        <v>2102</v>
      </c>
      <c r="C4239" s="70" t="s">
        <v>8559</v>
      </c>
      <c r="D4239" s="96">
        <v>1987500</v>
      </c>
      <c r="E4239" s="76">
        <v>147175</v>
      </c>
      <c r="F4239" s="77" t="s">
        <v>10174</v>
      </c>
    </row>
    <row r="4240" spans="1:6">
      <c r="A4240" s="82">
        <v>5</v>
      </c>
      <c r="B4240" s="70" t="s">
        <v>916</v>
      </c>
      <c r="C4240" s="70" t="s">
        <v>8560</v>
      </c>
      <c r="D4240" s="96">
        <v>3769300</v>
      </c>
      <c r="E4240" s="76">
        <v>279125</v>
      </c>
      <c r="F4240" s="77" t="s">
        <v>10174</v>
      </c>
    </row>
    <row r="4241" spans="1:6">
      <c r="A4241" s="82">
        <v>5</v>
      </c>
      <c r="B4241" s="70" t="s">
        <v>915</v>
      </c>
      <c r="C4241" s="70" t="s">
        <v>8561</v>
      </c>
      <c r="D4241" s="96">
        <v>3152500</v>
      </c>
      <c r="E4241" s="76">
        <v>233450</v>
      </c>
      <c r="F4241" s="77" t="s">
        <v>10174</v>
      </c>
    </row>
    <row r="4242" spans="1:6">
      <c r="A4242" s="82">
        <v>5</v>
      </c>
      <c r="B4242" s="70" t="s">
        <v>1175</v>
      </c>
      <c r="C4242" s="70" t="s">
        <v>8562</v>
      </c>
      <c r="D4242" s="96">
        <v>3289600</v>
      </c>
      <c r="E4242" s="76">
        <v>243600</v>
      </c>
      <c r="F4242" s="77" t="s">
        <v>10174</v>
      </c>
    </row>
    <row r="4243" spans="1:6">
      <c r="A4243" s="82">
        <v>5</v>
      </c>
      <c r="B4243" s="70" t="s">
        <v>1174</v>
      </c>
      <c r="C4243" s="70" t="s">
        <v>8563</v>
      </c>
      <c r="D4243" s="96">
        <v>2741300</v>
      </c>
      <c r="E4243" s="76">
        <v>203000</v>
      </c>
      <c r="F4243" s="77" t="s">
        <v>10174</v>
      </c>
    </row>
    <row r="4244" spans="1:6">
      <c r="A4244" s="82">
        <v>5</v>
      </c>
      <c r="B4244" s="70" t="s">
        <v>2264</v>
      </c>
      <c r="C4244" s="70" t="s">
        <v>8564</v>
      </c>
      <c r="D4244" s="96">
        <v>4386100</v>
      </c>
      <c r="E4244" s="76">
        <v>324800</v>
      </c>
      <c r="F4244" s="77" t="s">
        <v>10174</v>
      </c>
    </row>
    <row r="4245" spans="1:6">
      <c r="A4245" s="82">
        <v>5</v>
      </c>
      <c r="B4245" s="70" t="s">
        <v>2263</v>
      </c>
      <c r="C4245" s="70" t="s">
        <v>8565</v>
      </c>
      <c r="D4245" s="96">
        <v>3632300</v>
      </c>
      <c r="E4245" s="76">
        <v>268975</v>
      </c>
      <c r="F4245" s="77" t="s">
        <v>10174</v>
      </c>
    </row>
    <row r="4246" spans="1:6">
      <c r="A4246" s="82">
        <v>5</v>
      </c>
      <c r="B4246" s="70" t="s">
        <v>2034</v>
      </c>
      <c r="C4246" s="70" t="s">
        <v>8566</v>
      </c>
      <c r="D4246" s="96">
        <v>3632300</v>
      </c>
      <c r="E4246" s="76">
        <v>268975</v>
      </c>
      <c r="F4246" s="77" t="s">
        <v>10174</v>
      </c>
    </row>
    <row r="4247" spans="1:6">
      <c r="A4247" s="82">
        <v>5</v>
      </c>
      <c r="B4247" s="70" t="s">
        <v>2033</v>
      </c>
      <c r="C4247" s="70" t="s">
        <v>8567</v>
      </c>
      <c r="D4247" s="96">
        <v>3015500</v>
      </c>
      <c r="E4247" s="76">
        <v>223300</v>
      </c>
      <c r="F4247" s="77" t="s">
        <v>10174</v>
      </c>
    </row>
    <row r="4248" spans="1:6">
      <c r="A4248" s="82">
        <v>5</v>
      </c>
      <c r="B4248" s="70" t="s">
        <v>7151</v>
      </c>
      <c r="C4248" s="70" t="s">
        <v>8568</v>
      </c>
      <c r="D4248" s="96">
        <v>3974900</v>
      </c>
      <c r="E4248" s="76">
        <v>294350</v>
      </c>
      <c r="F4248" s="77" t="s">
        <v>10174</v>
      </c>
    </row>
    <row r="4249" spans="1:6">
      <c r="A4249" s="82">
        <v>5</v>
      </c>
      <c r="B4249" s="70" t="s">
        <v>7152</v>
      </c>
      <c r="C4249" s="70" t="s">
        <v>8569</v>
      </c>
      <c r="D4249" s="96">
        <v>4728800</v>
      </c>
      <c r="E4249" s="76">
        <v>350174.99999999994</v>
      </c>
      <c r="F4249" s="77" t="s">
        <v>10174</v>
      </c>
    </row>
    <row r="4250" spans="1:6">
      <c r="A4250" s="82">
        <v>5</v>
      </c>
      <c r="B4250" s="70" t="s">
        <v>7153</v>
      </c>
      <c r="C4250" s="70" t="s">
        <v>8570</v>
      </c>
      <c r="D4250" s="96">
        <v>4249100</v>
      </c>
      <c r="E4250" s="76">
        <v>314650</v>
      </c>
      <c r="F4250" s="77" t="s">
        <v>10174</v>
      </c>
    </row>
    <row r="4251" spans="1:6">
      <c r="A4251" s="82">
        <v>5</v>
      </c>
      <c r="B4251" s="70" t="s">
        <v>7154</v>
      </c>
      <c r="C4251" s="70" t="s">
        <v>8571</v>
      </c>
      <c r="D4251" s="96">
        <v>5140000</v>
      </c>
      <c r="E4251" s="76">
        <v>380625</v>
      </c>
      <c r="F4251" s="77" t="s">
        <v>10174</v>
      </c>
    </row>
    <row r="4252" spans="1:6">
      <c r="A4252" s="82">
        <v>5</v>
      </c>
      <c r="B4252" s="70" t="s">
        <v>7155</v>
      </c>
      <c r="C4252" s="70" t="s">
        <v>8572</v>
      </c>
      <c r="D4252" s="96">
        <v>2878400</v>
      </c>
      <c r="E4252" s="76">
        <v>213150</v>
      </c>
      <c r="F4252" s="77" t="s">
        <v>10174</v>
      </c>
    </row>
    <row r="4253" spans="1:6">
      <c r="A4253" s="82">
        <v>5</v>
      </c>
      <c r="B4253" s="70" t="s">
        <v>7156</v>
      </c>
      <c r="C4253" s="70" t="s">
        <v>8573</v>
      </c>
      <c r="D4253" s="96">
        <v>3426700</v>
      </c>
      <c r="E4253" s="76">
        <v>253750</v>
      </c>
      <c r="F4253" s="77" t="s">
        <v>10174</v>
      </c>
    </row>
    <row r="4254" spans="1:6">
      <c r="A4254" s="82">
        <v>5</v>
      </c>
      <c r="B4254" s="70" t="s">
        <v>7157</v>
      </c>
      <c r="C4254" s="70" t="s">
        <v>8574</v>
      </c>
      <c r="D4254" s="96">
        <v>3152500</v>
      </c>
      <c r="E4254" s="76">
        <v>233450</v>
      </c>
      <c r="F4254" s="77" t="s">
        <v>10174</v>
      </c>
    </row>
    <row r="4255" spans="1:6">
      <c r="A4255" s="82">
        <v>5</v>
      </c>
      <c r="B4255" s="70" t="s">
        <v>7158</v>
      </c>
      <c r="C4255" s="70" t="s">
        <v>8575</v>
      </c>
      <c r="D4255" s="96">
        <v>3769300</v>
      </c>
      <c r="E4255" s="76">
        <v>279125</v>
      </c>
      <c r="F4255" s="77" t="s">
        <v>10174</v>
      </c>
    </row>
    <row r="4256" spans="1:6">
      <c r="A4256" s="82">
        <v>5</v>
      </c>
      <c r="B4256" s="70" t="s">
        <v>7159</v>
      </c>
      <c r="C4256" s="70" t="s">
        <v>8576</v>
      </c>
      <c r="D4256" s="96">
        <v>3152500</v>
      </c>
      <c r="E4256" s="76">
        <v>233450</v>
      </c>
      <c r="F4256" s="77" t="s">
        <v>10174</v>
      </c>
    </row>
    <row r="4257" spans="1:6">
      <c r="A4257" s="82">
        <v>5</v>
      </c>
      <c r="B4257" s="70" t="s">
        <v>7160</v>
      </c>
      <c r="C4257" s="70" t="s">
        <v>8577</v>
      </c>
      <c r="D4257" s="96">
        <v>3837900</v>
      </c>
      <c r="E4257" s="76">
        <v>284200</v>
      </c>
      <c r="F4257" s="77" t="s">
        <v>10174</v>
      </c>
    </row>
    <row r="4258" spans="1:6">
      <c r="A4258" s="82">
        <v>5</v>
      </c>
      <c r="B4258" s="70" t="s">
        <v>7161</v>
      </c>
      <c r="C4258" s="70" t="s">
        <v>8578</v>
      </c>
      <c r="D4258" s="96">
        <v>3495200</v>
      </c>
      <c r="E4258" s="76">
        <v>258825</v>
      </c>
      <c r="F4258" s="77" t="s">
        <v>10174</v>
      </c>
    </row>
    <row r="4259" spans="1:6">
      <c r="A4259" s="82">
        <v>5</v>
      </c>
      <c r="B4259" s="70" t="s">
        <v>7162</v>
      </c>
      <c r="C4259" s="70" t="s">
        <v>8579</v>
      </c>
      <c r="D4259" s="96">
        <v>4180500</v>
      </c>
      <c r="E4259" s="76">
        <v>309575</v>
      </c>
      <c r="F4259" s="77" t="s">
        <v>10174</v>
      </c>
    </row>
    <row r="4260" spans="1:6">
      <c r="A4260" s="82">
        <v>5</v>
      </c>
      <c r="B4260" s="70" t="s">
        <v>970</v>
      </c>
      <c r="C4260" s="70" t="s">
        <v>8580</v>
      </c>
      <c r="D4260" s="96">
        <v>945800</v>
      </c>
      <c r="E4260" s="76">
        <v>70035</v>
      </c>
      <c r="F4260" s="77" t="s">
        <v>10174</v>
      </c>
    </row>
    <row r="4261" spans="1:6">
      <c r="A4261" s="82">
        <v>5</v>
      </c>
      <c r="B4261" s="70" t="s">
        <v>969</v>
      </c>
      <c r="C4261" s="70" t="s">
        <v>8581</v>
      </c>
      <c r="D4261" s="96">
        <v>726500</v>
      </c>
      <c r="E4261" s="76">
        <v>53794.999999999993</v>
      </c>
      <c r="F4261" s="77" t="s">
        <v>10174</v>
      </c>
    </row>
    <row r="4262" spans="1:6">
      <c r="A4262" s="82">
        <v>5</v>
      </c>
      <c r="B4262" s="70" t="s">
        <v>1282</v>
      </c>
      <c r="C4262" s="70" t="s">
        <v>8582</v>
      </c>
      <c r="D4262" s="96">
        <v>1521400</v>
      </c>
      <c r="E4262" s="76">
        <v>112664.99999999999</v>
      </c>
      <c r="F4262" s="77" t="s">
        <v>10174</v>
      </c>
    </row>
    <row r="4263" spans="1:6">
      <c r="A4263" s="82">
        <v>5</v>
      </c>
      <c r="B4263" s="70" t="s">
        <v>1281</v>
      </c>
      <c r="C4263" s="70" t="s">
        <v>8583</v>
      </c>
      <c r="D4263" s="96">
        <v>1151400</v>
      </c>
      <c r="E4263" s="76">
        <v>85260</v>
      </c>
      <c r="F4263" s="77" t="s">
        <v>10174</v>
      </c>
    </row>
    <row r="4264" spans="1:6">
      <c r="A4264" s="82">
        <v>5</v>
      </c>
      <c r="B4264" s="70" t="s">
        <v>1270</v>
      </c>
      <c r="C4264" s="70" t="s">
        <v>8584</v>
      </c>
      <c r="D4264" s="96">
        <v>1658500</v>
      </c>
      <c r="E4264" s="76">
        <v>122814.99999999999</v>
      </c>
      <c r="F4264" s="77" t="s">
        <v>10174</v>
      </c>
    </row>
    <row r="4265" spans="1:6">
      <c r="A4265" s="82">
        <v>5</v>
      </c>
      <c r="B4265" s="70" t="s">
        <v>1269</v>
      </c>
      <c r="C4265" s="70" t="s">
        <v>8585</v>
      </c>
      <c r="D4265" s="96">
        <v>1261000</v>
      </c>
      <c r="E4265" s="76">
        <v>93379.999999999985</v>
      </c>
      <c r="F4265" s="77" t="s">
        <v>10174</v>
      </c>
    </row>
    <row r="4266" spans="1:6">
      <c r="A4266" s="82">
        <v>5</v>
      </c>
      <c r="B4266" s="70" t="s">
        <v>5806</v>
      </c>
      <c r="C4266" s="70" t="s">
        <v>8586</v>
      </c>
      <c r="D4266" s="96">
        <v>1233600</v>
      </c>
      <c r="E4266" s="76">
        <v>91349.999999999985</v>
      </c>
      <c r="F4266" s="77" t="s">
        <v>10174</v>
      </c>
    </row>
    <row r="4267" spans="1:6">
      <c r="A4267" s="82">
        <v>5</v>
      </c>
      <c r="B4267" s="70" t="s">
        <v>5805</v>
      </c>
      <c r="C4267" s="70" t="s">
        <v>8587</v>
      </c>
      <c r="D4267" s="96">
        <v>1507700</v>
      </c>
      <c r="E4267" s="76">
        <v>111650</v>
      </c>
      <c r="F4267" s="77" t="s">
        <v>10174</v>
      </c>
    </row>
    <row r="4268" spans="1:6">
      <c r="A4268" s="82">
        <v>5</v>
      </c>
      <c r="B4268" s="70" t="s">
        <v>5835</v>
      </c>
      <c r="C4268" s="70" t="s">
        <v>8588</v>
      </c>
      <c r="D4268" s="96">
        <v>1233600</v>
      </c>
      <c r="E4268" s="76">
        <v>91349.999999999985</v>
      </c>
      <c r="F4268" s="77" t="s">
        <v>10174</v>
      </c>
    </row>
    <row r="4269" spans="1:6">
      <c r="A4269" s="82">
        <v>5</v>
      </c>
      <c r="B4269" s="70" t="s">
        <v>5836</v>
      </c>
      <c r="C4269" s="70" t="s">
        <v>8589</v>
      </c>
      <c r="D4269" s="96">
        <v>1507700</v>
      </c>
      <c r="E4269" s="76">
        <v>111650</v>
      </c>
      <c r="F4269" s="77" t="s">
        <v>10174</v>
      </c>
    </row>
    <row r="4270" spans="1:6">
      <c r="A4270" s="82">
        <v>5</v>
      </c>
      <c r="B4270" s="70" t="s">
        <v>5828</v>
      </c>
      <c r="C4270" s="70" t="s">
        <v>8590</v>
      </c>
      <c r="D4270" s="96">
        <v>822400</v>
      </c>
      <c r="E4270" s="76">
        <v>60900</v>
      </c>
      <c r="F4270" s="77" t="s">
        <v>10174</v>
      </c>
    </row>
    <row r="4271" spans="1:6">
      <c r="A4271" s="82">
        <v>5</v>
      </c>
      <c r="B4271" s="70" t="s">
        <v>5829</v>
      </c>
      <c r="C4271" s="70" t="s">
        <v>8591</v>
      </c>
      <c r="D4271" s="96">
        <v>1028000</v>
      </c>
      <c r="E4271" s="76">
        <v>76125</v>
      </c>
      <c r="F4271" s="77" t="s">
        <v>10174</v>
      </c>
    </row>
    <row r="4272" spans="1:6">
      <c r="A4272" s="82">
        <v>5</v>
      </c>
      <c r="B4272" s="70" t="s">
        <v>5131</v>
      </c>
      <c r="C4272" s="70" t="s">
        <v>8592</v>
      </c>
      <c r="D4272" s="96">
        <v>959500</v>
      </c>
      <c r="E4272" s="76">
        <v>71050</v>
      </c>
      <c r="F4272" s="77" t="s">
        <v>10174</v>
      </c>
    </row>
    <row r="4273" spans="1:6">
      <c r="A4273" s="82">
        <v>5</v>
      </c>
      <c r="B4273" s="70" t="s">
        <v>5132</v>
      </c>
      <c r="C4273" s="70" t="s">
        <v>8593</v>
      </c>
      <c r="D4273" s="96">
        <v>753900</v>
      </c>
      <c r="E4273" s="76">
        <v>55825</v>
      </c>
      <c r="F4273" s="77" t="s">
        <v>10174</v>
      </c>
    </row>
    <row r="4274" spans="1:6">
      <c r="A4274" s="82">
        <v>5</v>
      </c>
      <c r="B4274" s="70" t="s">
        <v>3350</v>
      </c>
      <c r="C4274" s="70" t="s">
        <v>8594</v>
      </c>
      <c r="D4274" s="96">
        <v>370100</v>
      </c>
      <c r="E4274" s="76">
        <v>27404.999999999996</v>
      </c>
      <c r="F4274" s="77" t="s">
        <v>10174</v>
      </c>
    </row>
    <row r="4275" spans="1:6">
      <c r="A4275" s="82">
        <v>5</v>
      </c>
      <c r="B4275" s="70" t="s">
        <v>3351</v>
      </c>
      <c r="C4275" s="70" t="s">
        <v>8595</v>
      </c>
      <c r="D4275" s="96">
        <v>520900</v>
      </c>
      <c r="E4275" s="76">
        <v>38570</v>
      </c>
      <c r="F4275" s="77" t="s">
        <v>10174</v>
      </c>
    </row>
    <row r="4276" spans="1:6">
      <c r="A4276" s="82">
        <v>5</v>
      </c>
      <c r="B4276" s="70" t="s">
        <v>3362</v>
      </c>
      <c r="C4276" s="70" t="s">
        <v>8596</v>
      </c>
      <c r="D4276" s="96">
        <v>438600</v>
      </c>
      <c r="E4276" s="76">
        <v>32479.999999999996</v>
      </c>
      <c r="F4276" s="77" t="s">
        <v>10174</v>
      </c>
    </row>
    <row r="4277" spans="1:6">
      <c r="A4277" s="82">
        <v>5</v>
      </c>
      <c r="B4277" s="70" t="s">
        <v>3363</v>
      </c>
      <c r="C4277" s="70" t="s">
        <v>8597</v>
      </c>
      <c r="D4277" s="96">
        <v>575700</v>
      </c>
      <c r="E4277" s="76">
        <v>42630</v>
      </c>
      <c r="F4277" s="77" t="s">
        <v>10174</v>
      </c>
    </row>
    <row r="4278" spans="1:6">
      <c r="A4278" s="82">
        <v>5</v>
      </c>
      <c r="B4278" s="70" t="s">
        <v>166</v>
      </c>
      <c r="C4278" s="70" t="s">
        <v>8598</v>
      </c>
      <c r="D4278" s="96">
        <v>616800</v>
      </c>
      <c r="E4278" s="76">
        <v>45674.999999999993</v>
      </c>
      <c r="F4278" s="77" t="s">
        <v>10174</v>
      </c>
    </row>
    <row r="4279" spans="1:6">
      <c r="A4279" s="82">
        <v>5</v>
      </c>
      <c r="B4279" s="70" t="s">
        <v>165</v>
      </c>
      <c r="C4279" s="70" t="s">
        <v>8599</v>
      </c>
      <c r="D4279" s="96">
        <v>438600</v>
      </c>
      <c r="E4279" s="76">
        <v>32479.999999999996</v>
      </c>
      <c r="F4279" s="77" t="s">
        <v>10174</v>
      </c>
    </row>
    <row r="4280" spans="1:6">
      <c r="A4280" s="82">
        <v>5</v>
      </c>
      <c r="B4280" s="70" t="s">
        <v>184</v>
      </c>
      <c r="C4280" s="70" t="s">
        <v>8600</v>
      </c>
      <c r="D4280" s="96">
        <v>726500</v>
      </c>
      <c r="E4280" s="76">
        <v>53794.999999999993</v>
      </c>
      <c r="F4280" s="77" t="s">
        <v>10174</v>
      </c>
    </row>
    <row r="4281" spans="1:6">
      <c r="A4281" s="82">
        <v>5</v>
      </c>
      <c r="B4281" s="70" t="s">
        <v>183</v>
      </c>
      <c r="C4281" s="70" t="s">
        <v>8601</v>
      </c>
      <c r="D4281" s="96">
        <v>493400</v>
      </c>
      <c r="E4281" s="76">
        <v>36540</v>
      </c>
      <c r="F4281" s="77" t="s">
        <v>10174</v>
      </c>
    </row>
    <row r="4282" spans="1:6">
      <c r="A4282" s="82">
        <v>5</v>
      </c>
      <c r="B4282" s="70" t="s">
        <v>608</v>
      </c>
      <c r="C4282" s="70" t="s">
        <v>8602</v>
      </c>
      <c r="D4282" s="96">
        <v>863500</v>
      </c>
      <c r="E4282" s="76">
        <v>63944.999999999993</v>
      </c>
      <c r="F4282" s="77" t="s">
        <v>10174</v>
      </c>
    </row>
    <row r="4283" spans="1:6">
      <c r="A4283" s="82">
        <v>5</v>
      </c>
      <c r="B4283" s="70" t="s">
        <v>607</v>
      </c>
      <c r="C4283" s="70" t="s">
        <v>8603</v>
      </c>
      <c r="D4283" s="96">
        <v>644200</v>
      </c>
      <c r="E4283" s="76">
        <v>47705</v>
      </c>
      <c r="F4283" s="77" t="s">
        <v>10174</v>
      </c>
    </row>
    <row r="4284" spans="1:6">
      <c r="A4284" s="82">
        <v>5</v>
      </c>
      <c r="B4284" s="70" t="s">
        <v>1127</v>
      </c>
      <c r="C4284" s="70" t="s">
        <v>8604</v>
      </c>
      <c r="D4284" s="96">
        <v>945800</v>
      </c>
      <c r="E4284" s="76">
        <v>70035</v>
      </c>
      <c r="F4284" s="77" t="s">
        <v>10174</v>
      </c>
    </row>
    <row r="4285" spans="1:6">
      <c r="A4285" s="82">
        <v>5</v>
      </c>
      <c r="B4285" s="70" t="s">
        <v>1126</v>
      </c>
      <c r="C4285" s="70" t="s">
        <v>8605</v>
      </c>
      <c r="D4285" s="96">
        <v>726500</v>
      </c>
      <c r="E4285" s="76">
        <v>53794.999999999993</v>
      </c>
      <c r="F4285" s="77" t="s">
        <v>10174</v>
      </c>
    </row>
    <row r="4286" spans="1:6">
      <c r="A4286" s="82">
        <v>5</v>
      </c>
      <c r="B4286" s="70" t="s">
        <v>7163</v>
      </c>
      <c r="C4286" s="70" t="s">
        <v>8606</v>
      </c>
      <c r="D4286" s="96">
        <v>795000</v>
      </c>
      <c r="E4286" s="76">
        <v>58869.999999999993</v>
      </c>
      <c r="F4286" s="77" t="s">
        <v>10174</v>
      </c>
    </row>
    <row r="4287" spans="1:6">
      <c r="A4287" s="82">
        <v>5</v>
      </c>
      <c r="B4287" s="70" t="s">
        <v>7164</v>
      </c>
      <c r="C4287" s="70" t="s">
        <v>8607</v>
      </c>
      <c r="D4287" s="96">
        <v>630500</v>
      </c>
      <c r="E4287" s="76">
        <v>46689.999999999993</v>
      </c>
      <c r="F4287" s="77" t="s">
        <v>10174</v>
      </c>
    </row>
    <row r="4288" spans="1:6">
      <c r="A4288" s="82">
        <v>5</v>
      </c>
      <c r="B4288" s="70" t="s">
        <v>7165</v>
      </c>
      <c r="C4288" s="70" t="s">
        <v>8608</v>
      </c>
      <c r="D4288" s="96">
        <v>589400</v>
      </c>
      <c r="E4288" s="76">
        <v>43645</v>
      </c>
      <c r="F4288" s="77" t="s">
        <v>10174</v>
      </c>
    </row>
    <row r="4289" spans="1:6">
      <c r="A4289" s="82">
        <v>5</v>
      </c>
      <c r="B4289" s="70" t="s">
        <v>7166</v>
      </c>
      <c r="C4289" s="70" t="s">
        <v>8609</v>
      </c>
      <c r="D4289" s="96">
        <v>479700</v>
      </c>
      <c r="E4289" s="76">
        <v>35525</v>
      </c>
      <c r="F4289" s="77" t="s">
        <v>10174</v>
      </c>
    </row>
    <row r="4290" spans="1:6">
      <c r="A4290" s="82">
        <v>5</v>
      </c>
      <c r="B4290" s="70" t="s">
        <v>5880</v>
      </c>
      <c r="C4290" s="70" t="s">
        <v>6400</v>
      </c>
      <c r="D4290" s="96">
        <v>246700</v>
      </c>
      <c r="E4290" s="76">
        <v>18270</v>
      </c>
      <c r="F4290" s="77" t="s">
        <v>10174</v>
      </c>
    </row>
    <row r="4291" spans="1:6">
      <c r="A4291" s="82">
        <v>5</v>
      </c>
      <c r="B4291" s="70" t="s">
        <v>5879</v>
      </c>
      <c r="C4291" s="70" t="s">
        <v>8205</v>
      </c>
      <c r="D4291" s="96">
        <v>205600</v>
      </c>
      <c r="E4291" s="76">
        <v>15225</v>
      </c>
      <c r="F4291" s="77" t="s">
        <v>10174</v>
      </c>
    </row>
    <row r="4292" spans="1:6">
      <c r="A4292" s="82">
        <v>5</v>
      </c>
      <c r="B4292" s="70" t="s">
        <v>7167</v>
      </c>
      <c r="C4292" s="70" t="s">
        <v>8610</v>
      </c>
      <c r="D4292" s="96">
        <v>123400</v>
      </c>
      <c r="E4292" s="76">
        <v>9135</v>
      </c>
      <c r="F4292" s="77" t="s">
        <v>10174</v>
      </c>
    </row>
    <row r="4293" spans="1:6">
      <c r="A4293" s="82">
        <v>5</v>
      </c>
      <c r="B4293" s="70" t="s">
        <v>7168</v>
      </c>
      <c r="C4293" s="70" t="s">
        <v>8611</v>
      </c>
      <c r="D4293" s="96">
        <v>109700</v>
      </c>
      <c r="E4293" s="76">
        <v>8119.9999999999991</v>
      </c>
      <c r="F4293" s="77" t="s">
        <v>10174</v>
      </c>
    </row>
    <row r="4294" spans="1:6">
      <c r="A4294" s="82">
        <v>5</v>
      </c>
      <c r="B4294" s="70" t="s">
        <v>3543</v>
      </c>
      <c r="C4294" s="70" t="s">
        <v>8612</v>
      </c>
      <c r="D4294" s="96">
        <v>246700</v>
      </c>
      <c r="E4294" s="76">
        <v>18270</v>
      </c>
      <c r="F4294" s="77" t="s">
        <v>10174</v>
      </c>
    </row>
    <row r="4295" spans="1:6">
      <c r="A4295" s="82">
        <v>5</v>
      </c>
      <c r="B4295" s="70" t="s">
        <v>3544</v>
      </c>
      <c r="C4295" s="70" t="s">
        <v>8613</v>
      </c>
      <c r="D4295" s="96">
        <v>205600</v>
      </c>
      <c r="E4295" s="76">
        <v>15225</v>
      </c>
      <c r="F4295" s="77" t="s">
        <v>10174</v>
      </c>
    </row>
    <row r="4296" spans="1:6">
      <c r="A4296" s="82">
        <v>5</v>
      </c>
      <c r="B4296" s="70" t="s">
        <v>3545</v>
      </c>
      <c r="C4296" s="70" t="s">
        <v>8614</v>
      </c>
      <c r="D4296" s="96">
        <v>246700</v>
      </c>
      <c r="E4296" s="76">
        <v>18270</v>
      </c>
      <c r="F4296" s="77" t="s">
        <v>10174</v>
      </c>
    </row>
    <row r="4297" spans="1:6">
      <c r="A4297" s="82">
        <v>5</v>
      </c>
      <c r="B4297" s="70" t="s">
        <v>3546</v>
      </c>
      <c r="C4297" s="70" t="s">
        <v>8615</v>
      </c>
      <c r="D4297" s="96">
        <v>205600</v>
      </c>
      <c r="E4297" s="76">
        <v>15225</v>
      </c>
      <c r="F4297" s="77" t="s">
        <v>10174</v>
      </c>
    </row>
    <row r="4298" spans="1:6">
      <c r="A4298" s="82">
        <v>5</v>
      </c>
      <c r="B4298" s="70" t="s">
        <v>3555</v>
      </c>
      <c r="C4298" s="70" t="s">
        <v>8616</v>
      </c>
      <c r="D4298" s="96">
        <v>246700</v>
      </c>
      <c r="E4298" s="76">
        <v>18270</v>
      </c>
      <c r="F4298" s="77" t="s">
        <v>10174</v>
      </c>
    </row>
    <row r="4299" spans="1:6">
      <c r="A4299" s="82">
        <v>5</v>
      </c>
      <c r="B4299" s="70" t="s">
        <v>3556</v>
      </c>
      <c r="C4299" s="70" t="s">
        <v>8617</v>
      </c>
      <c r="D4299" s="96">
        <v>205600</v>
      </c>
      <c r="E4299" s="76">
        <v>15225</v>
      </c>
      <c r="F4299" s="77" t="s">
        <v>10174</v>
      </c>
    </row>
    <row r="4300" spans="1:6">
      <c r="A4300" s="82">
        <v>5</v>
      </c>
      <c r="B4300" s="70" t="s">
        <v>1633</v>
      </c>
      <c r="C4300" s="70" t="s">
        <v>8618</v>
      </c>
      <c r="D4300" s="96">
        <v>479700</v>
      </c>
      <c r="E4300" s="76">
        <v>35525</v>
      </c>
      <c r="F4300" s="77" t="s">
        <v>10174</v>
      </c>
    </row>
    <row r="4301" spans="1:6">
      <c r="A4301" s="82">
        <v>5</v>
      </c>
      <c r="B4301" s="70" t="s">
        <v>1632</v>
      </c>
      <c r="C4301" s="70" t="s">
        <v>8619</v>
      </c>
      <c r="D4301" s="96">
        <v>370100</v>
      </c>
      <c r="E4301" s="76">
        <v>27404.999999999996</v>
      </c>
      <c r="F4301" s="77" t="s">
        <v>10174</v>
      </c>
    </row>
    <row r="4302" spans="1:6">
      <c r="A4302" s="82">
        <v>5</v>
      </c>
      <c r="B4302" s="70" t="s">
        <v>2331</v>
      </c>
      <c r="C4302" s="70" t="s">
        <v>8620</v>
      </c>
      <c r="D4302" s="96">
        <v>562000</v>
      </c>
      <c r="E4302" s="76">
        <v>41615</v>
      </c>
      <c r="F4302" s="77" t="s">
        <v>10174</v>
      </c>
    </row>
    <row r="4303" spans="1:6">
      <c r="A4303" s="82">
        <v>5</v>
      </c>
      <c r="B4303" s="70" t="s">
        <v>2332</v>
      </c>
      <c r="C4303" s="70" t="s">
        <v>8621</v>
      </c>
      <c r="D4303" s="96">
        <v>452300</v>
      </c>
      <c r="E4303" s="76">
        <v>33495</v>
      </c>
      <c r="F4303" s="77" t="s">
        <v>10174</v>
      </c>
    </row>
    <row r="4304" spans="1:6">
      <c r="A4304" s="82">
        <v>5</v>
      </c>
      <c r="B4304" s="70" t="s">
        <v>1354</v>
      </c>
      <c r="C4304" s="70" t="s">
        <v>8622</v>
      </c>
      <c r="D4304" s="96">
        <v>589400</v>
      </c>
      <c r="E4304" s="76">
        <v>43645</v>
      </c>
      <c r="F4304" s="77" t="s">
        <v>10174</v>
      </c>
    </row>
    <row r="4305" spans="1:6">
      <c r="A4305" s="82">
        <v>5</v>
      </c>
      <c r="B4305" s="70" t="s">
        <v>1353</v>
      </c>
      <c r="C4305" s="70" t="s">
        <v>8623</v>
      </c>
      <c r="D4305" s="96">
        <v>479700</v>
      </c>
      <c r="E4305" s="76">
        <v>35525</v>
      </c>
      <c r="F4305" s="77" t="s">
        <v>10174</v>
      </c>
    </row>
    <row r="4306" spans="1:6">
      <c r="A4306" s="82">
        <v>5</v>
      </c>
      <c r="B4306" s="70" t="s">
        <v>1340</v>
      </c>
      <c r="C4306" s="70" t="s">
        <v>8624</v>
      </c>
      <c r="D4306" s="96">
        <v>753900</v>
      </c>
      <c r="E4306" s="76">
        <v>55825</v>
      </c>
      <c r="F4306" s="77" t="s">
        <v>10174</v>
      </c>
    </row>
    <row r="4307" spans="1:6">
      <c r="A4307" s="82">
        <v>5</v>
      </c>
      <c r="B4307" s="70" t="s">
        <v>1339</v>
      </c>
      <c r="C4307" s="70" t="s">
        <v>8625</v>
      </c>
      <c r="D4307" s="96">
        <v>589400</v>
      </c>
      <c r="E4307" s="76">
        <v>43645</v>
      </c>
      <c r="F4307" s="77" t="s">
        <v>10174</v>
      </c>
    </row>
    <row r="4308" spans="1:6">
      <c r="A4308" s="82">
        <v>5</v>
      </c>
      <c r="B4308" s="70" t="s">
        <v>2323</v>
      </c>
      <c r="C4308" s="70" t="s">
        <v>8626</v>
      </c>
      <c r="D4308" s="96">
        <v>1452900</v>
      </c>
      <c r="E4308" s="76">
        <v>107589.99999999999</v>
      </c>
      <c r="F4308" s="77" t="s">
        <v>10174</v>
      </c>
    </row>
    <row r="4309" spans="1:6">
      <c r="A4309" s="82">
        <v>5</v>
      </c>
      <c r="B4309" s="70" t="s">
        <v>2322</v>
      </c>
      <c r="C4309" s="70" t="s">
        <v>8627</v>
      </c>
      <c r="D4309" s="96">
        <v>1151400</v>
      </c>
      <c r="E4309" s="76">
        <v>85260</v>
      </c>
      <c r="F4309" s="77" t="s">
        <v>10174</v>
      </c>
    </row>
    <row r="4310" spans="1:6">
      <c r="A4310" s="82">
        <v>5</v>
      </c>
      <c r="B4310" s="70" t="s">
        <v>5364</v>
      </c>
      <c r="C4310" s="70" t="s">
        <v>8628</v>
      </c>
      <c r="D4310" s="96">
        <v>1096500</v>
      </c>
      <c r="E4310" s="76">
        <v>81200</v>
      </c>
      <c r="F4310" s="77" t="s">
        <v>10174</v>
      </c>
    </row>
    <row r="4311" spans="1:6">
      <c r="A4311" s="82">
        <v>5</v>
      </c>
      <c r="B4311" s="70" t="s">
        <v>5363</v>
      </c>
      <c r="C4311" s="70" t="s">
        <v>8629</v>
      </c>
      <c r="D4311" s="96">
        <v>1370700</v>
      </c>
      <c r="E4311" s="76">
        <v>101500</v>
      </c>
      <c r="F4311" s="77" t="s">
        <v>10174</v>
      </c>
    </row>
    <row r="4312" spans="1:6">
      <c r="A4312" s="82">
        <v>5</v>
      </c>
      <c r="B4312" s="70" t="s">
        <v>7169</v>
      </c>
      <c r="C4312" s="70" t="s">
        <v>8630</v>
      </c>
      <c r="D4312" s="96">
        <v>534600</v>
      </c>
      <c r="E4312" s="76">
        <v>39584.999999999993</v>
      </c>
      <c r="F4312" s="77" t="s">
        <v>10174</v>
      </c>
    </row>
    <row r="4313" spans="1:6">
      <c r="A4313" s="82">
        <v>5</v>
      </c>
      <c r="B4313" s="70" t="s">
        <v>7170</v>
      </c>
      <c r="C4313" s="70" t="s">
        <v>8631</v>
      </c>
      <c r="D4313" s="96">
        <v>424900</v>
      </c>
      <c r="E4313" s="76">
        <v>31465</v>
      </c>
      <c r="F4313" s="77" t="s">
        <v>10174</v>
      </c>
    </row>
    <row r="4314" spans="1:6">
      <c r="A4314" s="82">
        <v>5</v>
      </c>
      <c r="B4314" s="70" t="s">
        <v>5012</v>
      </c>
      <c r="C4314" s="70" t="s">
        <v>8632</v>
      </c>
      <c r="D4314" s="96">
        <v>630500</v>
      </c>
      <c r="E4314" s="76">
        <v>46689.999999999993</v>
      </c>
      <c r="F4314" s="77" t="s">
        <v>10174</v>
      </c>
    </row>
    <row r="4315" spans="1:6">
      <c r="A4315" s="82">
        <v>5</v>
      </c>
      <c r="B4315" s="70" t="s">
        <v>5013</v>
      </c>
      <c r="C4315" s="70" t="s">
        <v>8633</v>
      </c>
      <c r="D4315" s="96">
        <v>507100</v>
      </c>
      <c r="E4315" s="76">
        <v>37555</v>
      </c>
      <c r="F4315" s="77" t="s">
        <v>10174</v>
      </c>
    </row>
    <row r="4316" spans="1:6">
      <c r="A4316" s="82">
        <v>5</v>
      </c>
      <c r="B4316" s="70" t="s">
        <v>4402</v>
      </c>
      <c r="C4316" s="70" t="s">
        <v>8634</v>
      </c>
      <c r="D4316" s="96">
        <v>630500</v>
      </c>
      <c r="E4316" s="76">
        <v>46689.999999999993</v>
      </c>
      <c r="F4316" s="77" t="s">
        <v>10174</v>
      </c>
    </row>
    <row r="4317" spans="1:6">
      <c r="A4317" s="82">
        <v>5</v>
      </c>
      <c r="B4317" s="70" t="s">
        <v>4401</v>
      </c>
      <c r="C4317" s="70" t="s">
        <v>8635</v>
      </c>
      <c r="D4317" s="96">
        <v>507100</v>
      </c>
      <c r="E4317" s="76">
        <v>37555</v>
      </c>
      <c r="F4317" s="77" t="s">
        <v>10174</v>
      </c>
    </row>
    <row r="4318" spans="1:6">
      <c r="A4318" s="82">
        <v>5</v>
      </c>
      <c r="B4318" s="70" t="s">
        <v>5343</v>
      </c>
      <c r="C4318" s="70" t="s">
        <v>8636</v>
      </c>
      <c r="D4318" s="96">
        <v>630500</v>
      </c>
      <c r="E4318" s="76">
        <v>46689.999999999993</v>
      </c>
      <c r="F4318" s="77" t="s">
        <v>10174</v>
      </c>
    </row>
    <row r="4319" spans="1:6">
      <c r="A4319" s="82">
        <v>5</v>
      </c>
      <c r="B4319" s="70" t="s">
        <v>5344</v>
      </c>
      <c r="C4319" s="70" t="s">
        <v>8637</v>
      </c>
      <c r="D4319" s="96">
        <v>507100</v>
      </c>
      <c r="E4319" s="76">
        <v>37555</v>
      </c>
      <c r="F4319" s="77" t="s">
        <v>10174</v>
      </c>
    </row>
    <row r="4320" spans="1:6">
      <c r="A4320" s="82">
        <v>5</v>
      </c>
      <c r="B4320" s="70" t="s">
        <v>4526</v>
      </c>
      <c r="C4320" s="70" t="s">
        <v>8638</v>
      </c>
      <c r="D4320" s="96">
        <v>520900</v>
      </c>
      <c r="E4320" s="76">
        <v>38570</v>
      </c>
      <c r="F4320" s="77" t="s">
        <v>10174</v>
      </c>
    </row>
    <row r="4321" spans="1:6">
      <c r="A4321" s="82">
        <v>5</v>
      </c>
      <c r="B4321" s="70" t="s">
        <v>4527</v>
      </c>
      <c r="C4321" s="70" t="s">
        <v>8639</v>
      </c>
      <c r="D4321" s="96">
        <v>411200</v>
      </c>
      <c r="E4321" s="76">
        <v>30450</v>
      </c>
      <c r="F4321" s="77" t="s">
        <v>10174</v>
      </c>
    </row>
    <row r="4322" spans="1:6">
      <c r="A4322" s="82">
        <v>5</v>
      </c>
      <c r="B4322" s="70" t="s">
        <v>5356</v>
      </c>
      <c r="C4322" s="70" t="s">
        <v>8640</v>
      </c>
      <c r="D4322" s="96">
        <v>356400</v>
      </c>
      <c r="E4322" s="76">
        <v>26390</v>
      </c>
      <c r="F4322" s="77" t="s">
        <v>10174</v>
      </c>
    </row>
    <row r="4323" spans="1:6">
      <c r="A4323" s="82">
        <v>5</v>
      </c>
      <c r="B4323" s="70" t="s">
        <v>5355</v>
      </c>
      <c r="C4323" s="70" t="s">
        <v>8641</v>
      </c>
      <c r="D4323" s="96">
        <v>452300</v>
      </c>
      <c r="E4323" s="76">
        <v>33495</v>
      </c>
      <c r="F4323" s="77" t="s">
        <v>10174</v>
      </c>
    </row>
    <row r="4324" spans="1:6">
      <c r="A4324" s="82">
        <v>5</v>
      </c>
      <c r="B4324" s="70" t="s">
        <v>4536</v>
      </c>
      <c r="C4324" s="70" t="s">
        <v>8642</v>
      </c>
      <c r="D4324" s="96">
        <v>753900</v>
      </c>
      <c r="E4324" s="76">
        <v>55825</v>
      </c>
      <c r="F4324" s="77" t="s">
        <v>10174</v>
      </c>
    </row>
    <row r="4325" spans="1:6">
      <c r="A4325" s="82">
        <v>5</v>
      </c>
      <c r="B4325" s="70" t="s">
        <v>4537</v>
      </c>
      <c r="C4325" s="70" t="s">
        <v>8643</v>
      </c>
      <c r="D4325" s="96">
        <v>589400</v>
      </c>
      <c r="E4325" s="76">
        <v>43645</v>
      </c>
      <c r="F4325" s="77" t="s">
        <v>10174</v>
      </c>
    </row>
    <row r="4326" spans="1:6">
      <c r="A4326" s="82">
        <v>5</v>
      </c>
      <c r="B4326" s="70" t="s">
        <v>4265</v>
      </c>
      <c r="C4326" s="70" t="s">
        <v>8644</v>
      </c>
      <c r="D4326" s="96">
        <v>452300</v>
      </c>
      <c r="E4326" s="76">
        <v>33495</v>
      </c>
      <c r="F4326" s="77" t="s">
        <v>10174</v>
      </c>
    </row>
    <row r="4327" spans="1:6">
      <c r="A4327" s="82">
        <v>5</v>
      </c>
      <c r="B4327" s="70" t="s">
        <v>4264</v>
      </c>
      <c r="C4327" s="70" t="s">
        <v>8645</v>
      </c>
      <c r="D4327" s="96">
        <v>356400</v>
      </c>
      <c r="E4327" s="76">
        <v>26390</v>
      </c>
      <c r="F4327" s="77" t="s">
        <v>10174</v>
      </c>
    </row>
    <row r="4328" spans="1:6">
      <c r="A4328" s="82">
        <v>5</v>
      </c>
      <c r="B4328" s="70" t="s">
        <v>4293</v>
      </c>
      <c r="C4328" s="70" t="s">
        <v>8646</v>
      </c>
      <c r="D4328" s="96">
        <v>315300</v>
      </c>
      <c r="E4328" s="76">
        <v>23344.999999999996</v>
      </c>
      <c r="F4328" s="77" t="s">
        <v>10174</v>
      </c>
    </row>
    <row r="4329" spans="1:6">
      <c r="A4329" s="82">
        <v>5</v>
      </c>
      <c r="B4329" s="70" t="s">
        <v>4292</v>
      </c>
      <c r="C4329" s="70" t="s">
        <v>8647</v>
      </c>
      <c r="D4329" s="96">
        <v>260400</v>
      </c>
      <c r="E4329" s="76">
        <v>19285</v>
      </c>
      <c r="F4329" s="77" t="s">
        <v>10174</v>
      </c>
    </row>
    <row r="4330" spans="1:6">
      <c r="A4330" s="82">
        <v>5</v>
      </c>
      <c r="B4330" s="70" t="s">
        <v>5349</v>
      </c>
      <c r="C4330" s="70" t="s">
        <v>8648</v>
      </c>
      <c r="D4330" s="96">
        <v>315300</v>
      </c>
      <c r="E4330" s="76">
        <v>23344.999999999996</v>
      </c>
      <c r="F4330" s="77" t="s">
        <v>10174</v>
      </c>
    </row>
    <row r="4331" spans="1:6">
      <c r="A4331" s="82">
        <v>5</v>
      </c>
      <c r="B4331" s="70" t="s">
        <v>5350</v>
      </c>
      <c r="C4331" s="70" t="s">
        <v>8649</v>
      </c>
      <c r="D4331" s="96">
        <v>260400</v>
      </c>
      <c r="E4331" s="76">
        <v>19285</v>
      </c>
      <c r="F4331" s="77" t="s">
        <v>10174</v>
      </c>
    </row>
    <row r="4332" spans="1:6">
      <c r="A4332" s="82">
        <v>5</v>
      </c>
      <c r="B4332" s="70" t="s">
        <v>5361</v>
      </c>
      <c r="C4332" s="70" t="s">
        <v>8650</v>
      </c>
      <c r="D4332" s="96">
        <v>246700</v>
      </c>
      <c r="E4332" s="76">
        <v>18270</v>
      </c>
      <c r="F4332" s="77" t="s">
        <v>10174</v>
      </c>
    </row>
    <row r="4333" spans="1:6">
      <c r="A4333" s="82">
        <v>5</v>
      </c>
      <c r="B4333" s="70" t="s">
        <v>5362</v>
      </c>
      <c r="C4333" s="70" t="s">
        <v>8651</v>
      </c>
      <c r="D4333" s="96">
        <v>191900</v>
      </c>
      <c r="E4333" s="76">
        <v>14209.999999999998</v>
      </c>
      <c r="F4333" s="77" t="s">
        <v>10174</v>
      </c>
    </row>
    <row r="4334" spans="1:6">
      <c r="A4334" s="82">
        <v>5</v>
      </c>
      <c r="B4334" s="70" t="s">
        <v>4278</v>
      </c>
      <c r="C4334" s="70" t="s">
        <v>8652</v>
      </c>
      <c r="D4334" s="96">
        <v>246700</v>
      </c>
      <c r="E4334" s="76">
        <v>18270</v>
      </c>
      <c r="F4334" s="77" t="s">
        <v>10174</v>
      </c>
    </row>
    <row r="4335" spans="1:6">
      <c r="A4335" s="82">
        <v>5</v>
      </c>
      <c r="B4335" s="70" t="s">
        <v>4279</v>
      </c>
      <c r="C4335" s="70" t="s">
        <v>8653</v>
      </c>
      <c r="D4335" s="96">
        <v>301500</v>
      </c>
      <c r="E4335" s="76">
        <v>22329.999999999996</v>
      </c>
      <c r="F4335" s="77" t="s">
        <v>10174</v>
      </c>
    </row>
    <row r="4336" spans="1:6">
      <c r="A4336" s="82">
        <v>5</v>
      </c>
      <c r="B4336" s="70" t="s">
        <v>4306</v>
      </c>
      <c r="C4336" s="70" t="s">
        <v>8654</v>
      </c>
      <c r="D4336" s="96">
        <v>191900</v>
      </c>
      <c r="E4336" s="76">
        <v>14209.999999999998</v>
      </c>
      <c r="F4336" s="77" t="s">
        <v>10174</v>
      </c>
    </row>
    <row r="4337" spans="1:6">
      <c r="A4337" s="82">
        <v>5</v>
      </c>
      <c r="B4337" s="70" t="s">
        <v>4307</v>
      </c>
      <c r="C4337" s="70" t="s">
        <v>8655</v>
      </c>
      <c r="D4337" s="96">
        <v>246700</v>
      </c>
      <c r="E4337" s="76">
        <v>18270</v>
      </c>
      <c r="F4337" s="77" t="s">
        <v>10174</v>
      </c>
    </row>
    <row r="4338" spans="1:6">
      <c r="A4338" s="82">
        <v>5</v>
      </c>
      <c r="B4338" s="70" t="s">
        <v>7171</v>
      </c>
      <c r="C4338" s="70" t="s">
        <v>8656</v>
      </c>
      <c r="D4338" s="96">
        <v>342700</v>
      </c>
      <c r="E4338" s="76">
        <v>25375</v>
      </c>
      <c r="F4338" s="77" t="s">
        <v>10174</v>
      </c>
    </row>
    <row r="4339" spans="1:6">
      <c r="A4339" s="82">
        <v>5</v>
      </c>
      <c r="B4339" s="70" t="s">
        <v>7172</v>
      </c>
      <c r="C4339" s="70" t="s">
        <v>8656</v>
      </c>
      <c r="D4339" s="96">
        <v>342700</v>
      </c>
      <c r="E4339" s="76">
        <v>25375</v>
      </c>
      <c r="F4339" s="77" t="s">
        <v>10174</v>
      </c>
    </row>
    <row r="4340" spans="1:6">
      <c r="A4340" s="82">
        <v>5</v>
      </c>
      <c r="B4340" s="70" t="s">
        <v>3568</v>
      </c>
      <c r="C4340" s="70" t="s">
        <v>8657</v>
      </c>
      <c r="D4340" s="96">
        <v>534600</v>
      </c>
      <c r="E4340" s="76">
        <v>39584.999999999993</v>
      </c>
      <c r="F4340" s="77" t="s">
        <v>10174</v>
      </c>
    </row>
    <row r="4341" spans="1:6">
      <c r="A4341" s="82">
        <v>5</v>
      </c>
      <c r="B4341" s="70" t="s">
        <v>3567</v>
      </c>
      <c r="C4341" s="70" t="s">
        <v>8658</v>
      </c>
      <c r="D4341" s="96">
        <v>438600</v>
      </c>
      <c r="E4341" s="76">
        <v>32479.999999999996</v>
      </c>
      <c r="F4341" s="77" t="s">
        <v>10174</v>
      </c>
    </row>
    <row r="4342" spans="1:6">
      <c r="A4342" s="82">
        <v>5</v>
      </c>
      <c r="B4342" s="70" t="s">
        <v>3562</v>
      </c>
      <c r="C4342" s="70" t="s">
        <v>8659</v>
      </c>
      <c r="D4342" s="96">
        <v>726500</v>
      </c>
      <c r="E4342" s="76">
        <v>53794.999999999993</v>
      </c>
      <c r="F4342" s="77" t="s">
        <v>10174</v>
      </c>
    </row>
    <row r="4343" spans="1:6">
      <c r="A4343" s="82">
        <v>5</v>
      </c>
      <c r="B4343" s="70" t="s">
        <v>3561</v>
      </c>
      <c r="C4343" s="70" t="s">
        <v>8660</v>
      </c>
      <c r="D4343" s="96">
        <v>575700</v>
      </c>
      <c r="E4343" s="76">
        <v>42630</v>
      </c>
      <c r="F4343" s="77" t="s">
        <v>10174</v>
      </c>
    </row>
    <row r="4344" spans="1:6">
      <c r="A4344" s="82">
        <v>5</v>
      </c>
      <c r="B4344" s="70" t="s">
        <v>2470</v>
      </c>
      <c r="C4344" s="70" t="s">
        <v>8661</v>
      </c>
      <c r="D4344" s="96">
        <v>2892100</v>
      </c>
      <c r="E4344" s="76">
        <v>214164.99999999997</v>
      </c>
      <c r="F4344" s="77" t="s">
        <v>10174</v>
      </c>
    </row>
    <row r="4345" spans="1:6">
      <c r="A4345" s="82">
        <v>5</v>
      </c>
      <c r="B4345" s="70" t="s">
        <v>2469</v>
      </c>
      <c r="C4345" s="70" t="s">
        <v>8662</v>
      </c>
      <c r="D4345" s="96">
        <v>2316400</v>
      </c>
      <c r="E4345" s="76">
        <v>171535</v>
      </c>
      <c r="F4345" s="77" t="s">
        <v>10174</v>
      </c>
    </row>
    <row r="4346" spans="1:6">
      <c r="A4346" s="82">
        <v>5</v>
      </c>
      <c r="B4346" s="70" t="s">
        <v>2484</v>
      </c>
      <c r="C4346" s="70" t="s">
        <v>8663</v>
      </c>
      <c r="D4346" s="96">
        <v>5345600</v>
      </c>
      <c r="E4346" s="76">
        <v>395850</v>
      </c>
      <c r="F4346" s="77" t="s">
        <v>10174</v>
      </c>
    </row>
    <row r="4347" spans="1:6">
      <c r="A4347" s="82">
        <v>5</v>
      </c>
      <c r="B4347" s="70" t="s">
        <v>2483</v>
      </c>
      <c r="C4347" s="70" t="s">
        <v>8664</v>
      </c>
      <c r="D4347" s="96">
        <v>4262800</v>
      </c>
      <c r="E4347" s="76">
        <v>315665</v>
      </c>
      <c r="F4347" s="77" t="s">
        <v>10174</v>
      </c>
    </row>
    <row r="4348" spans="1:6">
      <c r="A4348" s="82">
        <v>7</v>
      </c>
      <c r="B4348" s="83" t="s">
        <v>3142</v>
      </c>
      <c r="C4348" s="67" t="s">
        <v>3143</v>
      </c>
      <c r="D4348" s="91">
        <v>9594700</v>
      </c>
      <c r="E4348" s="76">
        <v>375550</v>
      </c>
      <c r="F4348" s="77" t="s">
        <v>10177</v>
      </c>
    </row>
    <row r="4349" spans="1:6">
      <c r="A4349" s="82">
        <v>7</v>
      </c>
      <c r="B4349" s="83" t="s">
        <v>3144</v>
      </c>
      <c r="C4349" s="67" t="s">
        <v>3145</v>
      </c>
      <c r="D4349" s="91">
        <v>20560100</v>
      </c>
      <c r="E4349" s="76">
        <v>804750</v>
      </c>
      <c r="F4349" s="77" t="s">
        <v>10177</v>
      </c>
    </row>
    <row r="4350" spans="1:6">
      <c r="A4350" s="82">
        <v>7</v>
      </c>
      <c r="B4350" s="83" t="s">
        <v>5479</v>
      </c>
      <c r="C4350" s="67" t="s">
        <v>5480</v>
      </c>
      <c r="D4350" s="91">
        <v>27413400</v>
      </c>
      <c r="E4350" s="76">
        <v>1073000</v>
      </c>
      <c r="F4350" s="77" t="s">
        <v>10177</v>
      </c>
    </row>
    <row r="4351" spans="1:6" ht="25.5">
      <c r="A4351" s="82">
        <v>1</v>
      </c>
      <c r="B4351" s="83" t="s">
        <v>5594</v>
      </c>
      <c r="C4351" s="67" t="s">
        <v>7237</v>
      </c>
      <c r="D4351" s="91">
        <v>516660300</v>
      </c>
      <c r="E4351" s="76">
        <v>20222831</v>
      </c>
      <c r="F4351" s="77" t="s">
        <v>10170</v>
      </c>
    </row>
    <row r="4352" spans="1:6">
      <c r="A4352" s="82">
        <v>1</v>
      </c>
      <c r="B4352" s="83" t="s">
        <v>2748</v>
      </c>
      <c r="C4352" s="67" t="s">
        <v>3217</v>
      </c>
      <c r="D4352" s="91">
        <v>1036336200</v>
      </c>
      <c r="E4352" s="76">
        <v>40563692</v>
      </c>
      <c r="F4352" s="77" t="s">
        <v>10170</v>
      </c>
    </row>
    <row r="4353" spans="1:6" ht="25.5">
      <c r="A4353" s="82">
        <v>1</v>
      </c>
      <c r="B4353" s="83" t="s">
        <v>3451</v>
      </c>
      <c r="C4353" s="67" t="s">
        <v>7304</v>
      </c>
      <c r="D4353" s="91">
        <v>11565357100</v>
      </c>
      <c r="E4353" s="76">
        <v>452684751</v>
      </c>
      <c r="F4353" s="77" t="s">
        <v>10170</v>
      </c>
    </row>
    <row r="4354" spans="1:6">
      <c r="A4354" s="82">
        <v>4</v>
      </c>
      <c r="B4354" s="67" t="s">
        <v>5784</v>
      </c>
      <c r="C4354" s="67" t="s">
        <v>7956</v>
      </c>
      <c r="D4354" s="91">
        <v>202448000</v>
      </c>
      <c r="E4354" s="76">
        <v>7924104.9999999991</v>
      </c>
      <c r="F4354" s="77" t="s">
        <v>10173</v>
      </c>
    </row>
    <row r="4355" spans="1:6">
      <c r="A4355" s="82">
        <v>4</v>
      </c>
      <c r="B4355" s="67" t="s">
        <v>5783</v>
      </c>
      <c r="C4355" s="67" t="s">
        <v>7957</v>
      </c>
      <c r="D4355" s="91">
        <v>126581400</v>
      </c>
      <c r="E4355" s="76">
        <v>4954577.5</v>
      </c>
      <c r="F4355" s="77" t="s">
        <v>10173</v>
      </c>
    </row>
    <row r="4356" spans="1:6">
      <c r="A4356" s="82">
        <v>4</v>
      </c>
      <c r="B4356" s="67" t="s">
        <v>5785</v>
      </c>
      <c r="C4356" s="67" t="s">
        <v>7958</v>
      </c>
      <c r="D4356" s="91">
        <v>310936500</v>
      </c>
      <c r="E4356" s="76">
        <v>12170502.500000002</v>
      </c>
      <c r="F4356" s="77" t="s">
        <v>10173</v>
      </c>
    </row>
    <row r="4357" spans="1:6">
      <c r="A4357" s="82">
        <v>4</v>
      </c>
      <c r="B4357" s="67" t="s">
        <v>5786</v>
      </c>
      <c r="C4357" s="67" t="s">
        <v>7959</v>
      </c>
      <c r="D4357" s="91">
        <v>102800300</v>
      </c>
      <c r="E4357" s="76">
        <v>4023750</v>
      </c>
      <c r="F4357" s="77" t="s">
        <v>10173</v>
      </c>
    </row>
    <row r="4358" spans="1:6">
      <c r="A4358" s="82">
        <v>4</v>
      </c>
      <c r="B4358" s="83" t="s">
        <v>2971</v>
      </c>
      <c r="C4358" s="67" t="s">
        <v>2972</v>
      </c>
      <c r="D4358" s="91">
        <v>14460600</v>
      </c>
      <c r="E4358" s="76">
        <v>566007.5</v>
      </c>
      <c r="F4358" s="77" t="s">
        <v>10173</v>
      </c>
    </row>
    <row r="4359" spans="1:6">
      <c r="A4359" s="82">
        <v>4</v>
      </c>
      <c r="B4359" s="83" t="s">
        <v>4235</v>
      </c>
      <c r="C4359" s="67" t="s">
        <v>3032</v>
      </c>
      <c r="D4359" s="91">
        <v>99099400</v>
      </c>
      <c r="E4359" s="76">
        <v>3878895</v>
      </c>
      <c r="F4359" s="77" t="s">
        <v>10173</v>
      </c>
    </row>
    <row r="4360" spans="1:6">
      <c r="A4360" s="82">
        <v>4</v>
      </c>
      <c r="B4360" s="83" t="s">
        <v>4234</v>
      </c>
      <c r="C4360" s="67" t="s">
        <v>3031</v>
      </c>
      <c r="D4360" s="91">
        <v>72302800</v>
      </c>
      <c r="E4360" s="76">
        <v>2830037.5</v>
      </c>
      <c r="F4360" s="77" t="s">
        <v>10173</v>
      </c>
    </row>
    <row r="4361" spans="1:6">
      <c r="A4361" s="82">
        <v>4</v>
      </c>
      <c r="B4361" s="83" t="s">
        <v>4236</v>
      </c>
      <c r="C4361" s="67" t="s">
        <v>3033</v>
      </c>
      <c r="D4361" s="91">
        <v>128020600</v>
      </c>
      <c r="E4361" s="76">
        <v>5010910</v>
      </c>
      <c r="F4361" s="77" t="s">
        <v>10173</v>
      </c>
    </row>
    <row r="4362" spans="1:6">
      <c r="A4362" s="82">
        <v>4</v>
      </c>
      <c r="B4362" s="83" t="s">
        <v>4237</v>
      </c>
      <c r="C4362" s="67" t="s">
        <v>3034</v>
      </c>
      <c r="D4362" s="91">
        <v>72302800</v>
      </c>
      <c r="E4362" s="76">
        <v>2830037.5</v>
      </c>
      <c r="F4362" s="77" t="s">
        <v>10173</v>
      </c>
    </row>
    <row r="4363" spans="1:6">
      <c r="A4363" s="82">
        <v>5</v>
      </c>
      <c r="B4363" s="83" t="s">
        <v>5822</v>
      </c>
      <c r="C4363" s="67" t="s">
        <v>7967</v>
      </c>
      <c r="D4363" s="91">
        <v>2330100</v>
      </c>
      <c r="E4363" s="76">
        <v>172549.99999999997</v>
      </c>
      <c r="F4363" s="77" t="s">
        <v>10174</v>
      </c>
    </row>
    <row r="4364" spans="1:6">
      <c r="A4364" s="82">
        <v>5</v>
      </c>
      <c r="B4364" s="83" t="s">
        <v>2983</v>
      </c>
      <c r="C4364" s="67" t="s">
        <v>2984</v>
      </c>
      <c r="D4364" s="91">
        <v>2097100</v>
      </c>
      <c r="E4364" s="76">
        <v>155295</v>
      </c>
      <c r="F4364" s="77" t="s">
        <v>10174</v>
      </c>
    </row>
    <row r="4365" spans="1:6">
      <c r="A4365" s="82">
        <v>5</v>
      </c>
      <c r="B4365" s="83" t="s">
        <v>5114</v>
      </c>
      <c r="C4365" s="67" t="s">
        <v>5115</v>
      </c>
      <c r="D4365" s="91">
        <v>575700</v>
      </c>
      <c r="E4365" s="76">
        <v>42630</v>
      </c>
      <c r="F4365" s="77" t="s">
        <v>10174</v>
      </c>
    </row>
    <row r="4366" spans="1:6">
      <c r="A4366" s="82">
        <v>1</v>
      </c>
      <c r="B4366" s="79" t="s">
        <v>8665</v>
      </c>
      <c r="C4366" s="79" t="s">
        <v>8666</v>
      </c>
      <c r="D4366" s="98">
        <v>6799825300</v>
      </c>
      <c r="E4366" s="76">
        <v>266154967.5</v>
      </c>
      <c r="F4366" s="77" t="s">
        <v>10170</v>
      </c>
    </row>
    <row r="4367" spans="1:6">
      <c r="A4367" s="82">
        <v>1</v>
      </c>
      <c r="B4367" s="79" t="s">
        <v>8667</v>
      </c>
      <c r="C4367" s="79" t="s">
        <v>8668</v>
      </c>
      <c r="D4367" s="98">
        <v>6799825300</v>
      </c>
      <c r="E4367" s="76">
        <v>266154967.5</v>
      </c>
      <c r="F4367" s="77" t="s">
        <v>10170</v>
      </c>
    </row>
    <row r="4368" spans="1:6">
      <c r="A4368" s="82">
        <v>1</v>
      </c>
      <c r="B4368" s="82" t="s">
        <v>8669</v>
      </c>
      <c r="C4368" s="79" t="s">
        <v>8670</v>
      </c>
      <c r="D4368" s="98">
        <v>82171700</v>
      </c>
      <c r="E4368" s="87">
        <v>3216317.5</v>
      </c>
      <c r="F4368" s="77" t="s">
        <v>10170</v>
      </c>
    </row>
    <row r="4369" spans="1:6">
      <c r="A4369" s="82">
        <v>1</v>
      </c>
      <c r="B4369" s="79" t="s">
        <v>8671</v>
      </c>
      <c r="C4369" s="79" t="s">
        <v>8672</v>
      </c>
      <c r="D4369" s="98">
        <v>7107883400</v>
      </c>
      <c r="E4369" s="87">
        <v>278212805</v>
      </c>
      <c r="F4369" s="77" t="s">
        <v>10170</v>
      </c>
    </row>
    <row r="4370" spans="1:6">
      <c r="A4370" s="82">
        <v>1</v>
      </c>
      <c r="B4370" s="79" t="s">
        <v>8673</v>
      </c>
      <c r="C4370" s="79" t="s">
        <v>8674</v>
      </c>
      <c r="D4370" s="98">
        <v>7107883400</v>
      </c>
      <c r="E4370" s="87">
        <v>278212805</v>
      </c>
      <c r="F4370" s="77" t="s">
        <v>10170</v>
      </c>
    </row>
    <row r="4371" spans="1:6">
      <c r="A4371" s="82">
        <v>1</v>
      </c>
      <c r="B4371" s="79" t="s">
        <v>8675</v>
      </c>
      <c r="C4371" s="79" t="s">
        <v>8676</v>
      </c>
      <c r="D4371" s="98">
        <v>6833818000</v>
      </c>
      <c r="E4371" s="87">
        <v>267485487.5</v>
      </c>
      <c r="F4371" s="77" t="s">
        <v>10170</v>
      </c>
    </row>
    <row r="4372" spans="1:6">
      <c r="A4372" s="82">
        <v>1</v>
      </c>
      <c r="B4372" s="79" t="s">
        <v>8677</v>
      </c>
      <c r="C4372" s="79" t="s">
        <v>8678</v>
      </c>
      <c r="D4372" s="98">
        <v>6833818000</v>
      </c>
      <c r="E4372" s="87">
        <v>267485487.5</v>
      </c>
      <c r="F4372" s="77" t="s">
        <v>10170</v>
      </c>
    </row>
    <row r="4373" spans="1:6">
      <c r="A4373" s="82">
        <v>1</v>
      </c>
      <c r="B4373" s="79" t="s">
        <v>8679</v>
      </c>
      <c r="C4373" s="79" t="s">
        <v>8680</v>
      </c>
      <c r="D4373" s="98">
        <v>5961692600</v>
      </c>
      <c r="E4373" s="87">
        <v>233640384.99999997</v>
      </c>
      <c r="F4373" s="77" t="s">
        <v>10170</v>
      </c>
    </row>
    <row r="4374" spans="1:6">
      <c r="A4374" s="82">
        <v>1</v>
      </c>
      <c r="B4374" s="79" t="s">
        <v>8681</v>
      </c>
      <c r="C4374" s="79" t="s">
        <v>8682</v>
      </c>
      <c r="D4374" s="98">
        <v>5961692600</v>
      </c>
      <c r="E4374" s="87">
        <v>233640384.99999997</v>
      </c>
      <c r="F4374" s="77" t="s">
        <v>10170</v>
      </c>
    </row>
    <row r="4375" spans="1:6">
      <c r="A4375" s="82">
        <v>1</v>
      </c>
      <c r="B4375" s="79" t="s">
        <v>8683</v>
      </c>
      <c r="C4375" s="79" t="s">
        <v>8684</v>
      </c>
      <c r="D4375" s="98">
        <v>5687968700</v>
      </c>
      <c r="E4375" s="87">
        <v>222913067.5</v>
      </c>
      <c r="F4375" s="77" t="s">
        <v>10170</v>
      </c>
    </row>
    <row r="4376" spans="1:6">
      <c r="A4376" s="82">
        <v>1</v>
      </c>
      <c r="B4376" s="79" t="s">
        <v>8685</v>
      </c>
      <c r="C4376" s="79" t="s">
        <v>8686</v>
      </c>
      <c r="D4376" s="98">
        <v>6256772400</v>
      </c>
      <c r="E4376" s="87">
        <v>245204642.5</v>
      </c>
      <c r="F4376" s="77" t="s">
        <v>10170</v>
      </c>
    </row>
    <row r="4377" spans="1:6">
      <c r="A4377" s="82">
        <v>1</v>
      </c>
      <c r="B4377" s="79" t="s">
        <v>8687</v>
      </c>
      <c r="C4377" s="79" t="s">
        <v>8688</v>
      </c>
      <c r="D4377" s="98">
        <v>5852312600</v>
      </c>
      <c r="E4377" s="87">
        <v>229353750</v>
      </c>
      <c r="F4377" s="77" t="s">
        <v>10170</v>
      </c>
    </row>
    <row r="4378" spans="1:6">
      <c r="A4378" s="82">
        <v>1</v>
      </c>
      <c r="B4378" s="79" t="s">
        <v>8689</v>
      </c>
      <c r="C4378" s="79" t="s">
        <v>8690</v>
      </c>
      <c r="D4378" s="98">
        <v>4894709900</v>
      </c>
      <c r="E4378" s="87">
        <v>191825038.5</v>
      </c>
      <c r="F4378" s="77" t="s">
        <v>10170</v>
      </c>
    </row>
    <row r="4379" spans="1:6">
      <c r="A4379" s="82">
        <v>1</v>
      </c>
      <c r="B4379" s="79" t="s">
        <v>8691</v>
      </c>
      <c r="C4379" s="79" t="s">
        <v>8692</v>
      </c>
      <c r="D4379" s="98">
        <v>4894709900</v>
      </c>
      <c r="E4379" s="87">
        <v>191825038.5</v>
      </c>
      <c r="F4379" s="77" t="s">
        <v>10170</v>
      </c>
    </row>
    <row r="4380" spans="1:6">
      <c r="A4380" s="82">
        <v>1</v>
      </c>
      <c r="B4380" s="79" t="s">
        <v>8693</v>
      </c>
      <c r="C4380" s="79" t="s">
        <v>8694</v>
      </c>
      <c r="D4380" s="98">
        <v>4860773400</v>
      </c>
      <c r="E4380" s="87">
        <v>190495055</v>
      </c>
      <c r="F4380" s="77" t="s">
        <v>10170</v>
      </c>
    </row>
    <row r="4381" spans="1:6">
      <c r="A4381" s="82">
        <v>1</v>
      </c>
      <c r="B4381" s="79" t="s">
        <v>8695</v>
      </c>
      <c r="C4381" s="79" t="s">
        <v>8696</v>
      </c>
      <c r="D4381" s="98">
        <v>4860773400</v>
      </c>
      <c r="E4381" s="87">
        <v>190495055</v>
      </c>
      <c r="F4381" s="77" t="s">
        <v>10170</v>
      </c>
    </row>
    <row r="4382" spans="1:6">
      <c r="A4382" s="82">
        <v>1</v>
      </c>
      <c r="B4382" s="79" t="s">
        <v>8697</v>
      </c>
      <c r="C4382" s="79" t="s">
        <v>8698</v>
      </c>
      <c r="D4382" s="98">
        <v>4620986000</v>
      </c>
      <c r="E4382" s="87">
        <v>181097721</v>
      </c>
      <c r="F4382" s="77" t="s">
        <v>10170</v>
      </c>
    </row>
    <row r="4383" spans="1:6">
      <c r="A4383" s="82">
        <v>1</v>
      </c>
      <c r="B4383" s="79" t="s">
        <v>8699</v>
      </c>
      <c r="C4383" s="79" t="s">
        <v>8700</v>
      </c>
      <c r="D4383" s="98">
        <v>4620986000</v>
      </c>
      <c r="E4383" s="87">
        <v>181097721</v>
      </c>
      <c r="F4383" s="77" t="s">
        <v>10170</v>
      </c>
    </row>
    <row r="4384" spans="1:6">
      <c r="A4384" s="82">
        <v>1</v>
      </c>
      <c r="B4384" s="79" t="s">
        <v>8701</v>
      </c>
      <c r="C4384" s="79" t="s">
        <v>8702</v>
      </c>
      <c r="D4384" s="98">
        <v>4587049400</v>
      </c>
      <c r="E4384" s="87">
        <v>179767737.5</v>
      </c>
      <c r="F4384" s="77" t="s">
        <v>10170</v>
      </c>
    </row>
    <row r="4385" spans="1:6">
      <c r="A4385" s="82">
        <v>1</v>
      </c>
      <c r="B4385" s="79" t="s">
        <v>8703</v>
      </c>
      <c r="C4385" s="79" t="s">
        <v>8704</v>
      </c>
      <c r="D4385" s="98">
        <v>4587049400</v>
      </c>
      <c r="E4385" s="87">
        <v>179767737.5</v>
      </c>
      <c r="F4385" s="77" t="s">
        <v>10170</v>
      </c>
    </row>
    <row r="4386" spans="1:6">
      <c r="A4386" s="82">
        <v>1</v>
      </c>
      <c r="B4386" s="79" t="s">
        <v>8705</v>
      </c>
      <c r="C4386" s="79" t="s">
        <v>8706</v>
      </c>
      <c r="D4386" s="98">
        <v>3757376300</v>
      </c>
      <c r="E4386" s="87">
        <v>147252618.5</v>
      </c>
      <c r="F4386" s="77" t="s">
        <v>10170</v>
      </c>
    </row>
    <row r="4387" spans="1:6">
      <c r="A4387" s="82">
        <v>1</v>
      </c>
      <c r="B4387" s="79" t="s">
        <v>8707</v>
      </c>
      <c r="C4387" s="79" t="s">
        <v>8708</v>
      </c>
      <c r="D4387" s="98">
        <v>3757376300</v>
      </c>
      <c r="E4387" s="87">
        <v>147252618.5</v>
      </c>
      <c r="F4387" s="77" t="s">
        <v>10170</v>
      </c>
    </row>
    <row r="4388" spans="1:6">
      <c r="A4388" s="82">
        <v>1</v>
      </c>
      <c r="B4388" s="79" t="s">
        <v>8709</v>
      </c>
      <c r="C4388" s="79" t="s">
        <v>8710</v>
      </c>
      <c r="D4388" s="98">
        <v>3723439700</v>
      </c>
      <c r="E4388" s="87">
        <v>145922635</v>
      </c>
      <c r="F4388" s="77" t="s">
        <v>10170</v>
      </c>
    </row>
    <row r="4389" spans="1:6">
      <c r="A4389" s="82">
        <v>1</v>
      </c>
      <c r="B4389" s="79" t="s">
        <v>8711</v>
      </c>
      <c r="C4389" s="79" t="s">
        <v>8712</v>
      </c>
      <c r="D4389" s="98">
        <v>3723439700</v>
      </c>
      <c r="E4389" s="87">
        <v>145922635</v>
      </c>
      <c r="F4389" s="77" t="s">
        <v>10170</v>
      </c>
    </row>
    <row r="4390" spans="1:6">
      <c r="A4390" s="82">
        <v>1</v>
      </c>
      <c r="B4390" s="79" t="s">
        <v>8713</v>
      </c>
      <c r="C4390" s="79" t="s">
        <v>8714</v>
      </c>
      <c r="D4390" s="98">
        <v>3483652400</v>
      </c>
      <c r="E4390" s="87">
        <v>136525301</v>
      </c>
      <c r="F4390" s="77" t="s">
        <v>10170</v>
      </c>
    </row>
    <row r="4391" spans="1:6">
      <c r="A4391" s="82">
        <v>1</v>
      </c>
      <c r="B4391" s="79" t="s">
        <v>8715</v>
      </c>
      <c r="C4391" s="79" t="s">
        <v>8716</v>
      </c>
      <c r="D4391" s="98">
        <v>3483652400</v>
      </c>
      <c r="E4391" s="87">
        <v>136525301</v>
      </c>
      <c r="F4391" s="77" t="s">
        <v>10170</v>
      </c>
    </row>
    <row r="4392" spans="1:6">
      <c r="A4392" s="82">
        <v>1</v>
      </c>
      <c r="B4392" s="79" t="s">
        <v>8717</v>
      </c>
      <c r="C4392" s="79" t="s">
        <v>8718</v>
      </c>
      <c r="D4392" s="98">
        <v>3794694200</v>
      </c>
      <c r="E4392" s="87">
        <v>148715117.5</v>
      </c>
      <c r="F4392" s="77" t="s">
        <v>10170</v>
      </c>
    </row>
    <row r="4393" spans="1:6">
      <c r="A4393" s="82">
        <v>1</v>
      </c>
      <c r="B4393" s="79" t="s">
        <v>8719</v>
      </c>
      <c r="C4393" s="79" t="s">
        <v>8720</v>
      </c>
      <c r="D4393" s="98">
        <v>3794694200</v>
      </c>
      <c r="E4393" s="87">
        <v>148715117.5</v>
      </c>
      <c r="F4393" s="77" t="s">
        <v>10170</v>
      </c>
    </row>
    <row r="4394" spans="1:6">
      <c r="A4394" s="82">
        <v>1</v>
      </c>
      <c r="B4394" s="79" t="s">
        <v>8721</v>
      </c>
      <c r="C4394" s="79" t="s">
        <v>8722</v>
      </c>
      <c r="D4394" s="98">
        <v>3423294800</v>
      </c>
      <c r="E4394" s="87">
        <v>134159872.5</v>
      </c>
      <c r="F4394" s="77" t="s">
        <v>10170</v>
      </c>
    </row>
    <row r="4395" spans="1:6">
      <c r="A4395" s="82">
        <v>1</v>
      </c>
      <c r="B4395" s="79" t="s">
        <v>8723</v>
      </c>
      <c r="C4395" s="79" t="s">
        <v>8724</v>
      </c>
      <c r="D4395" s="98">
        <v>5483363600</v>
      </c>
      <c r="E4395" s="87">
        <v>214894538.5</v>
      </c>
      <c r="F4395" s="77" t="s">
        <v>10170</v>
      </c>
    </row>
    <row r="4396" spans="1:6">
      <c r="A4396" s="82">
        <v>1</v>
      </c>
      <c r="B4396" s="79" t="s">
        <v>8725</v>
      </c>
      <c r="C4396" s="79" t="s">
        <v>8726</v>
      </c>
      <c r="D4396" s="98">
        <v>5483363600</v>
      </c>
      <c r="E4396" s="87">
        <v>214894538.5</v>
      </c>
      <c r="F4396" s="77" t="s">
        <v>10170</v>
      </c>
    </row>
    <row r="4397" spans="1:6">
      <c r="A4397" s="82">
        <v>1</v>
      </c>
      <c r="B4397" s="79" t="s">
        <v>8727</v>
      </c>
      <c r="C4397" s="79" t="s">
        <v>8728</v>
      </c>
      <c r="D4397" s="98">
        <v>5449427000</v>
      </c>
      <c r="E4397" s="87">
        <v>213564555</v>
      </c>
      <c r="F4397" s="77" t="s">
        <v>10170</v>
      </c>
    </row>
    <row r="4398" spans="1:6">
      <c r="A4398" s="82">
        <v>1</v>
      </c>
      <c r="B4398" s="79" t="s">
        <v>8729</v>
      </c>
      <c r="C4398" s="79" t="s">
        <v>8730</v>
      </c>
      <c r="D4398" s="98">
        <v>5449427000</v>
      </c>
      <c r="E4398" s="87">
        <v>213564555</v>
      </c>
      <c r="F4398" s="77" t="s">
        <v>10170</v>
      </c>
    </row>
    <row r="4399" spans="1:6">
      <c r="A4399" s="82">
        <v>1</v>
      </c>
      <c r="B4399" s="79" t="s">
        <v>8731</v>
      </c>
      <c r="C4399" s="79" t="s">
        <v>8732</v>
      </c>
      <c r="D4399" s="98">
        <v>5278087700</v>
      </c>
      <c r="E4399" s="87">
        <v>206849721.00000003</v>
      </c>
      <c r="F4399" s="77" t="s">
        <v>10170</v>
      </c>
    </row>
    <row r="4400" spans="1:6">
      <c r="A4400" s="82">
        <v>1</v>
      </c>
      <c r="B4400" s="79" t="s">
        <v>8733</v>
      </c>
      <c r="C4400" s="79" t="s">
        <v>8734</v>
      </c>
      <c r="D4400" s="98">
        <v>5278087700</v>
      </c>
      <c r="E4400" s="87">
        <v>206849721.00000003</v>
      </c>
      <c r="F4400" s="77" t="s">
        <v>10170</v>
      </c>
    </row>
    <row r="4401" spans="1:6">
      <c r="A4401" s="82">
        <v>1</v>
      </c>
      <c r="B4401" s="79" t="s">
        <v>8735</v>
      </c>
      <c r="C4401" s="79" t="s">
        <v>8736</v>
      </c>
      <c r="D4401" s="98">
        <v>5244151200</v>
      </c>
      <c r="E4401" s="87">
        <v>205519737.5</v>
      </c>
      <c r="F4401" s="77" t="s">
        <v>10170</v>
      </c>
    </row>
    <row r="4402" spans="1:6">
      <c r="A4402" s="82">
        <v>1</v>
      </c>
      <c r="B4402" s="79" t="s">
        <v>8737</v>
      </c>
      <c r="C4402" s="79" t="s">
        <v>8738</v>
      </c>
      <c r="D4402" s="98">
        <v>5244151200</v>
      </c>
      <c r="E4402" s="87">
        <v>205519737.5</v>
      </c>
      <c r="F4402" s="77" t="s">
        <v>10170</v>
      </c>
    </row>
    <row r="4403" spans="1:6">
      <c r="A4403" s="82">
        <v>1</v>
      </c>
      <c r="B4403" s="79" t="s">
        <v>8739</v>
      </c>
      <c r="C4403" s="79" t="s">
        <v>8740</v>
      </c>
      <c r="D4403" s="98">
        <v>4346030000</v>
      </c>
      <c r="E4403" s="87">
        <v>170322118.5</v>
      </c>
      <c r="F4403" s="77" t="s">
        <v>10170</v>
      </c>
    </row>
    <row r="4404" spans="1:6">
      <c r="A4404" s="82">
        <v>1</v>
      </c>
      <c r="B4404" s="79" t="s">
        <v>8741</v>
      </c>
      <c r="C4404" s="79" t="s">
        <v>8742</v>
      </c>
      <c r="D4404" s="98">
        <v>4346030000</v>
      </c>
      <c r="E4404" s="87">
        <v>170322118.5</v>
      </c>
      <c r="F4404" s="77" t="s">
        <v>10170</v>
      </c>
    </row>
    <row r="4405" spans="1:6">
      <c r="A4405" s="82">
        <v>1</v>
      </c>
      <c r="B4405" s="79" t="s">
        <v>8743</v>
      </c>
      <c r="C4405" s="79" t="s">
        <v>8744</v>
      </c>
      <c r="D4405" s="98">
        <v>4312093400</v>
      </c>
      <c r="E4405" s="87">
        <v>168992135</v>
      </c>
      <c r="F4405" s="77" t="s">
        <v>10170</v>
      </c>
    </row>
    <row r="4406" spans="1:6">
      <c r="A4406" s="82">
        <v>1</v>
      </c>
      <c r="B4406" s="79" t="s">
        <v>8745</v>
      </c>
      <c r="C4406" s="79" t="s">
        <v>8746</v>
      </c>
      <c r="D4406" s="98">
        <v>4312093400</v>
      </c>
      <c r="E4406" s="87">
        <v>168992135</v>
      </c>
      <c r="F4406" s="77" t="s">
        <v>10170</v>
      </c>
    </row>
    <row r="4407" spans="1:6">
      <c r="A4407" s="82">
        <v>1</v>
      </c>
      <c r="B4407" s="79" t="s">
        <v>8747</v>
      </c>
      <c r="C4407" s="79" t="s">
        <v>8748</v>
      </c>
      <c r="D4407" s="98">
        <v>4140754100</v>
      </c>
      <c r="E4407" s="87">
        <v>162277301</v>
      </c>
      <c r="F4407" s="77" t="s">
        <v>10170</v>
      </c>
    </row>
    <row r="4408" spans="1:6">
      <c r="A4408" s="82">
        <v>1</v>
      </c>
      <c r="B4408" s="79" t="s">
        <v>8749</v>
      </c>
      <c r="C4408" s="79" t="s">
        <v>8750</v>
      </c>
      <c r="D4408" s="98">
        <v>4140754100</v>
      </c>
      <c r="E4408" s="87">
        <v>162277301</v>
      </c>
      <c r="F4408" s="77" t="s">
        <v>10170</v>
      </c>
    </row>
    <row r="4409" spans="1:6">
      <c r="A4409" s="82">
        <v>1</v>
      </c>
      <c r="B4409" s="79" t="s">
        <v>8751</v>
      </c>
      <c r="C4409" s="79" t="s">
        <v>8752</v>
      </c>
      <c r="D4409" s="98">
        <v>4517506200</v>
      </c>
      <c r="E4409" s="87">
        <v>177042317.5</v>
      </c>
      <c r="F4409" s="77" t="s">
        <v>10170</v>
      </c>
    </row>
    <row r="4410" spans="1:6">
      <c r="A4410" s="82">
        <v>1</v>
      </c>
      <c r="B4410" s="79" t="s">
        <v>8753</v>
      </c>
      <c r="C4410" s="79" t="s">
        <v>8754</v>
      </c>
      <c r="D4410" s="98">
        <v>4517506200</v>
      </c>
      <c r="E4410" s="87">
        <v>177042317.5</v>
      </c>
      <c r="F4410" s="77" t="s">
        <v>10170</v>
      </c>
    </row>
    <row r="4411" spans="1:6">
      <c r="A4411" s="82">
        <v>1</v>
      </c>
      <c r="B4411" s="79" t="s">
        <v>8755</v>
      </c>
      <c r="C4411" s="79" t="s">
        <v>8756</v>
      </c>
      <c r="D4411" s="98">
        <v>4085872400</v>
      </c>
      <c r="E4411" s="87">
        <v>160126472.5</v>
      </c>
      <c r="F4411" s="77" t="s">
        <v>10170</v>
      </c>
    </row>
    <row r="4412" spans="1:6">
      <c r="A4412" s="82">
        <v>1</v>
      </c>
      <c r="B4412" s="79" t="s">
        <v>8757</v>
      </c>
      <c r="C4412" s="79" t="s">
        <v>8758</v>
      </c>
      <c r="D4412" s="98">
        <v>8023144000</v>
      </c>
      <c r="E4412" s="87">
        <v>314429237.5</v>
      </c>
      <c r="F4412" s="77" t="s">
        <v>10170</v>
      </c>
    </row>
    <row r="4413" spans="1:6">
      <c r="A4413" s="82">
        <v>1</v>
      </c>
      <c r="B4413" s="79" t="s">
        <v>8759</v>
      </c>
      <c r="C4413" s="79" t="s">
        <v>8760</v>
      </c>
      <c r="D4413" s="98">
        <v>7159534400</v>
      </c>
      <c r="E4413" s="87">
        <v>280584135</v>
      </c>
      <c r="F4413" s="77" t="s">
        <v>10170</v>
      </c>
    </row>
    <row r="4414" spans="1:6">
      <c r="A4414" s="82">
        <v>1</v>
      </c>
      <c r="B4414" s="79" t="s">
        <v>8761</v>
      </c>
      <c r="C4414" s="79" t="s">
        <v>8762</v>
      </c>
      <c r="D4414" s="98">
        <v>8296868000</v>
      </c>
      <c r="E4414" s="87">
        <v>325156555</v>
      </c>
      <c r="F4414" s="77" t="s">
        <v>10170</v>
      </c>
    </row>
    <row r="4415" spans="1:6">
      <c r="A4415" s="82">
        <v>1</v>
      </c>
      <c r="B4415" s="79" t="s">
        <v>8763</v>
      </c>
      <c r="C4415" s="79" t="s">
        <v>8764</v>
      </c>
      <c r="D4415" s="98">
        <v>7159534400</v>
      </c>
      <c r="E4415" s="87">
        <v>280584135</v>
      </c>
      <c r="F4415" s="77" t="s">
        <v>10170</v>
      </c>
    </row>
    <row r="4416" spans="1:6">
      <c r="A4416" s="82">
        <v>1</v>
      </c>
      <c r="B4416" s="79" t="s">
        <v>8765</v>
      </c>
      <c r="C4416" s="79" t="s">
        <v>8766</v>
      </c>
      <c r="D4416" s="98">
        <v>8296868000</v>
      </c>
      <c r="E4416" s="87">
        <v>325156555</v>
      </c>
      <c r="F4416" s="77" t="s">
        <v>10170</v>
      </c>
    </row>
    <row r="4417" spans="1:6">
      <c r="A4417" s="82">
        <v>1</v>
      </c>
      <c r="B4417" s="79" t="s">
        <v>8767</v>
      </c>
      <c r="C4417" s="79" t="s">
        <v>8768</v>
      </c>
      <c r="D4417" s="98">
        <v>8023144000</v>
      </c>
      <c r="E4417" s="87">
        <v>314429237.5</v>
      </c>
      <c r="F4417" s="77" t="s">
        <v>10170</v>
      </c>
    </row>
    <row r="4418" spans="1:6">
      <c r="A4418" s="82">
        <v>1</v>
      </c>
      <c r="B4418" s="79" t="s">
        <v>8769</v>
      </c>
      <c r="C4418" s="79" t="s">
        <v>8770</v>
      </c>
      <c r="D4418" s="98">
        <v>6885810400</v>
      </c>
      <c r="E4418" s="87">
        <v>269856817.5</v>
      </c>
      <c r="F4418" s="77" t="s">
        <v>10170</v>
      </c>
    </row>
    <row r="4419" spans="1:6">
      <c r="A4419" s="82">
        <v>1</v>
      </c>
      <c r="B4419" s="79" t="s">
        <v>8771</v>
      </c>
      <c r="C4419" s="79" t="s">
        <v>8772</v>
      </c>
      <c r="D4419" s="98">
        <v>7574398300</v>
      </c>
      <c r="E4419" s="87">
        <v>296842767.5</v>
      </c>
      <c r="F4419" s="77" t="s">
        <v>10170</v>
      </c>
    </row>
    <row r="4420" spans="1:6">
      <c r="A4420" s="82">
        <v>1</v>
      </c>
      <c r="B4420" s="79" t="s">
        <v>8773</v>
      </c>
      <c r="C4420" s="79" t="s">
        <v>8774</v>
      </c>
      <c r="D4420" s="98">
        <v>7109704100</v>
      </c>
      <c r="E4420" s="87">
        <v>278631275</v>
      </c>
      <c r="F4420" s="77" t="s">
        <v>10170</v>
      </c>
    </row>
    <row r="4421" spans="1:6">
      <c r="A4421" s="82">
        <v>1</v>
      </c>
      <c r="B4421" s="79" t="s">
        <v>8775</v>
      </c>
      <c r="C4421" s="79" t="s">
        <v>6061</v>
      </c>
      <c r="D4421" s="98">
        <v>5902895700</v>
      </c>
      <c r="E4421" s="87">
        <v>231336117.5</v>
      </c>
      <c r="F4421" s="77" t="s">
        <v>10170</v>
      </c>
    </row>
    <row r="4422" spans="1:6">
      <c r="A4422" s="82">
        <v>1</v>
      </c>
      <c r="B4422" s="79" t="s">
        <v>8776</v>
      </c>
      <c r="C4422" s="79" t="s">
        <v>6091</v>
      </c>
      <c r="D4422" s="98">
        <v>3351971900</v>
      </c>
      <c r="E4422" s="87">
        <v>131364707.50000001</v>
      </c>
      <c r="F4422" s="77" t="s">
        <v>10170</v>
      </c>
    </row>
    <row r="4423" spans="1:6">
      <c r="A4423" s="82">
        <v>1</v>
      </c>
      <c r="B4423" s="79" t="s">
        <v>8777</v>
      </c>
      <c r="C4423" s="79" t="s">
        <v>6093</v>
      </c>
      <c r="D4423" s="98">
        <v>3351971900</v>
      </c>
      <c r="E4423" s="87">
        <v>131364707.50000001</v>
      </c>
      <c r="F4423" s="77" t="s">
        <v>10170</v>
      </c>
    </row>
    <row r="4424" spans="1:6">
      <c r="A4424" s="82">
        <v>1</v>
      </c>
      <c r="B4424" s="79" t="s">
        <v>8778</v>
      </c>
      <c r="C4424" s="79" t="s">
        <v>8779</v>
      </c>
      <c r="D4424" s="98">
        <v>1601343300</v>
      </c>
      <c r="E4424" s="87">
        <v>62757087.5</v>
      </c>
      <c r="F4424" s="77" t="s">
        <v>10170</v>
      </c>
    </row>
    <row r="4425" spans="1:6">
      <c r="A4425" s="82">
        <v>1</v>
      </c>
      <c r="B4425" s="79" t="s">
        <v>8780</v>
      </c>
      <c r="C4425" s="79" t="s">
        <v>8781</v>
      </c>
      <c r="D4425" s="98">
        <v>736570000</v>
      </c>
      <c r="E4425" s="87">
        <v>28866382.499999996</v>
      </c>
      <c r="F4425" s="77" t="s">
        <v>10170</v>
      </c>
    </row>
    <row r="4426" spans="1:6">
      <c r="A4426" s="82">
        <v>1</v>
      </c>
      <c r="B4426" s="79" t="s">
        <v>8782</v>
      </c>
      <c r="C4426" s="79" t="s">
        <v>8783</v>
      </c>
      <c r="D4426" s="98">
        <v>2889741900</v>
      </c>
      <c r="E4426" s="87">
        <v>113249785</v>
      </c>
      <c r="F4426" s="77" t="s">
        <v>10170</v>
      </c>
    </row>
    <row r="4427" spans="1:6">
      <c r="A4427" s="82">
        <v>1</v>
      </c>
      <c r="B4427" s="79" t="s">
        <v>8784</v>
      </c>
      <c r="C4427" s="79" t="s">
        <v>8785</v>
      </c>
      <c r="D4427" s="98">
        <v>2633609100</v>
      </c>
      <c r="E4427" s="87">
        <v>103211870.00000001</v>
      </c>
      <c r="F4427" s="77" t="s">
        <v>10170</v>
      </c>
    </row>
    <row r="4428" spans="1:6">
      <c r="A4428" s="82">
        <v>1</v>
      </c>
      <c r="B4428" s="79" t="s">
        <v>8786</v>
      </c>
      <c r="C4428" s="79" t="s">
        <v>8787</v>
      </c>
      <c r="D4428" s="98">
        <v>301103200</v>
      </c>
      <c r="E4428" s="87">
        <v>11800317.5</v>
      </c>
      <c r="F4428" s="77" t="s">
        <v>10170</v>
      </c>
    </row>
    <row r="4429" spans="1:6">
      <c r="A4429" s="82">
        <v>1</v>
      </c>
      <c r="B4429" s="79" t="s">
        <v>8788</v>
      </c>
      <c r="C4429" s="79" t="s">
        <v>8789</v>
      </c>
      <c r="D4429" s="98">
        <v>1091884100</v>
      </c>
      <c r="E4429" s="87">
        <v>42791240</v>
      </c>
      <c r="F4429" s="77" t="s">
        <v>10170</v>
      </c>
    </row>
    <row r="4430" spans="1:6">
      <c r="A4430" s="82">
        <v>1</v>
      </c>
      <c r="B4430" s="79" t="s">
        <v>8790</v>
      </c>
      <c r="C4430" s="79" t="s">
        <v>8791</v>
      </c>
      <c r="D4430" s="98">
        <v>1091884100</v>
      </c>
      <c r="E4430" s="87">
        <v>42791240</v>
      </c>
      <c r="F4430" s="77" t="s">
        <v>10170</v>
      </c>
    </row>
    <row r="4431" spans="1:6">
      <c r="A4431" s="82">
        <v>1</v>
      </c>
      <c r="B4431" s="79" t="s">
        <v>8792</v>
      </c>
      <c r="C4431" s="79" t="s">
        <v>8793</v>
      </c>
      <c r="D4431" s="98">
        <v>1055948800</v>
      </c>
      <c r="E4431" s="87">
        <v>41382927.5</v>
      </c>
      <c r="F4431" s="77" t="s">
        <v>10170</v>
      </c>
    </row>
    <row r="4432" spans="1:6">
      <c r="A4432" s="82">
        <v>1</v>
      </c>
      <c r="B4432" s="79" t="s">
        <v>8794</v>
      </c>
      <c r="C4432" s="79" t="s">
        <v>8795</v>
      </c>
      <c r="D4432" s="98">
        <v>756159900</v>
      </c>
      <c r="E4432" s="87">
        <v>29634114</v>
      </c>
      <c r="F4432" s="77" t="s">
        <v>10170</v>
      </c>
    </row>
    <row r="4433" spans="1:6">
      <c r="A4433" s="82">
        <v>1</v>
      </c>
      <c r="B4433" s="79" t="s">
        <v>8796</v>
      </c>
      <c r="C4433" s="79" t="s">
        <v>8797</v>
      </c>
      <c r="D4433" s="98">
        <v>756159900</v>
      </c>
      <c r="E4433" s="87">
        <v>29634114</v>
      </c>
      <c r="F4433" s="77" t="s">
        <v>10170</v>
      </c>
    </row>
    <row r="4434" spans="1:6">
      <c r="A4434" s="82">
        <v>1</v>
      </c>
      <c r="B4434" s="79" t="s">
        <v>8798</v>
      </c>
      <c r="C4434" s="79" t="s">
        <v>8799</v>
      </c>
      <c r="D4434" s="98">
        <v>1162727900</v>
      </c>
      <c r="E4434" s="87">
        <v>45567627.5</v>
      </c>
      <c r="F4434" s="77" t="s">
        <v>10170</v>
      </c>
    </row>
    <row r="4435" spans="1:6">
      <c r="A4435" s="82">
        <v>1</v>
      </c>
      <c r="B4435" s="79" t="s">
        <v>8800</v>
      </c>
      <c r="C4435" s="79" t="s">
        <v>8801</v>
      </c>
      <c r="D4435" s="98">
        <v>1162727900</v>
      </c>
      <c r="E4435" s="87">
        <v>45567627.5</v>
      </c>
      <c r="F4435" s="77" t="s">
        <v>10170</v>
      </c>
    </row>
    <row r="4436" spans="1:6">
      <c r="A4436" s="82">
        <v>1</v>
      </c>
      <c r="B4436" s="79" t="s">
        <v>8802</v>
      </c>
      <c r="C4436" s="79" t="s">
        <v>8803</v>
      </c>
      <c r="D4436" s="98">
        <v>1126792600</v>
      </c>
      <c r="E4436" s="87">
        <v>44159315</v>
      </c>
      <c r="F4436" s="77" t="s">
        <v>10170</v>
      </c>
    </row>
    <row r="4437" spans="1:6">
      <c r="A4437" s="82">
        <v>1</v>
      </c>
      <c r="B4437" s="79" t="s">
        <v>8804</v>
      </c>
      <c r="C4437" s="79" t="s">
        <v>8805</v>
      </c>
      <c r="D4437" s="98">
        <v>827003600</v>
      </c>
      <c r="E4437" s="87">
        <v>32410501.5</v>
      </c>
      <c r="F4437" s="77" t="s">
        <v>10170</v>
      </c>
    </row>
    <row r="4438" spans="1:6">
      <c r="A4438" s="82">
        <v>1</v>
      </c>
      <c r="B4438" s="79" t="s">
        <v>8806</v>
      </c>
      <c r="C4438" s="79" t="s">
        <v>8807</v>
      </c>
      <c r="D4438" s="98">
        <v>827003600</v>
      </c>
      <c r="E4438" s="87">
        <v>32410501.5</v>
      </c>
      <c r="F4438" s="77" t="s">
        <v>10170</v>
      </c>
    </row>
    <row r="4439" spans="1:6">
      <c r="A4439" s="82">
        <v>1</v>
      </c>
      <c r="B4439" s="79" t="s">
        <v>8808</v>
      </c>
      <c r="C4439" s="79" t="s">
        <v>8809</v>
      </c>
      <c r="D4439" s="98">
        <v>102603700</v>
      </c>
      <c r="E4439" s="87">
        <v>4021067.5</v>
      </c>
      <c r="F4439" s="77" t="s">
        <v>10170</v>
      </c>
    </row>
    <row r="4440" spans="1:6">
      <c r="A4440" s="82">
        <v>1</v>
      </c>
      <c r="B4440" s="79" t="s">
        <v>8810</v>
      </c>
      <c r="C4440" s="79" t="s">
        <v>8811</v>
      </c>
      <c r="D4440" s="98">
        <v>213215800</v>
      </c>
      <c r="E4440" s="87">
        <v>8355987.5</v>
      </c>
      <c r="F4440" s="77" t="s">
        <v>10170</v>
      </c>
    </row>
    <row r="4441" spans="1:6">
      <c r="A4441" s="82">
        <v>1</v>
      </c>
      <c r="B4441" s="79" t="s">
        <v>8812</v>
      </c>
      <c r="C4441" s="79" t="s">
        <v>8813</v>
      </c>
      <c r="D4441" s="98">
        <v>160305500</v>
      </c>
      <c r="E4441" s="87">
        <v>6282415</v>
      </c>
      <c r="F4441" s="77" t="s">
        <v>10170</v>
      </c>
    </row>
    <row r="4442" spans="1:6">
      <c r="A4442" s="82">
        <v>1</v>
      </c>
      <c r="B4442" s="82" t="s">
        <v>8814</v>
      </c>
      <c r="C4442" s="79" t="s">
        <v>8815</v>
      </c>
      <c r="D4442" s="98">
        <v>349016900</v>
      </c>
      <c r="E4442" s="87">
        <v>13678067.5</v>
      </c>
      <c r="F4442" s="77" t="s">
        <v>10170</v>
      </c>
    </row>
    <row r="4443" spans="1:6">
      <c r="A4443" s="82">
        <v>1</v>
      </c>
      <c r="B4443" s="79" t="s">
        <v>8816</v>
      </c>
      <c r="C4443" s="79" t="s">
        <v>8817</v>
      </c>
      <c r="D4443" s="98">
        <v>205275900</v>
      </c>
      <c r="E4443" s="87">
        <v>8044817.4999999991</v>
      </c>
      <c r="F4443" s="77" t="s">
        <v>10170</v>
      </c>
    </row>
    <row r="4444" spans="1:6">
      <c r="A4444" s="82">
        <v>1</v>
      </c>
      <c r="B4444" s="82" t="s">
        <v>8818</v>
      </c>
      <c r="C4444" s="79" t="s">
        <v>8819</v>
      </c>
      <c r="D4444" s="98">
        <v>127532500</v>
      </c>
      <c r="E4444" s="87">
        <v>4998034</v>
      </c>
      <c r="F4444" s="77" t="s">
        <v>10170</v>
      </c>
    </row>
    <row r="4445" spans="1:6">
      <c r="A4445" s="82">
        <v>1</v>
      </c>
      <c r="B4445" s="82" t="s">
        <v>8820</v>
      </c>
      <c r="C4445" s="79" t="s">
        <v>8821</v>
      </c>
      <c r="D4445" s="98">
        <v>116293300</v>
      </c>
      <c r="E4445" s="87">
        <v>4557567.5</v>
      </c>
      <c r="F4445" s="77" t="s">
        <v>10170</v>
      </c>
    </row>
    <row r="4446" spans="1:6">
      <c r="A4446" s="82">
        <v>1</v>
      </c>
      <c r="B4446" s="82" t="s">
        <v>8822</v>
      </c>
      <c r="C4446" s="79" t="s">
        <v>8823</v>
      </c>
      <c r="D4446" s="98">
        <v>34840100</v>
      </c>
      <c r="E4446" s="87">
        <v>1365392.5</v>
      </c>
      <c r="F4446" s="77" t="s">
        <v>10170</v>
      </c>
    </row>
    <row r="4447" spans="1:6">
      <c r="A4447" s="82">
        <v>1</v>
      </c>
      <c r="B4447" s="82" t="s">
        <v>8824</v>
      </c>
      <c r="C4447" s="79" t="s">
        <v>8825</v>
      </c>
      <c r="D4447" s="98">
        <v>34840100</v>
      </c>
      <c r="E4447" s="87">
        <v>1365392.5</v>
      </c>
      <c r="F4447" s="77" t="s">
        <v>10170</v>
      </c>
    </row>
    <row r="4448" spans="1:6">
      <c r="A4448" s="82">
        <v>1</v>
      </c>
      <c r="B4448" s="79" t="s">
        <v>8826</v>
      </c>
      <c r="C4448" s="79" t="s">
        <v>8827</v>
      </c>
      <c r="D4448" s="98">
        <v>34155600</v>
      </c>
      <c r="E4448" s="87">
        <v>1338567.5</v>
      </c>
      <c r="F4448" s="77" t="s">
        <v>10170</v>
      </c>
    </row>
    <row r="4449" spans="1:6">
      <c r="A4449" s="82">
        <v>1</v>
      </c>
      <c r="B4449" s="82" t="s">
        <v>8828</v>
      </c>
      <c r="C4449" s="79" t="s">
        <v>8829</v>
      </c>
      <c r="D4449" s="98">
        <v>342200</v>
      </c>
      <c r="E4449" s="87">
        <v>13412.5</v>
      </c>
      <c r="F4449" s="77" t="s">
        <v>10170</v>
      </c>
    </row>
    <row r="4450" spans="1:6">
      <c r="A4450" s="82">
        <v>1</v>
      </c>
      <c r="B4450" s="79" t="s">
        <v>8830</v>
      </c>
      <c r="C4450" s="79" t="s">
        <v>8831</v>
      </c>
      <c r="D4450" s="98">
        <v>1163600</v>
      </c>
      <c r="E4450" s="87">
        <v>45602.5</v>
      </c>
      <c r="F4450" s="77" t="s">
        <v>10170</v>
      </c>
    </row>
    <row r="4451" spans="1:6">
      <c r="A4451" s="82">
        <v>1</v>
      </c>
      <c r="B4451" s="82" t="s">
        <v>8832</v>
      </c>
      <c r="C4451" s="79" t="s">
        <v>8833</v>
      </c>
      <c r="D4451" s="98">
        <v>4928300</v>
      </c>
      <c r="E4451" s="87">
        <v>193139.99999999997</v>
      </c>
      <c r="F4451" s="77" t="s">
        <v>10170</v>
      </c>
    </row>
    <row r="4452" spans="1:6">
      <c r="A4452" s="82">
        <v>1</v>
      </c>
      <c r="B4452" s="82" t="s">
        <v>8834</v>
      </c>
      <c r="C4452" s="79" t="s">
        <v>8835</v>
      </c>
      <c r="D4452" s="98">
        <v>2053400</v>
      </c>
      <c r="E4452" s="87">
        <v>80475</v>
      </c>
      <c r="F4452" s="77" t="s">
        <v>10170</v>
      </c>
    </row>
    <row r="4453" spans="1:6">
      <c r="A4453" s="82">
        <v>1</v>
      </c>
      <c r="B4453" s="79" t="s">
        <v>8836</v>
      </c>
      <c r="C4453" s="79" t="s">
        <v>8837</v>
      </c>
      <c r="D4453" s="98">
        <v>652283000</v>
      </c>
      <c r="E4453" s="87">
        <v>25563151.999999996</v>
      </c>
      <c r="F4453" s="77" t="s">
        <v>10170</v>
      </c>
    </row>
    <row r="4454" spans="1:6">
      <c r="A4454" s="82">
        <v>1</v>
      </c>
      <c r="B4454" s="79" t="s">
        <v>8838</v>
      </c>
      <c r="C4454" s="79" t="s">
        <v>8839</v>
      </c>
      <c r="D4454" s="98">
        <v>652283000</v>
      </c>
      <c r="E4454" s="87">
        <v>25563151.999999996</v>
      </c>
      <c r="F4454" s="77" t="s">
        <v>10170</v>
      </c>
    </row>
    <row r="4455" spans="1:6">
      <c r="A4455" s="82">
        <v>1</v>
      </c>
      <c r="B4455" s="79" t="s">
        <v>8840</v>
      </c>
      <c r="C4455" s="79" t="s">
        <v>8841</v>
      </c>
      <c r="D4455" s="98">
        <v>356587200</v>
      </c>
      <c r="E4455" s="87">
        <v>13974752</v>
      </c>
      <c r="F4455" s="77" t="s">
        <v>10170</v>
      </c>
    </row>
    <row r="4456" spans="1:6">
      <c r="A4456" s="82">
        <v>1</v>
      </c>
      <c r="B4456" s="79" t="s">
        <v>8842</v>
      </c>
      <c r="C4456" s="79" t="s">
        <v>8843</v>
      </c>
      <c r="D4456" s="98">
        <v>709546700</v>
      </c>
      <c r="E4456" s="87">
        <v>27807331.5</v>
      </c>
      <c r="F4456" s="77" t="s">
        <v>10170</v>
      </c>
    </row>
    <row r="4457" spans="1:6">
      <c r="A4457" s="82">
        <v>1</v>
      </c>
      <c r="B4457" s="79" t="s">
        <v>8844</v>
      </c>
      <c r="C4457" s="79" t="s">
        <v>8845</v>
      </c>
      <c r="D4457" s="98">
        <v>709546700</v>
      </c>
      <c r="E4457" s="87">
        <v>27807331.5</v>
      </c>
      <c r="F4457" s="77" t="s">
        <v>10170</v>
      </c>
    </row>
    <row r="4458" spans="1:6">
      <c r="A4458" s="82">
        <v>1</v>
      </c>
      <c r="B4458" s="79" t="s">
        <v>8846</v>
      </c>
      <c r="C4458" s="79" t="s">
        <v>8847</v>
      </c>
      <c r="D4458" s="98">
        <v>397300200</v>
      </c>
      <c r="E4458" s="87">
        <v>15570303</v>
      </c>
      <c r="F4458" s="77" t="s">
        <v>10170</v>
      </c>
    </row>
    <row r="4459" spans="1:6">
      <c r="A4459" s="82">
        <v>1</v>
      </c>
      <c r="B4459" s="82" t="s">
        <v>8848</v>
      </c>
      <c r="C4459" s="79" t="s">
        <v>8849</v>
      </c>
      <c r="D4459" s="98">
        <v>342240500</v>
      </c>
      <c r="E4459" s="87">
        <v>13412500</v>
      </c>
      <c r="F4459" s="77" t="s">
        <v>10170</v>
      </c>
    </row>
    <row r="4460" spans="1:6">
      <c r="A4460" s="82">
        <v>1</v>
      </c>
      <c r="B4460" s="82" t="s">
        <v>8850</v>
      </c>
      <c r="C4460" s="79" t="s">
        <v>8851</v>
      </c>
      <c r="D4460" s="98">
        <v>342240500</v>
      </c>
      <c r="E4460" s="87">
        <v>13412500</v>
      </c>
      <c r="F4460" s="77" t="s">
        <v>10170</v>
      </c>
    </row>
    <row r="4461" spans="1:6">
      <c r="A4461" s="82">
        <v>1</v>
      </c>
      <c r="B4461" s="79" t="s">
        <v>8852</v>
      </c>
      <c r="C4461" s="79" t="s">
        <v>8853</v>
      </c>
      <c r="D4461" s="98">
        <v>52841900</v>
      </c>
      <c r="E4461" s="87">
        <v>2070890</v>
      </c>
      <c r="F4461" s="77" t="s">
        <v>5504</v>
      </c>
    </row>
    <row r="4462" spans="1:6">
      <c r="A4462" s="82">
        <v>1</v>
      </c>
      <c r="B4462" s="88" t="s">
        <v>8854</v>
      </c>
      <c r="C4462" s="80" t="s">
        <v>8855</v>
      </c>
      <c r="D4462" s="99">
        <v>84465000</v>
      </c>
      <c r="E4462" s="87">
        <v>3310205</v>
      </c>
      <c r="F4462" s="77" t="s">
        <v>5504</v>
      </c>
    </row>
    <row r="4463" spans="1:6">
      <c r="A4463" s="82">
        <v>3</v>
      </c>
      <c r="B4463" s="79" t="s">
        <v>8856</v>
      </c>
      <c r="C4463" s="79" t="s">
        <v>7653</v>
      </c>
      <c r="D4463" s="98">
        <v>1108790800</v>
      </c>
      <c r="E4463" s="87">
        <v>35232825.000000007</v>
      </c>
      <c r="F4463" s="77" t="s">
        <v>10172</v>
      </c>
    </row>
    <row r="4464" spans="1:6">
      <c r="A4464" s="82">
        <v>3</v>
      </c>
      <c r="B4464" s="79" t="s">
        <v>8857</v>
      </c>
      <c r="C4464" s="79" t="s">
        <v>8858</v>
      </c>
      <c r="D4464" s="98">
        <v>218965500</v>
      </c>
      <c r="E4464" s="87">
        <v>6957825.0000000009</v>
      </c>
      <c r="F4464" s="77" t="s">
        <v>10172</v>
      </c>
    </row>
    <row r="4465" spans="1:6">
      <c r="A4465" s="82">
        <v>3</v>
      </c>
      <c r="B4465" s="79" t="s">
        <v>8859</v>
      </c>
      <c r="C4465" s="79" t="s">
        <v>8860</v>
      </c>
      <c r="D4465" s="98">
        <v>191586200</v>
      </c>
      <c r="E4465" s="87">
        <v>6087825.0000000009</v>
      </c>
      <c r="F4465" s="77" t="s">
        <v>10172</v>
      </c>
    </row>
    <row r="4466" spans="1:6">
      <c r="A4466" s="82">
        <v>3</v>
      </c>
      <c r="B4466" s="82" t="s">
        <v>8861</v>
      </c>
      <c r="C4466" s="79" t="s">
        <v>8862</v>
      </c>
      <c r="D4466" s="98">
        <v>136827800</v>
      </c>
      <c r="E4466" s="87">
        <v>4347825.0000000009</v>
      </c>
      <c r="F4466" s="77" t="s">
        <v>10171</v>
      </c>
    </row>
    <row r="4467" spans="1:6">
      <c r="A4467" s="82">
        <v>3</v>
      </c>
      <c r="B4467" s="82" t="s">
        <v>8863</v>
      </c>
      <c r="C4467" s="79" t="s">
        <v>8864</v>
      </c>
      <c r="D4467" s="98">
        <v>136827800</v>
      </c>
      <c r="E4467" s="87">
        <v>4347825.0000000009</v>
      </c>
      <c r="F4467" s="77" t="s">
        <v>10171</v>
      </c>
    </row>
    <row r="4468" spans="1:6">
      <c r="A4468" s="82">
        <v>3</v>
      </c>
      <c r="B4468" s="82" t="s">
        <v>8865</v>
      </c>
      <c r="C4468" s="79" t="s">
        <v>8866</v>
      </c>
      <c r="D4468" s="98">
        <v>135458800</v>
      </c>
      <c r="E4468" s="87">
        <v>4304325.0000000009</v>
      </c>
      <c r="F4468" s="77" t="s">
        <v>10171</v>
      </c>
    </row>
    <row r="4469" spans="1:6">
      <c r="A4469" s="82">
        <v>3</v>
      </c>
      <c r="B4469" s="82" t="s">
        <v>8867</v>
      </c>
      <c r="C4469" s="79" t="s">
        <v>8868</v>
      </c>
      <c r="D4469" s="98">
        <v>134089800</v>
      </c>
      <c r="E4469" s="87">
        <v>4260825.0000000009</v>
      </c>
      <c r="F4469" s="77" t="s">
        <v>10171</v>
      </c>
    </row>
    <row r="4470" spans="1:6">
      <c r="A4470" s="82">
        <v>3</v>
      </c>
      <c r="B4470" s="82" t="s">
        <v>8869</v>
      </c>
      <c r="C4470" s="79" t="s">
        <v>8870</v>
      </c>
      <c r="D4470" s="98">
        <v>131351900</v>
      </c>
      <c r="E4470" s="87">
        <v>4173825.0000000005</v>
      </c>
      <c r="F4470" s="77" t="s">
        <v>10171</v>
      </c>
    </row>
    <row r="4471" spans="1:6">
      <c r="A4471" s="82">
        <v>3</v>
      </c>
      <c r="B4471" s="82" t="s">
        <v>8871</v>
      </c>
      <c r="C4471" s="79" t="s">
        <v>8872</v>
      </c>
      <c r="D4471" s="98">
        <v>129982900</v>
      </c>
      <c r="E4471" s="87">
        <v>4130325.0000000005</v>
      </c>
      <c r="F4471" s="77" t="s">
        <v>10171</v>
      </c>
    </row>
    <row r="4472" spans="1:6">
      <c r="A4472" s="82">
        <v>3</v>
      </c>
      <c r="B4472" s="82" t="s">
        <v>8873</v>
      </c>
      <c r="C4472" s="79" t="s">
        <v>8874</v>
      </c>
      <c r="D4472" s="98">
        <v>128614000</v>
      </c>
      <c r="E4472" s="87">
        <v>4086825.0000000005</v>
      </c>
      <c r="F4472" s="77" t="s">
        <v>10171</v>
      </c>
    </row>
    <row r="4473" spans="1:6">
      <c r="A4473" s="82">
        <v>3</v>
      </c>
      <c r="B4473" s="82" t="s">
        <v>8875</v>
      </c>
      <c r="C4473" s="79" t="s">
        <v>8876</v>
      </c>
      <c r="D4473" s="98">
        <v>125876100</v>
      </c>
      <c r="E4473" s="87">
        <v>3999825.0000000005</v>
      </c>
      <c r="F4473" s="77" t="s">
        <v>10171</v>
      </c>
    </row>
    <row r="4474" spans="1:6">
      <c r="A4474" s="82">
        <v>3</v>
      </c>
      <c r="B4474" s="82" t="s">
        <v>8877</v>
      </c>
      <c r="C4474" s="79" t="s">
        <v>8878</v>
      </c>
      <c r="D4474" s="98">
        <v>124507100</v>
      </c>
      <c r="E4474" s="87">
        <v>3956325.0000000005</v>
      </c>
      <c r="F4474" s="77" t="s">
        <v>10171</v>
      </c>
    </row>
    <row r="4475" spans="1:6">
      <c r="A4475" s="82">
        <v>3</v>
      </c>
      <c r="B4475" s="82" t="s">
        <v>8879</v>
      </c>
      <c r="C4475" s="79" t="s">
        <v>8880</v>
      </c>
      <c r="D4475" s="98">
        <v>184056900</v>
      </c>
      <c r="E4475" s="87">
        <v>5848575.0000000009</v>
      </c>
      <c r="F4475" s="77" t="s">
        <v>10171</v>
      </c>
    </row>
    <row r="4476" spans="1:6">
      <c r="A4476" s="82">
        <v>1</v>
      </c>
      <c r="B4476" s="82" t="s">
        <v>8881</v>
      </c>
      <c r="C4476" s="79" t="s">
        <v>8882</v>
      </c>
      <c r="D4476" s="98">
        <v>273778700</v>
      </c>
      <c r="E4476" s="87">
        <v>10729463.5</v>
      </c>
      <c r="F4476" s="77" t="s">
        <v>10170</v>
      </c>
    </row>
    <row r="4477" spans="1:6">
      <c r="A4477" s="82">
        <v>1</v>
      </c>
      <c r="B4477" s="82" t="s">
        <v>8883</v>
      </c>
      <c r="C4477" s="79" t="s">
        <v>8884</v>
      </c>
      <c r="D4477" s="98">
        <v>336751000</v>
      </c>
      <c r="E4477" s="87">
        <v>13197363.499999998</v>
      </c>
      <c r="F4477" s="77" t="s">
        <v>10170</v>
      </c>
    </row>
    <row r="4478" spans="1:6">
      <c r="A4478" s="82">
        <v>3</v>
      </c>
      <c r="B4478" s="79" t="s">
        <v>8885</v>
      </c>
      <c r="C4478" s="79" t="s">
        <v>8886</v>
      </c>
      <c r="D4478" s="98">
        <v>14305700</v>
      </c>
      <c r="E4478" s="87">
        <v>454575.00000000006</v>
      </c>
      <c r="F4478" s="77" t="s">
        <v>10171</v>
      </c>
    </row>
    <row r="4479" spans="1:6">
      <c r="A4479" s="82">
        <v>3</v>
      </c>
      <c r="B4479" s="82" t="s">
        <v>8887</v>
      </c>
      <c r="C4479" s="79" t="s">
        <v>8888</v>
      </c>
      <c r="D4479" s="98">
        <v>37646500</v>
      </c>
      <c r="E4479" s="87">
        <v>1196250.0000000002</v>
      </c>
      <c r="F4479" s="77" t="s">
        <v>10172</v>
      </c>
    </row>
    <row r="4480" spans="1:6">
      <c r="A4480" s="82">
        <v>3</v>
      </c>
      <c r="B4480" s="79" t="s">
        <v>8889</v>
      </c>
      <c r="C4480" s="79" t="s">
        <v>8890</v>
      </c>
      <c r="D4480" s="98">
        <v>39631400</v>
      </c>
      <c r="E4480" s="87">
        <v>1259325.0000000002</v>
      </c>
      <c r="F4480" s="77" t="s">
        <v>10172</v>
      </c>
    </row>
    <row r="4481" spans="1:6">
      <c r="A4481" s="82">
        <v>3</v>
      </c>
      <c r="B4481" s="79" t="s">
        <v>8891</v>
      </c>
      <c r="C4481" s="79" t="s">
        <v>8892</v>
      </c>
      <c r="D4481" s="98">
        <v>109448500</v>
      </c>
      <c r="E4481" s="87">
        <v>3477825.0000000005</v>
      </c>
      <c r="F4481" s="77" t="s">
        <v>10171</v>
      </c>
    </row>
    <row r="4482" spans="1:6">
      <c r="A4482" s="82">
        <v>3</v>
      </c>
      <c r="B4482" s="82" t="s">
        <v>8893</v>
      </c>
      <c r="C4482" s="79" t="s">
        <v>8894</v>
      </c>
      <c r="D4482" s="98">
        <v>8898300</v>
      </c>
      <c r="E4482" s="87">
        <v>282750.00000000006</v>
      </c>
      <c r="F4482" s="77" t="s">
        <v>10172</v>
      </c>
    </row>
    <row r="4483" spans="1:6">
      <c r="A4483" s="82">
        <v>3</v>
      </c>
      <c r="B4483" s="82" t="s">
        <v>8895</v>
      </c>
      <c r="C4483" s="79" t="s">
        <v>8896</v>
      </c>
      <c r="D4483" s="98">
        <v>6502600</v>
      </c>
      <c r="E4483" s="87">
        <v>206625.00000000003</v>
      </c>
      <c r="F4483" s="77" t="s">
        <v>10172</v>
      </c>
    </row>
    <row r="4484" spans="1:6">
      <c r="A4484" s="82">
        <v>3</v>
      </c>
      <c r="B4484" s="82" t="s">
        <v>8897</v>
      </c>
      <c r="C4484" s="79" t="s">
        <v>8898</v>
      </c>
      <c r="D4484" s="98">
        <v>4791400</v>
      </c>
      <c r="E4484" s="87">
        <v>152250.00000000003</v>
      </c>
      <c r="F4484" s="77" t="s">
        <v>10172</v>
      </c>
    </row>
    <row r="4485" spans="1:6">
      <c r="A4485" s="82">
        <v>3</v>
      </c>
      <c r="B4485" s="79" t="s">
        <v>8899</v>
      </c>
      <c r="C4485" s="79" t="s">
        <v>8900</v>
      </c>
      <c r="D4485" s="98">
        <v>3764600</v>
      </c>
      <c r="E4485" s="87">
        <v>119625.00000000001</v>
      </c>
      <c r="F4485" s="77" t="s">
        <v>10172</v>
      </c>
    </row>
    <row r="4486" spans="1:6">
      <c r="A4486" s="82">
        <v>3</v>
      </c>
      <c r="B4486" s="79" t="s">
        <v>8901</v>
      </c>
      <c r="C4486" s="79" t="s">
        <v>8902</v>
      </c>
      <c r="D4486" s="98">
        <v>2395700</v>
      </c>
      <c r="E4486" s="87">
        <v>76125.000000000015</v>
      </c>
      <c r="F4486" s="77" t="s">
        <v>10172</v>
      </c>
    </row>
    <row r="4487" spans="1:6">
      <c r="A4487" s="82">
        <v>1</v>
      </c>
      <c r="B4487" s="79" t="s">
        <v>8903</v>
      </c>
      <c r="C4487" s="79" t="s">
        <v>8904</v>
      </c>
      <c r="D4487" s="98">
        <v>3789971300</v>
      </c>
      <c r="E4487" s="87">
        <v>120429750.00000001</v>
      </c>
      <c r="F4487" s="77" t="s">
        <v>10170</v>
      </c>
    </row>
    <row r="4488" spans="1:6">
      <c r="A4488" s="82">
        <v>1</v>
      </c>
      <c r="B4488" s="79" t="s">
        <v>8905</v>
      </c>
      <c r="C4488" s="79" t="s">
        <v>8906</v>
      </c>
      <c r="D4488" s="98">
        <v>894069100</v>
      </c>
      <c r="E4488" s="87">
        <v>28409850.000000004</v>
      </c>
      <c r="F4488" s="77" t="s">
        <v>10170</v>
      </c>
    </row>
    <row r="4489" spans="1:6">
      <c r="A4489" s="82">
        <v>5</v>
      </c>
      <c r="B4489" s="82" t="s">
        <v>8907</v>
      </c>
      <c r="C4489" s="79" t="s">
        <v>8908</v>
      </c>
      <c r="D4489" s="98">
        <v>25325800</v>
      </c>
      <c r="E4489" s="87">
        <v>1877750</v>
      </c>
      <c r="F4489" s="77" t="s">
        <v>10174</v>
      </c>
    </row>
    <row r="4490" spans="1:6">
      <c r="A4490" s="82">
        <v>5</v>
      </c>
      <c r="B4490" s="82" t="s">
        <v>8909</v>
      </c>
      <c r="C4490" s="79" t="s">
        <v>8910</v>
      </c>
      <c r="D4490" s="98">
        <v>6023400</v>
      </c>
      <c r="E4490" s="87">
        <v>446600</v>
      </c>
      <c r="F4490" s="77" t="s">
        <v>10174</v>
      </c>
    </row>
    <row r="4491" spans="1:6">
      <c r="A4491" s="82">
        <v>1</v>
      </c>
      <c r="B4491" s="79" t="s">
        <v>8911</v>
      </c>
      <c r="C4491" s="79" t="s">
        <v>8912</v>
      </c>
      <c r="D4491" s="98">
        <v>27310800</v>
      </c>
      <c r="E4491" s="87">
        <v>1070317.5</v>
      </c>
      <c r="F4491" s="77" t="s">
        <v>10169</v>
      </c>
    </row>
    <row r="4492" spans="1:6">
      <c r="A4492" s="82">
        <v>1</v>
      </c>
      <c r="B4492" s="79" t="s">
        <v>8913</v>
      </c>
      <c r="C4492" s="79" t="s">
        <v>8914</v>
      </c>
      <c r="D4492" s="98">
        <v>27310800</v>
      </c>
      <c r="E4492" s="87">
        <v>1070317.5</v>
      </c>
      <c r="F4492" s="77" t="s">
        <v>10169</v>
      </c>
    </row>
    <row r="4493" spans="1:6">
      <c r="A4493" s="82">
        <v>1</v>
      </c>
      <c r="B4493" s="79" t="s">
        <v>8915</v>
      </c>
      <c r="C4493" s="79" t="s">
        <v>8916</v>
      </c>
      <c r="D4493" s="98">
        <v>23203900</v>
      </c>
      <c r="E4493" s="87">
        <v>909367.5</v>
      </c>
      <c r="F4493" s="77" t="s">
        <v>10169</v>
      </c>
    </row>
    <row r="4494" spans="1:6">
      <c r="A4494" s="82">
        <v>1</v>
      </c>
      <c r="B4494" s="79" t="s">
        <v>8917</v>
      </c>
      <c r="C4494" s="79" t="s">
        <v>8918</v>
      </c>
      <c r="D4494" s="98">
        <v>23203900</v>
      </c>
      <c r="E4494" s="87">
        <v>909367.5</v>
      </c>
      <c r="F4494" s="77" t="s">
        <v>10169</v>
      </c>
    </row>
    <row r="4495" spans="1:6">
      <c r="A4495" s="82">
        <v>1</v>
      </c>
      <c r="B4495" s="79" t="s">
        <v>8919</v>
      </c>
      <c r="C4495" s="79" t="s">
        <v>8920</v>
      </c>
      <c r="D4495" s="98">
        <v>17043600</v>
      </c>
      <c r="E4495" s="87">
        <v>667942.5</v>
      </c>
      <c r="F4495" s="77" t="s">
        <v>10169</v>
      </c>
    </row>
    <row r="4496" spans="1:6">
      <c r="A4496" s="82">
        <v>1</v>
      </c>
      <c r="B4496" s="79" t="s">
        <v>8921</v>
      </c>
      <c r="C4496" s="79" t="s">
        <v>8922</v>
      </c>
      <c r="D4496" s="98">
        <v>28679800</v>
      </c>
      <c r="E4496" s="87">
        <v>1123967.5</v>
      </c>
      <c r="F4496" s="77" t="s">
        <v>10169</v>
      </c>
    </row>
    <row r="4497" spans="1:6">
      <c r="A4497" s="82">
        <v>1</v>
      </c>
      <c r="B4497" s="79" t="s">
        <v>8923</v>
      </c>
      <c r="C4497" s="79" t="s">
        <v>8924</v>
      </c>
      <c r="D4497" s="98">
        <v>28679800</v>
      </c>
      <c r="E4497" s="87">
        <v>1123967.5</v>
      </c>
      <c r="F4497" s="77" t="s">
        <v>10169</v>
      </c>
    </row>
    <row r="4498" spans="1:6">
      <c r="A4498" s="82">
        <v>1</v>
      </c>
      <c r="B4498" s="79" t="s">
        <v>8925</v>
      </c>
      <c r="C4498" s="79" t="s">
        <v>8926</v>
      </c>
      <c r="D4498" s="98">
        <v>24572900</v>
      </c>
      <c r="E4498" s="87">
        <v>963017.5</v>
      </c>
      <c r="F4498" s="77" t="s">
        <v>10169</v>
      </c>
    </row>
    <row r="4499" spans="1:6">
      <c r="A4499" s="82">
        <v>1</v>
      </c>
      <c r="B4499" s="79" t="s">
        <v>8927</v>
      </c>
      <c r="C4499" s="79" t="s">
        <v>8928</v>
      </c>
      <c r="D4499" s="98">
        <v>24572900</v>
      </c>
      <c r="E4499" s="87">
        <v>963017.5</v>
      </c>
      <c r="F4499" s="77" t="s">
        <v>10169</v>
      </c>
    </row>
    <row r="4500" spans="1:6">
      <c r="A4500" s="82">
        <v>1</v>
      </c>
      <c r="B4500" s="79" t="s">
        <v>8929</v>
      </c>
      <c r="C4500" s="79" t="s">
        <v>8930</v>
      </c>
      <c r="D4500" s="98">
        <v>18412500</v>
      </c>
      <c r="E4500" s="87">
        <v>721592.5</v>
      </c>
      <c r="F4500" s="77" t="s">
        <v>10169</v>
      </c>
    </row>
    <row r="4501" spans="1:6">
      <c r="A4501" s="82">
        <v>1</v>
      </c>
      <c r="B4501" s="79" t="s">
        <v>8931</v>
      </c>
      <c r="C4501" s="79" t="s">
        <v>8932</v>
      </c>
      <c r="D4501" s="98">
        <v>6187708200</v>
      </c>
      <c r="E4501" s="87">
        <v>242498000</v>
      </c>
      <c r="F4501" s="77" t="s">
        <v>10170</v>
      </c>
    </row>
    <row r="4502" spans="1:6">
      <c r="A4502" s="82">
        <v>1</v>
      </c>
      <c r="B4502" s="79" t="s">
        <v>8933</v>
      </c>
      <c r="C4502" s="79" t="s">
        <v>8934</v>
      </c>
      <c r="D4502" s="98">
        <v>4507649600</v>
      </c>
      <c r="E4502" s="87">
        <v>176656037.5</v>
      </c>
      <c r="F4502" s="77" t="s">
        <v>10170</v>
      </c>
    </row>
    <row r="4503" spans="1:6">
      <c r="A4503" s="82">
        <v>1</v>
      </c>
      <c r="B4503" s="79" t="s">
        <v>8935</v>
      </c>
      <c r="C4503" s="79" t="s">
        <v>3217</v>
      </c>
      <c r="D4503" s="98">
        <v>2032908600</v>
      </c>
      <c r="E4503" s="87">
        <v>79670250</v>
      </c>
      <c r="F4503" s="77" t="s">
        <v>10170</v>
      </c>
    </row>
    <row r="4504" spans="1:6">
      <c r="A4504" s="82">
        <v>1</v>
      </c>
      <c r="B4504" s="79" t="s">
        <v>8936</v>
      </c>
      <c r="C4504" s="79" t="s">
        <v>8937</v>
      </c>
      <c r="D4504" s="98">
        <v>1437410100</v>
      </c>
      <c r="E4504" s="87">
        <v>56332500</v>
      </c>
      <c r="F4504" s="77" t="s">
        <v>10170</v>
      </c>
    </row>
    <row r="4505" spans="1:6">
      <c r="A4505" s="82">
        <v>4</v>
      </c>
      <c r="B4505" s="82" t="s">
        <v>8938</v>
      </c>
      <c r="C4505" s="79" t="s">
        <v>8939</v>
      </c>
      <c r="D4505" s="98">
        <v>180566100</v>
      </c>
      <c r="E4505" s="87">
        <v>7076435</v>
      </c>
      <c r="F4505" s="77" t="s">
        <v>10173</v>
      </c>
    </row>
    <row r="4506" spans="1:6">
      <c r="A4506" s="82">
        <v>4</v>
      </c>
      <c r="B4506" s="79" t="s">
        <v>8940</v>
      </c>
      <c r="C4506" s="79" t="s">
        <v>8941</v>
      </c>
      <c r="D4506" s="98">
        <v>123206600</v>
      </c>
      <c r="E4506" s="87">
        <v>4828500</v>
      </c>
      <c r="F4506" s="77" t="s">
        <v>10173</v>
      </c>
    </row>
    <row r="4507" spans="1:6">
      <c r="A4507" s="82">
        <v>5</v>
      </c>
      <c r="B4507" s="82" t="s">
        <v>8942</v>
      </c>
      <c r="C4507" s="79" t="s">
        <v>8943</v>
      </c>
      <c r="D4507" s="98">
        <v>20534400</v>
      </c>
      <c r="E4507" s="87">
        <v>1522500</v>
      </c>
      <c r="F4507" s="77" t="s">
        <v>10174</v>
      </c>
    </row>
    <row r="4508" spans="1:6">
      <c r="A4508" s="82">
        <v>5</v>
      </c>
      <c r="B4508" s="82" t="s">
        <v>8944</v>
      </c>
      <c r="C4508" s="79" t="s">
        <v>8945</v>
      </c>
      <c r="D4508" s="98">
        <v>15058600</v>
      </c>
      <c r="E4508" s="87">
        <v>1116500</v>
      </c>
      <c r="F4508" s="77" t="s">
        <v>10174</v>
      </c>
    </row>
    <row r="4509" spans="1:6">
      <c r="A4509" s="82">
        <v>5</v>
      </c>
      <c r="B4509" s="82" t="s">
        <v>8946</v>
      </c>
      <c r="C4509" s="79" t="s">
        <v>2984</v>
      </c>
      <c r="D4509" s="98">
        <v>7529300</v>
      </c>
      <c r="E4509" s="87">
        <v>558250</v>
      </c>
      <c r="F4509" s="77" t="s">
        <v>10174</v>
      </c>
    </row>
    <row r="4510" spans="1:6">
      <c r="A4510" s="82">
        <v>5</v>
      </c>
      <c r="B4510" s="70" t="s">
        <v>8947</v>
      </c>
      <c r="C4510" s="70" t="s">
        <v>8948</v>
      </c>
      <c r="D4510" s="96">
        <v>971963000</v>
      </c>
      <c r="E4510" s="87">
        <v>92655000</v>
      </c>
      <c r="F4510" s="77" t="s">
        <v>5505</v>
      </c>
    </row>
    <row r="4511" spans="1:6">
      <c r="A4511" s="82">
        <v>5</v>
      </c>
      <c r="B4511" s="70" t="s">
        <v>8949</v>
      </c>
      <c r="C4511" s="70" t="s">
        <v>8950</v>
      </c>
      <c r="D4511" s="96">
        <v>869290900</v>
      </c>
      <c r="E4511" s="87">
        <v>82867500</v>
      </c>
      <c r="F4511" s="77" t="s">
        <v>5505</v>
      </c>
    </row>
    <row r="4512" spans="1:6">
      <c r="A4512" s="82">
        <v>5</v>
      </c>
      <c r="B4512" s="70" t="s">
        <v>8951</v>
      </c>
      <c r="C4512" s="70" t="s">
        <v>8952</v>
      </c>
      <c r="D4512" s="96">
        <v>636567300</v>
      </c>
      <c r="E4512" s="87">
        <v>60682500</v>
      </c>
      <c r="F4512" s="77" t="s">
        <v>5505</v>
      </c>
    </row>
    <row r="4513" spans="1:6">
      <c r="A4513" s="82">
        <v>5</v>
      </c>
      <c r="B4513" s="70" t="s">
        <v>8953</v>
      </c>
      <c r="C4513" s="70" t="s">
        <v>8954</v>
      </c>
      <c r="D4513" s="96">
        <v>568119200</v>
      </c>
      <c r="E4513" s="87">
        <v>54157500</v>
      </c>
      <c r="F4513" s="77" t="s">
        <v>5505</v>
      </c>
    </row>
    <row r="4514" spans="1:6">
      <c r="A4514" s="82">
        <v>5</v>
      </c>
      <c r="B4514" s="70" t="s">
        <v>8955</v>
      </c>
      <c r="C4514" s="70" t="s">
        <v>8956</v>
      </c>
      <c r="D4514" s="96">
        <v>301171600</v>
      </c>
      <c r="E4514" s="87">
        <v>28710000</v>
      </c>
      <c r="F4514" s="77" t="s">
        <v>5505</v>
      </c>
    </row>
    <row r="4515" spans="1:6">
      <c r="A4515" s="82">
        <v>5</v>
      </c>
      <c r="B4515" s="70" t="s">
        <v>8957</v>
      </c>
      <c r="C4515" s="70" t="s">
        <v>8958</v>
      </c>
      <c r="D4515" s="96">
        <v>266947600</v>
      </c>
      <c r="E4515" s="87">
        <v>25447500</v>
      </c>
      <c r="F4515" s="77" t="s">
        <v>5505</v>
      </c>
    </row>
    <row r="4516" spans="1:6">
      <c r="A4516" s="82">
        <v>5</v>
      </c>
      <c r="B4516" s="70" t="s">
        <v>8959</v>
      </c>
      <c r="C4516" s="70" t="s">
        <v>8960</v>
      </c>
      <c r="D4516" s="96">
        <v>150585800</v>
      </c>
      <c r="E4516" s="87">
        <v>14355000</v>
      </c>
      <c r="F4516" s="77" t="s">
        <v>5505</v>
      </c>
    </row>
    <row r="4517" spans="1:6">
      <c r="A4517" s="82">
        <v>5</v>
      </c>
      <c r="B4517" s="70" t="s">
        <v>8961</v>
      </c>
      <c r="C4517" s="70" t="s">
        <v>8962</v>
      </c>
      <c r="D4517" s="96">
        <v>102672200</v>
      </c>
      <c r="E4517" s="87">
        <v>9787500</v>
      </c>
      <c r="F4517" s="77" t="s">
        <v>5505</v>
      </c>
    </row>
    <row r="4518" spans="1:6">
      <c r="A4518" s="82">
        <v>5</v>
      </c>
      <c r="B4518" s="70" t="s">
        <v>8963</v>
      </c>
      <c r="C4518" s="70" t="s">
        <v>8964</v>
      </c>
      <c r="D4518" s="96">
        <v>102672200</v>
      </c>
      <c r="E4518" s="87">
        <v>9787500</v>
      </c>
      <c r="F4518" s="77" t="s">
        <v>5505</v>
      </c>
    </row>
    <row r="4519" spans="1:6">
      <c r="A4519" s="82">
        <v>5</v>
      </c>
      <c r="B4519" s="70" t="s">
        <v>8965</v>
      </c>
      <c r="C4519" s="70" t="s">
        <v>8966</v>
      </c>
      <c r="D4519" s="96">
        <v>68448100</v>
      </c>
      <c r="E4519" s="87">
        <v>6525000</v>
      </c>
      <c r="F4519" s="77" t="s">
        <v>5505</v>
      </c>
    </row>
    <row r="4520" spans="1:6">
      <c r="A4520" s="82">
        <v>5</v>
      </c>
      <c r="B4520" s="70" t="s">
        <v>8967</v>
      </c>
      <c r="C4520" s="70" t="s">
        <v>8968</v>
      </c>
      <c r="D4520" s="96">
        <v>54758500</v>
      </c>
      <c r="E4520" s="87">
        <v>5220000</v>
      </c>
      <c r="F4520" s="77" t="s">
        <v>5505</v>
      </c>
    </row>
    <row r="4521" spans="1:6">
      <c r="A4521" s="82">
        <v>5</v>
      </c>
      <c r="B4521" s="70" t="s">
        <v>8969</v>
      </c>
      <c r="C4521" s="70" t="s">
        <v>8970</v>
      </c>
      <c r="D4521" s="96">
        <v>47913700</v>
      </c>
      <c r="E4521" s="87">
        <v>4567500</v>
      </c>
      <c r="F4521" s="77" t="s">
        <v>5505</v>
      </c>
    </row>
    <row r="4522" spans="1:6">
      <c r="A4522" s="82">
        <v>5</v>
      </c>
      <c r="B4522" s="70" t="s">
        <v>8971</v>
      </c>
      <c r="C4522" s="70" t="s">
        <v>8972</v>
      </c>
      <c r="D4522" s="96">
        <v>34224100</v>
      </c>
      <c r="E4522" s="87">
        <v>3262500</v>
      </c>
      <c r="F4522" s="77" t="s">
        <v>5505</v>
      </c>
    </row>
    <row r="4523" spans="1:6">
      <c r="A4523" s="82">
        <v>5</v>
      </c>
      <c r="B4523" s="70" t="s">
        <v>8973</v>
      </c>
      <c r="C4523" s="70" t="s">
        <v>8974</v>
      </c>
      <c r="D4523" s="96">
        <v>34224100</v>
      </c>
      <c r="E4523" s="87">
        <v>3262500</v>
      </c>
      <c r="F4523" s="77" t="s">
        <v>5505</v>
      </c>
    </row>
    <row r="4524" spans="1:6">
      <c r="A4524" s="82">
        <v>5</v>
      </c>
      <c r="B4524" s="70" t="s">
        <v>8975</v>
      </c>
      <c r="C4524" s="70" t="s">
        <v>8976</v>
      </c>
      <c r="D4524" s="96">
        <v>20534400</v>
      </c>
      <c r="E4524" s="87">
        <v>1957500</v>
      </c>
      <c r="F4524" s="77" t="s">
        <v>5505</v>
      </c>
    </row>
    <row r="4525" spans="1:6">
      <c r="A4525" s="82">
        <v>5</v>
      </c>
      <c r="B4525" s="70" t="s">
        <v>8977</v>
      </c>
      <c r="C4525" s="70" t="s">
        <v>8978</v>
      </c>
      <c r="D4525" s="96">
        <v>1478479000</v>
      </c>
      <c r="E4525" s="87">
        <v>140940000</v>
      </c>
      <c r="F4525" s="77" t="s">
        <v>5505</v>
      </c>
    </row>
    <row r="4526" spans="1:6">
      <c r="A4526" s="82">
        <v>5</v>
      </c>
      <c r="B4526" s="70" t="s">
        <v>8979</v>
      </c>
      <c r="C4526" s="70" t="s">
        <v>8980</v>
      </c>
      <c r="D4526" s="96">
        <v>924049400</v>
      </c>
      <c r="E4526" s="87">
        <v>88087500</v>
      </c>
      <c r="F4526" s="77" t="s">
        <v>5505</v>
      </c>
    </row>
    <row r="4527" spans="1:6">
      <c r="A4527" s="82">
        <v>5</v>
      </c>
      <c r="B4527" s="70" t="s">
        <v>8981</v>
      </c>
      <c r="C4527" s="70" t="s">
        <v>8982</v>
      </c>
      <c r="D4527" s="96">
        <v>465447100</v>
      </c>
      <c r="E4527" s="87">
        <v>44370000</v>
      </c>
      <c r="F4527" s="77" t="s">
        <v>5505</v>
      </c>
    </row>
    <row r="4528" spans="1:6">
      <c r="A4528" s="82">
        <v>5</v>
      </c>
      <c r="B4528" s="70" t="s">
        <v>8983</v>
      </c>
      <c r="C4528" s="70" t="s">
        <v>8984</v>
      </c>
      <c r="D4528" s="96">
        <v>876135700</v>
      </c>
      <c r="E4528" s="87">
        <v>83520000</v>
      </c>
      <c r="F4528" s="77" t="s">
        <v>5505</v>
      </c>
    </row>
    <row r="4529" spans="1:6">
      <c r="A4529" s="82">
        <v>5</v>
      </c>
      <c r="B4529" s="70" t="s">
        <v>8985</v>
      </c>
      <c r="C4529" s="70" t="s">
        <v>8986</v>
      </c>
      <c r="D4529" s="96">
        <v>554429600</v>
      </c>
      <c r="E4529" s="87">
        <v>52852500</v>
      </c>
      <c r="F4529" s="77" t="s">
        <v>5505</v>
      </c>
    </row>
    <row r="4530" spans="1:6">
      <c r="A4530" s="82">
        <v>5</v>
      </c>
      <c r="B4530" s="70" t="s">
        <v>8987</v>
      </c>
      <c r="C4530" s="70" t="s">
        <v>8988</v>
      </c>
      <c r="D4530" s="96">
        <v>280637200</v>
      </c>
      <c r="E4530" s="87">
        <v>26752500</v>
      </c>
      <c r="F4530" s="77" t="s">
        <v>5505</v>
      </c>
    </row>
    <row r="4531" spans="1:6">
      <c r="A4531" s="82">
        <v>5</v>
      </c>
      <c r="B4531" s="70" t="s">
        <v>8989</v>
      </c>
      <c r="C4531" s="70" t="s">
        <v>8990</v>
      </c>
      <c r="D4531" s="96">
        <v>1478479000</v>
      </c>
      <c r="E4531" s="87">
        <v>140940000</v>
      </c>
      <c r="F4531" s="77" t="s">
        <v>5505</v>
      </c>
    </row>
    <row r="4532" spans="1:6">
      <c r="A4532" s="82">
        <v>5</v>
      </c>
      <c r="B4532" s="70" t="s">
        <v>8991</v>
      </c>
      <c r="C4532" s="70" t="s">
        <v>8992</v>
      </c>
      <c r="D4532" s="96">
        <v>924049400</v>
      </c>
      <c r="E4532" s="87">
        <v>88087500</v>
      </c>
      <c r="F4532" s="77" t="s">
        <v>5505</v>
      </c>
    </row>
    <row r="4533" spans="1:6">
      <c r="A4533" s="82">
        <v>5</v>
      </c>
      <c r="B4533" s="70" t="s">
        <v>8993</v>
      </c>
      <c r="C4533" s="70" t="s">
        <v>8994</v>
      </c>
      <c r="D4533" s="96">
        <v>465447100</v>
      </c>
      <c r="E4533" s="87">
        <v>44370000</v>
      </c>
      <c r="F4533" s="77" t="s">
        <v>5505</v>
      </c>
    </row>
    <row r="4534" spans="1:6">
      <c r="A4534" s="82">
        <v>5</v>
      </c>
      <c r="B4534" s="70" t="s">
        <v>8995</v>
      </c>
      <c r="C4534" s="70" t="s">
        <v>8996</v>
      </c>
      <c r="D4534" s="96">
        <v>855601300</v>
      </c>
      <c r="E4534" s="87">
        <v>81562500</v>
      </c>
      <c r="F4534" s="77" t="s">
        <v>5505</v>
      </c>
    </row>
    <row r="4535" spans="1:6">
      <c r="A4535" s="82">
        <v>5</v>
      </c>
      <c r="B4535" s="70" t="s">
        <v>8997</v>
      </c>
      <c r="C4535" s="70" t="s">
        <v>8998</v>
      </c>
      <c r="D4535" s="96">
        <v>540740000</v>
      </c>
      <c r="E4535" s="87">
        <v>51547500</v>
      </c>
      <c r="F4535" s="77" t="s">
        <v>5505</v>
      </c>
    </row>
    <row r="4536" spans="1:6">
      <c r="A4536" s="82">
        <v>5</v>
      </c>
      <c r="B4536" s="70" t="s">
        <v>8999</v>
      </c>
      <c r="C4536" s="70" t="s">
        <v>9000</v>
      </c>
      <c r="D4536" s="96">
        <v>273792400</v>
      </c>
      <c r="E4536" s="87">
        <v>26100000</v>
      </c>
      <c r="F4536" s="77" t="s">
        <v>5505</v>
      </c>
    </row>
    <row r="4537" spans="1:6">
      <c r="A4537" s="82">
        <v>5</v>
      </c>
      <c r="B4537" s="70" t="s">
        <v>9001</v>
      </c>
      <c r="C4537" s="70" t="s">
        <v>9002</v>
      </c>
      <c r="D4537" s="96">
        <v>376464600</v>
      </c>
      <c r="E4537" s="87">
        <v>35887500</v>
      </c>
      <c r="F4537" s="77" t="s">
        <v>5505</v>
      </c>
    </row>
    <row r="4538" spans="1:6">
      <c r="A4538" s="82">
        <v>5</v>
      </c>
      <c r="B4538" s="70" t="s">
        <v>9003</v>
      </c>
      <c r="C4538" s="70" t="s">
        <v>9004</v>
      </c>
      <c r="D4538" s="96">
        <v>239568400</v>
      </c>
      <c r="E4538" s="87">
        <v>22837500</v>
      </c>
      <c r="F4538" s="77" t="s">
        <v>5505</v>
      </c>
    </row>
    <row r="4539" spans="1:6">
      <c r="A4539" s="82">
        <v>5</v>
      </c>
      <c r="B4539" s="70" t="s">
        <v>9005</v>
      </c>
      <c r="C4539" s="70" t="s">
        <v>9006</v>
      </c>
      <c r="D4539" s="96">
        <v>130051400</v>
      </c>
      <c r="E4539" s="87">
        <v>12397500</v>
      </c>
      <c r="F4539" s="77" t="s">
        <v>5505</v>
      </c>
    </row>
    <row r="4540" spans="1:6">
      <c r="A4540" s="82">
        <v>5</v>
      </c>
      <c r="B4540" s="70" t="s">
        <v>9007</v>
      </c>
      <c r="C4540" s="70" t="s">
        <v>9008</v>
      </c>
      <c r="D4540" s="96">
        <v>951428600</v>
      </c>
      <c r="E4540" s="87">
        <v>90697500</v>
      </c>
      <c r="F4540" s="77" t="s">
        <v>5505</v>
      </c>
    </row>
    <row r="4541" spans="1:6">
      <c r="A4541" s="82">
        <v>5</v>
      </c>
      <c r="B4541" s="70" t="s">
        <v>9009</v>
      </c>
      <c r="C4541" s="70" t="s">
        <v>9010</v>
      </c>
      <c r="D4541" s="96">
        <v>636567300</v>
      </c>
      <c r="E4541" s="87">
        <v>60682500</v>
      </c>
      <c r="F4541" s="77" t="s">
        <v>5505</v>
      </c>
    </row>
    <row r="4542" spans="1:6">
      <c r="A4542" s="82">
        <v>5</v>
      </c>
      <c r="B4542" s="70" t="s">
        <v>9011</v>
      </c>
      <c r="C4542" s="70" t="s">
        <v>9012</v>
      </c>
      <c r="D4542" s="96">
        <v>314861300</v>
      </c>
      <c r="E4542" s="87">
        <v>30015000</v>
      </c>
      <c r="F4542" s="77" t="s">
        <v>5505</v>
      </c>
    </row>
    <row r="4543" spans="1:6">
      <c r="A4543" s="82">
        <v>5</v>
      </c>
      <c r="B4543" s="70" t="s">
        <v>9013</v>
      </c>
      <c r="C4543" s="70" t="s">
        <v>9014</v>
      </c>
      <c r="D4543" s="96">
        <v>20534400</v>
      </c>
      <c r="E4543" s="87">
        <v>1957500</v>
      </c>
      <c r="F4543" s="77" t="s">
        <v>5505</v>
      </c>
    </row>
    <row r="4544" spans="1:6">
      <c r="A4544" s="82">
        <v>5</v>
      </c>
      <c r="B4544" s="70" t="s">
        <v>9015</v>
      </c>
      <c r="C4544" s="70" t="s">
        <v>9016</v>
      </c>
      <c r="D4544" s="96">
        <v>13689600</v>
      </c>
      <c r="E4544" s="87">
        <v>1305000</v>
      </c>
      <c r="F4544" s="77" t="s">
        <v>5505</v>
      </c>
    </row>
    <row r="4545" spans="1:6">
      <c r="A4545" s="82">
        <v>5</v>
      </c>
      <c r="B4545" s="70" t="s">
        <v>9017</v>
      </c>
      <c r="C4545" s="70" t="s">
        <v>9018</v>
      </c>
      <c r="D4545" s="96">
        <v>6844800</v>
      </c>
      <c r="E4545" s="87">
        <v>652500</v>
      </c>
      <c r="F4545" s="77" t="s">
        <v>5505</v>
      </c>
    </row>
    <row r="4546" spans="1:6">
      <c r="A4546" s="82">
        <v>5</v>
      </c>
      <c r="B4546" s="79" t="s">
        <v>9019</v>
      </c>
      <c r="C4546" s="79" t="s">
        <v>9020</v>
      </c>
      <c r="D4546" s="98">
        <v>247782100</v>
      </c>
      <c r="E4546" s="87">
        <v>23620500</v>
      </c>
      <c r="F4546" s="77" t="s">
        <v>5505</v>
      </c>
    </row>
    <row r="4547" spans="1:6">
      <c r="A4547" s="82">
        <v>5</v>
      </c>
      <c r="B4547" s="79" t="s">
        <v>9021</v>
      </c>
      <c r="C4547" s="79" t="s">
        <v>9022</v>
      </c>
      <c r="D4547" s="98">
        <v>162906500</v>
      </c>
      <c r="E4547" s="87">
        <v>15529500</v>
      </c>
      <c r="F4547" s="77" t="s">
        <v>5505</v>
      </c>
    </row>
    <row r="4548" spans="1:6">
      <c r="A4548" s="82">
        <v>5</v>
      </c>
      <c r="B4548" s="79" t="s">
        <v>9023</v>
      </c>
      <c r="C4548" s="79" t="s">
        <v>9024</v>
      </c>
      <c r="D4548" s="98">
        <v>79399800</v>
      </c>
      <c r="E4548" s="87">
        <v>7569000</v>
      </c>
      <c r="F4548" s="77" t="s">
        <v>5505</v>
      </c>
    </row>
    <row r="4549" spans="1:6">
      <c r="A4549" s="82">
        <v>5</v>
      </c>
      <c r="B4549" s="79" t="s">
        <v>9025</v>
      </c>
      <c r="C4549" s="79" t="s">
        <v>9026</v>
      </c>
      <c r="D4549" s="98">
        <v>225878700</v>
      </c>
      <c r="E4549" s="87">
        <v>21532500</v>
      </c>
      <c r="F4549" s="77" t="s">
        <v>5505</v>
      </c>
    </row>
    <row r="4550" spans="1:6">
      <c r="A4550" s="82">
        <v>5</v>
      </c>
      <c r="B4550" s="79" t="s">
        <v>9027</v>
      </c>
      <c r="C4550" s="79" t="s">
        <v>9028</v>
      </c>
      <c r="D4550" s="98">
        <v>150585800</v>
      </c>
      <c r="E4550" s="87">
        <v>14355000</v>
      </c>
      <c r="F4550" s="77" t="s">
        <v>5505</v>
      </c>
    </row>
    <row r="4551" spans="1:6">
      <c r="A4551" s="82">
        <v>5</v>
      </c>
      <c r="B4551" s="79" t="s">
        <v>9029</v>
      </c>
      <c r="C4551" s="79" t="s">
        <v>9030</v>
      </c>
      <c r="D4551" s="98">
        <v>73923900</v>
      </c>
      <c r="E4551" s="87">
        <v>7047000</v>
      </c>
      <c r="F4551" s="77" t="s">
        <v>5505</v>
      </c>
    </row>
    <row r="4552" spans="1:6">
      <c r="A4552" s="82">
        <v>5</v>
      </c>
      <c r="B4552" s="79" t="s">
        <v>9031</v>
      </c>
      <c r="C4552" s="79" t="s">
        <v>9032</v>
      </c>
      <c r="D4552" s="98">
        <v>139634100</v>
      </c>
      <c r="E4552" s="87">
        <v>13311000</v>
      </c>
      <c r="F4552" s="77" t="s">
        <v>5505</v>
      </c>
    </row>
    <row r="4553" spans="1:6">
      <c r="A4553" s="82">
        <v>5</v>
      </c>
      <c r="B4553" s="79" t="s">
        <v>9033</v>
      </c>
      <c r="C4553" s="79" t="s">
        <v>9034</v>
      </c>
      <c r="D4553" s="98">
        <v>90351500</v>
      </c>
      <c r="E4553" s="87">
        <v>8613000</v>
      </c>
      <c r="F4553" s="77" t="s">
        <v>5505</v>
      </c>
    </row>
    <row r="4554" spans="1:6">
      <c r="A4554" s="82">
        <v>5</v>
      </c>
      <c r="B4554" s="79" t="s">
        <v>9035</v>
      </c>
      <c r="C4554" s="79" t="s">
        <v>9036</v>
      </c>
      <c r="D4554" s="98">
        <v>43806800</v>
      </c>
      <c r="E4554" s="87">
        <v>4176000</v>
      </c>
      <c r="F4554" s="77" t="s">
        <v>5505</v>
      </c>
    </row>
    <row r="4555" spans="1:6">
      <c r="A4555" s="82">
        <v>5</v>
      </c>
      <c r="B4555" s="79" t="s">
        <v>9037</v>
      </c>
      <c r="C4555" s="79" t="s">
        <v>9038</v>
      </c>
      <c r="D4555" s="98">
        <v>124575500</v>
      </c>
      <c r="E4555" s="87">
        <v>11875500</v>
      </c>
      <c r="F4555" s="77" t="s">
        <v>5505</v>
      </c>
    </row>
    <row r="4556" spans="1:6">
      <c r="A4556" s="82">
        <v>5</v>
      </c>
      <c r="B4556" s="79" t="s">
        <v>9039</v>
      </c>
      <c r="C4556" s="79" t="s">
        <v>9040</v>
      </c>
      <c r="D4556" s="98">
        <v>82137700</v>
      </c>
      <c r="E4556" s="87">
        <v>7830000</v>
      </c>
      <c r="F4556" s="77" t="s">
        <v>5505</v>
      </c>
    </row>
    <row r="4557" spans="1:6">
      <c r="A4557" s="82">
        <v>5</v>
      </c>
      <c r="B4557" s="79" t="s">
        <v>9041</v>
      </c>
      <c r="C4557" s="79" t="s">
        <v>9042</v>
      </c>
      <c r="D4557" s="98">
        <v>41068900</v>
      </c>
      <c r="E4557" s="87">
        <v>3915000</v>
      </c>
      <c r="F4557" s="77" t="s">
        <v>5505</v>
      </c>
    </row>
    <row r="4558" spans="1:6">
      <c r="A4558" s="82">
        <v>5</v>
      </c>
      <c r="B4558" s="79" t="s">
        <v>9043</v>
      </c>
      <c r="C4558" s="79" t="s">
        <v>9044</v>
      </c>
      <c r="D4558" s="98">
        <v>247782100</v>
      </c>
      <c r="E4558" s="87">
        <v>23620500</v>
      </c>
      <c r="F4558" s="77" t="s">
        <v>5505</v>
      </c>
    </row>
    <row r="4559" spans="1:6">
      <c r="A4559" s="82">
        <v>5</v>
      </c>
      <c r="B4559" s="79" t="s">
        <v>9045</v>
      </c>
      <c r="C4559" s="79" t="s">
        <v>9046</v>
      </c>
      <c r="D4559" s="98">
        <v>162906500</v>
      </c>
      <c r="E4559" s="87">
        <v>15529500</v>
      </c>
      <c r="F4559" s="77" t="s">
        <v>5505</v>
      </c>
    </row>
    <row r="4560" spans="1:6">
      <c r="A4560" s="82">
        <v>5</v>
      </c>
      <c r="B4560" s="79" t="s">
        <v>9047</v>
      </c>
      <c r="C4560" s="79" t="s">
        <v>9048</v>
      </c>
      <c r="D4560" s="98">
        <v>79399800</v>
      </c>
      <c r="E4560" s="87">
        <v>7569000</v>
      </c>
      <c r="F4560" s="77" t="s">
        <v>5505</v>
      </c>
    </row>
    <row r="4561" spans="1:6">
      <c r="A4561" s="82">
        <v>5</v>
      </c>
      <c r="B4561" s="79" t="s">
        <v>9049</v>
      </c>
      <c r="C4561" s="79" t="s">
        <v>9050</v>
      </c>
      <c r="D4561" s="98">
        <v>225878700</v>
      </c>
      <c r="E4561" s="87">
        <v>21532500</v>
      </c>
      <c r="F4561" s="77" t="s">
        <v>5505</v>
      </c>
    </row>
    <row r="4562" spans="1:6">
      <c r="A4562" s="82">
        <v>5</v>
      </c>
      <c r="B4562" s="79" t="s">
        <v>9051</v>
      </c>
      <c r="C4562" s="79" t="s">
        <v>9052</v>
      </c>
      <c r="D4562" s="98">
        <v>150585800</v>
      </c>
      <c r="E4562" s="87">
        <v>14355000</v>
      </c>
      <c r="F4562" s="77" t="s">
        <v>5505</v>
      </c>
    </row>
    <row r="4563" spans="1:6">
      <c r="A4563" s="82">
        <v>5</v>
      </c>
      <c r="B4563" s="79" t="s">
        <v>9053</v>
      </c>
      <c r="C4563" s="79" t="s">
        <v>9054</v>
      </c>
      <c r="D4563" s="98">
        <v>73923900</v>
      </c>
      <c r="E4563" s="87">
        <v>7047000</v>
      </c>
      <c r="F4563" s="77" t="s">
        <v>5505</v>
      </c>
    </row>
    <row r="4564" spans="1:6">
      <c r="A4564" s="82">
        <v>5</v>
      </c>
      <c r="B4564" s="79" t="s">
        <v>9055</v>
      </c>
      <c r="C4564" s="79" t="s">
        <v>9056</v>
      </c>
      <c r="D4564" s="98">
        <v>139634100</v>
      </c>
      <c r="E4564" s="87">
        <v>13311000</v>
      </c>
      <c r="F4564" s="77" t="s">
        <v>5505</v>
      </c>
    </row>
    <row r="4565" spans="1:6">
      <c r="A4565" s="82">
        <v>5</v>
      </c>
      <c r="B4565" s="79" t="s">
        <v>9057</v>
      </c>
      <c r="C4565" s="79" t="s">
        <v>9058</v>
      </c>
      <c r="D4565" s="98">
        <v>90351500</v>
      </c>
      <c r="E4565" s="87">
        <v>8613000</v>
      </c>
      <c r="F4565" s="77" t="s">
        <v>5505</v>
      </c>
    </row>
    <row r="4566" spans="1:6">
      <c r="A4566" s="82">
        <v>5</v>
      </c>
      <c r="B4566" s="79" t="s">
        <v>9059</v>
      </c>
      <c r="C4566" s="79" t="s">
        <v>9060</v>
      </c>
      <c r="D4566" s="98">
        <v>43806800</v>
      </c>
      <c r="E4566" s="87">
        <v>4176000</v>
      </c>
      <c r="F4566" s="77" t="s">
        <v>5505</v>
      </c>
    </row>
    <row r="4567" spans="1:6">
      <c r="A4567" s="82">
        <v>5</v>
      </c>
      <c r="B4567" s="79" t="s">
        <v>9061</v>
      </c>
      <c r="C4567" s="79" t="s">
        <v>9062</v>
      </c>
      <c r="D4567" s="98">
        <v>124575500</v>
      </c>
      <c r="E4567" s="87">
        <v>11875500</v>
      </c>
      <c r="F4567" s="77" t="s">
        <v>5505</v>
      </c>
    </row>
    <row r="4568" spans="1:6">
      <c r="A4568" s="82">
        <v>5</v>
      </c>
      <c r="B4568" s="79" t="s">
        <v>9063</v>
      </c>
      <c r="C4568" s="79" t="s">
        <v>9064</v>
      </c>
      <c r="D4568" s="98">
        <v>82137700</v>
      </c>
      <c r="E4568" s="87">
        <v>7830000</v>
      </c>
      <c r="F4568" s="77" t="s">
        <v>5505</v>
      </c>
    </row>
    <row r="4569" spans="1:6">
      <c r="A4569" s="82">
        <v>5</v>
      </c>
      <c r="B4569" s="79" t="s">
        <v>9065</v>
      </c>
      <c r="C4569" s="79" t="s">
        <v>9066</v>
      </c>
      <c r="D4569" s="98">
        <v>41068900</v>
      </c>
      <c r="E4569" s="87">
        <v>3915000</v>
      </c>
      <c r="F4569" s="77" t="s">
        <v>5505</v>
      </c>
    </row>
    <row r="4570" spans="1:6">
      <c r="A4570" s="82">
        <v>5</v>
      </c>
      <c r="B4570" s="70" t="s">
        <v>9067</v>
      </c>
      <c r="C4570" s="70" t="s">
        <v>9068</v>
      </c>
      <c r="D4570" s="96">
        <v>41068900</v>
      </c>
      <c r="E4570" s="87">
        <v>3915000</v>
      </c>
      <c r="F4570" s="77" t="s">
        <v>5505</v>
      </c>
    </row>
    <row r="4571" spans="1:6">
      <c r="A4571" s="82">
        <v>5</v>
      </c>
      <c r="B4571" s="70" t="s">
        <v>9069</v>
      </c>
      <c r="C4571" s="70" t="s">
        <v>9070</v>
      </c>
      <c r="D4571" s="96">
        <v>27379200</v>
      </c>
      <c r="E4571" s="87">
        <v>2610000</v>
      </c>
      <c r="F4571" s="77" t="s">
        <v>5505</v>
      </c>
    </row>
    <row r="4572" spans="1:6">
      <c r="A4572" s="82">
        <v>5</v>
      </c>
      <c r="B4572" s="70" t="s">
        <v>9071</v>
      </c>
      <c r="C4572" s="70" t="s">
        <v>9072</v>
      </c>
      <c r="D4572" s="96">
        <v>13005100</v>
      </c>
      <c r="E4572" s="87">
        <v>1239750</v>
      </c>
      <c r="F4572" s="77" t="s">
        <v>5505</v>
      </c>
    </row>
    <row r="4573" spans="1:6">
      <c r="A4573" s="82">
        <v>5</v>
      </c>
      <c r="B4573" s="79" t="s">
        <v>9073</v>
      </c>
      <c r="C4573" s="79" t="s">
        <v>9074</v>
      </c>
      <c r="D4573" s="98">
        <v>685850000</v>
      </c>
      <c r="E4573" s="87">
        <v>65380500</v>
      </c>
      <c r="F4573" s="77" t="s">
        <v>5505</v>
      </c>
    </row>
    <row r="4574" spans="1:6">
      <c r="A4574" s="82">
        <v>5</v>
      </c>
      <c r="B4574" s="79" t="s">
        <v>9075</v>
      </c>
      <c r="C4574" s="79" t="s">
        <v>9076</v>
      </c>
      <c r="D4574" s="98">
        <v>1110228200</v>
      </c>
      <c r="E4574" s="87">
        <v>105835500</v>
      </c>
      <c r="F4574" s="77" t="s">
        <v>5505</v>
      </c>
    </row>
    <row r="4575" spans="1:6">
      <c r="A4575" s="82">
        <v>5</v>
      </c>
      <c r="B4575" s="79" t="s">
        <v>9077</v>
      </c>
      <c r="C4575" s="79" t="s">
        <v>9078</v>
      </c>
      <c r="D4575" s="98">
        <v>67626700</v>
      </c>
      <c r="E4575" s="87">
        <v>6446700</v>
      </c>
      <c r="F4575" s="77" t="s">
        <v>5505</v>
      </c>
    </row>
    <row r="4576" spans="1:6">
      <c r="A4576" s="82">
        <v>5</v>
      </c>
      <c r="B4576" s="79" t="s">
        <v>9079</v>
      </c>
      <c r="C4576" s="79" t="s">
        <v>9080</v>
      </c>
      <c r="D4576" s="98">
        <v>33813400</v>
      </c>
      <c r="E4576" s="87">
        <v>3223350</v>
      </c>
      <c r="F4576" s="77" t="s">
        <v>5505</v>
      </c>
    </row>
    <row r="4577" spans="1:6">
      <c r="A4577" s="82">
        <v>5</v>
      </c>
      <c r="B4577" s="79" t="s">
        <v>9081</v>
      </c>
      <c r="C4577" s="79" t="s">
        <v>9082</v>
      </c>
      <c r="D4577" s="98">
        <v>33813400</v>
      </c>
      <c r="E4577" s="87">
        <v>3223350</v>
      </c>
      <c r="F4577" s="77" t="s">
        <v>5505</v>
      </c>
    </row>
    <row r="4578" spans="1:6">
      <c r="A4578" s="82">
        <v>5</v>
      </c>
      <c r="B4578" s="79" t="s">
        <v>9083</v>
      </c>
      <c r="C4578" s="79" t="s">
        <v>9084</v>
      </c>
      <c r="D4578" s="98">
        <v>33813400</v>
      </c>
      <c r="E4578" s="87">
        <v>3223350</v>
      </c>
      <c r="F4578" s="77" t="s">
        <v>5505</v>
      </c>
    </row>
    <row r="4579" spans="1:6">
      <c r="A4579" s="82">
        <v>5</v>
      </c>
      <c r="B4579" s="79" t="s">
        <v>9085</v>
      </c>
      <c r="C4579" s="79" t="s">
        <v>9086</v>
      </c>
      <c r="D4579" s="98">
        <v>33813400</v>
      </c>
      <c r="E4579" s="87">
        <v>3223350</v>
      </c>
      <c r="F4579" s="77" t="s">
        <v>5505</v>
      </c>
    </row>
    <row r="4580" spans="1:6">
      <c r="A4580" s="82">
        <v>5</v>
      </c>
      <c r="B4580" s="79" t="s">
        <v>9087</v>
      </c>
      <c r="C4580" s="79" t="s">
        <v>9088</v>
      </c>
      <c r="D4580" s="98">
        <v>33813400</v>
      </c>
      <c r="E4580" s="87">
        <v>3223350</v>
      </c>
      <c r="F4580" s="77" t="s">
        <v>5505</v>
      </c>
    </row>
    <row r="4581" spans="1:6">
      <c r="A4581" s="82">
        <v>5</v>
      </c>
      <c r="B4581" s="79" t="s">
        <v>9089</v>
      </c>
      <c r="C4581" s="79" t="s">
        <v>9090</v>
      </c>
      <c r="D4581" s="98">
        <v>33813400</v>
      </c>
      <c r="E4581" s="87">
        <v>3223350</v>
      </c>
      <c r="F4581" s="77" t="s">
        <v>5505</v>
      </c>
    </row>
    <row r="4582" spans="1:6" ht="13.5">
      <c r="A4582" s="82">
        <v>5</v>
      </c>
      <c r="B4582" s="89" t="s">
        <v>9091</v>
      </c>
      <c r="C4582" s="89" t="s">
        <v>9092</v>
      </c>
      <c r="D4582" s="100">
        <v>13700</v>
      </c>
      <c r="E4582" s="87">
        <v>1305</v>
      </c>
      <c r="F4582" s="77" t="s">
        <v>5505</v>
      </c>
    </row>
    <row r="4583" spans="1:6">
      <c r="A4583" s="82">
        <v>5</v>
      </c>
      <c r="B4583" s="79" t="s">
        <v>9093</v>
      </c>
      <c r="C4583" s="79" t="s">
        <v>9094</v>
      </c>
      <c r="D4583" s="98">
        <v>54690000</v>
      </c>
      <c r="E4583" s="87">
        <v>5213475</v>
      </c>
      <c r="F4583" s="77" t="s">
        <v>5505</v>
      </c>
    </row>
    <row r="4584" spans="1:6">
      <c r="A4584" s="82">
        <v>5</v>
      </c>
      <c r="B4584" s="79" t="s">
        <v>9095</v>
      </c>
      <c r="C4584" s="79" t="s">
        <v>9096</v>
      </c>
      <c r="D4584" s="98">
        <v>4038400</v>
      </c>
      <c r="E4584" s="87">
        <v>384975</v>
      </c>
      <c r="F4584" s="77" t="s">
        <v>5505</v>
      </c>
    </row>
    <row r="4585" spans="1:6">
      <c r="A4585" s="82">
        <v>5</v>
      </c>
      <c r="B4585" s="82" t="s">
        <v>9097</v>
      </c>
      <c r="C4585" s="79" t="s">
        <v>9098</v>
      </c>
      <c r="D4585" s="98">
        <v>5407400</v>
      </c>
      <c r="E4585" s="87">
        <v>515475</v>
      </c>
      <c r="F4585" s="77" t="s">
        <v>5505</v>
      </c>
    </row>
    <row r="4586" spans="1:6">
      <c r="A4586" s="82">
        <v>5</v>
      </c>
      <c r="B4586" s="82" t="s">
        <v>9099</v>
      </c>
      <c r="C4586" s="79" t="s">
        <v>9100</v>
      </c>
      <c r="D4586" s="98">
        <v>4038400</v>
      </c>
      <c r="E4586" s="87">
        <v>384975</v>
      </c>
      <c r="F4586" s="77" t="s">
        <v>5505</v>
      </c>
    </row>
    <row r="4587" spans="1:6">
      <c r="A4587" s="82">
        <v>5</v>
      </c>
      <c r="B4587" s="79" t="s">
        <v>9101</v>
      </c>
      <c r="C4587" s="79" t="s">
        <v>9102</v>
      </c>
      <c r="D4587" s="98">
        <v>78236200</v>
      </c>
      <c r="E4587" s="87">
        <v>5800724.9999999991</v>
      </c>
      <c r="F4587" s="77" t="s">
        <v>10174</v>
      </c>
    </row>
    <row r="4588" spans="1:6">
      <c r="A4588" s="82">
        <v>5</v>
      </c>
      <c r="B4588" s="79" t="s">
        <v>9103</v>
      </c>
      <c r="C4588" s="79" t="s">
        <v>9104</v>
      </c>
      <c r="D4588" s="98">
        <v>57359500</v>
      </c>
      <c r="E4588" s="87">
        <v>4252850</v>
      </c>
      <c r="F4588" s="77" t="s">
        <v>10174</v>
      </c>
    </row>
    <row r="4589" spans="1:6">
      <c r="A4589" s="82">
        <v>5</v>
      </c>
      <c r="B4589" s="79" t="s">
        <v>9105</v>
      </c>
      <c r="C4589" s="79" t="s">
        <v>9106</v>
      </c>
      <c r="D4589" s="98">
        <v>41753300</v>
      </c>
      <c r="E4589" s="87">
        <v>3095750</v>
      </c>
      <c r="F4589" s="77" t="s">
        <v>10174</v>
      </c>
    </row>
    <row r="4590" spans="1:6">
      <c r="A4590" s="82">
        <v>5</v>
      </c>
      <c r="B4590" s="79" t="s">
        <v>9107</v>
      </c>
      <c r="C4590" s="79" t="s">
        <v>9108</v>
      </c>
      <c r="D4590" s="98">
        <v>47434500</v>
      </c>
      <c r="E4590" s="87">
        <v>3516975</v>
      </c>
      <c r="F4590" s="77" t="s">
        <v>10174</v>
      </c>
    </row>
    <row r="4591" spans="1:6">
      <c r="A4591" s="82">
        <v>5</v>
      </c>
      <c r="B4591" s="79" t="s">
        <v>9109</v>
      </c>
      <c r="C4591" s="79" t="s">
        <v>9110</v>
      </c>
      <c r="D4591" s="98">
        <v>34840100</v>
      </c>
      <c r="E4591" s="87">
        <v>2583175</v>
      </c>
      <c r="F4591" s="77" t="s">
        <v>10174</v>
      </c>
    </row>
    <row r="4592" spans="1:6">
      <c r="A4592" s="82">
        <v>5</v>
      </c>
      <c r="B4592" s="79" t="s">
        <v>9111</v>
      </c>
      <c r="C4592" s="79" t="s">
        <v>9112</v>
      </c>
      <c r="D4592" s="98">
        <v>25325800</v>
      </c>
      <c r="E4592" s="87">
        <v>1877750</v>
      </c>
      <c r="F4592" s="77" t="s">
        <v>10174</v>
      </c>
    </row>
    <row r="4593" spans="1:6">
      <c r="A4593" s="82">
        <v>5</v>
      </c>
      <c r="B4593" s="79" t="s">
        <v>9113</v>
      </c>
      <c r="C4593" s="79" t="s">
        <v>9114</v>
      </c>
      <c r="D4593" s="98">
        <v>94732200</v>
      </c>
      <c r="E4593" s="87">
        <v>7023800</v>
      </c>
      <c r="F4593" s="77" t="s">
        <v>10174</v>
      </c>
    </row>
    <row r="4594" spans="1:6">
      <c r="A4594" s="82">
        <v>5</v>
      </c>
      <c r="B4594" s="79" t="s">
        <v>9115</v>
      </c>
      <c r="C4594" s="79" t="s">
        <v>9116</v>
      </c>
      <c r="D4594" s="98">
        <v>69474800</v>
      </c>
      <c r="E4594" s="87">
        <v>5151125</v>
      </c>
      <c r="F4594" s="77" t="s">
        <v>10174</v>
      </c>
    </row>
    <row r="4595" spans="1:6">
      <c r="A4595" s="82">
        <v>5</v>
      </c>
      <c r="B4595" s="79" t="s">
        <v>9117</v>
      </c>
      <c r="C4595" s="79" t="s">
        <v>9118</v>
      </c>
      <c r="D4595" s="98">
        <v>50514700</v>
      </c>
      <c r="E4595" s="87">
        <v>3745350</v>
      </c>
      <c r="F4595" s="77" t="s">
        <v>10174</v>
      </c>
    </row>
    <row r="4596" spans="1:6">
      <c r="A4596" s="82">
        <v>5</v>
      </c>
      <c r="B4596" s="79" t="s">
        <v>9119</v>
      </c>
      <c r="C4596" s="79" t="s">
        <v>9120</v>
      </c>
      <c r="D4596" s="98">
        <v>56469700</v>
      </c>
      <c r="E4596" s="87">
        <v>4186875</v>
      </c>
      <c r="F4596" s="77" t="s">
        <v>10174</v>
      </c>
    </row>
    <row r="4597" spans="1:6">
      <c r="A4597" s="82">
        <v>5</v>
      </c>
      <c r="B4597" s="79" t="s">
        <v>9121</v>
      </c>
      <c r="C4597" s="79" t="s">
        <v>9122</v>
      </c>
      <c r="D4597" s="98">
        <v>41411100</v>
      </c>
      <c r="E4597" s="87">
        <v>3070375</v>
      </c>
      <c r="F4597" s="77" t="s">
        <v>10174</v>
      </c>
    </row>
    <row r="4598" spans="1:6">
      <c r="A4598" s="82">
        <v>5</v>
      </c>
      <c r="B4598" s="79" t="s">
        <v>9123</v>
      </c>
      <c r="C4598" s="79" t="s">
        <v>9124</v>
      </c>
      <c r="D4598" s="98">
        <v>30117200</v>
      </c>
      <c r="E4598" s="87">
        <v>2233000</v>
      </c>
      <c r="F4598" s="77" t="s">
        <v>10174</v>
      </c>
    </row>
    <row r="4599" spans="1:6">
      <c r="A4599" s="82">
        <v>5</v>
      </c>
      <c r="B4599" s="79" t="s">
        <v>9125</v>
      </c>
      <c r="C4599" s="79" t="s">
        <v>9126</v>
      </c>
      <c r="D4599" s="98">
        <v>876100</v>
      </c>
      <c r="E4599" s="87">
        <v>64959.999999999993</v>
      </c>
      <c r="F4599" s="77" t="s">
        <v>10174</v>
      </c>
    </row>
    <row r="4600" spans="1:6">
      <c r="A4600" s="82">
        <v>5</v>
      </c>
      <c r="B4600" s="79" t="s">
        <v>9127</v>
      </c>
      <c r="C4600" s="79" t="s">
        <v>9128</v>
      </c>
      <c r="D4600" s="98">
        <v>629700</v>
      </c>
      <c r="E4600" s="87">
        <v>46689.999999999993</v>
      </c>
      <c r="F4600" s="77" t="s">
        <v>10174</v>
      </c>
    </row>
    <row r="4601" spans="1:6">
      <c r="A4601" s="82">
        <v>5</v>
      </c>
      <c r="B4601" s="79" t="s">
        <v>9129</v>
      </c>
      <c r="C4601" s="79" t="s">
        <v>9130</v>
      </c>
      <c r="D4601" s="98">
        <v>355900</v>
      </c>
      <c r="E4601" s="87">
        <v>26390</v>
      </c>
      <c r="F4601" s="77" t="s">
        <v>10174</v>
      </c>
    </row>
    <row r="4602" spans="1:6">
      <c r="A4602" s="82">
        <v>5</v>
      </c>
      <c r="B4602" s="79" t="s">
        <v>9131</v>
      </c>
      <c r="C4602" s="79" t="s">
        <v>9132</v>
      </c>
      <c r="D4602" s="98">
        <v>273800</v>
      </c>
      <c r="E4602" s="87">
        <v>20300</v>
      </c>
      <c r="F4602" s="77" t="s">
        <v>10174</v>
      </c>
    </row>
    <row r="4603" spans="1:6">
      <c r="A4603" s="82">
        <v>5</v>
      </c>
      <c r="B4603" s="79" t="s">
        <v>9133</v>
      </c>
      <c r="C4603" s="79" t="s">
        <v>9134</v>
      </c>
      <c r="D4603" s="98">
        <v>1629100</v>
      </c>
      <c r="E4603" s="87">
        <v>120785</v>
      </c>
      <c r="F4603" s="77" t="s">
        <v>10174</v>
      </c>
    </row>
    <row r="4604" spans="1:6">
      <c r="A4604" s="82">
        <v>5</v>
      </c>
      <c r="B4604" s="79" t="s">
        <v>9135</v>
      </c>
      <c r="C4604" s="79" t="s">
        <v>9136</v>
      </c>
      <c r="D4604" s="98">
        <v>1191000</v>
      </c>
      <c r="E4604" s="87">
        <v>88305</v>
      </c>
      <c r="F4604" s="77" t="s">
        <v>10174</v>
      </c>
    </row>
    <row r="4605" spans="1:6">
      <c r="A4605" s="82">
        <v>5</v>
      </c>
      <c r="B4605" s="79" t="s">
        <v>9137</v>
      </c>
      <c r="C4605" s="79" t="s">
        <v>9138</v>
      </c>
      <c r="D4605" s="98">
        <v>670800</v>
      </c>
      <c r="E4605" s="87">
        <v>49734.999999999993</v>
      </c>
      <c r="F4605" s="77" t="s">
        <v>10174</v>
      </c>
    </row>
    <row r="4606" spans="1:6">
      <c r="A4606" s="82">
        <v>5</v>
      </c>
      <c r="B4606" s="79" t="s">
        <v>9139</v>
      </c>
      <c r="C4606" s="79" t="s">
        <v>9140</v>
      </c>
      <c r="D4606" s="98">
        <v>506500</v>
      </c>
      <c r="E4606" s="87">
        <v>37555</v>
      </c>
      <c r="F4606" s="77" t="s">
        <v>10174</v>
      </c>
    </row>
    <row r="4607" spans="1:6">
      <c r="A4607" s="82">
        <v>5</v>
      </c>
      <c r="B4607" s="79" t="s">
        <v>9141</v>
      </c>
      <c r="C4607" s="79" t="s">
        <v>9142</v>
      </c>
      <c r="D4607" s="98">
        <v>670800</v>
      </c>
      <c r="E4607" s="87">
        <v>49734.999999999993</v>
      </c>
      <c r="F4607" s="77" t="s">
        <v>10174</v>
      </c>
    </row>
    <row r="4608" spans="1:6">
      <c r="A4608" s="82">
        <v>5</v>
      </c>
      <c r="B4608" s="79" t="s">
        <v>9143</v>
      </c>
      <c r="C4608" s="79" t="s">
        <v>9144</v>
      </c>
      <c r="D4608" s="98">
        <v>479100</v>
      </c>
      <c r="E4608" s="87">
        <v>35525</v>
      </c>
      <c r="F4608" s="77" t="s">
        <v>10174</v>
      </c>
    </row>
    <row r="4609" spans="1:6">
      <c r="A4609" s="82">
        <v>5</v>
      </c>
      <c r="B4609" s="79" t="s">
        <v>9145</v>
      </c>
      <c r="C4609" s="79" t="s">
        <v>9146</v>
      </c>
      <c r="D4609" s="98">
        <v>273800</v>
      </c>
      <c r="E4609" s="87">
        <v>20300</v>
      </c>
      <c r="F4609" s="77" t="s">
        <v>10174</v>
      </c>
    </row>
    <row r="4610" spans="1:6">
      <c r="A4610" s="82">
        <v>5</v>
      </c>
      <c r="B4610" s="79" t="s">
        <v>9147</v>
      </c>
      <c r="C4610" s="79" t="s">
        <v>9148</v>
      </c>
      <c r="D4610" s="98">
        <v>205300</v>
      </c>
      <c r="E4610" s="87">
        <v>15225</v>
      </c>
      <c r="F4610" s="77" t="s">
        <v>10174</v>
      </c>
    </row>
    <row r="4611" spans="1:6">
      <c r="A4611" s="82">
        <v>5</v>
      </c>
      <c r="B4611" s="79" t="s">
        <v>9149</v>
      </c>
      <c r="C4611" s="79" t="s">
        <v>9150</v>
      </c>
      <c r="D4611" s="98">
        <v>958300</v>
      </c>
      <c r="E4611" s="87">
        <v>71050</v>
      </c>
      <c r="F4611" s="77" t="s">
        <v>10174</v>
      </c>
    </row>
    <row r="4612" spans="1:6">
      <c r="A4612" s="82">
        <v>5</v>
      </c>
      <c r="B4612" s="79" t="s">
        <v>9151</v>
      </c>
      <c r="C4612" s="79" t="s">
        <v>9152</v>
      </c>
      <c r="D4612" s="98">
        <v>684500</v>
      </c>
      <c r="E4612" s="87">
        <v>50750</v>
      </c>
      <c r="F4612" s="77" t="s">
        <v>10174</v>
      </c>
    </row>
    <row r="4613" spans="1:6">
      <c r="A4613" s="82">
        <v>5</v>
      </c>
      <c r="B4613" s="79" t="s">
        <v>9153</v>
      </c>
      <c r="C4613" s="79" t="s">
        <v>9154</v>
      </c>
      <c r="D4613" s="98">
        <v>410700</v>
      </c>
      <c r="E4613" s="87">
        <v>30450</v>
      </c>
      <c r="F4613" s="77" t="s">
        <v>10174</v>
      </c>
    </row>
    <row r="4614" spans="1:6">
      <c r="A4614" s="82">
        <v>5</v>
      </c>
      <c r="B4614" s="79" t="s">
        <v>9155</v>
      </c>
      <c r="C4614" s="79" t="s">
        <v>9156</v>
      </c>
      <c r="D4614" s="98">
        <v>287500</v>
      </c>
      <c r="E4614" s="87">
        <v>21315</v>
      </c>
      <c r="F4614" s="77" t="s">
        <v>10174</v>
      </c>
    </row>
    <row r="4615" spans="1:6">
      <c r="A4615" s="82">
        <v>5</v>
      </c>
      <c r="B4615" s="79" t="s">
        <v>9157</v>
      </c>
      <c r="C4615" s="79" t="s">
        <v>9158</v>
      </c>
      <c r="D4615" s="98">
        <v>958300</v>
      </c>
      <c r="E4615" s="87">
        <v>71050</v>
      </c>
      <c r="F4615" s="77" t="s">
        <v>10174</v>
      </c>
    </row>
    <row r="4616" spans="1:6">
      <c r="A4616" s="82">
        <v>5</v>
      </c>
      <c r="B4616" s="79" t="s">
        <v>9159</v>
      </c>
      <c r="C4616" s="79" t="s">
        <v>9160</v>
      </c>
      <c r="D4616" s="98">
        <v>684500</v>
      </c>
      <c r="E4616" s="87">
        <v>50750</v>
      </c>
      <c r="F4616" s="77" t="s">
        <v>10174</v>
      </c>
    </row>
    <row r="4617" spans="1:6">
      <c r="A4617" s="82">
        <v>5</v>
      </c>
      <c r="B4617" s="79" t="s">
        <v>9161</v>
      </c>
      <c r="C4617" s="79" t="s">
        <v>9162</v>
      </c>
      <c r="D4617" s="98">
        <v>410700</v>
      </c>
      <c r="E4617" s="87">
        <v>30450</v>
      </c>
      <c r="F4617" s="77" t="s">
        <v>10174</v>
      </c>
    </row>
    <row r="4618" spans="1:6">
      <c r="A4618" s="82">
        <v>5</v>
      </c>
      <c r="B4618" s="79" t="s">
        <v>9163</v>
      </c>
      <c r="C4618" s="79" t="s">
        <v>9164</v>
      </c>
      <c r="D4618" s="98">
        <v>287500</v>
      </c>
      <c r="E4618" s="87">
        <v>21315</v>
      </c>
      <c r="F4618" s="77" t="s">
        <v>10174</v>
      </c>
    </row>
    <row r="4619" spans="1:6">
      <c r="A4619" s="82">
        <v>5</v>
      </c>
      <c r="B4619" s="82" t="s">
        <v>9165</v>
      </c>
      <c r="C4619" s="79" t="s">
        <v>9166</v>
      </c>
      <c r="D4619" s="98">
        <v>67832100</v>
      </c>
      <c r="E4619" s="87">
        <v>5029325</v>
      </c>
      <c r="F4619" s="77" t="s">
        <v>10174</v>
      </c>
    </row>
    <row r="4620" spans="1:6">
      <c r="A4620" s="82">
        <v>5</v>
      </c>
      <c r="B4620" s="82" t="s">
        <v>9167</v>
      </c>
      <c r="C4620" s="79" t="s">
        <v>9168</v>
      </c>
      <c r="D4620" s="98">
        <v>52157500</v>
      </c>
      <c r="E4620" s="87">
        <v>3867150</v>
      </c>
      <c r="F4620" s="77" t="s">
        <v>10174</v>
      </c>
    </row>
    <row r="4621" spans="1:6">
      <c r="A4621" s="82">
        <v>5</v>
      </c>
      <c r="B4621" s="82" t="s">
        <v>9169</v>
      </c>
      <c r="C4621" s="79" t="s">
        <v>9170</v>
      </c>
      <c r="D4621" s="98">
        <v>82069300</v>
      </c>
      <c r="E4621" s="87">
        <v>6084925</v>
      </c>
      <c r="F4621" s="77" t="s">
        <v>10174</v>
      </c>
    </row>
    <row r="4622" spans="1:6">
      <c r="A4622" s="82">
        <v>5</v>
      </c>
      <c r="B4622" s="82" t="s">
        <v>9171</v>
      </c>
      <c r="C4622" s="79" t="s">
        <v>9172</v>
      </c>
      <c r="D4622" s="98">
        <v>63177600</v>
      </c>
      <c r="E4622" s="87">
        <v>4684225</v>
      </c>
      <c r="F4622" s="77" t="s">
        <v>10174</v>
      </c>
    </row>
    <row r="4623" spans="1:6">
      <c r="A4623" s="82">
        <v>5</v>
      </c>
      <c r="B4623" s="82" t="s">
        <v>9173</v>
      </c>
      <c r="C4623" s="79" t="s">
        <v>9174</v>
      </c>
      <c r="D4623" s="98">
        <v>41137300</v>
      </c>
      <c r="E4623" s="87">
        <v>3050075</v>
      </c>
      <c r="F4623" s="77" t="s">
        <v>10174</v>
      </c>
    </row>
    <row r="4624" spans="1:6">
      <c r="A4624" s="82">
        <v>5</v>
      </c>
      <c r="B4624" s="82" t="s">
        <v>9175</v>
      </c>
      <c r="C4624" s="79" t="s">
        <v>9176</v>
      </c>
      <c r="D4624" s="98">
        <v>31623000</v>
      </c>
      <c r="E4624" s="87">
        <v>2344650</v>
      </c>
      <c r="F4624" s="77" t="s">
        <v>10174</v>
      </c>
    </row>
    <row r="4625" spans="1:6">
      <c r="A4625" s="82">
        <v>5</v>
      </c>
      <c r="B4625" s="82" t="s">
        <v>9177</v>
      </c>
      <c r="C4625" s="79" t="s">
        <v>9178</v>
      </c>
      <c r="D4625" s="98">
        <v>48940400</v>
      </c>
      <c r="E4625" s="87">
        <v>3628625</v>
      </c>
      <c r="F4625" s="77" t="s">
        <v>10174</v>
      </c>
    </row>
    <row r="4626" spans="1:6">
      <c r="A4626" s="82">
        <v>5</v>
      </c>
      <c r="B4626" s="82" t="s">
        <v>9179</v>
      </c>
      <c r="C4626" s="79" t="s">
        <v>9180</v>
      </c>
      <c r="D4626" s="98">
        <v>37646500</v>
      </c>
      <c r="E4626" s="87">
        <v>2791249.9999999995</v>
      </c>
      <c r="F4626" s="77" t="s">
        <v>10174</v>
      </c>
    </row>
    <row r="4627" spans="1:6">
      <c r="A4627" s="82">
        <v>5</v>
      </c>
      <c r="B4627" s="82" t="s">
        <v>9181</v>
      </c>
      <c r="C4627" s="79" t="s">
        <v>9182</v>
      </c>
      <c r="D4627" s="98">
        <v>794000</v>
      </c>
      <c r="E4627" s="87">
        <v>58869.999999999993</v>
      </c>
      <c r="F4627" s="77" t="s">
        <v>10174</v>
      </c>
    </row>
    <row r="4628" spans="1:6">
      <c r="A4628" s="82">
        <v>5</v>
      </c>
      <c r="B4628" s="82" t="s">
        <v>9183</v>
      </c>
      <c r="C4628" s="79" t="s">
        <v>9184</v>
      </c>
      <c r="D4628" s="98">
        <v>629700</v>
      </c>
      <c r="E4628" s="87">
        <v>46689.999999999993</v>
      </c>
      <c r="F4628" s="77" t="s">
        <v>10174</v>
      </c>
    </row>
    <row r="4629" spans="1:6">
      <c r="A4629" s="82">
        <v>5</v>
      </c>
      <c r="B4629" s="79" t="s">
        <v>9185</v>
      </c>
      <c r="C4629" s="79" t="s">
        <v>9186</v>
      </c>
      <c r="D4629" s="98">
        <v>2121900</v>
      </c>
      <c r="E4629" s="87">
        <v>157325</v>
      </c>
      <c r="F4629" s="77" t="s">
        <v>10174</v>
      </c>
    </row>
    <row r="4630" spans="1:6">
      <c r="A4630" s="82">
        <v>5</v>
      </c>
      <c r="B4630" s="79" t="s">
        <v>9187</v>
      </c>
      <c r="C4630" s="79" t="s">
        <v>9188</v>
      </c>
      <c r="D4630" s="98">
        <v>1711200</v>
      </c>
      <c r="E4630" s="87">
        <v>126875</v>
      </c>
      <c r="F4630" s="77" t="s">
        <v>10174</v>
      </c>
    </row>
    <row r="4631" spans="1:6">
      <c r="A4631" s="82">
        <v>5</v>
      </c>
      <c r="B4631" s="82" t="s">
        <v>9189</v>
      </c>
      <c r="C4631" s="79" t="s">
        <v>9190</v>
      </c>
      <c r="D4631" s="98">
        <v>1492200</v>
      </c>
      <c r="E4631" s="87">
        <v>110635</v>
      </c>
      <c r="F4631" s="77" t="s">
        <v>10174</v>
      </c>
    </row>
    <row r="4632" spans="1:6">
      <c r="A4632" s="82">
        <v>5</v>
      </c>
      <c r="B4632" s="82" t="s">
        <v>9191</v>
      </c>
      <c r="C4632" s="79" t="s">
        <v>9192</v>
      </c>
      <c r="D4632" s="98">
        <v>1191000</v>
      </c>
      <c r="E4632" s="87">
        <v>88305</v>
      </c>
      <c r="F4632" s="77" t="s">
        <v>10174</v>
      </c>
    </row>
    <row r="4633" spans="1:6">
      <c r="A4633" s="82">
        <v>5</v>
      </c>
      <c r="B4633" s="79" t="s">
        <v>9193</v>
      </c>
      <c r="C4633" s="79" t="s">
        <v>9194</v>
      </c>
      <c r="D4633" s="98">
        <v>1369000</v>
      </c>
      <c r="E4633" s="87">
        <v>101500</v>
      </c>
      <c r="F4633" s="77" t="s">
        <v>10174</v>
      </c>
    </row>
    <row r="4634" spans="1:6">
      <c r="A4634" s="82">
        <v>1</v>
      </c>
      <c r="B4634" s="70" t="s">
        <v>9195</v>
      </c>
      <c r="C4634" s="70" t="s">
        <v>9196</v>
      </c>
      <c r="D4634" s="96">
        <v>5119917900</v>
      </c>
      <c r="E4634" s="87">
        <v>200651000</v>
      </c>
      <c r="F4634" s="77" t="s">
        <v>10170</v>
      </c>
    </row>
    <row r="4635" spans="1:6">
      <c r="A4635" s="82">
        <v>1</v>
      </c>
      <c r="B4635" s="70" t="s">
        <v>9197</v>
      </c>
      <c r="C4635" s="70" t="s">
        <v>9198</v>
      </c>
      <c r="D4635" s="96">
        <v>3011648000</v>
      </c>
      <c r="E4635" s="87">
        <v>118027317.49999999</v>
      </c>
      <c r="F4635" s="77" t="s">
        <v>10170</v>
      </c>
    </row>
    <row r="4636" spans="1:6">
      <c r="A4636" s="82">
        <v>5</v>
      </c>
      <c r="B4636" s="70" t="s">
        <v>9199</v>
      </c>
      <c r="C4636" s="70" t="s">
        <v>9200</v>
      </c>
      <c r="D4636" s="96">
        <v>34155600</v>
      </c>
      <c r="E4636" s="87">
        <v>2532425</v>
      </c>
      <c r="F4636" s="77" t="s">
        <v>10174</v>
      </c>
    </row>
    <row r="4637" spans="1:6">
      <c r="A4637" s="82">
        <v>5</v>
      </c>
      <c r="B4637" s="70" t="s">
        <v>9201</v>
      </c>
      <c r="C4637" s="70" t="s">
        <v>9202</v>
      </c>
      <c r="D4637" s="96">
        <v>20123700</v>
      </c>
      <c r="E4637" s="87">
        <v>1492050</v>
      </c>
      <c r="F4637" s="77" t="s">
        <v>10174</v>
      </c>
    </row>
    <row r="4638" spans="1:6">
      <c r="A4638" s="82">
        <v>1</v>
      </c>
      <c r="B4638" s="70" t="s">
        <v>9203</v>
      </c>
      <c r="C4638" s="70" t="s">
        <v>9204</v>
      </c>
      <c r="D4638" s="96">
        <v>41437110800</v>
      </c>
      <c r="E4638" s="87">
        <v>1623931850</v>
      </c>
      <c r="F4638" s="77" t="s">
        <v>10170</v>
      </c>
    </row>
    <row r="4639" spans="1:6">
      <c r="A4639" s="82">
        <v>1</v>
      </c>
      <c r="B4639" s="70" t="s">
        <v>9205</v>
      </c>
      <c r="C4639" s="70" t="s">
        <v>9206</v>
      </c>
      <c r="D4639" s="96">
        <v>43490485300</v>
      </c>
      <c r="E4639" s="87">
        <v>1704404167.4999998</v>
      </c>
      <c r="F4639" s="77" t="s">
        <v>10170</v>
      </c>
    </row>
    <row r="4640" spans="1:6">
      <c r="A4640" s="82">
        <v>1</v>
      </c>
      <c r="B4640" s="70" t="s">
        <v>9207</v>
      </c>
      <c r="C4640" s="70" t="s">
        <v>9208</v>
      </c>
      <c r="D4640" s="96">
        <v>42271903800</v>
      </c>
      <c r="E4640" s="87">
        <v>1656647620.0000002</v>
      </c>
      <c r="F4640" s="77" t="s">
        <v>10170</v>
      </c>
    </row>
    <row r="4641" spans="1:6">
      <c r="A4641" s="82">
        <v>1</v>
      </c>
      <c r="B4641" s="70" t="s">
        <v>9209</v>
      </c>
      <c r="C4641" s="70" t="s">
        <v>9210</v>
      </c>
      <c r="D4641" s="96">
        <v>44325278400</v>
      </c>
      <c r="E4641" s="87">
        <v>1737119937.5</v>
      </c>
      <c r="F4641" s="77" t="s">
        <v>10170</v>
      </c>
    </row>
    <row r="4642" spans="1:6">
      <c r="A4642" s="82">
        <v>1</v>
      </c>
      <c r="B4642" s="70" t="s">
        <v>9211</v>
      </c>
      <c r="C4642" s="70" t="s">
        <v>9212</v>
      </c>
      <c r="D4642" s="96">
        <v>45537042500</v>
      </c>
      <c r="E4642" s="87">
        <v>1784609308</v>
      </c>
      <c r="F4642" s="77" t="s">
        <v>10170</v>
      </c>
    </row>
    <row r="4643" spans="1:6">
      <c r="A4643" s="82">
        <v>1</v>
      </c>
      <c r="B4643" s="70" t="s">
        <v>9213</v>
      </c>
      <c r="C4643" s="70" t="s">
        <v>9214</v>
      </c>
      <c r="D4643" s="96">
        <v>48425210000</v>
      </c>
      <c r="E4643" s="87">
        <v>1897797395.5</v>
      </c>
      <c r="F4643" s="77" t="s">
        <v>10170</v>
      </c>
    </row>
    <row r="4644" spans="1:6">
      <c r="A4644" s="82">
        <v>1</v>
      </c>
      <c r="B4644" s="70" t="s">
        <v>9215</v>
      </c>
      <c r="C4644" s="70" t="s">
        <v>9216</v>
      </c>
      <c r="D4644" s="96">
        <v>60438029500</v>
      </c>
      <c r="E4644" s="87">
        <v>2368583120</v>
      </c>
      <c r="F4644" s="77" t="s">
        <v>10170</v>
      </c>
    </row>
    <row r="4645" spans="1:6">
      <c r="A4645" s="82">
        <v>1</v>
      </c>
      <c r="B4645" s="70" t="s">
        <v>9217</v>
      </c>
      <c r="C4645" s="70" t="s">
        <v>9218</v>
      </c>
      <c r="D4645" s="96">
        <v>62518783300</v>
      </c>
      <c r="E4645" s="87">
        <v>2450128437.5</v>
      </c>
      <c r="F4645" s="77" t="s">
        <v>10170</v>
      </c>
    </row>
    <row r="4646" spans="1:6">
      <c r="A4646" s="82">
        <v>1</v>
      </c>
      <c r="B4646" s="70" t="s">
        <v>9219</v>
      </c>
      <c r="C4646" s="70" t="s">
        <v>9220</v>
      </c>
      <c r="D4646" s="96">
        <v>63777201700</v>
      </c>
      <c r="E4646" s="87">
        <v>2499446200</v>
      </c>
      <c r="F4646" s="77" t="s">
        <v>10170</v>
      </c>
    </row>
    <row r="4647" spans="1:6">
      <c r="A4647" s="82">
        <v>1</v>
      </c>
      <c r="B4647" s="70" t="s">
        <v>9221</v>
      </c>
      <c r="C4647" s="70" t="s">
        <v>9222</v>
      </c>
      <c r="D4647" s="96">
        <v>65857955400</v>
      </c>
      <c r="E4647" s="87">
        <v>2580991517.5</v>
      </c>
      <c r="F4647" s="77" t="s">
        <v>10170</v>
      </c>
    </row>
    <row r="4648" spans="1:6">
      <c r="A4648" s="82">
        <v>1</v>
      </c>
      <c r="B4648" s="70" t="s">
        <v>9223</v>
      </c>
      <c r="C4648" s="70" t="s">
        <v>9224</v>
      </c>
      <c r="D4648" s="96">
        <v>66273777700</v>
      </c>
      <c r="E4648" s="87">
        <v>2597287705</v>
      </c>
      <c r="F4648" s="77" t="s">
        <v>10170</v>
      </c>
    </row>
    <row r="4649" spans="1:6">
      <c r="A4649" s="82">
        <v>1</v>
      </c>
      <c r="B4649" s="70" t="s">
        <v>9225</v>
      </c>
      <c r="C4649" s="70" t="s">
        <v>9226</v>
      </c>
      <c r="D4649" s="96">
        <v>71693703600</v>
      </c>
      <c r="E4649" s="87">
        <v>2809696102.5</v>
      </c>
      <c r="F4649" s="77" t="s">
        <v>10170</v>
      </c>
    </row>
    <row r="4650" spans="1:6">
      <c r="A4650" s="82">
        <v>1</v>
      </c>
      <c r="B4650" s="70" t="s">
        <v>9227</v>
      </c>
      <c r="C4650" s="70" t="s">
        <v>9228</v>
      </c>
      <c r="D4650" s="96">
        <v>148123262700</v>
      </c>
      <c r="E4650" s="87">
        <v>5804991697.5</v>
      </c>
      <c r="F4650" s="77" t="s">
        <v>10170</v>
      </c>
    </row>
    <row r="4651" spans="1:6">
      <c r="A4651" s="82">
        <v>1</v>
      </c>
      <c r="B4651" s="70" t="s">
        <v>9229</v>
      </c>
      <c r="C4651" s="70" t="s">
        <v>9230</v>
      </c>
      <c r="D4651" s="96">
        <v>93013301700</v>
      </c>
      <c r="E4651" s="87">
        <v>3645217059.9999995</v>
      </c>
      <c r="F4651" s="77" t="s">
        <v>10170</v>
      </c>
    </row>
    <row r="4652" spans="1:6">
      <c r="A4652" s="82">
        <v>1</v>
      </c>
      <c r="B4652" s="70" t="s">
        <v>9231</v>
      </c>
      <c r="C4652" s="70" t="s">
        <v>9232</v>
      </c>
      <c r="D4652" s="96">
        <v>2053374600</v>
      </c>
      <c r="E4652" s="87">
        <v>80472317.5</v>
      </c>
      <c r="F4652" s="77" t="s">
        <v>10170</v>
      </c>
    </row>
    <row r="4653" spans="1:6">
      <c r="A4653" s="82">
        <v>1</v>
      </c>
      <c r="B4653" s="70" t="s">
        <v>9233</v>
      </c>
      <c r="C4653" s="70" t="s">
        <v>9234</v>
      </c>
      <c r="D4653" s="96">
        <v>2053374600</v>
      </c>
      <c r="E4653" s="87">
        <v>80472317.5</v>
      </c>
      <c r="F4653" s="77" t="s">
        <v>10170</v>
      </c>
    </row>
    <row r="4654" spans="1:6">
      <c r="A4654" s="82">
        <v>1</v>
      </c>
      <c r="B4654" s="70" t="s">
        <v>9235</v>
      </c>
      <c r="C4654" s="70" t="s">
        <v>9236</v>
      </c>
      <c r="D4654" s="96">
        <v>6844741600</v>
      </c>
      <c r="E4654" s="87">
        <v>268247317.5</v>
      </c>
      <c r="F4654" s="77" t="s">
        <v>10170</v>
      </c>
    </row>
    <row r="4655" spans="1:6">
      <c r="A4655" s="82">
        <v>1</v>
      </c>
      <c r="B4655" s="70" t="s">
        <v>9237</v>
      </c>
      <c r="C4655" s="70" t="s">
        <v>9238</v>
      </c>
      <c r="D4655" s="96">
        <v>2080753800</v>
      </c>
      <c r="E4655" s="87">
        <v>81545317.5</v>
      </c>
      <c r="F4655" s="77" t="s">
        <v>10170</v>
      </c>
    </row>
    <row r="4656" spans="1:6">
      <c r="A4656" s="82">
        <v>1</v>
      </c>
      <c r="B4656" s="70" t="s">
        <v>9239</v>
      </c>
      <c r="C4656" s="70" t="s">
        <v>9240</v>
      </c>
      <c r="D4656" s="96">
        <v>2080753800</v>
      </c>
      <c r="E4656" s="87">
        <v>81545317.5</v>
      </c>
      <c r="F4656" s="77" t="s">
        <v>10170</v>
      </c>
    </row>
    <row r="4657" spans="1:6">
      <c r="A4657" s="82">
        <v>1</v>
      </c>
      <c r="B4657" s="70" t="s">
        <v>9241</v>
      </c>
      <c r="C4657" s="70" t="s">
        <v>9242</v>
      </c>
      <c r="D4657" s="96">
        <v>9719561800</v>
      </c>
      <c r="E4657" s="87">
        <v>380912317.50000006</v>
      </c>
      <c r="F4657" s="77" t="s">
        <v>10170</v>
      </c>
    </row>
    <row r="4658" spans="1:6">
      <c r="A4658" s="82">
        <v>1</v>
      </c>
      <c r="B4658" s="70" t="s">
        <v>9243</v>
      </c>
      <c r="C4658" s="70" t="s">
        <v>9244</v>
      </c>
      <c r="D4658" s="96">
        <v>13347311100</v>
      </c>
      <c r="E4658" s="87">
        <v>523084817.50000006</v>
      </c>
      <c r="F4658" s="77" t="s">
        <v>10170</v>
      </c>
    </row>
    <row r="4659" spans="1:6">
      <c r="A4659" s="82">
        <v>1</v>
      </c>
      <c r="B4659" s="70" t="s">
        <v>9245</v>
      </c>
      <c r="C4659" s="70" t="s">
        <v>9246</v>
      </c>
      <c r="D4659" s="96">
        <v>13347311100</v>
      </c>
      <c r="E4659" s="87">
        <v>523084817.50000006</v>
      </c>
      <c r="F4659" s="77" t="s">
        <v>10170</v>
      </c>
    </row>
    <row r="4660" spans="1:6">
      <c r="A4660" s="82">
        <v>1</v>
      </c>
      <c r="B4660" s="70" t="s">
        <v>9247</v>
      </c>
      <c r="C4660" s="70" t="s">
        <v>9248</v>
      </c>
      <c r="D4660" s="96">
        <v>16769716100</v>
      </c>
      <c r="E4660" s="87">
        <v>657209817.5</v>
      </c>
      <c r="F4660" s="77" t="s">
        <v>10170</v>
      </c>
    </row>
    <row r="4661" spans="1:6">
      <c r="A4661" s="82">
        <v>1</v>
      </c>
      <c r="B4661" s="70" t="s">
        <v>9249</v>
      </c>
      <c r="C4661" s="70" t="s">
        <v>9250</v>
      </c>
      <c r="D4661" s="96">
        <v>16769716100</v>
      </c>
      <c r="E4661" s="87">
        <v>657209817.5</v>
      </c>
      <c r="F4661" s="77" t="s">
        <v>10170</v>
      </c>
    </row>
    <row r="4662" spans="1:6">
      <c r="A4662" s="82">
        <v>1</v>
      </c>
      <c r="B4662" s="70" t="s">
        <v>9251</v>
      </c>
      <c r="C4662" s="70" t="s">
        <v>9252</v>
      </c>
      <c r="D4662" s="96">
        <v>13347311100</v>
      </c>
      <c r="E4662" s="87">
        <v>523084817.50000006</v>
      </c>
      <c r="F4662" s="77" t="s">
        <v>10170</v>
      </c>
    </row>
    <row r="4663" spans="1:6">
      <c r="A4663" s="82">
        <v>1</v>
      </c>
      <c r="B4663" s="70" t="s">
        <v>9253</v>
      </c>
      <c r="C4663" s="70" t="s">
        <v>9254</v>
      </c>
      <c r="D4663" s="96">
        <v>13347311100</v>
      </c>
      <c r="E4663" s="87">
        <v>523084817.50000006</v>
      </c>
      <c r="F4663" s="77" t="s">
        <v>10170</v>
      </c>
    </row>
    <row r="4664" spans="1:6">
      <c r="A4664" s="82">
        <v>1</v>
      </c>
      <c r="B4664" s="70" t="s">
        <v>9255</v>
      </c>
      <c r="C4664" s="70" t="s">
        <v>9256</v>
      </c>
      <c r="D4664" s="96">
        <v>16769716100</v>
      </c>
      <c r="E4664" s="87">
        <v>657209817.5</v>
      </c>
      <c r="F4664" s="77" t="s">
        <v>10170</v>
      </c>
    </row>
    <row r="4665" spans="1:6">
      <c r="A4665" s="82">
        <v>1</v>
      </c>
      <c r="B4665" s="70" t="s">
        <v>9257</v>
      </c>
      <c r="C4665" s="70" t="s">
        <v>9256</v>
      </c>
      <c r="D4665" s="96">
        <v>16769716100</v>
      </c>
      <c r="E4665" s="87">
        <v>657209817.5</v>
      </c>
      <c r="F4665" s="77" t="s">
        <v>10170</v>
      </c>
    </row>
    <row r="4666" spans="1:6">
      <c r="A4666" s="82">
        <v>1</v>
      </c>
      <c r="B4666" s="70" t="s">
        <v>9258</v>
      </c>
      <c r="C4666" s="70" t="s">
        <v>9248</v>
      </c>
      <c r="D4666" s="96">
        <v>16769716100</v>
      </c>
      <c r="E4666" s="87">
        <v>657209817.5</v>
      </c>
      <c r="F4666" s="77" t="s">
        <v>10170</v>
      </c>
    </row>
    <row r="4667" spans="1:6">
      <c r="A4667" s="82">
        <v>1</v>
      </c>
      <c r="B4667" s="70" t="s">
        <v>9259</v>
      </c>
      <c r="C4667" s="70" t="s">
        <v>9260</v>
      </c>
      <c r="D4667" s="96">
        <v>16769716100</v>
      </c>
      <c r="E4667" s="87">
        <v>657209817.5</v>
      </c>
      <c r="F4667" s="77" t="s">
        <v>10170</v>
      </c>
    </row>
    <row r="4668" spans="1:6">
      <c r="A4668" s="82">
        <v>1</v>
      </c>
      <c r="B4668" s="70" t="s">
        <v>9261</v>
      </c>
      <c r="C4668" s="70" t="s">
        <v>9262</v>
      </c>
      <c r="D4668" s="96">
        <v>587216200</v>
      </c>
      <c r="E4668" s="87">
        <v>23013167.5</v>
      </c>
      <c r="F4668" s="77" t="s">
        <v>10170</v>
      </c>
    </row>
    <row r="4669" spans="1:6">
      <c r="A4669" s="82">
        <v>1</v>
      </c>
      <c r="B4669" s="70" t="s">
        <v>9263</v>
      </c>
      <c r="C4669" s="70" t="s">
        <v>9264</v>
      </c>
      <c r="D4669" s="96">
        <v>587216200</v>
      </c>
      <c r="E4669" s="87">
        <v>23013167.5</v>
      </c>
      <c r="F4669" s="77" t="s">
        <v>10170</v>
      </c>
    </row>
    <row r="4670" spans="1:6">
      <c r="A4670" s="82">
        <v>1</v>
      </c>
      <c r="B4670" s="70" t="s">
        <v>9265</v>
      </c>
      <c r="C4670" s="70" t="s">
        <v>9266</v>
      </c>
      <c r="D4670" s="96">
        <v>711791800</v>
      </c>
      <c r="E4670" s="87">
        <v>27895317.500000004</v>
      </c>
      <c r="F4670" s="77" t="s">
        <v>10170</v>
      </c>
    </row>
    <row r="4671" spans="1:6">
      <c r="A4671" s="82">
        <v>1</v>
      </c>
      <c r="B4671" s="70" t="s">
        <v>9267</v>
      </c>
      <c r="C4671" s="70" t="s">
        <v>9268</v>
      </c>
      <c r="D4671" s="96">
        <v>711791800</v>
      </c>
      <c r="E4671" s="87">
        <v>27895317.500000004</v>
      </c>
      <c r="F4671" s="77" t="s">
        <v>10170</v>
      </c>
    </row>
    <row r="4672" spans="1:6">
      <c r="A4672" s="82">
        <v>1</v>
      </c>
      <c r="B4672" s="70" t="s">
        <v>9269</v>
      </c>
      <c r="C4672" s="70" t="s">
        <v>9270</v>
      </c>
      <c r="D4672" s="96">
        <v>1795188300</v>
      </c>
      <c r="E4672" s="87">
        <v>70353927.5</v>
      </c>
      <c r="F4672" s="77" t="s">
        <v>10170</v>
      </c>
    </row>
    <row r="4673" spans="1:6">
      <c r="A4673" s="82">
        <v>1</v>
      </c>
      <c r="B4673" s="70" t="s">
        <v>9271</v>
      </c>
      <c r="C4673" s="70" t="s">
        <v>9272</v>
      </c>
      <c r="D4673" s="96">
        <v>1795188300</v>
      </c>
      <c r="E4673" s="87">
        <v>70353927.5</v>
      </c>
      <c r="F4673" s="77" t="s">
        <v>10170</v>
      </c>
    </row>
    <row r="4674" spans="1:6">
      <c r="A4674" s="82">
        <v>1</v>
      </c>
      <c r="B4674" s="70" t="s">
        <v>2835</v>
      </c>
      <c r="C4674" s="70" t="s">
        <v>9273</v>
      </c>
      <c r="D4674" s="96">
        <v>4310656000</v>
      </c>
      <c r="E4674" s="87">
        <v>168935802.5</v>
      </c>
      <c r="F4674" s="77" t="s">
        <v>10170</v>
      </c>
    </row>
    <row r="4675" spans="1:6">
      <c r="A4675" s="82">
        <v>1</v>
      </c>
      <c r="B4675" s="70" t="s">
        <v>2834</v>
      </c>
      <c r="C4675" s="70" t="s">
        <v>9274</v>
      </c>
      <c r="D4675" s="96">
        <v>3393519900</v>
      </c>
      <c r="E4675" s="87">
        <v>132992985</v>
      </c>
      <c r="F4675" s="77" t="s">
        <v>10170</v>
      </c>
    </row>
    <row r="4676" spans="1:6">
      <c r="A4676" s="82">
        <v>1</v>
      </c>
      <c r="B4676" s="70" t="s">
        <v>9275</v>
      </c>
      <c r="C4676" s="70" t="s">
        <v>9276</v>
      </c>
      <c r="D4676" s="96">
        <v>12043443200</v>
      </c>
      <c r="E4676" s="87">
        <v>471985875</v>
      </c>
      <c r="F4676" s="77" t="s">
        <v>10170</v>
      </c>
    </row>
    <row r="4677" spans="1:6">
      <c r="A4677" s="82">
        <v>1</v>
      </c>
      <c r="B4677" s="70" t="s">
        <v>9277</v>
      </c>
      <c r="C4677" s="70" t="s">
        <v>9278</v>
      </c>
      <c r="D4677" s="96">
        <v>13224172900</v>
      </c>
      <c r="E4677" s="87">
        <v>518259000</v>
      </c>
      <c r="F4677" s="77" t="s">
        <v>10170</v>
      </c>
    </row>
    <row r="4678" spans="1:6">
      <c r="A4678" s="82">
        <v>1</v>
      </c>
      <c r="B4678" s="70" t="s">
        <v>9275</v>
      </c>
      <c r="C4678" s="70" t="s">
        <v>9276</v>
      </c>
      <c r="D4678" s="96">
        <v>12043443200</v>
      </c>
      <c r="E4678" s="87">
        <v>471985875</v>
      </c>
      <c r="F4678" s="77" t="s">
        <v>10170</v>
      </c>
    </row>
    <row r="4679" spans="1:6">
      <c r="A4679" s="82">
        <v>1</v>
      </c>
      <c r="B4679" s="70" t="s">
        <v>9279</v>
      </c>
      <c r="C4679" s="70" t="s">
        <v>9280</v>
      </c>
      <c r="D4679" s="96">
        <v>13224172900</v>
      </c>
      <c r="E4679" s="87">
        <v>518259000</v>
      </c>
      <c r="F4679" s="77" t="s">
        <v>10170</v>
      </c>
    </row>
    <row r="4680" spans="1:6">
      <c r="A4680" s="82">
        <v>1</v>
      </c>
      <c r="B4680" s="70" t="s">
        <v>9281</v>
      </c>
      <c r="C4680" s="70" t="s">
        <v>9282</v>
      </c>
      <c r="D4680" s="96">
        <v>8014314200</v>
      </c>
      <c r="E4680" s="87">
        <v>314083195</v>
      </c>
      <c r="F4680" s="77" t="s">
        <v>10170</v>
      </c>
    </row>
    <row r="4681" spans="1:6">
      <c r="A4681" s="82">
        <v>1</v>
      </c>
      <c r="B4681" s="70" t="s">
        <v>9283</v>
      </c>
      <c r="C4681" s="70" t="s">
        <v>9284</v>
      </c>
      <c r="D4681" s="96">
        <v>8215893900</v>
      </c>
      <c r="E4681" s="87">
        <v>321983157.5</v>
      </c>
      <c r="F4681" s="77" t="s">
        <v>10170</v>
      </c>
    </row>
    <row r="4682" spans="1:6">
      <c r="A4682" s="82">
        <v>1</v>
      </c>
      <c r="B4682" s="70" t="s">
        <v>9285</v>
      </c>
      <c r="C4682" s="70" t="s">
        <v>9284</v>
      </c>
      <c r="D4682" s="96">
        <v>8215893900</v>
      </c>
      <c r="E4682" s="87">
        <v>321983157.5</v>
      </c>
      <c r="F4682" s="77" t="s">
        <v>10170</v>
      </c>
    </row>
    <row r="4683" spans="1:6">
      <c r="A4683" s="82">
        <v>1</v>
      </c>
      <c r="B4683" s="70" t="s">
        <v>9286</v>
      </c>
      <c r="C4683" s="70" t="s">
        <v>9287</v>
      </c>
      <c r="D4683" s="96">
        <v>4962350400</v>
      </c>
      <c r="E4683" s="87">
        <v>194475884.99999997</v>
      </c>
      <c r="F4683" s="77" t="s">
        <v>10170</v>
      </c>
    </row>
    <row r="4684" spans="1:6">
      <c r="A4684" s="82">
        <v>1</v>
      </c>
      <c r="B4684" s="70" t="s">
        <v>9288</v>
      </c>
      <c r="C4684" s="70" t="s">
        <v>9289</v>
      </c>
      <c r="D4684" s="96">
        <v>5270435300</v>
      </c>
      <c r="E4684" s="87">
        <v>206549817.5</v>
      </c>
      <c r="F4684" s="77" t="s">
        <v>10170</v>
      </c>
    </row>
    <row r="4685" spans="1:6">
      <c r="A4685" s="82">
        <v>1</v>
      </c>
      <c r="B4685" s="70" t="s">
        <v>9290</v>
      </c>
      <c r="C4685" s="70" t="s">
        <v>9291</v>
      </c>
      <c r="D4685" s="96">
        <v>4977408900</v>
      </c>
      <c r="E4685" s="87">
        <v>195066034.99999997</v>
      </c>
      <c r="F4685" s="77" t="s">
        <v>10170</v>
      </c>
    </row>
    <row r="4686" spans="1:6">
      <c r="A4686" s="82">
        <v>1</v>
      </c>
      <c r="B4686" s="70" t="s">
        <v>9292</v>
      </c>
      <c r="C4686" s="70" t="s">
        <v>9293</v>
      </c>
      <c r="D4686" s="96">
        <v>5345728200</v>
      </c>
      <c r="E4686" s="87">
        <v>209500567.5</v>
      </c>
      <c r="F4686" s="77" t="s">
        <v>10170</v>
      </c>
    </row>
    <row r="4687" spans="1:6">
      <c r="A4687" s="82">
        <v>1</v>
      </c>
      <c r="B4687" s="70" t="s">
        <v>9294</v>
      </c>
      <c r="C4687" s="70" t="s">
        <v>9295</v>
      </c>
      <c r="D4687" s="96">
        <v>4977408900</v>
      </c>
      <c r="E4687" s="87">
        <v>195066034.99999997</v>
      </c>
      <c r="F4687" s="77" t="s">
        <v>10170</v>
      </c>
    </row>
    <row r="4688" spans="1:6">
      <c r="A4688" s="82">
        <v>1</v>
      </c>
      <c r="B4688" s="70" t="s">
        <v>9296</v>
      </c>
      <c r="C4688" s="70" t="s">
        <v>9297</v>
      </c>
      <c r="D4688" s="96">
        <v>5345728200</v>
      </c>
      <c r="E4688" s="87">
        <v>209500567.5</v>
      </c>
      <c r="F4688" s="77" t="s">
        <v>10170</v>
      </c>
    </row>
    <row r="4689" spans="1:6">
      <c r="A4689" s="82">
        <v>1</v>
      </c>
      <c r="B4689" s="70" t="s">
        <v>9298</v>
      </c>
      <c r="C4689" s="70" t="s">
        <v>9293</v>
      </c>
      <c r="D4689" s="96">
        <v>5345728200</v>
      </c>
      <c r="E4689" s="87">
        <v>209500567.5</v>
      </c>
      <c r="F4689" s="77" t="s">
        <v>10170</v>
      </c>
    </row>
    <row r="4690" spans="1:6">
      <c r="A4690" s="82">
        <v>1</v>
      </c>
      <c r="B4690" s="70" t="s">
        <v>9299</v>
      </c>
      <c r="C4690" s="70" t="s">
        <v>9300</v>
      </c>
      <c r="D4690" s="96">
        <v>5571606900</v>
      </c>
      <c r="E4690" s="87">
        <v>218352817.5</v>
      </c>
      <c r="F4690" s="77" t="s">
        <v>10170</v>
      </c>
    </row>
    <row r="4691" spans="1:6">
      <c r="A4691" s="82">
        <v>1</v>
      </c>
      <c r="B4691" s="70" t="s">
        <v>9301</v>
      </c>
      <c r="C4691" s="70" t="s">
        <v>9302</v>
      </c>
      <c r="D4691" s="96">
        <v>5345728200</v>
      </c>
      <c r="E4691" s="87">
        <v>209500567.5</v>
      </c>
      <c r="F4691" s="77" t="s">
        <v>10170</v>
      </c>
    </row>
    <row r="4692" spans="1:6">
      <c r="A4692" s="82">
        <v>1</v>
      </c>
      <c r="B4692" s="70" t="s">
        <v>9303</v>
      </c>
      <c r="C4692" s="70" t="s">
        <v>9304</v>
      </c>
      <c r="D4692" s="96">
        <v>5345728200</v>
      </c>
      <c r="E4692" s="87">
        <v>209500567.5</v>
      </c>
      <c r="F4692" s="77" t="s">
        <v>10170</v>
      </c>
    </row>
    <row r="4693" spans="1:6">
      <c r="A4693" s="82">
        <v>1</v>
      </c>
      <c r="B4693" s="70" t="s">
        <v>9305</v>
      </c>
      <c r="C4693" s="70" t="s">
        <v>9293</v>
      </c>
      <c r="D4693" s="96">
        <v>5345728200</v>
      </c>
      <c r="E4693" s="87">
        <v>209500567.5</v>
      </c>
      <c r="F4693" s="77" t="s">
        <v>10170</v>
      </c>
    </row>
    <row r="4694" spans="1:6">
      <c r="A4694" s="82">
        <v>1</v>
      </c>
      <c r="B4694" s="70" t="s">
        <v>9306</v>
      </c>
      <c r="C4694" s="70" t="s">
        <v>9307</v>
      </c>
      <c r="D4694" s="96">
        <v>5345728200</v>
      </c>
      <c r="E4694" s="87">
        <v>209500567.5</v>
      </c>
      <c r="F4694" s="77" t="s">
        <v>10170</v>
      </c>
    </row>
    <row r="4695" spans="1:6">
      <c r="A4695" s="82">
        <v>1</v>
      </c>
      <c r="B4695" s="70" t="s">
        <v>9308</v>
      </c>
      <c r="C4695" s="70" t="s">
        <v>9309</v>
      </c>
      <c r="D4695" s="96">
        <v>5646899800</v>
      </c>
      <c r="E4695" s="87">
        <v>221303567.5</v>
      </c>
      <c r="F4695" s="77" t="s">
        <v>10170</v>
      </c>
    </row>
    <row r="4696" spans="1:6">
      <c r="A4696" s="82">
        <v>1</v>
      </c>
      <c r="B4696" s="70" t="s">
        <v>9310</v>
      </c>
      <c r="C4696" s="70" t="s">
        <v>9311</v>
      </c>
      <c r="D4696" s="96">
        <v>5559560000</v>
      </c>
      <c r="E4696" s="87">
        <v>217880697.49999997</v>
      </c>
      <c r="F4696" s="77" t="s">
        <v>10170</v>
      </c>
    </row>
    <row r="4697" spans="1:6">
      <c r="A4697" s="82">
        <v>1</v>
      </c>
      <c r="B4697" s="70" t="s">
        <v>9312</v>
      </c>
      <c r="C4697" s="70" t="s">
        <v>9313</v>
      </c>
      <c r="D4697" s="96">
        <v>5646899800</v>
      </c>
      <c r="E4697" s="87">
        <v>221303567.5</v>
      </c>
      <c r="F4697" s="77" t="s">
        <v>10170</v>
      </c>
    </row>
    <row r="4698" spans="1:6">
      <c r="A4698" s="82">
        <v>1</v>
      </c>
      <c r="B4698" s="70" t="s">
        <v>9314</v>
      </c>
      <c r="C4698" s="70" t="s">
        <v>9315</v>
      </c>
      <c r="D4698" s="96">
        <v>5646899800</v>
      </c>
      <c r="E4698" s="87">
        <v>221303567.5</v>
      </c>
      <c r="F4698" s="77" t="s">
        <v>10170</v>
      </c>
    </row>
    <row r="4699" spans="1:6">
      <c r="A4699" s="82">
        <v>1</v>
      </c>
      <c r="B4699" s="70" t="s">
        <v>9316</v>
      </c>
      <c r="C4699" s="70" t="s">
        <v>9315</v>
      </c>
      <c r="D4699" s="96">
        <v>5646899800</v>
      </c>
      <c r="E4699" s="87">
        <v>221303567.5</v>
      </c>
      <c r="F4699" s="77" t="s">
        <v>10170</v>
      </c>
    </row>
    <row r="4700" spans="1:6">
      <c r="A4700" s="82">
        <v>1</v>
      </c>
      <c r="B4700" s="70" t="s">
        <v>9317</v>
      </c>
      <c r="C4700" s="70" t="s">
        <v>9318</v>
      </c>
      <c r="D4700" s="96">
        <v>2857297500</v>
      </c>
      <c r="E4700" s="87">
        <v>111978279.99999999</v>
      </c>
      <c r="F4700" s="77" t="s">
        <v>10170</v>
      </c>
    </row>
    <row r="4701" spans="1:6">
      <c r="A4701" s="82">
        <v>1</v>
      </c>
      <c r="B4701" s="70" t="s">
        <v>9319</v>
      </c>
      <c r="C4701" s="70" t="s">
        <v>9320</v>
      </c>
      <c r="D4701" s="96">
        <v>2971605800</v>
      </c>
      <c r="E4701" s="87">
        <v>116458054.99999999</v>
      </c>
      <c r="F4701" s="77" t="s">
        <v>10170</v>
      </c>
    </row>
    <row r="4702" spans="1:6">
      <c r="A4702" s="82">
        <v>1</v>
      </c>
      <c r="B4702" s="70" t="s">
        <v>9321</v>
      </c>
      <c r="C4702" s="70" t="s">
        <v>9322</v>
      </c>
      <c r="D4702" s="96">
        <v>1573553400</v>
      </c>
      <c r="E4702" s="87">
        <v>61667992.5</v>
      </c>
      <c r="F4702" s="77" t="s">
        <v>10170</v>
      </c>
    </row>
    <row r="4703" spans="1:6">
      <c r="A4703" s="82">
        <v>1</v>
      </c>
      <c r="B4703" s="70" t="s">
        <v>9323</v>
      </c>
      <c r="C4703" s="70" t="s">
        <v>9324</v>
      </c>
      <c r="D4703" s="96">
        <v>1601890900</v>
      </c>
      <c r="E4703" s="87">
        <v>62778547.500000007</v>
      </c>
      <c r="F4703" s="77" t="s">
        <v>10170</v>
      </c>
    </row>
    <row r="4704" spans="1:6">
      <c r="A4704" s="82">
        <v>1</v>
      </c>
      <c r="B4704" s="70" t="s">
        <v>9325</v>
      </c>
      <c r="C4704" s="70" t="s">
        <v>9326</v>
      </c>
      <c r="D4704" s="96">
        <v>1601890900</v>
      </c>
      <c r="E4704" s="87">
        <v>62778547.500000007</v>
      </c>
      <c r="F4704" s="77" t="s">
        <v>10170</v>
      </c>
    </row>
    <row r="4705" spans="1:6">
      <c r="A4705" s="82">
        <v>1</v>
      </c>
      <c r="B4705" s="70" t="s">
        <v>9327</v>
      </c>
      <c r="C4705" s="70" t="s">
        <v>9328</v>
      </c>
      <c r="D4705" s="96">
        <v>1532210700</v>
      </c>
      <c r="E4705" s="87">
        <v>60047762.5</v>
      </c>
      <c r="F4705" s="77" t="s">
        <v>10170</v>
      </c>
    </row>
    <row r="4706" spans="1:6">
      <c r="A4706" s="82">
        <v>1</v>
      </c>
      <c r="B4706" s="70" t="s">
        <v>9329</v>
      </c>
      <c r="C4706" s="70" t="s">
        <v>9330</v>
      </c>
      <c r="D4706" s="96">
        <v>1957615700</v>
      </c>
      <c r="E4706" s="87">
        <v>76719500</v>
      </c>
      <c r="F4706" s="77" t="s">
        <v>10170</v>
      </c>
    </row>
    <row r="4707" spans="1:6">
      <c r="A4707" s="82">
        <v>1</v>
      </c>
      <c r="B4707" s="70" t="s">
        <v>9331</v>
      </c>
      <c r="C4707" s="70" t="s">
        <v>9332</v>
      </c>
      <c r="D4707" s="96">
        <v>741977400</v>
      </c>
      <c r="E4707" s="87">
        <v>29078300</v>
      </c>
      <c r="F4707" s="77" t="s">
        <v>10170</v>
      </c>
    </row>
    <row r="4708" spans="1:6">
      <c r="A4708" s="82">
        <v>1</v>
      </c>
      <c r="B4708" s="70" t="s">
        <v>9333</v>
      </c>
      <c r="C4708" s="70" t="s">
        <v>9334</v>
      </c>
      <c r="D4708" s="96">
        <v>1098249800</v>
      </c>
      <c r="E4708" s="87">
        <v>43040712.5</v>
      </c>
      <c r="F4708" s="77" t="s">
        <v>10170</v>
      </c>
    </row>
    <row r="4709" spans="1:6">
      <c r="A4709" s="82">
        <v>1</v>
      </c>
      <c r="B4709" s="70" t="s">
        <v>9335</v>
      </c>
      <c r="C4709" s="70" t="s">
        <v>9336</v>
      </c>
      <c r="D4709" s="96">
        <v>1098249800</v>
      </c>
      <c r="E4709" s="87">
        <v>43040712.5</v>
      </c>
      <c r="F4709" s="77" t="s">
        <v>10170</v>
      </c>
    </row>
    <row r="4710" spans="1:6">
      <c r="A4710" s="82">
        <v>1</v>
      </c>
      <c r="B4710" s="70" t="s">
        <v>9337</v>
      </c>
      <c r="C4710" s="70" t="s">
        <v>9338</v>
      </c>
      <c r="D4710" s="96">
        <v>1091884100</v>
      </c>
      <c r="E4710" s="87">
        <v>42791240</v>
      </c>
      <c r="F4710" s="77" t="s">
        <v>10170</v>
      </c>
    </row>
    <row r="4711" spans="1:6">
      <c r="A4711" s="82">
        <v>1</v>
      </c>
      <c r="B4711" s="70" t="s">
        <v>9339</v>
      </c>
      <c r="C4711" s="70" t="s">
        <v>9340</v>
      </c>
      <c r="D4711" s="96">
        <v>1091884100</v>
      </c>
      <c r="E4711" s="87">
        <v>42791240</v>
      </c>
      <c r="F4711" s="77" t="s">
        <v>10170</v>
      </c>
    </row>
    <row r="4712" spans="1:6">
      <c r="A4712" s="82">
        <v>1</v>
      </c>
      <c r="B4712" s="70" t="s">
        <v>9341</v>
      </c>
      <c r="C4712" s="70" t="s">
        <v>9342</v>
      </c>
      <c r="D4712" s="96">
        <v>1042806800</v>
      </c>
      <c r="E4712" s="87">
        <v>40867887.5</v>
      </c>
      <c r="F4712" s="77" t="s">
        <v>10170</v>
      </c>
    </row>
    <row r="4713" spans="1:6">
      <c r="A4713" s="82">
        <v>1</v>
      </c>
      <c r="B4713" s="70" t="s">
        <v>9343</v>
      </c>
      <c r="C4713" s="70" t="s">
        <v>9344</v>
      </c>
      <c r="D4713" s="96">
        <v>761964200</v>
      </c>
      <c r="E4713" s="87">
        <v>29861590</v>
      </c>
      <c r="F4713" s="77" t="s">
        <v>10170</v>
      </c>
    </row>
    <row r="4714" spans="1:6">
      <c r="A4714" s="82">
        <v>1</v>
      </c>
      <c r="B4714" s="70" t="s">
        <v>9345</v>
      </c>
      <c r="C4714" s="70" t="s">
        <v>9346</v>
      </c>
      <c r="D4714" s="96">
        <v>761964200</v>
      </c>
      <c r="E4714" s="87">
        <v>29861590</v>
      </c>
      <c r="F4714" s="77" t="s">
        <v>10170</v>
      </c>
    </row>
    <row r="4715" spans="1:6">
      <c r="A4715" s="82">
        <v>1</v>
      </c>
      <c r="B4715" s="70" t="s">
        <v>9347</v>
      </c>
      <c r="C4715" s="70" t="s">
        <v>9348</v>
      </c>
      <c r="D4715" s="96">
        <v>755598600</v>
      </c>
      <c r="E4715" s="87">
        <v>29612117.500000004</v>
      </c>
      <c r="F4715" s="77" t="s">
        <v>10170</v>
      </c>
    </row>
    <row r="4716" spans="1:6">
      <c r="A4716" s="82">
        <v>1</v>
      </c>
      <c r="B4716" s="70" t="s">
        <v>9349</v>
      </c>
      <c r="C4716" s="70" t="s">
        <v>9350</v>
      </c>
      <c r="D4716" s="96">
        <v>755598600</v>
      </c>
      <c r="E4716" s="87">
        <v>29612117.500000004</v>
      </c>
      <c r="F4716" s="77" t="s">
        <v>10170</v>
      </c>
    </row>
    <row r="4717" spans="1:6">
      <c r="A4717" s="82">
        <v>1</v>
      </c>
      <c r="B4717" s="70" t="s">
        <v>9351</v>
      </c>
      <c r="C4717" s="70" t="s">
        <v>9352</v>
      </c>
      <c r="D4717" s="96">
        <v>706521300</v>
      </c>
      <c r="E4717" s="87">
        <v>27688765</v>
      </c>
      <c r="F4717" s="77" t="s">
        <v>10170</v>
      </c>
    </row>
    <row r="4718" spans="1:6">
      <c r="A4718" s="82">
        <v>1</v>
      </c>
      <c r="B4718" s="70" t="s">
        <v>9353</v>
      </c>
      <c r="C4718" s="70" t="s">
        <v>9354</v>
      </c>
      <c r="D4718" s="96">
        <v>852794900</v>
      </c>
      <c r="E4718" s="87">
        <v>33421267.500000004</v>
      </c>
      <c r="F4718" s="77" t="s">
        <v>10170</v>
      </c>
    </row>
    <row r="4719" spans="1:6">
      <c r="A4719" s="82">
        <v>1</v>
      </c>
      <c r="B4719" s="70" t="s">
        <v>9355</v>
      </c>
      <c r="C4719" s="70" t="s">
        <v>9356</v>
      </c>
      <c r="D4719" s="96">
        <v>852794900</v>
      </c>
      <c r="E4719" s="87">
        <v>33421267.500000004</v>
      </c>
      <c r="F4719" s="77" t="s">
        <v>10170</v>
      </c>
    </row>
    <row r="4720" spans="1:6">
      <c r="A4720" s="82">
        <v>1</v>
      </c>
      <c r="B4720" s="70" t="s">
        <v>9357</v>
      </c>
      <c r="C4720" s="70" t="s">
        <v>9358</v>
      </c>
      <c r="D4720" s="96">
        <v>846429200</v>
      </c>
      <c r="E4720" s="87">
        <v>33171794.999999996</v>
      </c>
      <c r="F4720" s="77" t="s">
        <v>10170</v>
      </c>
    </row>
    <row r="4721" spans="1:6">
      <c r="A4721" s="82">
        <v>1</v>
      </c>
      <c r="B4721" s="70" t="s">
        <v>9359</v>
      </c>
      <c r="C4721" s="70" t="s">
        <v>9360</v>
      </c>
      <c r="D4721" s="96">
        <v>846429200</v>
      </c>
      <c r="E4721" s="87">
        <v>33171794.999999996</v>
      </c>
      <c r="F4721" s="77" t="s">
        <v>10170</v>
      </c>
    </row>
    <row r="4722" spans="1:6">
      <c r="A4722" s="82">
        <v>1</v>
      </c>
      <c r="B4722" s="70" t="s">
        <v>9361</v>
      </c>
      <c r="C4722" s="70" t="s">
        <v>9362</v>
      </c>
      <c r="D4722" s="96">
        <v>797351900</v>
      </c>
      <c r="E4722" s="87">
        <v>31248442.500000004</v>
      </c>
      <c r="F4722" s="77" t="s">
        <v>10170</v>
      </c>
    </row>
    <row r="4723" spans="1:6">
      <c r="A4723" s="82">
        <v>1</v>
      </c>
      <c r="B4723" s="70" t="s">
        <v>9363</v>
      </c>
      <c r="C4723" s="70" t="s">
        <v>9364</v>
      </c>
      <c r="D4723" s="96">
        <v>675377400</v>
      </c>
      <c r="E4723" s="87">
        <v>26468227.5</v>
      </c>
      <c r="F4723" s="77" t="s">
        <v>10170</v>
      </c>
    </row>
    <row r="4724" spans="1:6">
      <c r="A4724" s="82">
        <v>1</v>
      </c>
      <c r="B4724" s="70" t="s">
        <v>9365</v>
      </c>
      <c r="C4724" s="70" t="s">
        <v>9366</v>
      </c>
      <c r="D4724" s="96">
        <v>675377400</v>
      </c>
      <c r="E4724" s="87">
        <v>26468227.5</v>
      </c>
      <c r="F4724" s="77" t="s">
        <v>10170</v>
      </c>
    </row>
    <row r="4725" spans="1:6">
      <c r="A4725" s="82">
        <v>1</v>
      </c>
      <c r="B4725" s="70" t="s">
        <v>9367</v>
      </c>
      <c r="C4725" s="70" t="s">
        <v>9368</v>
      </c>
      <c r="D4725" s="96">
        <v>669011700</v>
      </c>
      <c r="E4725" s="87">
        <v>26218755.000000004</v>
      </c>
      <c r="F4725" s="77" t="s">
        <v>10170</v>
      </c>
    </row>
    <row r="4726" spans="1:6">
      <c r="A4726" s="82">
        <v>1</v>
      </c>
      <c r="B4726" s="70" t="s">
        <v>9369</v>
      </c>
      <c r="C4726" s="70" t="s">
        <v>9370</v>
      </c>
      <c r="D4726" s="96">
        <v>669011700</v>
      </c>
      <c r="E4726" s="87">
        <v>26218755.000000004</v>
      </c>
      <c r="F4726" s="77" t="s">
        <v>10170</v>
      </c>
    </row>
    <row r="4727" spans="1:6">
      <c r="A4727" s="82">
        <v>1</v>
      </c>
      <c r="B4727" s="70" t="s">
        <v>9371</v>
      </c>
      <c r="C4727" s="70" t="s">
        <v>9372</v>
      </c>
      <c r="D4727" s="96">
        <v>619934400</v>
      </c>
      <c r="E4727" s="87">
        <v>24295402.5</v>
      </c>
      <c r="F4727" s="77" t="s">
        <v>10170</v>
      </c>
    </row>
    <row r="4728" spans="1:6">
      <c r="A4728" s="82">
        <v>1</v>
      </c>
      <c r="B4728" s="70" t="s">
        <v>9373</v>
      </c>
      <c r="C4728" s="70" t="s">
        <v>9374</v>
      </c>
      <c r="D4728" s="96">
        <v>1058892100</v>
      </c>
      <c r="E4728" s="87">
        <v>41498275</v>
      </c>
      <c r="F4728" s="77" t="s">
        <v>10170</v>
      </c>
    </row>
    <row r="4729" spans="1:6">
      <c r="A4729" s="82">
        <v>1</v>
      </c>
      <c r="B4729" s="70" t="s">
        <v>9375</v>
      </c>
      <c r="C4729" s="70" t="s">
        <v>9376</v>
      </c>
      <c r="D4729" s="96">
        <v>1058892100</v>
      </c>
      <c r="E4729" s="87">
        <v>41498275</v>
      </c>
      <c r="F4729" s="77" t="s">
        <v>10170</v>
      </c>
    </row>
    <row r="4730" spans="1:6">
      <c r="A4730" s="82">
        <v>1</v>
      </c>
      <c r="B4730" s="70" t="s">
        <v>9377</v>
      </c>
      <c r="C4730" s="70" t="s">
        <v>9378</v>
      </c>
      <c r="D4730" s="96">
        <v>1052526400</v>
      </c>
      <c r="E4730" s="87">
        <v>41248802.5</v>
      </c>
      <c r="F4730" s="77" t="s">
        <v>10170</v>
      </c>
    </row>
    <row r="4731" spans="1:6">
      <c r="A4731" s="82">
        <v>1</v>
      </c>
      <c r="B4731" s="70" t="s">
        <v>9379</v>
      </c>
      <c r="C4731" s="70" t="s">
        <v>9380</v>
      </c>
      <c r="D4731" s="96">
        <v>1052526400</v>
      </c>
      <c r="E4731" s="87">
        <v>41248802.5</v>
      </c>
      <c r="F4731" s="77" t="s">
        <v>10170</v>
      </c>
    </row>
    <row r="4732" spans="1:6">
      <c r="A4732" s="82">
        <v>1</v>
      </c>
      <c r="B4732" s="70" t="s">
        <v>9381</v>
      </c>
      <c r="C4732" s="70" t="s">
        <v>9382</v>
      </c>
      <c r="D4732" s="96">
        <v>1003449100</v>
      </c>
      <c r="E4732" s="87">
        <v>39325450</v>
      </c>
      <c r="F4732" s="77" t="s">
        <v>10170</v>
      </c>
    </row>
    <row r="4733" spans="1:6">
      <c r="A4733" s="82">
        <v>1</v>
      </c>
      <c r="B4733" s="70" t="s">
        <v>9383</v>
      </c>
      <c r="C4733" s="70" t="s">
        <v>9384</v>
      </c>
      <c r="D4733" s="96">
        <v>722606600</v>
      </c>
      <c r="E4733" s="87">
        <v>28319152.5</v>
      </c>
      <c r="F4733" s="77" t="s">
        <v>10170</v>
      </c>
    </row>
    <row r="4734" spans="1:6">
      <c r="A4734" s="82">
        <v>1</v>
      </c>
      <c r="B4734" s="70" t="s">
        <v>9385</v>
      </c>
      <c r="C4734" s="70" t="s">
        <v>9386</v>
      </c>
      <c r="D4734" s="96">
        <v>722606600</v>
      </c>
      <c r="E4734" s="87">
        <v>28319152.5</v>
      </c>
      <c r="F4734" s="77" t="s">
        <v>10170</v>
      </c>
    </row>
    <row r="4735" spans="1:6">
      <c r="A4735" s="82">
        <v>1</v>
      </c>
      <c r="B4735" s="70" t="s">
        <v>9387</v>
      </c>
      <c r="C4735" s="70" t="s">
        <v>9388</v>
      </c>
      <c r="D4735" s="96">
        <v>716240900</v>
      </c>
      <c r="E4735" s="87">
        <v>28069680.000000004</v>
      </c>
      <c r="F4735" s="77" t="s">
        <v>10170</v>
      </c>
    </row>
    <row r="4736" spans="1:6">
      <c r="A4736" s="82">
        <v>1</v>
      </c>
      <c r="B4736" s="70" t="s">
        <v>9389</v>
      </c>
      <c r="C4736" s="70" t="s">
        <v>9390</v>
      </c>
      <c r="D4736" s="96">
        <v>716240900</v>
      </c>
      <c r="E4736" s="87">
        <v>28069680.000000004</v>
      </c>
      <c r="F4736" s="77" t="s">
        <v>10170</v>
      </c>
    </row>
    <row r="4737" spans="1:6">
      <c r="A4737" s="82">
        <v>1</v>
      </c>
      <c r="B4737" s="70" t="s">
        <v>9391</v>
      </c>
      <c r="C4737" s="70" t="s">
        <v>9392</v>
      </c>
      <c r="D4737" s="96">
        <v>667163600</v>
      </c>
      <c r="E4737" s="87">
        <v>26146327.5</v>
      </c>
      <c r="F4737" s="77" t="s">
        <v>10170</v>
      </c>
    </row>
    <row r="4738" spans="1:6">
      <c r="A4738" s="82">
        <v>1</v>
      </c>
      <c r="B4738" s="70" t="s">
        <v>9393</v>
      </c>
      <c r="C4738" s="70" t="s">
        <v>9394</v>
      </c>
      <c r="D4738" s="96">
        <v>1082506700</v>
      </c>
      <c r="E4738" s="87">
        <v>42423737.5</v>
      </c>
      <c r="F4738" s="77" t="s">
        <v>10170</v>
      </c>
    </row>
    <row r="4739" spans="1:6">
      <c r="A4739" s="82">
        <v>1</v>
      </c>
      <c r="B4739" s="70" t="s">
        <v>9395</v>
      </c>
      <c r="C4739" s="70" t="s">
        <v>9396</v>
      </c>
      <c r="D4739" s="96">
        <v>1082506700</v>
      </c>
      <c r="E4739" s="87">
        <v>42423737.5</v>
      </c>
      <c r="F4739" s="77" t="s">
        <v>10170</v>
      </c>
    </row>
    <row r="4740" spans="1:6">
      <c r="A4740" s="82">
        <v>1</v>
      </c>
      <c r="B4740" s="70" t="s">
        <v>9397</v>
      </c>
      <c r="C4740" s="70" t="s">
        <v>9398</v>
      </c>
      <c r="D4740" s="96">
        <v>1076141000</v>
      </c>
      <c r="E4740" s="87">
        <v>42174265</v>
      </c>
      <c r="F4740" s="77" t="s">
        <v>10170</v>
      </c>
    </row>
    <row r="4741" spans="1:6">
      <c r="A4741" s="82">
        <v>1</v>
      </c>
      <c r="B4741" s="70" t="s">
        <v>9399</v>
      </c>
      <c r="C4741" s="70" t="s">
        <v>9400</v>
      </c>
      <c r="D4741" s="96">
        <v>1076141000</v>
      </c>
      <c r="E4741" s="87">
        <v>42174265</v>
      </c>
      <c r="F4741" s="77" t="s">
        <v>10170</v>
      </c>
    </row>
    <row r="4742" spans="1:6">
      <c r="A4742" s="82">
        <v>1</v>
      </c>
      <c r="B4742" s="70" t="s">
        <v>9401</v>
      </c>
      <c r="C4742" s="70" t="s">
        <v>9402</v>
      </c>
      <c r="D4742" s="96">
        <v>1027063700</v>
      </c>
      <c r="E4742" s="87">
        <v>40250912.5</v>
      </c>
      <c r="F4742" s="77" t="s">
        <v>10170</v>
      </c>
    </row>
    <row r="4743" spans="1:6">
      <c r="A4743" s="82">
        <v>1</v>
      </c>
      <c r="B4743" s="70" t="s">
        <v>9403</v>
      </c>
      <c r="C4743" s="70" t="s">
        <v>9404</v>
      </c>
      <c r="D4743" s="96">
        <v>746221200</v>
      </c>
      <c r="E4743" s="87">
        <v>29244615</v>
      </c>
      <c r="F4743" s="77" t="s">
        <v>10170</v>
      </c>
    </row>
    <row r="4744" spans="1:6">
      <c r="A4744" s="82">
        <v>1</v>
      </c>
      <c r="B4744" s="70" t="s">
        <v>9405</v>
      </c>
      <c r="C4744" s="70" t="s">
        <v>9406</v>
      </c>
      <c r="D4744" s="96">
        <v>746221200</v>
      </c>
      <c r="E4744" s="87">
        <v>29244615</v>
      </c>
      <c r="F4744" s="77" t="s">
        <v>10170</v>
      </c>
    </row>
    <row r="4745" spans="1:6">
      <c r="A4745" s="82">
        <v>1</v>
      </c>
      <c r="B4745" s="70" t="s">
        <v>9407</v>
      </c>
      <c r="C4745" s="70" t="s">
        <v>9408</v>
      </c>
      <c r="D4745" s="96">
        <v>739855500</v>
      </c>
      <c r="E4745" s="87">
        <v>28995142.500000004</v>
      </c>
      <c r="F4745" s="77" t="s">
        <v>10170</v>
      </c>
    </row>
    <row r="4746" spans="1:6">
      <c r="A4746" s="82">
        <v>1</v>
      </c>
      <c r="B4746" s="70" t="s">
        <v>9409</v>
      </c>
      <c r="C4746" s="70" t="s">
        <v>9410</v>
      </c>
      <c r="D4746" s="96">
        <v>739855500</v>
      </c>
      <c r="E4746" s="87">
        <v>28995142.500000004</v>
      </c>
      <c r="F4746" s="77" t="s">
        <v>10170</v>
      </c>
    </row>
    <row r="4747" spans="1:6">
      <c r="A4747" s="82">
        <v>1</v>
      </c>
      <c r="B4747" s="70" t="s">
        <v>9411</v>
      </c>
      <c r="C4747" s="70" t="s">
        <v>9412</v>
      </c>
      <c r="D4747" s="96">
        <v>690778200</v>
      </c>
      <c r="E4747" s="87">
        <v>27071790</v>
      </c>
      <c r="F4747" s="77" t="s">
        <v>10170</v>
      </c>
    </row>
    <row r="4748" spans="1:6">
      <c r="A4748" s="82">
        <v>1</v>
      </c>
      <c r="B4748" s="70" t="s">
        <v>9413</v>
      </c>
      <c r="C4748" s="70" t="s">
        <v>9414</v>
      </c>
      <c r="D4748" s="96">
        <v>1169093500</v>
      </c>
      <c r="E4748" s="87">
        <v>45817100</v>
      </c>
      <c r="F4748" s="77" t="s">
        <v>10170</v>
      </c>
    </row>
    <row r="4749" spans="1:6">
      <c r="A4749" s="82">
        <v>1</v>
      </c>
      <c r="B4749" s="70" t="s">
        <v>9415</v>
      </c>
      <c r="C4749" s="70" t="s">
        <v>9416</v>
      </c>
      <c r="D4749" s="96">
        <v>1169093500</v>
      </c>
      <c r="E4749" s="87">
        <v>45817100</v>
      </c>
      <c r="F4749" s="77" t="s">
        <v>10170</v>
      </c>
    </row>
    <row r="4750" spans="1:6">
      <c r="A4750" s="82">
        <v>1</v>
      </c>
      <c r="B4750" s="70" t="s">
        <v>9417</v>
      </c>
      <c r="C4750" s="70" t="s">
        <v>9418</v>
      </c>
      <c r="D4750" s="96">
        <v>1162727900</v>
      </c>
      <c r="E4750" s="87">
        <v>45567627.5</v>
      </c>
      <c r="F4750" s="77" t="s">
        <v>10170</v>
      </c>
    </row>
    <row r="4751" spans="1:6">
      <c r="A4751" s="82">
        <v>1</v>
      </c>
      <c r="B4751" s="70" t="s">
        <v>9419</v>
      </c>
      <c r="C4751" s="70" t="s">
        <v>9420</v>
      </c>
      <c r="D4751" s="96">
        <v>1162727900</v>
      </c>
      <c r="E4751" s="87">
        <v>45567627.5</v>
      </c>
      <c r="F4751" s="77" t="s">
        <v>10170</v>
      </c>
    </row>
    <row r="4752" spans="1:6">
      <c r="A4752" s="82">
        <v>1</v>
      </c>
      <c r="B4752" s="70" t="s">
        <v>9421</v>
      </c>
      <c r="C4752" s="70" t="s">
        <v>9422</v>
      </c>
      <c r="D4752" s="96">
        <v>1113650600</v>
      </c>
      <c r="E4752" s="87">
        <v>43644275</v>
      </c>
      <c r="F4752" s="77" t="s">
        <v>10170</v>
      </c>
    </row>
    <row r="4753" spans="1:6">
      <c r="A4753" s="82">
        <v>1</v>
      </c>
      <c r="B4753" s="70" t="s">
        <v>9423</v>
      </c>
      <c r="C4753" s="70" t="s">
        <v>9424</v>
      </c>
      <c r="D4753" s="96">
        <v>832808000</v>
      </c>
      <c r="E4753" s="87">
        <v>32637977.5</v>
      </c>
      <c r="F4753" s="77" t="s">
        <v>10170</v>
      </c>
    </row>
    <row r="4754" spans="1:6">
      <c r="A4754" s="82">
        <v>1</v>
      </c>
      <c r="B4754" s="70" t="s">
        <v>9425</v>
      </c>
      <c r="C4754" s="70" t="s">
        <v>9426</v>
      </c>
      <c r="D4754" s="96">
        <v>832808000</v>
      </c>
      <c r="E4754" s="87">
        <v>32637977.5</v>
      </c>
      <c r="F4754" s="77" t="s">
        <v>10170</v>
      </c>
    </row>
    <row r="4755" spans="1:6">
      <c r="A4755" s="82">
        <v>1</v>
      </c>
      <c r="B4755" s="70" t="s">
        <v>9427</v>
      </c>
      <c r="C4755" s="70" t="s">
        <v>9428</v>
      </c>
      <c r="D4755" s="96">
        <v>826442400</v>
      </c>
      <c r="E4755" s="87">
        <v>32388505.000000004</v>
      </c>
      <c r="F4755" s="77" t="s">
        <v>10170</v>
      </c>
    </row>
    <row r="4756" spans="1:6">
      <c r="A4756" s="82">
        <v>1</v>
      </c>
      <c r="B4756" s="70" t="s">
        <v>9429</v>
      </c>
      <c r="C4756" s="70" t="s">
        <v>9430</v>
      </c>
      <c r="D4756" s="96">
        <v>826442400</v>
      </c>
      <c r="E4756" s="87">
        <v>32388505.000000004</v>
      </c>
      <c r="F4756" s="77" t="s">
        <v>10170</v>
      </c>
    </row>
    <row r="4757" spans="1:6">
      <c r="A4757" s="82">
        <v>1</v>
      </c>
      <c r="B4757" s="70" t="s">
        <v>9431</v>
      </c>
      <c r="C4757" s="70" t="s">
        <v>9432</v>
      </c>
      <c r="D4757" s="96">
        <v>777365100</v>
      </c>
      <c r="E4757" s="87">
        <v>30465152.5</v>
      </c>
      <c r="F4757" s="77" t="s">
        <v>10170</v>
      </c>
    </row>
    <row r="4758" spans="1:6">
      <c r="A4758" s="82">
        <v>1</v>
      </c>
      <c r="B4758" s="70" t="s">
        <v>9433</v>
      </c>
      <c r="C4758" s="70" t="s">
        <v>9434</v>
      </c>
      <c r="D4758" s="96">
        <v>923638700</v>
      </c>
      <c r="E4758" s="87">
        <v>36197655</v>
      </c>
      <c r="F4758" s="77" t="s">
        <v>10170</v>
      </c>
    </row>
    <row r="4759" spans="1:6">
      <c r="A4759" s="82">
        <v>1</v>
      </c>
      <c r="B4759" s="70" t="s">
        <v>9435</v>
      </c>
      <c r="C4759" s="70" t="s">
        <v>9436</v>
      </c>
      <c r="D4759" s="96">
        <v>923638700</v>
      </c>
      <c r="E4759" s="87">
        <v>36197655</v>
      </c>
      <c r="F4759" s="77" t="s">
        <v>10170</v>
      </c>
    </row>
    <row r="4760" spans="1:6">
      <c r="A4760" s="82">
        <v>1</v>
      </c>
      <c r="B4760" s="70" t="s">
        <v>9437</v>
      </c>
      <c r="C4760" s="70" t="s">
        <v>9438</v>
      </c>
      <c r="D4760" s="96">
        <v>917273000</v>
      </c>
      <c r="E4760" s="87">
        <v>35948182.5</v>
      </c>
      <c r="F4760" s="77" t="s">
        <v>10170</v>
      </c>
    </row>
    <row r="4761" spans="1:6">
      <c r="A4761" s="82">
        <v>1</v>
      </c>
      <c r="B4761" s="70" t="s">
        <v>9439</v>
      </c>
      <c r="C4761" s="70" t="s">
        <v>9440</v>
      </c>
      <c r="D4761" s="96">
        <v>917273000</v>
      </c>
      <c r="E4761" s="87">
        <v>35948182.5</v>
      </c>
      <c r="F4761" s="77" t="s">
        <v>10170</v>
      </c>
    </row>
    <row r="4762" spans="1:6">
      <c r="A4762" s="82">
        <v>1</v>
      </c>
      <c r="B4762" s="70" t="s">
        <v>9441</v>
      </c>
      <c r="C4762" s="70" t="s">
        <v>9442</v>
      </c>
      <c r="D4762" s="96">
        <v>868195700</v>
      </c>
      <c r="E4762" s="87">
        <v>34024830</v>
      </c>
      <c r="F4762" s="77" t="s">
        <v>10170</v>
      </c>
    </row>
    <row r="4763" spans="1:6">
      <c r="A4763" s="82">
        <v>1</v>
      </c>
      <c r="B4763" s="70" t="s">
        <v>9443</v>
      </c>
      <c r="C4763" s="70" t="s">
        <v>9444</v>
      </c>
      <c r="D4763" s="96">
        <v>746221200</v>
      </c>
      <c r="E4763" s="87">
        <v>29244615</v>
      </c>
      <c r="F4763" s="77" t="s">
        <v>10170</v>
      </c>
    </row>
    <row r="4764" spans="1:6">
      <c r="A4764" s="82">
        <v>1</v>
      </c>
      <c r="B4764" s="70" t="s">
        <v>9445</v>
      </c>
      <c r="C4764" s="70" t="s">
        <v>9446</v>
      </c>
      <c r="D4764" s="96">
        <v>746221200</v>
      </c>
      <c r="E4764" s="87">
        <v>29244615</v>
      </c>
      <c r="F4764" s="77" t="s">
        <v>10170</v>
      </c>
    </row>
    <row r="4765" spans="1:6">
      <c r="A4765" s="82">
        <v>1</v>
      </c>
      <c r="B4765" s="70" t="s">
        <v>9447</v>
      </c>
      <c r="C4765" s="70" t="s">
        <v>9448</v>
      </c>
      <c r="D4765" s="96">
        <v>739855500</v>
      </c>
      <c r="E4765" s="87">
        <v>28995142.500000004</v>
      </c>
      <c r="F4765" s="77" t="s">
        <v>10170</v>
      </c>
    </row>
    <row r="4766" spans="1:6">
      <c r="A4766" s="82">
        <v>1</v>
      </c>
      <c r="B4766" s="70" t="s">
        <v>9449</v>
      </c>
      <c r="C4766" s="70" t="s">
        <v>9450</v>
      </c>
      <c r="D4766" s="96">
        <v>739855500</v>
      </c>
      <c r="E4766" s="87">
        <v>28995142.500000004</v>
      </c>
      <c r="F4766" s="77" t="s">
        <v>10170</v>
      </c>
    </row>
    <row r="4767" spans="1:6">
      <c r="A4767" s="82">
        <v>1</v>
      </c>
      <c r="B4767" s="70" t="s">
        <v>9451</v>
      </c>
      <c r="C4767" s="70" t="s">
        <v>9452</v>
      </c>
      <c r="D4767" s="96">
        <v>690778200</v>
      </c>
      <c r="E4767" s="87">
        <v>27071790</v>
      </c>
      <c r="F4767" s="77" t="s">
        <v>10170</v>
      </c>
    </row>
    <row r="4768" spans="1:6">
      <c r="A4768" s="82">
        <v>1</v>
      </c>
      <c r="B4768" s="70" t="s">
        <v>9453</v>
      </c>
      <c r="C4768" s="70" t="s">
        <v>9454</v>
      </c>
      <c r="D4768" s="96">
        <v>1129735900</v>
      </c>
      <c r="E4768" s="87">
        <v>44274662.5</v>
      </c>
      <c r="F4768" s="77" t="s">
        <v>10170</v>
      </c>
    </row>
    <row r="4769" spans="1:6">
      <c r="A4769" s="82">
        <v>1</v>
      </c>
      <c r="B4769" s="70" t="s">
        <v>9455</v>
      </c>
      <c r="C4769" s="70" t="s">
        <v>9456</v>
      </c>
      <c r="D4769" s="96">
        <v>1129735900</v>
      </c>
      <c r="E4769" s="87">
        <v>44274662.5</v>
      </c>
      <c r="F4769" s="77" t="s">
        <v>10170</v>
      </c>
    </row>
    <row r="4770" spans="1:6">
      <c r="A4770" s="82">
        <v>1</v>
      </c>
      <c r="B4770" s="70" t="s">
        <v>9457</v>
      </c>
      <c r="C4770" s="70" t="s">
        <v>9458</v>
      </c>
      <c r="D4770" s="96">
        <v>1123370200</v>
      </c>
      <c r="E4770" s="87">
        <v>44025190</v>
      </c>
      <c r="F4770" s="77" t="s">
        <v>10170</v>
      </c>
    </row>
    <row r="4771" spans="1:6">
      <c r="A4771" s="82">
        <v>1</v>
      </c>
      <c r="B4771" s="70" t="s">
        <v>9459</v>
      </c>
      <c r="C4771" s="70" t="s">
        <v>9460</v>
      </c>
      <c r="D4771" s="96">
        <v>1123370200</v>
      </c>
      <c r="E4771" s="87">
        <v>44025190</v>
      </c>
      <c r="F4771" s="77" t="s">
        <v>10170</v>
      </c>
    </row>
    <row r="4772" spans="1:6">
      <c r="A4772" s="82">
        <v>1</v>
      </c>
      <c r="B4772" s="70" t="s">
        <v>9461</v>
      </c>
      <c r="C4772" s="70" t="s">
        <v>9462</v>
      </c>
      <c r="D4772" s="96">
        <v>1074292900</v>
      </c>
      <c r="E4772" s="87">
        <v>42101837.5</v>
      </c>
      <c r="F4772" s="77" t="s">
        <v>10170</v>
      </c>
    </row>
    <row r="4773" spans="1:6">
      <c r="A4773" s="82">
        <v>1</v>
      </c>
      <c r="B4773" s="70" t="s">
        <v>9463</v>
      </c>
      <c r="C4773" s="70" t="s">
        <v>9464</v>
      </c>
      <c r="D4773" s="96">
        <v>793450400</v>
      </c>
      <c r="E4773" s="87">
        <v>31095540</v>
      </c>
      <c r="F4773" s="77" t="s">
        <v>10170</v>
      </c>
    </row>
    <row r="4774" spans="1:6">
      <c r="A4774" s="82">
        <v>1</v>
      </c>
      <c r="B4774" s="70" t="s">
        <v>9465</v>
      </c>
      <c r="C4774" s="70" t="s">
        <v>9466</v>
      </c>
      <c r="D4774" s="96">
        <v>793450400</v>
      </c>
      <c r="E4774" s="87">
        <v>31095540</v>
      </c>
      <c r="F4774" s="77" t="s">
        <v>10170</v>
      </c>
    </row>
    <row r="4775" spans="1:6">
      <c r="A4775" s="82">
        <v>1</v>
      </c>
      <c r="B4775" s="70" t="s">
        <v>9467</v>
      </c>
      <c r="C4775" s="70" t="s">
        <v>9468</v>
      </c>
      <c r="D4775" s="96">
        <v>787084700</v>
      </c>
      <c r="E4775" s="87">
        <v>30846067.500000004</v>
      </c>
      <c r="F4775" s="77" t="s">
        <v>10170</v>
      </c>
    </row>
    <row r="4776" spans="1:6">
      <c r="A4776" s="82">
        <v>1</v>
      </c>
      <c r="B4776" s="70" t="s">
        <v>9469</v>
      </c>
      <c r="C4776" s="70" t="s">
        <v>9470</v>
      </c>
      <c r="D4776" s="96">
        <v>787084700</v>
      </c>
      <c r="E4776" s="87">
        <v>30846067.500000004</v>
      </c>
      <c r="F4776" s="77" t="s">
        <v>10170</v>
      </c>
    </row>
    <row r="4777" spans="1:6">
      <c r="A4777" s="82">
        <v>1</v>
      </c>
      <c r="B4777" s="70" t="s">
        <v>9471</v>
      </c>
      <c r="C4777" s="70" t="s">
        <v>9472</v>
      </c>
      <c r="D4777" s="96">
        <v>738007400</v>
      </c>
      <c r="E4777" s="87">
        <v>28922715</v>
      </c>
      <c r="F4777" s="77" t="s">
        <v>10170</v>
      </c>
    </row>
    <row r="4778" spans="1:6">
      <c r="A4778" s="82">
        <v>1</v>
      </c>
      <c r="B4778" s="70" t="s">
        <v>9473</v>
      </c>
      <c r="C4778" s="70" t="s">
        <v>9474</v>
      </c>
      <c r="D4778" s="96">
        <v>1153350500</v>
      </c>
      <c r="E4778" s="87">
        <v>45200125</v>
      </c>
      <c r="F4778" s="77" t="s">
        <v>10170</v>
      </c>
    </row>
    <row r="4779" spans="1:6">
      <c r="A4779" s="82">
        <v>1</v>
      </c>
      <c r="B4779" s="70" t="s">
        <v>9475</v>
      </c>
      <c r="C4779" s="70" t="s">
        <v>9476</v>
      </c>
      <c r="D4779" s="96">
        <v>1153350500</v>
      </c>
      <c r="E4779" s="87">
        <v>45200125</v>
      </c>
      <c r="F4779" s="77" t="s">
        <v>10170</v>
      </c>
    </row>
    <row r="4780" spans="1:6">
      <c r="A4780" s="82">
        <v>1</v>
      </c>
      <c r="B4780" s="70" t="s">
        <v>9477</v>
      </c>
      <c r="C4780" s="70" t="s">
        <v>9478</v>
      </c>
      <c r="D4780" s="96">
        <v>1146984800</v>
      </c>
      <c r="E4780" s="87">
        <v>44950652.5</v>
      </c>
      <c r="F4780" s="77" t="s">
        <v>10170</v>
      </c>
    </row>
    <row r="4781" spans="1:6">
      <c r="A4781" s="82">
        <v>1</v>
      </c>
      <c r="B4781" s="70" t="s">
        <v>9479</v>
      </c>
      <c r="C4781" s="70" t="s">
        <v>9480</v>
      </c>
      <c r="D4781" s="96">
        <v>1146984800</v>
      </c>
      <c r="E4781" s="87">
        <v>44950652.5</v>
      </c>
      <c r="F4781" s="77" t="s">
        <v>10170</v>
      </c>
    </row>
    <row r="4782" spans="1:6">
      <c r="A4782" s="82">
        <v>1</v>
      </c>
      <c r="B4782" s="70" t="s">
        <v>9481</v>
      </c>
      <c r="C4782" s="70" t="s">
        <v>9482</v>
      </c>
      <c r="D4782" s="96">
        <v>1097907500</v>
      </c>
      <c r="E4782" s="87">
        <v>43027300</v>
      </c>
      <c r="F4782" s="77" t="s">
        <v>10170</v>
      </c>
    </row>
    <row r="4783" spans="1:6">
      <c r="A4783" s="82">
        <v>1</v>
      </c>
      <c r="B4783" s="70" t="s">
        <v>9483</v>
      </c>
      <c r="C4783" s="70" t="s">
        <v>9484</v>
      </c>
      <c r="D4783" s="96">
        <v>817065000</v>
      </c>
      <c r="E4783" s="87">
        <v>32021002.5</v>
      </c>
      <c r="F4783" s="77" t="s">
        <v>10170</v>
      </c>
    </row>
    <row r="4784" spans="1:6">
      <c r="A4784" s="82">
        <v>1</v>
      </c>
      <c r="B4784" s="70" t="s">
        <v>9485</v>
      </c>
      <c r="C4784" s="70" t="s">
        <v>9486</v>
      </c>
      <c r="D4784" s="96">
        <v>817065000</v>
      </c>
      <c r="E4784" s="87">
        <v>32021002.5</v>
      </c>
      <c r="F4784" s="77" t="s">
        <v>10170</v>
      </c>
    </row>
    <row r="4785" spans="1:6">
      <c r="A4785" s="82">
        <v>1</v>
      </c>
      <c r="B4785" s="70" t="s">
        <v>9487</v>
      </c>
      <c r="C4785" s="70" t="s">
        <v>9488</v>
      </c>
      <c r="D4785" s="96">
        <v>810699300</v>
      </c>
      <c r="E4785" s="87">
        <v>31771530.000000004</v>
      </c>
      <c r="F4785" s="77" t="s">
        <v>10170</v>
      </c>
    </row>
    <row r="4786" spans="1:6">
      <c r="A4786" s="82">
        <v>1</v>
      </c>
      <c r="B4786" s="70" t="s">
        <v>9489</v>
      </c>
      <c r="C4786" s="70" t="s">
        <v>9490</v>
      </c>
      <c r="D4786" s="96">
        <v>810699300</v>
      </c>
      <c r="E4786" s="87">
        <v>31771530.000000004</v>
      </c>
      <c r="F4786" s="77" t="s">
        <v>10170</v>
      </c>
    </row>
    <row r="4787" spans="1:6">
      <c r="A4787" s="82">
        <v>1</v>
      </c>
      <c r="B4787" s="70" t="s">
        <v>9491</v>
      </c>
      <c r="C4787" s="70" t="s">
        <v>9492</v>
      </c>
      <c r="D4787" s="96">
        <v>761622000</v>
      </c>
      <c r="E4787" s="87">
        <v>29848177.5</v>
      </c>
      <c r="F4787" s="77" t="s">
        <v>10170</v>
      </c>
    </row>
    <row r="4788" spans="1:6">
      <c r="A4788" s="82">
        <v>1</v>
      </c>
      <c r="B4788" s="70" t="s">
        <v>9493</v>
      </c>
      <c r="C4788" s="70" t="s">
        <v>9494</v>
      </c>
      <c r="D4788" s="96">
        <v>886745100</v>
      </c>
      <c r="E4788" s="87">
        <v>34751787.5</v>
      </c>
      <c r="F4788" s="77" t="s">
        <v>10170</v>
      </c>
    </row>
    <row r="4789" spans="1:6">
      <c r="A4789" s="82">
        <v>1</v>
      </c>
      <c r="B4789" s="70" t="s">
        <v>9495</v>
      </c>
      <c r="C4789" s="70" t="s">
        <v>9496</v>
      </c>
      <c r="D4789" s="96">
        <v>886745100</v>
      </c>
      <c r="E4789" s="87">
        <v>34751787.5</v>
      </c>
      <c r="F4789" s="77" t="s">
        <v>10170</v>
      </c>
    </row>
    <row r="4790" spans="1:6">
      <c r="A4790" s="82">
        <v>1</v>
      </c>
      <c r="B4790" s="70" t="s">
        <v>9497</v>
      </c>
      <c r="C4790" s="70" t="s">
        <v>9498</v>
      </c>
      <c r="D4790" s="96">
        <v>879352700</v>
      </c>
      <c r="E4790" s="87">
        <v>34462077.5</v>
      </c>
      <c r="F4790" s="77" t="s">
        <v>10170</v>
      </c>
    </row>
    <row r="4791" spans="1:6">
      <c r="A4791" s="82">
        <v>1</v>
      </c>
      <c r="B4791" s="70" t="s">
        <v>9499</v>
      </c>
      <c r="C4791" s="70" t="s">
        <v>9500</v>
      </c>
      <c r="D4791" s="96">
        <v>879352700</v>
      </c>
      <c r="E4791" s="87">
        <v>34462077.5</v>
      </c>
      <c r="F4791" s="77" t="s">
        <v>10170</v>
      </c>
    </row>
    <row r="4792" spans="1:6">
      <c r="A4792" s="82">
        <v>1</v>
      </c>
      <c r="B4792" s="70" t="s">
        <v>9501</v>
      </c>
      <c r="C4792" s="70" t="s">
        <v>9502</v>
      </c>
      <c r="D4792" s="96">
        <v>838147000</v>
      </c>
      <c r="E4792" s="87">
        <v>32847212.5</v>
      </c>
      <c r="F4792" s="77" t="s">
        <v>10170</v>
      </c>
    </row>
    <row r="4793" spans="1:6">
      <c r="A4793" s="82">
        <v>1</v>
      </c>
      <c r="B4793" s="70" t="s">
        <v>9503</v>
      </c>
      <c r="C4793" s="70" t="s">
        <v>9504</v>
      </c>
      <c r="D4793" s="96">
        <v>550459600</v>
      </c>
      <c r="E4793" s="87">
        <v>21572665</v>
      </c>
      <c r="F4793" s="77" t="s">
        <v>10170</v>
      </c>
    </row>
    <row r="4794" spans="1:6">
      <c r="A4794" s="82">
        <v>1</v>
      </c>
      <c r="B4794" s="70" t="s">
        <v>9505</v>
      </c>
      <c r="C4794" s="70" t="s">
        <v>9506</v>
      </c>
      <c r="D4794" s="96">
        <v>550459600</v>
      </c>
      <c r="E4794" s="87">
        <v>21572665</v>
      </c>
      <c r="F4794" s="77" t="s">
        <v>10170</v>
      </c>
    </row>
    <row r="4795" spans="1:6">
      <c r="A4795" s="82">
        <v>1</v>
      </c>
      <c r="B4795" s="70" t="s">
        <v>9507</v>
      </c>
      <c r="C4795" s="70" t="s">
        <v>9508</v>
      </c>
      <c r="D4795" s="96">
        <v>543067200</v>
      </c>
      <c r="E4795" s="87">
        <v>21282955</v>
      </c>
      <c r="F4795" s="77" t="s">
        <v>10170</v>
      </c>
    </row>
    <row r="4796" spans="1:6">
      <c r="A4796" s="82">
        <v>1</v>
      </c>
      <c r="B4796" s="70" t="s">
        <v>9509</v>
      </c>
      <c r="C4796" s="70" t="s">
        <v>9510</v>
      </c>
      <c r="D4796" s="96">
        <v>543067200</v>
      </c>
      <c r="E4796" s="87">
        <v>21282955</v>
      </c>
      <c r="F4796" s="77" t="s">
        <v>10170</v>
      </c>
    </row>
    <row r="4797" spans="1:6">
      <c r="A4797" s="82">
        <v>1</v>
      </c>
      <c r="B4797" s="70" t="s">
        <v>9511</v>
      </c>
      <c r="C4797" s="70" t="s">
        <v>9512</v>
      </c>
      <c r="D4797" s="96">
        <v>501861500</v>
      </c>
      <c r="E4797" s="87">
        <v>19668090</v>
      </c>
      <c r="F4797" s="77" t="s">
        <v>10170</v>
      </c>
    </row>
    <row r="4798" spans="1:6">
      <c r="A4798" s="82">
        <v>1</v>
      </c>
      <c r="B4798" s="70" t="s">
        <v>9513</v>
      </c>
      <c r="C4798" s="70" t="s">
        <v>9514</v>
      </c>
      <c r="D4798" s="96">
        <v>609804100</v>
      </c>
      <c r="E4798" s="87">
        <v>23898392.500000004</v>
      </c>
      <c r="F4798" s="77" t="s">
        <v>10170</v>
      </c>
    </row>
    <row r="4799" spans="1:6">
      <c r="A4799" s="82">
        <v>1</v>
      </c>
      <c r="B4799" s="70" t="s">
        <v>9515</v>
      </c>
      <c r="C4799" s="70" t="s">
        <v>9516</v>
      </c>
      <c r="D4799" s="96">
        <v>609804100</v>
      </c>
      <c r="E4799" s="87">
        <v>23898392.500000004</v>
      </c>
      <c r="F4799" s="77" t="s">
        <v>10170</v>
      </c>
    </row>
    <row r="4800" spans="1:6">
      <c r="A4800" s="82">
        <v>1</v>
      </c>
      <c r="B4800" s="70" t="s">
        <v>9517</v>
      </c>
      <c r="C4800" s="70" t="s">
        <v>9518</v>
      </c>
      <c r="D4800" s="96">
        <v>602411700</v>
      </c>
      <c r="E4800" s="87">
        <v>23608682.5</v>
      </c>
      <c r="F4800" s="77" t="s">
        <v>10170</v>
      </c>
    </row>
    <row r="4801" spans="1:6">
      <c r="A4801" s="82">
        <v>1</v>
      </c>
      <c r="B4801" s="70" t="s">
        <v>9519</v>
      </c>
      <c r="C4801" s="70" t="s">
        <v>9520</v>
      </c>
      <c r="D4801" s="96">
        <v>602411700</v>
      </c>
      <c r="E4801" s="87">
        <v>23608682.5</v>
      </c>
      <c r="F4801" s="77" t="s">
        <v>10170</v>
      </c>
    </row>
    <row r="4802" spans="1:6">
      <c r="A4802" s="82">
        <v>1</v>
      </c>
      <c r="B4802" s="70" t="s">
        <v>9521</v>
      </c>
      <c r="C4802" s="70" t="s">
        <v>9522</v>
      </c>
      <c r="D4802" s="96">
        <v>561206000</v>
      </c>
      <c r="E4802" s="87">
        <v>21993817.5</v>
      </c>
      <c r="F4802" s="77" t="s">
        <v>10170</v>
      </c>
    </row>
    <row r="4803" spans="1:6">
      <c r="A4803" s="82">
        <v>1</v>
      </c>
      <c r="B4803" s="70" t="s">
        <v>9523</v>
      </c>
      <c r="C4803" s="70" t="s">
        <v>9524</v>
      </c>
      <c r="D4803" s="96">
        <v>432386600</v>
      </c>
      <c r="E4803" s="87">
        <v>16945352.5</v>
      </c>
      <c r="F4803" s="77" t="s">
        <v>10170</v>
      </c>
    </row>
    <row r="4804" spans="1:6">
      <c r="A4804" s="82">
        <v>1</v>
      </c>
      <c r="B4804" s="70" t="s">
        <v>9525</v>
      </c>
      <c r="C4804" s="70" t="s">
        <v>9526</v>
      </c>
      <c r="D4804" s="96">
        <v>432386600</v>
      </c>
      <c r="E4804" s="87">
        <v>16945352.5</v>
      </c>
      <c r="F4804" s="77" t="s">
        <v>10170</v>
      </c>
    </row>
    <row r="4805" spans="1:6">
      <c r="A4805" s="82">
        <v>1</v>
      </c>
      <c r="B4805" s="70" t="s">
        <v>9527</v>
      </c>
      <c r="C4805" s="70" t="s">
        <v>9528</v>
      </c>
      <c r="D4805" s="96">
        <v>424994300</v>
      </c>
      <c r="E4805" s="87">
        <v>16655642.5</v>
      </c>
      <c r="F4805" s="77" t="s">
        <v>10170</v>
      </c>
    </row>
    <row r="4806" spans="1:6">
      <c r="A4806" s="82">
        <v>1</v>
      </c>
      <c r="B4806" s="70" t="s">
        <v>9529</v>
      </c>
      <c r="C4806" s="70" t="s">
        <v>9530</v>
      </c>
      <c r="D4806" s="96">
        <v>424994300</v>
      </c>
      <c r="E4806" s="87">
        <v>16655642.5</v>
      </c>
      <c r="F4806" s="77" t="s">
        <v>10170</v>
      </c>
    </row>
    <row r="4807" spans="1:6">
      <c r="A4807" s="82">
        <v>1</v>
      </c>
      <c r="B4807" s="70" t="s">
        <v>9531</v>
      </c>
      <c r="C4807" s="70" t="s">
        <v>9532</v>
      </c>
      <c r="D4807" s="96">
        <v>383788500</v>
      </c>
      <c r="E4807" s="87">
        <v>15040777.500000002</v>
      </c>
      <c r="F4807" s="77" t="s">
        <v>10170</v>
      </c>
    </row>
    <row r="4808" spans="1:6">
      <c r="A4808" s="82">
        <v>1</v>
      </c>
      <c r="B4808" s="70" t="s">
        <v>9533</v>
      </c>
      <c r="C4808" s="70" t="s">
        <v>9534</v>
      </c>
      <c r="D4808" s="96">
        <v>839515900</v>
      </c>
      <c r="E4808" s="87">
        <v>32900862.5</v>
      </c>
      <c r="F4808" s="77" t="s">
        <v>10170</v>
      </c>
    </row>
    <row r="4809" spans="1:6">
      <c r="A4809" s="82">
        <v>1</v>
      </c>
      <c r="B4809" s="70" t="s">
        <v>9535</v>
      </c>
      <c r="C4809" s="70" t="s">
        <v>9536</v>
      </c>
      <c r="D4809" s="96">
        <v>839515900</v>
      </c>
      <c r="E4809" s="87">
        <v>32900862.5</v>
      </c>
      <c r="F4809" s="77" t="s">
        <v>10170</v>
      </c>
    </row>
    <row r="4810" spans="1:6">
      <c r="A4810" s="82">
        <v>1</v>
      </c>
      <c r="B4810" s="70" t="s">
        <v>9537</v>
      </c>
      <c r="C4810" s="70" t="s">
        <v>9538</v>
      </c>
      <c r="D4810" s="96">
        <v>832123600</v>
      </c>
      <c r="E4810" s="87">
        <v>32611152.5</v>
      </c>
      <c r="F4810" s="77" t="s">
        <v>10170</v>
      </c>
    </row>
    <row r="4811" spans="1:6">
      <c r="A4811" s="82">
        <v>1</v>
      </c>
      <c r="B4811" s="70" t="s">
        <v>9539</v>
      </c>
      <c r="C4811" s="70" t="s">
        <v>9540</v>
      </c>
      <c r="D4811" s="96">
        <v>832123600</v>
      </c>
      <c r="E4811" s="87">
        <v>32611152.5</v>
      </c>
      <c r="F4811" s="77" t="s">
        <v>10170</v>
      </c>
    </row>
    <row r="4812" spans="1:6">
      <c r="A4812" s="82">
        <v>1</v>
      </c>
      <c r="B4812" s="70" t="s">
        <v>9541</v>
      </c>
      <c r="C4812" s="70" t="s">
        <v>9542</v>
      </c>
      <c r="D4812" s="96">
        <v>790917800</v>
      </c>
      <c r="E4812" s="87">
        <v>30996287.5</v>
      </c>
      <c r="F4812" s="77" t="s">
        <v>10170</v>
      </c>
    </row>
    <row r="4813" spans="1:6">
      <c r="A4813" s="82">
        <v>1</v>
      </c>
      <c r="B4813" s="70" t="s">
        <v>9543</v>
      </c>
      <c r="C4813" s="70" t="s">
        <v>9544</v>
      </c>
      <c r="D4813" s="96">
        <v>503230400</v>
      </c>
      <c r="E4813" s="87">
        <v>19721740</v>
      </c>
      <c r="F4813" s="77" t="s">
        <v>10170</v>
      </c>
    </row>
    <row r="4814" spans="1:6">
      <c r="A4814" s="82">
        <v>1</v>
      </c>
      <c r="B4814" s="70" t="s">
        <v>9545</v>
      </c>
      <c r="C4814" s="70" t="s">
        <v>9546</v>
      </c>
      <c r="D4814" s="96">
        <v>503230400</v>
      </c>
      <c r="E4814" s="87">
        <v>19721740</v>
      </c>
      <c r="F4814" s="77" t="s">
        <v>10170</v>
      </c>
    </row>
    <row r="4815" spans="1:6">
      <c r="A4815" s="82">
        <v>1</v>
      </c>
      <c r="B4815" s="70" t="s">
        <v>9547</v>
      </c>
      <c r="C4815" s="70" t="s">
        <v>9548</v>
      </c>
      <c r="D4815" s="96">
        <v>495838000</v>
      </c>
      <c r="E4815" s="87">
        <v>19432030</v>
      </c>
      <c r="F4815" s="77" t="s">
        <v>10170</v>
      </c>
    </row>
    <row r="4816" spans="1:6">
      <c r="A4816" s="82">
        <v>1</v>
      </c>
      <c r="B4816" s="70" t="s">
        <v>9549</v>
      </c>
      <c r="C4816" s="70" t="s">
        <v>9550</v>
      </c>
      <c r="D4816" s="96">
        <v>495838000</v>
      </c>
      <c r="E4816" s="87">
        <v>19432030</v>
      </c>
      <c r="F4816" s="77" t="s">
        <v>10170</v>
      </c>
    </row>
    <row r="4817" spans="1:6">
      <c r="A4817" s="82">
        <v>1</v>
      </c>
      <c r="B4817" s="70" t="s">
        <v>9551</v>
      </c>
      <c r="C4817" s="70" t="s">
        <v>9552</v>
      </c>
      <c r="D4817" s="96">
        <v>454632300</v>
      </c>
      <c r="E4817" s="87">
        <v>17817165</v>
      </c>
      <c r="F4817" s="77" t="s">
        <v>10170</v>
      </c>
    </row>
    <row r="4818" spans="1:6">
      <c r="A4818" s="82">
        <v>1</v>
      </c>
      <c r="B4818" s="70" t="s">
        <v>9553</v>
      </c>
      <c r="C4818" s="70" t="s">
        <v>9554</v>
      </c>
      <c r="D4818" s="96">
        <v>957588900</v>
      </c>
      <c r="E4818" s="87">
        <v>37528175</v>
      </c>
      <c r="F4818" s="77" t="s">
        <v>10170</v>
      </c>
    </row>
    <row r="4819" spans="1:6">
      <c r="A4819" s="82">
        <v>1</v>
      </c>
      <c r="B4819" s="70" t="s">
        <v>9555</v>
      </c>
      <c r="C4819" s="70" t="s">
        <v>9556</v>
      </c>
      <c r="D4819" s="96">
        <v>957588900</v>
      </c>
      <c r="E4819" s="87">
        <v>37528175</v>
      </c>
      <c r="F4819" s="77" t="s">
        <v>10170</v>
      </c>
    </row>
    <row r="4820" spans="1:6">
      <c r="A4820" s="82">
        <v>1</v>
      </c>
      <c r="B4820" s="70" t="s">
        <v>9557</v>
      </c>
      <c r="C4820" s="70" t="s">
        <v>9558</v>
      </c>
      <c r="D4820" s="96">
        <v>950196500</v>
      </c>
      <c r="E4820" s="87">
        <v>37238465</v>
      </c>
      <c r="F4820" s="77" t="s">
        <v>10170</v>
      </c>
    </row>
    <row r="4821" spans="1:6">
      <c r="A4821" s="82">
        <v>1</v>
      </c>
      <c r="B4821" s="70" t="s">
        <v>9559</v>
      </c>
      <c r="C4821" s="70" t="s">
        <v>9560</v>
      </c>
      <c r="D4821" s="96">
        <v>950196500</v>
      </c>
      <c r="E4821" s="87">
        <v>37238465</v>
      </c>
      <c r="F4821" s="77" t="s">
        <v>10170</v>
      </c>
    </row>
    <row r="4822" spans="1:6">
      <c r="A4822" s="82">
        <v>1</v>
      </c>
      <c r="B4822" s="70" t="s">
        <v>9561</v>
      </c>
      <c r="C4822" s="70" t="s">
        <v>9562</v>
      </c>
      <c r="D4822" s="96">
        <v>908990800</v>
      </c>
      <c r="E4822" s="87">
        <v>35623600</v>
      </c>
      <c r="F4822" s="77" t="s">
        <v>10170</v>
      </c>
    </row>
    <row r="4823" spans="1:6">
      <c r="A4823" s="82">
        <v>1</v>
      </c>
      <c r="B4823" s="70" t="s">
        <v>9563</v>
      </c>
      <c r="C4823" s="70" t="s">
        <v>9564</v>
      </c>
      <c r="D4823" s="96">
        <v>621303400</v>
      </c>
      <c r="E4823" s="87">
        <v>24349052.5</v>
      </c>
      <c r="F4823" s="77" t="s">
        <v>10170</v>
      </c>
    </row>
    <row r="4824" spans="1:6">
      <c r="A4824" s="82">
        <v>1</v>
      </c>
      <c r="B4824" s="70" t="s">
        <v>9565</v>
      </c>
      <c r="C4824" s="70" t="s">
        <v>9566</v>
      </c>
      <c r="D4824" s="96">
        <v>621303400</v>
      </c>
      <c r="E4824" s="87">
        <v>24349052.5</v>
      </c>
      <c r="F4824" s="77" t="s">
        <v>10170</v>
      </c>
    </row>
    <row r="4825" spans="1:6">
      <c r="A4825" s="82">
        <v>1</v>
      </c>
      <c r="B4825" s="70" t="s">
        <v>9567</v>
      </c>
      <c r="C4825" s="70" t="s">
        <v>9568</v>
      </c>
      <c r="D4825" s="96">
        <v>613911000</v>
      </c>
      <c r="E4825" s="87">
        <v>24059342.500000004</v>
      </c>
      <c r="F4825" s="77" t="s">
        <v>10170</v>
      </c>
    </row>
    <row r="4826" spans="1:6">
      <c r="A4826" s="82">
        <v>1</v>
      </c>
      <c r="B4826" s="70" t="s">
        <v>9569</v>
      </c>
      <c r="C4826" s="70" t="s">
        <v>9570</v>
      </c>
      <c r="D4826" s="96">
        <v>613911000</v>
      </c>
      <c r="E4826" s="87">
        <v>24059342.500000004</v>
      </c>
      <c r="F4826" s="77" t="s">
        <v>10170</v>
      </c>
    </row>
    <row r="4827" spans="1:6">
      <c r="A4827" s="82">
        <v>1</v>
      </c>
      <c r="B4827" s="70" t="s">
        <v>9571</v>
      </c>
      <c r="C4827" s="70" t="s">
        <v>9572</v>
      </c>
      <c r="D4827" s="96">
        <v>572705300</v>
      </c>
      <c r="E4827" s="87">
        <v>22444477.5</v>
      </c>
      <c r="F4827" s="77" t="s">
        <v>10170</v>
      </c>
    </row>
    <row r="4828" spans="1:6">
      <c r="A4828" s="82">
        <v>1</v>
      </c>
      <c r="B4828" s="70" t="s">
        <v>9573</v>
      </c>
      <c r="C4828" s="70" t="s">
        <v>9574</v>
      </c>
      <c r="D4828" s="96">
        <v>680647900</v>
      </c>
      <c r="E4828" s="87">
        <v>26674780.000000004</v>
      </c>
      <c r="F4828" s="77" t="s">
        <v>10170</v>
      </c>
    </row>
    <row r="4829" spans="1:6">
      <c r="A4829" s="82">
        <v>1</v>
      </c>
      <c r="B4829" s="70" t="s">
        <v>9575</v>
      </c>
      <c r="C4829" s="70" t="s">
        <v>9576</v>
      </c>
      <c r="D4829" s="96">
        <v>680647900</v>
      </c>
      <c r="E4829" s="87">
        <v>26674780.000000004</v>
      </c>
      <c r="F4829" s="77" t="s">
        <v>10170</v>
      </c>
    </row>
    <row r="4830" spans="1:6">
      <c r="A4830" s="82">
        <v>1</v>
      </c>
      <c r="B4830" s="70" t="s">
        <v>9577</v>
      </c>
      <c r="C4830" s="70" t="s">
        <v>9578</v>
      </c>
      <c r="D4830" s="96">
        <v>673255500</v>
      </c>
      <c r="E4830" s="87">
        <v>26385069.999999996</v>
      </c>
      <c r="F4830" s="77" t="s">
        <v>10170</v>
      </c>
    </row>
    <row r="4831" spans="1:6">
      <c r="A4831" s="82">
        <v>1</v>
      </c>
      <c r="B4831" s="70" t="s">
        <v>9579</v>
      </c>
      <c r="C4831" s="70" t="s">
        <v>9580</v>
      </c>
      <c r="D4831" s="96">
        <v>673255500</v>
      </c>
      <c r="E4831" s="87">
        <v>26385069.999999996</v>
      </c>
      <c r="F4831" s="77" t="s">
        <v>10170</v>
      </c>
    </row>
    <row r="4832" spans="1:6">
      <c r="A4832" s="82">
        <v>1</v>
      </c>
      <c r="B4832" s="70" t="s">
        <v>9581</v>
      </c>
      <c r="C4832" s="70" t="s">
        <v>9582</v>
      </c>
      <c r="D4832" s="96">
        <v>632049800</v>
      </c>
      <c r="E4832" s="87">
        <v>24770205.000000004</v>
      </c>
      <c r="F4832" s="77" t="s">
        <v>10170</v>
      </c>
    </row>
    <row r="4833" spans="1:6">
      <c r="A4833" s="82">
        <v>1</v>
      </c>
      <c r="B4833" s="70" t="s">
        <v>9583</v>
      </c>
      <c r="C4833" s="70" t="s">
        <v>9584</v>
      </c>
      <c r="D4833" s="96">
        <v>503230400</v>
      </c>
      <c r="E4833" s="87">
        <v>19721740</v>
      </c>
      <c r="F4833" s="77" t="s">
        <v>10170</v>
      </c>
    </row>
    <row r="4834" spans="1:6">
      <c r="A4834" s="82">
        <v>1</v>
      </c>
      <c r="B4834" s="70" t="s">
        <v>9585</v>
      </c>
      <c r="C4834" s="70" t="s">
        <v>9586</v>
      </c>
      <c r="D4834" s="96">
        <v>503230400</v>
      </c>
      <c r="E4834" s="87">
        <v>19721740</v>
      </c>
      <c r="F4834" s="77" t="s">
        <v>10170</v>
      </c>
    </row>
    <row r="4835" spans="1:6">
      <c r="A4835" s="82">
        <v>1</v>
      </c>
      <c r="B4835" s="70" t="s">
        <v>9587</v>
      </c>
      <c r="C4835" s="70" t="s">
        <v>9588</v>
      </c>
      <c r="D4835" s="96">
        <v>495838000</v>
      </c>
      <c r="E4835" s="87">
        <v>19432030</v>
      </c>
      <c r="F4835" s="77" t="s">
        <v>10170</v>
      </c>
    </row>
    <row r="4836" spans="1:6">
      <c r="A4836" s="82">
        <v>1</v>
      </c>
      <c r="B4836" s="70" t="s">
        <v>9589</v>
      </c>
      <c r="C4836" s="70" t="s">
        <v>9590</v>
      </c>
      <c r="D4836" s="96">
        <v>495838000</v>
      </c>
      <c r="E4836" s="87">
        <v>19432030</v>
      </c>
      <c r="F4836" s="77" t="s">
        <v>10170</v>
      </c>
    </row>
    <row r="4837" spans="1:6">
      <c r="A4837" s="82">
        <v>1</v>
      </c>
      <c r="B4837" s="70" t="s">
        <v>9591</v>
      </c>
      <c r="C4837" s="70" t="s">
        <v>9592</v>
      </c>
      <c r="D4837" s="96">
        <v>454632300</v>
      </c>
      <c r="E4837" s="87">
        <v>17817165</v>
      </c>
      <c r="F4837" s="77" t="s">
        <v>10170</v>
      </c>
    </row>
    <row r="4838" spans="1:6">
      <c r="A4838" s="82">
        <v>1</v>
      </c>
      <c r="B4838" s="70" t="s">
        <v>9593</v>
      </c>
      <c r="C4838" s="70" t="s">
        <v>9594</v>
      </c>
      <c r="D4838" s="96">
        <v>910359700</v>
      </c>
      <c r="E4838" s="87">
        <v>35677250</v>
      </c>
      <c r="F4838" s="77" t="s">
        <v>10170</v>
      </c>
    </row>
    <row r="4839" spans="1:6">
      <c r="A4839" s="82">
        <v>1</v>
      </c>
      <c r="B4839" s="70" t="s">
        <v>9595</v>
      </c>
      <c r="C4839" s="70" t="s">
        <v>9596</v>
      </c>
      <c r="D4839" s="96">
        <v>910359700</v>
      </c>
      <c r="E4839" s="87">
        <v>35677250</v>
      </c>
      <c r="F4839" s="77" t="s">
        <v>10170</v>
      </c>
    </row>
    <row r="4840" spans="1:6">
      <c r="A4840" s="82">
        <v>1</v>
      </c>
      <c r="B4840" s="70" t="s">
        <v>9597</v>
      </c>
      <c r="C4840" s="70" t="s">
        <v>9598</v>
      </c>
      <c r="D4840" s="96">
        <v>902967300</v>
      </c>
      <c r="E4840" s="87">
        <v>35387540</v>
      </c>
      <c r="F4840" s="77" t="s">
        <v>10170</v>
      </c>
    </row>
    <row r="4841" spans="1:6">
      <c r="A4841" s="82">
        <v>1</v>
      </c>
      <c r="B4841" s="70" t="s">
        <v>9599</v>
      </c>
      <c r="C4841" s="70" t="s">
        <v>9600</v>
      </c>
      <c r="D4841" s="96">
        <v>902967300</v>
      </c>
      <c r="E4841" s="87">
        <v>35387540</v>
      </c>
      <c r="F4841" s="77" t="s">
        <v>10170</v>
      </c>
    </row>
    <row r="4842" spans="1:6">
      <c r="A4842" s="82">
        <v>1</v>
      </c>
      <c r="B4842" s="70" t="s">
        <v>9601</v>
      </c>
      <c r="C4842" s="70" t="s">
        <v>9602</v>
      </c>
      <c r="D4842" s="96">
        <v>861761600</v>
      </c>
      <c r="E4842" s="87">
        <v>33772675</v>
      </c>
      <c r="F4842" s="77" t="s">
        <v>10170</v>
      </c>
    </row>
    <row r="4843" spans="1:6">
      <c r="A4843" s="82">
        <v>1</v>
      </c>
      <c r="B4843" s="70" t="s">
        <v>9603</v>
      </c>
      <c r="C4843" s="70" t="s">
        <v>9604</v>
      </c>
      <c r="D4843" s="96">
        <v>574074200</v>
      </c>
      <c r="E4843" s="87">
        <v>22498127.5</v>
      </c>
      <c r="F4843" s="77" t="s">
        <v>10170</v>
      </c>
    </row>
    <row r="4844" spans="1:6">
      <c r="A4844" s="82">
        <v>1</v>
      </c>
      <c r="B4844" s="70" t="s">
        <v>9605</v>
      </c>
      <c r="C4844" s="70" t="s">
        <v>9606</v>
      </c>
      <c r="D4844" s="96">
        <v>574074200</v>
      </c>
      <c r="E4844" s="87">
        <v>22498127.5</v>
      </c>
      <c r="F4844" s="77" t="s">
        <v>10170</v>
      </c>
    </row>
    <row r="4845" spans="1:6">
      <c r="A4845" s="82">
        <v>1</v>
      </c>
      <c r="B4845" s="70" t="s">
        <v>9607</v>
      </c>
      <c r="C4845" s="70" t="s">
        <v>9608</v>
      </c>
      <c r="D4845" s="96">
        <v>566681800</v>
      </c>
      <c r="E4845" s="87">
        <v>22208417.5</v>
      </c>
      <c r="F4845" s="77" t="s">
        <v>10170</v>
      </c>
    </row>
    <row r="4846" spans="1:6">
      <c r="A4846" s="82">
        <v>1</v>
      </c>
      <c r="B4846" s="70" t="s">
        <v>9609</v>
      </c>
      <c r="C4846" s="70" t="s">
        <v>9610</v>
      </c>
      <c r="D4846" s="96">
        <v>566681800</v>
      </c>
      <c r="E4846" s="87">
        <v>22208417.5</v>
      </c>
      <c r="F4846" s="77" t="s">
        <v>10170</v>
      </c>
    </row>
    <row r="4847" spans="1:6">
      <c r="A4847" s="82">
        <v>1</v>
      </c>
      <c r="B4847" s="70" t="s">
        <v>9611</v>
      </c>
      <c r="C4847" s="70" t="s">
        <v>9612</v>
      </c>
      <c r="D4847" s="96">
        <v>525476100</v>
      </c>
      <c r="E4847" s="87">
        <v>20593552.5</v>
      </c>
      <c r="F4847" s="77" t="s">
        <v>10170</v>
      </c>
    </row>
    <row r="4848" spans="1:6">
      <c r="A4848" s="82">
        <v>1</v>
      </c>
      <c r="B4848" s="70" t="s">
        <v>9613</v>
      </c>
      <c r="C4848" s="70" t="s">
        <v>9614</v>
      </c>
      <c r="D4848" s="96">
        <v>302335300</v>
      </c>
      <c r="E4848" s="87">
        <v>11848602.5</v>
      </c>
      <c r="F4848" s="77" t="s">
        <v>10170</v>
      </c>
    </row>
    <row r="4849" spans="1:6">
      <c r="A4849" s="82">
        <v>1</v>
      </c>
      <c r="B4849" s="70" t="s">
        <v>9615</v>
      </c>
      <c r="C4849" s="70" t="s">
        <v>9616</v>
      </c>
      <c r="D4849" s="96">
        <v>345868200</v>
      </c>
      <c r="E4849" s="87">
        <v>13554672.499999998</v>
      </c>
      <c r="F4849" s="77" t="s">
        <v>10170</v>
      </c>
    </row>
    <row r="4850" spans="1:6">
      <c r="A4850" s="82">
        <v>1</v>
      </c>
      <c r="B4850" s="70" t="s">
        <v>9617</v>
      </c>
      <c r="C4850" s="70" t="s">
        <v>9618</v>
      </c>
      <c r="D4850" s="96">
        <v>98428400</v>
      </c>
      <c r="E4850" s="87">
        <v>3857435.0000000005</v>
      </c>
      <c r="F4850" s="77" t="s">
        <v>10170</v>
      </c>
    </row>
    <row r="4851" spans="1:6">
      <c r="A4851" s="82">
        <v>1</v>
      </c>
      <c r="B4851" s="70" t="s">
        <v>9619</v>
      </c>
      <c r="C4851" s="70" t="s">
        <v>9620</v>
      </c>
      <c r="D4851" s="96">
        <v>211299300</v>
      </c>
      <c r="E4851" s="87">
        <v>8280877.5</v>
      </c>
      <c r="F4851" s="77" t="s">
        <v>5504</v>
      </c>
    </row>
    <row r="4852" spans="1:6">
      <c r="A4852" s="82">
        <v>1</v>
      </c>
      <c r="B4852" s="70" t="s">
        <v>9621</v>
      </c>
      <c r="C4852" s="70" t="s">
        <v>9622</v>
      </c>
      <c r="D4852" s="96">
        <v>52225900</v>
      </c>
      <c r="E4852" s="87">
        <v>2046747.5</v>
      </c>
      <c r="F4852" s="77" t="s">
        <v>5504</v>
      </c>
    </row>
    <row r="4853" spans="1:6">
      <c r="A4853" s="82">
        <v>1</v>
      </c>
      <c r="B4853" s="70" t="s">
        <v>9623</v>
      </c>
      <c r="C4853" s="70" t="s">
        <v>9624</v>
      </c>
      <c r="D4853" s="96">
        <v>21013600</v>
      </c>
      <c r="E4853" s="87">
        <v>823527.50000000012</v>
      </c>
      <c r="F4853" s="77" t="s">
        <v>5504</v>
      </c>
    </row>
    <row r="4854" spans="1:6">
      <c r="A4854" s="82">
        <v>5</v>
      </c>
      <c r="B4854" s="70" t="s">
        <v>9625</v>
      </c>
      <c r="C4854" s="70" t="s">
        <v>9626</v>
      </c>
      <c r="D4854" s="96">
        <v>542588100</v>
      </c>
      <c r="E4854" s="87">
        <v>40229525</v>
      </c>
      <c r="F4854" s="77" t="s">
        <v>10174</v>
      </c>
    </row>
    <row r="4855" spans="1:6">
      <c r="A4855" s="82">
        <v>5</v>
      </c>
      <c r="B4855" s="70" t="s">
        <v>9627</v>
      </c>
      <c r="C4855" s="70" t="s">
        <v>9628</v>
      </c>
      <c r="D4855" s="96">
        <v>768672200</v>
      </c>
      <c r="E4855" s="87">
        <v>56992250</v>
      </c>
      <c r="F4855" s="77" t="s">
        <v>10174</v>
      </c>
    </row>
    <row r="4856" spans="1:6">
      <c r="A4856" s="82">
        <v>5</v>
      </c>
      <c r="B4856" s="70" t="s">
        <v>9629</v>
      </c>
      <c r="C4856" s="70" t="s">
        <v>9630</v>
      </c>
      <c r="D4856" s="96">
        <v>949580500</v>
      </c>
      <c r="E4856" s="87">
        <v>70405475</v>
      </c>
      <c r="F4856" s="77" t="s">
        <v>10174</v>
      </c>
    </row>
    <row r="4857" spans="1:6">
      <c r="A4857" s="82">
        <v>5</v>
      </c>
      <c r="B4857" s="70" t="s">
        <v>9631</v>
      </c>
      <c r="C4857" s="70" t="s">
        <v>9632</v>
      </c>
      <c r="D4857" s="96">
        <v>734516600</v>
      </c>
      <c r="E4857" s="87">
        <v>54459825</v>
      </c>
      <c r="F4857" s="77" t="s">
        <v>10174</v>
      </c>
    </row>
    <row r="4858" spans="1:6">
      <c r="A4858" s="82">
        <v>5</v>
      </c>
      <c r="B4858" s="70" t="s">
        <v>9633</v>
      </c>
      <c r="C4858" s="70" t="s">
        <v>9634</v>
      </c>
      <c r="D4858" s="96">
        <v>1033908600</v>
      </c>
      <c r="E4858" s="87">
        <v>76657875</v>
      </c>
      <c r="F4858" s="77" t="s">
        <v>10174</v>
      </c>
    </row>
    <row r="4859" spans="1:6">
      <c r="A4859" s="82">
        <v>5</v>
      </c>
      <c r="B4859" s="70" t="s">
        <v>9635</v>
      </c>
      <c r="C4859" s="70" t="s">
        <v>9636</v>
      </c>
      <c r="D4859" s="96">
        <v>1283401900</v>
      </c>
      <c r="E4859" s="87">
        <v>95156250</v>
      </c>
      <c r="F4859" s="77" t="s">
        <v>10174</v>
      </c>
    </row>
    <row r="4860" spans="1:6">
      <c r="A4860" s="82">
        <v>5</v>
      </c>
      <c r="B4860" s="70" t="s">
        <v>9637</v>
      </c>
      <c r="C4860" s="70" t="s">
        <v>9638</v>
      </c>
      <c r="D4860" s="96">
        <v>35182300</v>
      </c>
      <c r="E4860" s="87">
        <v>2608549.9999999995</v>
      </c>
      <c r="F4860" s="77" t="s">
        <v>10174</v>
      </c>
    </row>
    <row r="4861" spans="1:6">
      <c r="A4861" s="82">
        <v>5</v>
      </c>
      <c r="B4861" s="70" t="s">
        <v>9639</v>
      </c>
      <c r="C4861" s="70" t="s">
        <v>9640</v>
      </c>
      <c r="D4861" s="96">
        <v>48324400</v>
      </c>
      <c r="E4861" s="87">
        <v>3582950</v>
      </c>
      <c r="F4861" s="77" t="s">
        <v>10174</v>
      </c>
    </row>
    <row r="4862" spans="1:6">
      <c r="A4862" s="82">
        <v>5</v>
      </c>
      <c r="B4862" s="70" t="s">
        <v>9641</v>
      </c>
      <c r="C4862" s="70" t="s">
        <v>9642</v>
      </c>
      <c r="D4862" s="96">
        <v>65915500</v>
      </c>
      <c r="E4862" s="87">
        <v>4887225</v>
      </c>
      <c r="F4862" s="77" t="s">
        <v>10174</v>
      </c>
    </row>
    <row r="4863" spans="1:6">
      <c r="A4863" s="82">
        <v>5</v>
      </c>
      <c r="B4863" s="70" t="s">
        <v>9643</v>
      </c>
      <c r="C4863" s="70" t="s">
        <v>9644</v>
      </c>
      <c r="D4863" s="96">
        <v>66873800</v>
      </c>
      <c r="E4863" s="87">
        <v>4958275</v>
      </c>
      <c r="F4863" s="77" t="s">
        <v>10174</v>
      </c>
    </row>
    <row r="4864" spans="1:6">
      <c r="A4864" s="82">
        <v>5</v>
      </c>
      <c r="B4864" s="70" t="s">
        <v>9645</v>
      </c>
      <c r="C4864" s="70" t="s">
        <v>9646</v>
      </c>
      <c r="D4864" s="96">
        <v>49008800</v>
      </c>
      <c r="E4864" s="87">
        <v>3633700</v>
      </c>
      <c r="F4864" s="77" t="s">
        <v>10174</v>
      </c>
    </row>
    <row r="4865" spans="1:6">
      <c r="A4865" s="82">
        <v>5</v>
      </c>
      <c r="B4865" s="70" t="s">
        <v>9647</v>
      </c>
      <c r="C4865" s="70" t="s">
        <v>9648</v>
      </c>
      <c r="D4865" s="96">
        <v>35661500</v>
      </c>
      <c r="E4865" s="87">
        <v>2644074.9999999995</v>
      </c>
      <c r="F4865" s="77" t="s">
        <v>10174</v>
      </c>
    </row>
    <row r="4866" spans="1:6">
      <c r="A4866" s="82">
        <v>5</v>
      </c>
      <c r="B4866" s="70" t="s">
        <v>9649</v>
      </c>
      <c r="C4866" s="70" t="s">
        <v>9650</v>
      </c>
      <c r="D4866" s="96">
        <v>89461700</v>
      </c>
      <c r="E4866" s="87">
        <v>6633025</v>
      </c>
      <c r="F4866" s="77" t="s">
        <v>10174</v>
      </c>
    </row>
    <row r="4867" spans="1:6">
      <c r="A4867" s="82">
        <v>5</v>
      </c>
      <c r="B4867" s="70" t="s">
        <v>9651</v>
      </c>
      <c r="C4867" s="70" t="s">
        <v>9652</v>
      </c>
      <c r="D4867" s="96">
        <v>65915500</v>
      </c>
      <c r="E4867" s="87">
        <v>4887225</v>
      </c>
      <c r="F4867" s="77" t="s">
        <v>10174</v>
      </c>
    </row>
    <row r="4868" spans="1:6">
      <c r="A4868" s="82">
        <v>5</v>
      </c>
      <c r="B4868" s="70" t="s">
        <v>9653</v>
      </c>
      <c r="C4868" s="70" t="s">
        <v>9654</v>
      </c>
      <c r="D4868" s="96">
        <v>47092300</v>
      </c>
      <c r="E4868" s="87">
        <v>3491600</v>
      </c>
      <c r="F4868" s="77" t="s">
        <v>10174</v>
      </c>
    </row>
    <row r="4869" spans="1:6">
      <c r="A4869" s="82">
        <v>5</v>
      </c>
      <c r="B4869" s="70" t="s">
        <v>9655</v>
      </c>
      <c r="C4869" s="70" t="s">
        <v>9656</v>
      </c>
      <c r="D4869" s="96">
        <v>47092300</v>
      </c>
      <c r="E4869" s="87">
        <v>3491600</v>
      </c>
      <c r="F4869" s="77" t="s">
        <v>10174</v>
      </c>
    </row>
    <row r="4870" spans="1:6">
      <c r="A4870" s="82">
        <v>5</v>
      </c>
      <c r="B4870" s="70" t="s">
        <v>9657</v>
      </c>
      <c r="C4870" s="70" t="s">
        <v>9658</v>
      </c>
      <c r="D4870" s="96">
        <v>65915500</v>
      </c>
      <c r="E4870" s="87">
        <v>4887225</v>
      </c>
      <c r="F4870" s="77" t="s">
        <v>10174</v>
      </c>
    </row>
    <row r="4871" spans="1:6">
      <c r="A4871" s="82">
        <v>5</v>
      </c>
      <c r="B4871" s="70" t="s">
        <v>9659</v>
      </c>
      <c r="C4871" s="70" t="s">
        <v>9660</v>
      </c>
      <c r="D4871" s="96">
        <v>89461700</v>
      </c>
      <c r="E4871" s="87">
        <v>6633025</v>
      </c>
      <c r="F4871" s="77" t="s">
        <v>10174</v>
      </c>
    </row>
    <row r="4872" spans="1:6">
      <c r="A4872" s="82">
        <v>5</v>
      </c>
      <c r="B4872" s="70" t="s">
        <v>9661</v>
      </c>
      <c r="C4872" s="70" t="s">
        <v>9662</v>
      </c>
      <c r="D4872" s="96">
        <v>66873800</v>
      </c>
      <c r="E4872" s="87">
        <v>4958275</v>
      </c>
      <c r="F4872" s="77" t="s">
        <v>10174</v>
      </c>
    </row>
    <row r="4873" spans="1:6">
      <c r="A4873" s="82">
        <v>5</v>
      </c>
      <c r="B4873" s="70" t="s">
        <v>9663</v>
      </c>
      <c r="C4873" s="70" t="s">
        <v>9664</v>
      </c>
      <c r="D4873" s="96">
        <v>49008800</v>
      </c>
      <c r="E4873" s="87">
        <v>3633700</v>
      </c>
      <c r="F4873" s="77" t="s">
        <v>10174</v>
      </c>
    </row>
    <row r="4874" spans="1:6">
      <c r="A4874" s="82">
        <v>5</v>
      </c>
      <c r="B4874" s="70" t="s">
        <v>9665</v>
      </c>
      <c r="C4874" s="70" t="s">
        <v>9666</v>
      </c>
      <c r="D4874" s="96">
        <v>35661500</v>
      </c>
      <c r="E4874" s="87">
        <v>2644074.9999999995</v>
      </c>
      <c r="F4874" s="77" t="s">
        <v>10174</v>
      </c>
    </row>
    <row r="4875" spans="1:6">
      <c r="A4875" s="82">
        <v>5</v>
      </c>
      <c r="B4875" s="70" t="s">
        <v>9667</v>
      </c>
      <c r="C4875" s="70" t="s">
        <v>9668</v>
      </c>
      <c r="D4875" s="96">
        <v>37098900</v>
      </c>
      <c r="E4875" s="87">
        <v>2750649.9999999995</v>
      </c>
      <c r="F4875" s="77" t="s">
        <v>10174</v>
      </c>
    </row>
    <row r="4876" spans="1:6">
      <c r="A4876" s="82">
        <v>5</v>
      </c>
      <c r="B4876" s="70" t="s">
        <v>9669</v>
      </c>
      <c r="C4876" s="70" t="s">
        <v>9670</v>
      </c>
      <c r="D4876" s="96">
        <v>19849900</v>
      </c>
      <c r="E4876" s="87">
        <v>1471749.9999999998</v>
      </c>
      <c r="F4876" s="77" t="s">
        <v>10174</v>
      </c>
    </row>
    <row r="4877" spans="1:6">
      <c r="A4877" s="82">
        <v>5</v>
      </c>
      <c r="B4877" s="70" t="s">
        <v>9671</v>
      </c>
      <c r="C4877" s="70" t="s">
        <v>9672</v>
      </c>
      <c r="D4877" s="96">
        <v>10267200</v>
      </c>
      <c r="E4877" s="87">
        <v>761250</v>
      </c>
      <c r="F4877" s="77" t="s">
        <v>10174</v>
      </c>
    </row>
    <row r="4878" spans="1:6">
      <c r="A4878" s="82">
        <v>5</v>
      </c>
      <c r="B4878" s="70" t="s">
        <v>9673</v>
      </c>
      <c r="C4878" s="70" t="s">
        <v>9674</v>
      </c>
      <c r="D4878" s="96">
        <v>10746400</v>
      </c>
      <c r="E4878" s="87">
        <v>796775</v>
      </c>
      <c r="F4878" s="77" t="s">
        <v>10174</v>
      </c>
    </row>
    <row r="4879" spans="1:6">
      <c r="A4879" s="82">
        <v>5</v>
      </c>
      <c r="B4879" s="70" t="s">
        <v>9675</v>
      </c>
      <c r="C4879" s="70" t="s">
        <v>9676</v>
      </c>
      <c r="D4879" s="96">
        <v>9445800</v>
      </c>
      <c r="E4879" s="87">
        <v>700349.99999999988</v>
      </c>
      <c r="F4879" s="77" t="s">
        <v>10174</v>
      </c>
    </row>
    <row r="4880" spans="1:6">
      <c r="A4880" s="82">
        <v>5</v>
      </c>
      <c r="B4880" s="70" t="s">
        <v>9677</v>
      </c>
      <c r="C4880" s="70" t="s">
        <v>9678</v>
      </c>
      <c r="D4880" s="96">
        <v>6981700</v>
      </c>
      <c r="E4880" s="87">
        <v>517650</v>
      </c>
      <c r="F4880" s="77" t="s">
        <v>10174</v>
      </c>
    </row>
    <row r="4881" spans="1:6">
      <c r="A4881" s="82">
        <v>5</v>
      </c>
      <c r="B4881" s="70" t="s">
        <v>9679</v>
      </c>
      <c r="C4881" s="70" t="s">
        <v>9680</v>
      </c>
      <c r="D4881" s="96">
        <v>5065200</v>
      </c>
      <c r="E4881" s="87">
        <v>375550</v>
      </c>
      <c r="F4881" s="77" t="s">
        <v>10174</v>
      </c>
    </row>
    <row r="4882" spans="1:6">
      <c r="A4882" s="82">
        <v>5</v>
      </c>
      <c r="B4882" s="70" t="s">
        <v>9681</v>
      </c>
      <c r="C4882" s="70" t="s">
        <v>9682</v>
      </c>
      <c r="D4882" s="96">
        <v>8419100</v>
      </c>
      <c r="E4882" s="87">
        <v>624225</v>
      </c>
      <c r="F4882" s="77" t="s">
        <v>10174</v>
      </c>
    </row>
    <row r="4883" spans="1:6">
      <c r="A4883" s="82">
        <v>5</v>
      </c>
      <c r="B4883" s="70" t="s">
        <v>9683</v>
      </c>
      <c r="C4883" s="70" t="s">
        <v>9684</v>
      </c>
      <c r="D4883" s="96">
        <v>6160300</v>
      </c>
      <c r="E4883" s="87">
        <v>456750</v>
      </c>
      <c r="F4883" s="77" t="s">
        <v>10174</v>
      </c>
    </row>
    <row r="4884" spans="1:6">
      <c r="A4884" s="82">
        <v>5</v>
      </c>
      <c r="B4884" s="70" t="s">
        <v>9685</v>
      </c>
      <c r="C4884" s="70" t="s">
        <v>9686</v>
      </c>
      <c r="D4884" s="96">
        <v>4517600</v>
      </c>
      <c r="E4884" s="87">
        <v>334949.99999999994</v>
      </c>
      <c r="F4884" s="77" t="s">
        <v>10174</v>
      </c>
    </row>
    <row r="4885" spans="1:6">
      <c r="A4885" s="82">
        <v>5</v>
      </c>
      <c r="B4885" s="70" t="s">
        <v>9687</v>
      </c>
      <c r="C4885" s="70" t="s">
        <v>9688</v>
      </c>
      <c r="D4885" s="96">
        <v>8966700</v>
      </c>
      <c r="E4885" s="87">
        <v>664824.99999999988</v>
      </c>
      <c r="F4885" s="77" t="s">
        <v>10174</v>
      </c>
    </row>
    <row r="4886" spans="1:6">
      <c r="A4886" s="82">
        <v>5</v>
      </c>
      <c r="B4886" s="70" t="s">
        <v>9689</v>
      </c>
      <c r="C4886" s="70" t="s">
        <v>9690</v>
      </c>
      <c r="D4886" s="96">
        <v>6571000</v>
      </c>
      <c r="E4886" s="87">
        <v>487200</v>
      </c>
      <c r="F4886" s="77" t="s">
        <v>10174</v>
      </c>
    </row>
    <row r="4887" spans="1:6">
      <c r="A4887" s="82">
        <v>5</v>
      </c>
      <c r="B4887" s="70" t="s">
        <v>9691</v>
      </c>
      <c r="C4887" s="70" t="s">
        <v>9692</v>
      </c>
      <c r="D4887" s="96">
        <v>4791400</v>
      </c>
      <c r="E4887" s="87">
        <v>355249.99999999994</v>
      </c>
      <c r="F4887" s="77" t="s">
        <v>10174</v>
      </c>
    </row>
    <row r="4888" spans="1:6">
      <c r="A4888" s="82">
        <v>5</v>
      </c>
      <c r="B4888" s="70" t="s">
        <v>9693</v>
      </c>
      <c r="C4888" s="70" t="s">
        <v>9694</v>
      </c>
      <c r="D4888" s="96">
        <v>9308900</v>
      </c>
      <c r="E4888" s="87">
        <v>690199.99999999988</v>
      </c>
      <c r="F4888" s="77" t="s">
        <v>10174</v>
      </c>
    </row>
    <row r="4889" spans="1:6">
      <c r="A4889" s="82">
        <v>5</v>
      </c>
      <c r="B4889" s="70" t="s">
        <v>9695</v>
      </c>
      <c r="C4889" s="70" t="s">
        <v>9696</v>
      </c>
      <c r="D4889" s="96">
        <v>6844800</v>
      </c>
      <c r="E4889" s="87">
        <v>507500</v>
      </c>
      <c r="F4889" s="77" t="s">
        <v>10174</v>
      </c>
    </row>
    <row r="4890" spans="1:6">
      <c r="A4890" s="82">
        <v>5</v>
      </c>
      <c r="B4890" s="70" t="s">
        <v>9697</v>
      </c>
      <c r="C4890" s="70" t="s">
        <v>9698</v>
      </c>
      <c r="D4890" s="96">
        <v>4996700</v>
      </c>
      <c r="E4890" s="87">
        <v>370474.99999999994</v>
      </c>
      <c r="F4890" s="77" t="s">
        <v>10174</v>
      </c>
    </row>
    <row r="4891" spans="1:6">
      <c r="A4891" s="82">
        <v>5</v>
      </c>
      <c r="B4891" s="70" t="s">
        <v>9699</v>
      </c>
      <c r="C4891" s="70" t="s">
        <v>9700</v>
      </c>
      <c r="D4891" s="96">
        <v>10335700</v>
      </c>
      <c r="E4891" s="87">
        <v>766325</v>
      </c>
      <c r="F4891" s="77" t="s">
        <v>10174</v>
      </c>
    </row>
    <row r="4892" spans="1:6">
      <c r="A4892" s="82">
        <v>5</v>
      </c>
      <c r="B4892" s="70" t="s">
        <v>9701</v>
      </c>
      <c r="C4892" s="70" t="s">
        <v>9702</v>
      </c>
      <c r="D4892" s="96">
        <v>7597700</v>
      </c>
      <c r="E4892" s="87">
        <v>563325</v>
      </c>
      <c r="F4892" s="77" t="s">
        <v>10174</v>
      </c>
    </row>
    <row r="4893" spans="1:6">
      <c r="A4893" s="82">
        <v>5</v>
      </c>
      <c r="B4893" s="70" t="s">
        <v>9703</v>
      </c>
      <c r="C4893" s="70" t="s">
        <v>9704</v>
      </c>
      <c r="D4893" s="96">
        <v>5544300</v>
      </c>
      <c r="E4893" s="87">
        <v>411075</v>
      </c>
      <c r="F4893" s="77" t="s">
        <v>10174</v>
      </c>
    </row>
    <row r="4894" spans="1:6">
      <c r="A4894" s="82">
        <v>5</v>
      </c>
      <c r="B4894" s="70" t="s">
        <v>9705</v>
      </c>
      <c r="C4894" s="70" t="s">
        <v>9706</v>
      </c>
      <c r="D4894" s="96">
        <v>9308900</v>
      </c>
      <c r="E4894" s="87">
        <v>690199.99999999988</v>
      </c>
      <c r="F4894" s="77" t="s">
        <v>10174</v>
      </c>
    </row>
    <row r="4895" spans="1:6">
      <c r="A4895" s="82">
        <v>5</v>
      </c>
      <c r="B4895" s="70" t="s">
        <v>9707</v>
      </c>
      <c r="C4895" s="70" t="s">
        <v>9708</v>
      </c>
      <c r="D4895" s="96">
        <v>6844800</v>
      </c>
      <c r="E4895" s="87">
        <v>507500</v>
      </c>
      <c r="F4895" s="77" t="s">
        <v>10174</v>
      </c>
    </row>
    <row r="4896" spans="1:6">
      <c r="A4896" s="82">
        <v>5</v>
      </c>
      <c r="B4896" s="70" t="s">
        <v>9709</v>
      </c>
      <c r="C4896" s="70" t="s">
        <v>9710</v>
      </c>
      <c r="D4896" s="96">
        <v>4996700</v>
      </c>
      <c r="E4896" s="87">
        <v>370474.99999999994</v>
      </c>
      <c r="F4896" s="77" t="s">
        <v>10174</v>
      </c>
    </row>
    <row r="4897" spans="1:6">
      <c r="A4897" s="82">
        <v>5</v>
      </c>
      <c r="B4897" s="70" t="s">
        <v>9711</v>
      </c>
      <c r="C4897" s="70" t="s">
        <v>9712</v>
      </c>
      <c r="D4897" s="96">
        <v>9856500</v>
      </c>
      <c r="E4897" s="87">
        <v>730799.99999999988</v>
      </c>
      <c r="F4897" s="77" t="s">
        <v>10174</v>
      </c>
    </row>
    <row r="4898" spans="1:6">
      <c r="A4898" s="82">
        <v>5</v>
      </c>
      <c r="B4898" s="70" t="s">
        <v>9713</v>
      </c>
      <c r="C4898" s="70" t="s">
        <v>9714</v>
      </c>
      <c r="D4898" s="96">
        <v>7255500</v>
      </c>
      <c r="E4898" s="87">
        <v>537950</v>
      </c>
      <c r="F4898" s="77" t="s">
        <v>10174</v>
      </c>
    </row>
    <row r="4899" spans="1:6">
      <c r="A4899" s="82">
        <v>5</v>
      </c>
      <c r="B4899" s="70" t="s">
        <v>9715</v>
      </c>
      <c r="C4899" s="70" t="s">
        <v>9716</v>
      </c>
      <c r="D4899" s="96">
        <v>5270500</v>
      </c>
      <c r="E4899" s="87">
        <v>390775</v>
      </c>
      <c r="F4899" s="77" t="s">
        <v>10174</v>
      </c>
    </row>
    <row r="4900" spans="1:6">
      <c r="A4900" s="82">
        <v>5</v>
      </c>
      <c r="B4900" s="70" t="s">
        <v>9717</v>
      </c>
      <c r="C4900" s="70" t="s">
        <v>9718</v>
      </c>
      <c r="D4900" s="96">
        <v>10198800</v>
      </c>
      <c r="E4900" s="87">
        <v>756175</v>
      </c>
      <c r="F4900" s="77" t="s">
        <v>10174</v>
      </c>
    </row>
    <row r="4901" spans="1:6">
      <c r="A4901" s="82">
        <v>5</v>
      </c>
      <c r="B4901" s="70" t="s">
        <v>9719</v>
      </c>
      <c r="C4901" s="70" t="s">
        <v>9720</v>
      </c>
      <c r="D4901" s="96">
        <v>7460800</v>
      </c>
      <c r="E4901" s="87">
        <v>553175</v>
      </c>
      <c r="F4901" s="77" t="s">
        <v>10174</v>
      </c>
    </row>
    <row r="4902" spans="1:6">
      <c r="A4902" s="82">
        <v>5</v>
      </c>
      <c r="B4902" s="70" t="s">
        <v>9721</v>
      </c>
      <c r="C4902" s="70" t="s">
        <v>9722</v>
      </c>
      <c r="D4902" s="96">
        <v>5407400</v>
      </c>
      <c r="E4902" s="87">
        <v>400925</v>
      </c>
      <c r="F4902" s="77" t="s">
        <v>10174</v>
      </c>
    </row>
    <row r="4903" spans="1:6">
      <c r="A4903" s="82">
        <v>5</v>
      </c>
      <c r="B4903" s="70" t="s">
        <v>9723</v>
      </c>
      <c r="C4903" s="70" t="s">
        <v>9724</v>
      </c>
      <c r="D4903" s="96">
        <v>6844800</v>
      </c>
      <c r="E4903" s="87">
        <v>507500</v>
      </c>
      <c r="F4903" s="77" t="s">
        <v>10174</v>
      </c>
    </row>
    <row r="4904" spans="1:6">
      <c r="A4904" s="82">
        <v>5</v>
      </c>
      <c r="B4904" s="70" t="s">
        <v>9725</v>
      </c>
      <c r="C4904" s="70" t="s">
        <v>9726</v>
      </c>
      <c r="D4904" s="96">
        <v>4996700</v>
      </c>
      <c r="E4904" s="87">
        <v>370474.99999999994</v>
      </c>
      <c r="F4904" s="77" t="s">
        <v>10174</v>
      </c>
    </row>
    <row r="4905" spans="1:6">
      <c r="A4905" s="82">
        <v>5</v>
      </c>
      <c r="B4905" s="70" t="s">
        <v>9727</v>
      </c>
      <c r="C4905" s="70" t="s">
        <v>9728</v>
      </c>
      <c r="D4905" s="96">
        <v>3627700</v>
      </c>
      <c r="E4905" s="87">
        <v>268975</v>
      </c>
      <c r="F4905" s="77" t="s">
        <v>10174</v>
      </c>
    </row>
    <row r="4906" spans="1:6">
      <c r="A4906" s="82">
        <v>5</v>
      </c>
      <c r="B4906" s="70" t="s">
        <v>9729</v>
      </c>
      <c r="C4906" s="70" t="s">
        <v>9730</v>
      </c>
      <c r="D4906" s="96">
        <v>5339000</v>
      </c>
      <c r="E4906" s="87">
        <v>395850</v>
      </c>
      <c r="F4906" s="77" t="s">
        <v>10174</v>
      </c>
    </row>
    <row r="4907" spans="1:6">
      <c r="A4907" s="82">
        <v>5</v>
      </c>
      <c r="B4907" s="70" t="s">
        <v>9731</v>
      </c>
      <c r="C4907" s="70" t="s">
        <v>9732</v>
      </c>
      <c r="D4907" s="96">
        <v>3901500</v>
      </c>
      <c r="E4907" s="87">
        <v>289275</v>
      </c>
      <c r="F4907" s="77" t="s">
        <v>10174</v>
      </c>
    </row>
    <row r="4908" spans="1:6">
      <c r="A4908" s="82">
        <v>5</v>
      </c>
      <c r="B4908" s="70" t="s">
        <v>9733</v>
      </c>
      <c r="C4908" s="70" t="s">
        <v>9734</v>
      </c>
      <c r="D4908" s="96">
        <v>2874800</v>
      </c>
      <c r="E4908" s="87">
        <v>213150</v>
      </c>
      <c r="F4908" s="77" t="s">
        <v>10174</v>
      </c>
    </row>
    <row r="4909" spans="1:6">
      <c r="A4909" s="82">
        <v>5</v>
      </c>
      <c r="B4909" s="70" t="s">
        <v>9735</v>
      </c>
      <c r="C4909" s="70" t="s">
        <v>9736</v>
      </c>
      <c r="D4909" s="96">
        <v>6228800</v>
      </c>
      <c r="E4909" s="87">
        <v>461825</v>
      </c>
      <c r="F4909" s="77" t="s">
        <v>10174</v>
      </c>
    </row>
    <row r="4910" spans="1:6">
      <c r="A4910" s="82">
        <v>5</v>
      </c>
      <c r="B4910" s="70" t="s">
        <v>9737</v>
      </c>
      <c r="C4910" s="70" t="s">
        <v>9738</v>
      </c>
      <c r="D4910" s="96">
        <v>4586000</v>
      </c>
      <c r="E4910" s="87">
        <v>340024.99999999994</v>
      </c>
      <c r="F4910" s="77" t="s">
        <v>10174</v>
      </c>
    </row>
    <row r="4911" spans="1:6">
      <c r="A4911" s="82">
        <v>5</v>
      </c>
      <c r="B4911" s="70" t="s">
        <v>9739</v>
      </c>
      <c r="C4911" s="70" t="s">
        <v>9740</v>
      </c>
      <c r="D4911" s="96">
        <v>3354000</v>
      </c>
      <c r="E4911" s="87">
        <v>248675</v>
      </c>
      <c r="F4911" s="77" t="s">
        <v>10174</v>
      </c>
    </row>
    <row r="4912" spans="1:6">
      <c r="A4912" s="82">
        <v>5</v>
      </c>
      <c r="B4912" s="70" t="s">
        <v>9741</v>
      </c>
      <c r="C4912" s="70" t="s">
        <v>9742</v>
      </c>
      <c r="D4912" s="96">
        <v>7734600</v>
      </c>
      <c r="E4912" s="87">
        <v>573475</v>
      </c>
      <c r="F4912" s="77" t="s">
        <v>10174</v>
      </c>
    </row>
    <row r="4913" spans="1:6">
      <c r="A4913" s="82">
        <v>5</v>
      </c>
      <c r="B4913" s="70" t="s">
        <v>9743</v>
      </c>
      <c r="C4913" s="70" t="s">
        <v>9744</v>
      </c>
      <c r="D4913" s="96">
        <v>5681200</v>
      </c>
      <c r="E4913" s="87">
        <v>421225</v>
      </c>
      <c r="F4913" s="77" t="s">
        <v>10174</v>
      </c>
    </row>
    <row r="4914" spans="1:6">
      <c r="A4914" s="82">
        <v>5</v>
      </c>
      <c r="B4914" s="70" t="s">
        <v>9745</v>
      </c>
      <c r="C4914" s="70" t="s">
        <v>9746</v>
      </c>
      <c r="D4914" s="96">
        <v>4106900</v>
      </c>
      <c r="E4914" s="87">
        <v>304500</v>
      </c>
      <c r="F4914" s="77" t="s">
        <v>10174</v>
      </c>
    </row>
    <row r="4915" spans="1:6">
      <c r="A4915" s="82">
        <v>5</v>
      </c>
      <c r="B4915" s="70" t="s">
        <v>9747</v>
      </c>
      <c r="C4915" s="70" t="s">
        <v>9748</v>
      </c>
      <c r="D4915" s="96">
        <v>6228800</v>
      </c>
      <c r="E4915" s="87">
        <v>461825</v>
      </c>
      <c r="F4915" s="77" t="s">
        <v>10174</v>
      </c>
    </row>
    <row r="4916" spans="1:6">
      <c r="A4916" s="82">
        <v>5</v>
      </c>
      <c r="B4916" s="70" t="s">
        <v>9749</v>
      </c>
      <c r="C4916" s="70" t="s">
        <v>9750</v>
      </c>
      <c r="D4916" s="96">
        <v>4586000</v>
      </c>
      <c r="E4916" s="87">
        <v>340024.99999999994</v>
      </c>
      <c r="F4916" s="77" t="s">
        <v>10174</v>
      </c>
    </row>
    <row r="4917" spans="1:6">
      <c r="A4917" s="82">
        <v>5</v>
      </c>
      <c r="B4917" s="70" t="s">
        <v>9751</v>
      </c>
      <c r="C4917" s="70" t="s">
        <v>9752</v>
      </c>
      <c r="D4917" s="96">
        <v>3354000</v>
      </c>
      <c r="E4917" s="87">
        <v>248675</v>
      </c>
      <c r="F4917" s="77" t="s">
        <v>10174</v>
      </c>
    </row>
    <row r="4918" spans="1:6">
      <c r="A4918" s="82">
        <v>5</v>
      </c>
      <c r="B4918" s="70" t="s">
        <v>9753</v>
      </c>
      <c r="C4918" s="70" t="s">
        <v>9754</v>
      </c>
      <c r="D4918" s="96">
        <v>7118600</v>
      </c>
      <c r="E4918" s="87">
        <v>527800</v>
      </c>
      <c r="F4918" s="77" t="s">
        <v>10174</v>
      </c>
    </row>
    <row r="4919" spans="1:6">
      <c r="A4919" s="82">
        <v>5</v>
      </c>
      <c r="B4919" s="70" t="s">
        <v>9755</v>
      </c>
      <c r="C4919" s="70" t="s">
        <v>9756</v>
      </c>
      <c r="D4919" s="96">
        <v>5202100</v>
      </c>
      <c r="E4919" s="87">
        <v>385700</v>
      </c>
      <c r="F4919" s="77" t="s">
        <v>10174</v>
      </c>
    </row>
    <row r="4920" spans="1:6">
      <c r="A4920" s="82">
        <v>5</v>
      </c>
      <c r="B4920" s="70" t="s">
        <v>9757</v>
      </c>
      <c r="C4920" s="70" t="s">
        <v>9758</v>
      </c>
      <c r="D4920" s="96">
        <v>3833100</v>
      </c>
      <c r="E4920" s="87">
        <v>284200</v>
      </c>
      <c r="F4920" s="77" t="s">
        <v>10174</v>
      </c>
    </row>
    <row r="4921" spans="1:6">
      <c r="A4921" s="82">
        <v>5</v>
      </c>
      <c r="B4921" s="70" t="s">
        <v>9759</v>
      </c>
      <c r="C4921" s="70" t="s">
        <v>9760</v>
      </c>
      <c r="D4921" s="96">
        <v>2053400</v>
      </c>
      <c r="E4921" s="87">
        <v>152250</v>
      </c>
      <c r="F4921" s="77" t="s">
        <v>10174</v>
      </c>
    </row>
    <row r="4922" spans="1:6">
      <c r="A4922" s="82">
        <v>5</v>
      </c>
      <c r="B4922" s="70" t="s">
        <v>9761</v>
      </c>
      <c r="C4922" s="70" t="s">
        <v>9762</v>
      </c>
      <c r="D4922" s="96">
        <v>8213800</v>
      </c>
      <c r="E4922" s="87">
        <v>609000</v>
      </c>
      <c r="F4922" s="77" t="s">
        <v>10174</v>
      </c>
    </row>
    <row r="4923" spans="1:6">
      <c r="A4923" s="82">
        <v>5</v>
      </c>
      <c r="B4923" s="70" t="s">
        <v>9763</v>
      </c>
      <c r="C4923" s="70" t="s">
        <v>9764</v>
      </c>
      <c r="D4923" s="96">
        <v>6297200</v>
      </c>
      <c r="E4923" s="87">
        <v>466900</v>
      </c>
      <c r="F4923" s="77" t="s">
        <v>10174</v>
      </c>
    </row>
    <row r="4924" spans="1:6">
      <c r="A4924" s="82">
        <v>5</v>
      </c>
      <c r="B4924" s="70" t="s">
        <v>9765</v>
      </c>
      <c r="C4924" s="70" t="s">
        <v>9766</v>
      </c>
      <c r="D4924" s="96">
        <v>7255500</v>
      </c>
      <c r="E4924" s="87">
        <v>537950</v>
      </c>
      <c r="F4924" s="77" t="s">
        <v>10174</v>
      </c>
    </row>
    <row r="4925" spans="1:6">
      <c r="A4925" s="82">
        <v>5</v>
      </c>
      <c r="B4925" s="70" t="s">
        <v>9767</v>
      </c>
      <c r="C4925" s="70" t="s">
        <v>9768</v>
      </c>
      <c r="D4925" s="96">
        <v>5612700</v>
      </c>
      <c r="E4925" s="87">
        <v>416150</v>
      </c>
      <c r="F4925" s="77" t="s">
        <v>10174</v>
      </c>
    </row>
    <row r="4926" spans="1:6">
      <c r="A4926" s="82">
        <v>5</v>
      </c>
      <c r="B4926" s="70" t="s">
        <v>9769</v>
      </c>
      <c r="C4926" s="70" t="s">
        <v>9770</v>
      </c>
      <c r="D4926" s="96">
        <v>7803100</v>
      </c>
      <c r="E4926" s="87">
        <v>578550</v>
      </c>
      <c r="F4926" s="77" t="s">
        <v>10174</v>
      </c>
    </row>
    <row r="4927" spans="1:6">
      <c r="A4927" s="82">
        <v>5</v>
      </c>
      <c r="B4927" s="70" t="s">
        <v>9771</v>
      </c>
      <c r="C4927" s="70" t="s">
        <v>9772</v>
      </c>
      <c r="D4927" s="96">
        <v>6023400</v>
      </c>
      <c r="E4927" s="87">
        <v>446600</v>
      </c>
      <c r="F4927" s="77" t="s">
        <v>10174</v>
      </c>
    </row>
    <row r="4928" spans="1:6">
      <c r="A4928" s="82">
        <v>5</v>
      </c>
      <c r="B4928" s="70" t="s">
        <v>9773</v>
      </c>
      <c r="C4928" s="70" t="s">
        <v>9774</v>
      </c>
      <c r="D4928" s="96">
        <v>8076900</v>
      </c>
      <c r="E4928" s="87">
        <v>598850</v>
      </c>
      <c r="F4928" s="77" t="s">
        <v>10174</v>
      </c>
    </row>
    <row r="4929" spans="1:6">
      <c r="A4929" s="82">
        <v>5</v>
      </c>
      <c r="B4929" s="70" t="s">
        <v>9775</v>
      </c>
      <c r="C4929" s="70" t="s">
        <v>9776</v>
      </c>
      <c r="D4929" s="96">
        <v>6228800</v>
      </c>
      <c r="E4929" s="87">
        <v>461825</v>
      </c>
      <c r="F4929" s="77" t="s">
        <v>10174</v>
      </c>
    </row>
    <row r="4930" spans="1:6">
      <c r="A4930" s="82">
        <v>5</v>
      </c>
      <c r="B4930" s="70" t="s">
        <v>9777</v>
      </c>
      <c r="C4930" s="70" t="s">
        <v>9778</v>
      </c>
      <c r="D4930" s="96">
        <v>8966700</v>
      </c>
      <c r="E4930" s="87">
        <v>664824.99999999988</v>
      </c>
      <c r="F4930" s="77" t="s">
        <v>10174</v>
      </c>
    </row>
    <row r="4931" spans="1:6">
      <c r="A4931" s="82">
        <v>5</v>
      </c>
      <c r="B4931" s="70" t="s">
        <v>9779</v>
      </c>
      <c r="C4931" s="70" t="s">
        <v>9780</v>
      </c>
      <c r="D4931" s="96">
        <v>6913300</v>
      </c>
      <c r="E4931" s="87">
        <v>512575</v>
      </c>
      <c r="F4931" s="77" t="s">
        <v>10174</v>
      </c>
    </row>
    <row r="4932" spans="1:6">
      <c r="A4932" s="82">
        <v>5</v>
      </c>
      <c r="B4932" s="70" t="s">
        <v>9781</v>
      </c>
      <c r="C4932" s="70" t="s">
        <v>9782</v>
      </c>
      <c r="D4932" s="96">
        <v>8076900</v>
      </c>
      <c r="E4932" s="87">
        <v>598850</v>
      </c>
      <c r="F4932" s="77" t="s">
        <v>10174</v>
      </c>
    </row>
    <row r="4933" spans="1:6">
      <c r="A4933" s="82">
        <v>5</v>
      </c>
      <c r="B4933" s="70" t="s">
        <v>9783</v>
      </c>
      <c r="C4933" s="70" t="s">
        <v>9784</v>
      </c>
      <c r="D4933" s="96">
        <v>6228800</v>
      </c>
      <c r="E4933" s="87">
        <v>461825</v>
      </c>
      <c r="F4933" s="77" t="s">
        <v>10174</v>
      </c>
    </row>
    <row r="4934" spans="1:6">
      <c r="A4934" s="82">
        <v>5</v>
      </c>
      <c r="B4934" s="70" t="s">
        <v>9785</v>
      </c>
      <c r="C4934" s="70" t="s">
        <v>9786</v>
      </c>
      <c r="D4934" s="96">
        <v>8556000</v>
      </c>
      <c r="E4934" s="87">
        <v>634375</v>
      </c>
      <c r="F4934" s="77" t="s">
        <v>10174</v>
      </c>
    </row>
    <row r="4935" spans="1:6">
      <c r="A4935" s="82">
        <v>5</v>
      </c>
      <c r="B4935" s="70" t="s">
        <v>9787</v>
      </c>
      <c r="C4935" s="70" t="s">
        <v>9788</v>
      </c>
      <c r="D4935" s="96">
        <v>6571000</v>
      </c>
      <c r="E4935" s="87">
        <v>487200</v>
      </c>
      <c r="F4935" s="77" t="s">
        <v>10174</v>
      </c>
    </row>
    <row r="4936" spans="1:6">
      <c r="A4936" s="82">
        <v>5</v>
      </c>
      <c r="B4936" s="70" t="s">
        <v>9789</v>
      </c>
      <c r="C4936" s="70" t="s">
        <v>9790</v>
      </c>
      <c r="D4936" s="96">
        <v>8829800</v>
      </c>
      <c r="E4936" s="87">
        <v>654674.99999999988</v>
      </c>
      <c r="F4936" s="77" t="s">
        <v>10174</v>
      </c>
    </row>
    <row r="4937" spans="1:6">
      <c r="A4937" s="82">
        <v>5</v>
      </c>
      <c r="B4937" s="70" t="s">
        <v>9791</v>
      </c>
      <c r="C4937" s="70" t="s">
        <v>9792</v>
      </c>
      <c r="D4937" s="96">
        <v>6776400</v>
      </c>
      <c r="E4937" s="87">
        <v>502425</v>
      </c>
      <c r="F4937" s="77" t="s">
        <v>10174</v>
      </c>
    </row>
    <row r="4938" spans="1:6">
      <c r="A4938" s="82">
        <v>5</v>
      </c>
      <c r="B4938" s="70" t="s">
        <v>9793</v>
      </c>
      <c r="C4938" s="70" t="s">
        <v>9794</v>
      </c>
      <c r="D4938" s="96">
        <v>5886500</v>
      </c>
      <c r="E4938" s="87">
        <v>436450</v>
      </c>
      <c r="F4938" s="77" t="s">
        <v>10174</v>
      </c>
    </row>
    <row r="4939" spans="1:6">
      <c r="A4939" s="82">
        <v>5</v>
      </c>
      <c r="B4939" s="70" t="s">
        <v>9795</v>
      </c>
      <c r="C4939" s="70" t="s">
        <v>9796</v>
      </c>
      <c r="D4939" s="96">
        <v>4586000</v>
      </c>
      <c r="E4939" s="87">
        <v>340024.99999999994</v>
      </c>
      <c r="F4939" s="77" t="s">
        <v>10174</v>
      </c>
    </row>
    <row r="4940" spans="1:6">
      <c r="A4940" s="82">
        <v>5</v>
      </c>
      <c r="B4940" s="70" t="s">
        <v>9797</v>
      </c>
      <c r="C4940" s="70" t="s">
        <v>9798</v>
      </c>
      <c r="D4940" s="96">
        <v>4654500</v>
      </c>
      <c r="E4940" s="87">
        <v>345099.99999999994</v>
      </c>
      <c r="F4940" s="77" t="s">
        <v>10174</v>
      </c>
    </row>
    <row r="4941" spans="1:6">
      <c r="A4941" s="82">
        <v>5</v>
      </c>
      <c r="B4941" s="70" t="s">
        <v>9799</v>
      </c>
      <c r="C4941" s="70" t="s">
        <v>9800</v>
      </c>
      <c r="D4941" s="96">
        <v>3559300</v>
      </c>
      <c r="E4941" s="87">
        <v>263900</v>
      </c>
      <c r="F4941" s="77" t="s">
        <v>10174</v>
      </c>
    </row>
    <row r="4942" spans="1:6">
      <c r="A4942" s="82">
        <v>5</v>
      </c>
      <c r="B4942" s="70" t="s">
        <v>9801</v>
      </c>
      <c r="C4942" s="70" t="s">
        <v>9802</v>
      </c>
      <c r="D4942" s="96">
        <v>5407400</v>
      </c>
      <c r="E4942" s="87">
        <v>400925</v>
      </c>
      <c r="F4942" s="77" t="s">
        <v>10174</v>
      </c>
    </row>
    <row r="4943" spans="1:6">
      <c r="A4943" s="82">
        <v>5</v>
      </c>
      <c r="B4943" s="70" t="s">
        <v>9803</v>
      </c>
      <c r="C4943" s="70" t="s">
        <v>9804</v>
      </c>
      <c r="D4943" s="96">
        <v>4175300</v>
      </c>
      <c r="E4943" s="87">
        <v>309575</v>
      </c>
      <c r="F4943" s="77" t="s">
        <v>10174</v>
      </c>
    </row>
    <row r="4944" spans="1:6">
      <c r="A4944" s="82">
        <v>5</v>
      </c>
      <c r="B4944" s="70" t="s">
        <v>9805</v>
      </c>
      <c r="C4944" s="70" t="s">
        <v>9806</v>
      </c>
      <c r="D4944" s="96">
        <v>6707900</v>
      </c>
      <c r="E4944" s="87">
        <v>497350</v>
      </c>
      <c r="F4944" s="77" t="s">
        <v>10174</v>
      </c>
    </row>
    <row r="4945" spans="1:6">
      <c r="A4945" s="82">
        <v>5</v>
      </c>
      <c r="B4945" s="70" t="s">
        <v>9807</v>
      </c>
      <c r="C4945" s="70" t="s">
        <v>9808</v>
      </c>
      <c r="D4945" s="96">
        <v>5133600</v>
      </c>
      <c r="E4945" s="87">
        <v>380625</v>
      </c>
      <c r="F4945" s="77" t="s">
        <v>10174</v>
      </c>
    </row>
    <row r="4946" spans="1:6">
      <c r="A4946" s="82">
        <v>5</v>
      </c>
      <c r="B4946" s="70" t="s">
        <v>9809</v>
      </c>
      <c r="C4946" s="70" t="s">
        <v>9810</v>
      </c>
      <c r="D4946" s="96">
        <v>5407400</v>
      </c>
      <c r="E4946" s="87">
        <v>400925</v>
      </c>
      <c r="F4946" s="77" t="s">
        <v>10174</v>
      </c>
    </row>
    <row r="4947" spans="1:6">
      <c r="A4947" s="82">
        <v>5</v>
      </c>
      <c r="B4947" s="70" t="s">
        <v>9811</v>
      </c>
      <c r="C4947" s="70" t="s">
        <v>9812</v>
      </c>
      <c r="D4947" s="96">
        <v>4175300</v>
      </c>
      <c r="E4947" s="87">
        <v>309575</v>
      </c>
      <c r="F4947" s="77" t="s">
        <v>10174</v>
      </c>
    </row>
    <row r="4948" spans="1:6">
      <c r="A4948" s="82">
        <v>5</v>
      </c>
      <c r="B4948" s="70" t="s">
        <v>9813</v>
      </c>
      <c r="C4948" s="70" t="s">
        <v>9814</v>
      </c>
      <c r="D4948" s="96">
        <v>6160300</v>
      </c>
      <c r="E4948" s="87">
        <v>456750</v>
      </c>
      <c r="F4948" s="77" t="s">
        <v>10174</v>
      </c>
    </row>
    <row r="4949" spans="1:6">
      <c r="A4949" s="82">
        <v>5</v>
      </c>
      <c r="B4949" s="70" t="s">
        <v>9815</v>
      </c>
      <c r="C4949" s="70" t="s">
        <v>9816</v>
      </c>
      <c r="D4949" s="96">
        <v>4722900</v>
      </c>
      <c r="E4949" s="87">
        <v>350174.99999999994</v>
      </c>
      <c r="F4949" s="77" t="s">
        <v>10174</v>
      </c>
    </row>
    <row r="4950" spans="1:6">
      <c r="A4950" s="82">
        <v>5</v>
      </c>
      <c r="B4950" s="70" t="s">
        <v>9817</v>
      </c>
      <c r="C4950" s="70" t="s">
        <v>9818</v>
      </c>
      <c r="D4950" s="96">
        <v>31349200</v>
      </c>
      <c r="E4950" s="87">
        <v>2324350</v>
      </c>
      <c r="F4950" s="77" t="s">
        <v>10174</v>
      </c>
    </row>
    <row r="4951" spans="1:6">
      <c r="A4951" s="82">
        <v>5</v>
      </c>
      <c r="B4951" s="70" t="s">
        <v>9819</v>
      </c>
      <c r="C4951" s="70" t="s">
        <v>9820</v>
      </c>
      <c r="D4951" s="96">
        <v>26078700</v>
      </c>
      <c r="E4951" s="87">
        <v>1933575</v>
      </c>
      <c r="F4951" s="77" t="s">
        <v>10174</v>
      </c>
    </row>
    <row r="4952" spans="1:6">
      <c r="A4952" s="82">
        <v>5</v>
      </c>
      <c r="B4952" s="70" t="s">
        <v>9821</v>
      </c>
      <c r="C4952" s="70" t="s">
        <v>9822</v>
      </c>
      <c r="D4952" s="96">
        <v>37920200</v>
      </c>
      <c r="E4952" s="87">
        <v>2811549.9999999995</v>
      </c>
      <c r="F4952" s="77" t="s">
        <v>10174</v>
      </c>
    </row>
    <row r="4953" spans="1:6">
      <c r="A4953" s="82">
        <v>5</v>
      </c>
      <c r="B4953" s="70" t="s">
        <v>9823</v>
      </c>
      <c r="C4953" s="70" t="s">
        <v>9824</v>
      </c>
      <c r="D4953" s="96">
        <v>31623000</v>
      </c>
      <c r="E4953" s="87">
        <v>2344650</v>
      </c>
      <c r="F4953" s="77" t="s">
        <v>10174</v>
      </c>
    </row>
    <row r="4954" spans="1:6">
      <c r="A4954" s="82">
        <v>5</v>
      </c>
      <c r="B4954" s="70" t="s">
        <v>9825</v>
      </c>
      <c r="C4954" s="70" t="s">
        <v>9826</v>
      </c>
      <c r="D4954" s="96">
        <v>19028600</v>
      </c>
      <c r="E4954" s="87">
        <v>1410849.9999999998</v>
      </c>
      <c r="F4954" s="77" t="s">
        <v>10174</v>
      </c>
    </row>
    <row r="4955" spans="1:6">
      <c r="A4955" s="82">
        <v>5</v>
      </c>
      <c r="B4955" s="70" t="s">
        <v>9827</v>
      </c>
      <c r="C4955" s="70" t="s">
        <v>9828</v>
      </c>
      <c r="D4955" s="96">
        <v>15811500</v>
      </c>
      <c r="E4955" s="87">
        <v>1172325</v>
      </c>
      <c r="F4955" s="77" t="s">
        <v>10174</v>
      </c>
    </row>
    <row r="4956" spans="1:6">
      <c r="A4956" s="82">
        <v>5</v>
      </c>
      <c r="B4956" s="70" t="s">
        <v>9829</v>
      </c>
      <c r="C4956" s="70" t="s">
        <v>9830</v>
      </c>
      <c r="D4956" s="96">
        <v>22587900</v>
      </c>
      <c r="E4956" s="87">
        <v>1674750</v>
      </c>
      <c r="F4956" s="77" t="s">
        <v>10174</v>
      </c>
    </row>
    <row r="4957" spans="1:6">
      <c r="A4957" s="82">
        <v>5</v>
      </c>
      <c r="B4957" s="70" t="s">
        <v>9831</v>
      </c>
      <c r="C4957" s="70" t="s">
        <v>9832</v>
      </c>
      <c r="D4957" s="96">
        <v>18823200</v>
      </c>
      <c r="E4957" s="87">
        <v>1395624.9999999998</v>
      </c>
      <c r="F4957" s="77" t="s">
        <v>10174</v>
      </c>
    </row>
    <row r="4958" spans="1:6" ht="13.5">
      <c r="A4958" s="82">
        <v>5</v>
      </c>
      <c r="B4958" s="81" t="s">
        <v>9833</v>
      </c>
      <c r="C4958" s="81" t="s">
        <v>9834</v>
      </c>
      <c r="D4958" s="101">
        <v>26763200</v>
      </c>
      <c r="E4958" s="87">
        <v>1984325</v>
      </c>
      <c r="F4958" s="77" t="s">
        <v>10174</v>
      </c>
    </row>
    <row r="4959" spans="1:6" ht="13.5">
      <c r="A4959" s="82">
        <v>5</v>
      </c>
      <c r="B4959" s="81" t="s">
        <v>9835</v>
      </c>
      <c r="C4959" s="81" t="s">
        <v>9836</v>
      </c>
      <c r="D4959" s="101">
        <v>22314100</v>
      </c>
      <c r="E4959" s="87">
        <v>1654450</v>
      </c>
      <c r="F4959" s="77" t="s">
        <v>10174</v>
      </c>
    </row>
    <row r="4960" spans="1:6" ht="13.5">
      <c r="A4960" s="82">
        <v>5</v>
      </c>
      <c r="B4960" s="81" t="s">
        <v>9837</v>
      </c>
      <c r="C4960" s="81" t="s">
        <v>9838</v>
      </c>
      <c r="D4960" s="101">
        <v>37646500</v>
      </c>
      <c r="E4960" s="87">
        <v>2791249.9999999995</v>
      </c>
      <c r="F4960" s="77" t="s">
        <v>10174</v>
      </c>
    </row>
    <row r="4961" spans="1:6" ht="13.5">
      <c r="A4961" s="82">
        <v>5</v>
      </c>
      <c r="B4961" s="81" t="s">
        <v>9839</v>
      </c>
      <c r="C4961" s="81" t="s">
        <v>9840</v>
      </c>
      <c r="D4961" s="101">
        <v>32992000</v>
      </c>
      <c r="E4961" s="87">
        <v>2446150</v>
      </c>
      <c r="F4961" s="77" t="s">
        <v>10174</v>
      </c>
    </row>
    <row r="4962" spans="1:6" ht="13.5">
      <c r="A4962" s="82">
        <v>5</v>
      </c>
      <c r="B4962" s="81" t="s">
        <v>9841</v>
      </c>
      <c r="C4962" s="81" t="s">
        <v>9842</v>
      </c>
      <c r="D4962" s="101">
        <v>26763200</v>
      </c>
      <c r="E4962" s="87">
        <v>1984325</v>
      </c>
      <c r="F4962" s="77" t="s">
        <v>10174</v>
      </c>
    </row>
    <row r="4963" spans="1:6" ht="13.5">
      <c r="A4963" s="82">
        <v>5</v>
      </c>
      <c r="B4963" s="81" t="s">
        <v>9843</v>
      </c>
      <c r="C4963" s="81" t="s">
        <v>9844</v>
      </c>
      <c r="D4963" s="101">
        <v>22314100</v>
      </c>
      <c r="E4963" s="87">
        <v>1654450</v>
      </c>
      <c r="F4963" s="77" t="s">
        <v>10174</v>
      </c>
    </row>
    <row r="4964" spans="1:6" ht="13.5">
      <c r="A4964" s="82">
        <v>5</v>
      </c>
      <c r="B4964" s="81" t="s">
        <v>9845</v>
      </c>
      <c r="C4964" s="81" t="s">
        <v>9846</v>
      </c>
      <c r="D4964" s="101">
        <v>1779700</v>
      </c>
      <c r="E4964" s="87">
        <v>131950</v>
      </c>
      <c r="F4964" s="77" t="s">
        <v>10174</v>
      </c>
    </row>
    <row r="4965" spans="1:6" ht="13.5">
      <c r="A4965" s="82">
        <v>5</v>
      </c>
      <c r="B4965" s="81" t="s">
        <v>9847</v>
      </c>
      <c r="C4965" s="81" t="s">
        <v>9848</v>
      </c>
      <c r="D4965" s="101">
        <v>2190300</v>
      </c>
      <c r="E4965" s="87">
        <v>162400</v>
      </c>
      <c r="F4965" s="77" t="s">
        <v>10174</v>
      </c>
    </row>
    <row r="4966" spans="1:6" ht="13.5">
      <c r="A4966" s="82">
        <v>5</v>
      </c>
      <c r="B4966" s="81" t="s">
        <v>9849</v>
      </c>
      <c r="C4966" s="81" t="s">
        <v>9850</v>
      </c>
      <c r="D4966" s="101">
        <v>2121900</v>
      </c>
      <c r="E4966" s="87">
        <v>157325</v>
      </c>
      <c r="F4966" s="77" t="s">
        <v>10174</v>
      </c>
    </row>
    <row r="4967" spans="1:6" ht="13.5">
      <c r="A4967" s="82">
        <v>5</v>
      </c>
      <c r="B4967" s="81" t="s">
        <v>9851</v>
      </c>
      <c r="C4967" s="81" t="s">
        <v>9852</v>
      </c>
      <c r="D4967" s="101">
        <v>2532600</v>
      </c>
      <c r="E4967" s="87">
        <v>187775</v>
      </c>
      <c r="F4967" s="77" t="s">
        <v>10174</v>
      </c>
    </row>
    <row r="4968" spans="1:6" ht="13.5">
      <c r="A4968" s="82">
        <v>5</v>
      </c>
      <c r="B4968" s="81" t="s">
        <v>9853</v>
      </c>
      <c r="C4968" s="81" t="s">
        <v>9854</v>
      </c>
      <c r="D4968" s="101">
        <v>2806400</v>
      </c>
      <c r="E4968" s="87">
        <v>208075</v>
      </c>
      <c r="F4968" s="77" t="s">
        <v>10174</v>
      </c>
    </row>
    <row r="4969" spans="1:6" ht="13.5">
      <c r="A4969" s="82">
        <v>5</v>
      </c>
      <c r="B4969" s="81" t="s">
        <v>9855</v>
      </c>
      <c r="C4969" s="81" t="s">
        <v>9856</v>
      </c>
      <c r="D4969" s="101">
        <v>3354000</v>
      </c>
      <c r="E4969" s="87">
        <v>248675</v>
      </c>
      <c r="F4969" s="77" t="s">
        <v>10174</v>
      </c>
    </row>
    <row r="4970" spans="1:6" ht="13.5">
      <c r="A4970" s="82">
        <v>5</v>
      </c>
      <c r="B4970" s="81" t="s">
        <v>9857</v>
      </c>
      <c r="C4970" s="81" t="s">
        <v>9858</v>
      </c>
      <c r="D4970" s="101">
        <v>3148600</v>
      </c>
      <c r="E4970" s="87">
        <v>233450</v>
      </c>
      <c r="F4970" s="77" t="s">
        <v>10174</v>
      </c>
    </row>
    <row r="4971" spans="1:6" ht="13.5">
      <c r="A4971" s="82">
        <v>5</v>
      </c>
      <c r="B4971" s="81" t="s">
        <v>9859</v>
      </c>
      <c r="C4971" s="81" t="s">
        <v>9860</v>
      </c>
      <c r="D4971" s="101">
        <v>3764600</v>
      </c>
      <c r="E4971" s="87">
        <v>279125</v>
      </c>
      <c r="F4971" s="77" t="s">
        <v>10174</v>
      </c>
    </row>
    <row r="4972" spans="1:6" ht="13.5">
      <c r="A4972" s="82">
        <v>5</v>
      </c>
      <c r="B4972" s="81" t="s">
        <v>9861</v>
      </c>
      <c r="C4972" s="81" t="s">
        <v>9862</v>
      </c>
      <c r="D4972" s="101">
        <v>2121900</v>
      </c>
      <c r="E4972" s="87">
        <v>157325</v>
      </c>
      <c r="F4972" s="77" t="s">
        <v>10174</v>
      </c>
    </row>
    <row r="4973" spans="1:6" ht="13.5">
      <c r="A4973" s="82">
        <v>5</v>
      </c>
      <c r="B4973" s="81" t="s">
        <v>9863</v>
      </c>
      <c r="C4973" s="81" t="s">
        <v>9864</v>
      </c>
      <c r="D4973" s="101">
        <v>2532600</v>
      </c>
      <c r="E4973" s="87">
        <v>187775</v>
      </c>
      <c r="F4973" s="77" t="s">
        <v>10174</v>
      </c>
    </row>
    <row r="4974" spans="1:6" ht="13.5">
      <c r="A4974" s="82">
        <v>5</v>
      </c>
      <c r="B4974" s="81" t="s">
        <v>9865</v>
      </c>
      <c r="C4974" s="81" t="s">
        <v>9866</v>
      </c>
      <c r="D4974" s="101">
        <v>2395700</v>
      </c>
      <c r="E4974" s="87">
        <v>177624.99999999997</v>
      </c>
      <c r="F4974" s="77" t="s">
        <v>10174</v>
      </c>
    </row>
    <row r="4975" spans="1:6" ht="13.5">
      <c r="A4975" s="82">
        <v>5</v>
      </c>
      <c r="B4975" s="81" t="s">
        <v>9867</v>
      </c>
      <c r="C4975" s="81" t="s">
        <v>9868</v>
      </c>
      <c r="D4975" s="101">
        <v>2874800</v>
      </c>
      <c r="E4975" s="87">
        <v>213150</v>
      </c>
      <c r="F4975" s="77" t="s">
        <v>10174</v>
      </c>
    </row>
    <row r="4976" spans="1:6" ht="13.5">
      <c r="A4976" s="82">
        <v>5</v>
      </c>
      <c r="B4976" s="81" t="s">
        <v>9869</v>
      </c>
      <c r="C4976" s="81" t="s">
        <v>9870</v>
      </c>
      <c r="D4976" s="101">
        <v>3011700</v>
      </c>
      <c r="E4976" s="87">
        <v>223300</v>
      </c>
      <c r="F4976" s="77" t="s">
        <v>10174</v>
      </c>
    </row>
    <row r="4977" spans="1:6" ht="13.5">
      <c r="A4977" s="82">
        <v>5</v>
      </c>
      <c r="B4977" s="81" t="s">
        <v>9871</v>
      </c>
      <c r="C4977" s="81" t="s">
        <v>9872</v>
      </c>
      <c r="D4977" s="101">
        <v>3627700</v>
      </c>
      <c r="E4977" s="87">
        <v>268975</v>
      </c>
      <c r="F4977" s="77" t="s">
        <v>10174</v>
      </c>
    </row>
    <row r="4978" spans="1:6" ht="13.5">
      <c r="A4978" s="82">
        <v>5</v>
      </c>
      <c r="B4978" s="81" t="s">
        <v>9873</v>
      </c>
      <c r="C4978" s="81" t="s">
        <v>9874</v>
      </c>
      <c r="D4978" s="101">
        <v>3285500</v>
      </c>
      <c r="E4978" s="87">
        <v>243600</v>
      </c>
      <c r="F4978" s="77" t="s">
        <v>10174</v>
      </c>
    </row>
    <row r="4979" spans="1:6" ht="13.5">
      <c r="A4979" s="82">
        <v>5</v>
      </c>
      <c r="B4979" s="81" t="s">
        <v>9875</v>
      </c>
      <c r="C4979" s="81" t="s">
        <v>9876</v>
      </c>
      <c r="D4979" s="101">
        <v>3970000</v>
      </c>
      <c r="E4979" s="87">
        <v>294350</v>
      </c>
      <c r="F4979" s="77" t="s">
        <v>10174</v>
      </c>
    </row>
    <row r="4980" spans="1:6" ht="13.5">
      <c r="A4980" s="82">
        <v>5</v>
      </c>
      <c r="B4980" s="81" t="s">
        <v>9877</v>
      </c>
      <c r="C4980" s="81" t="s">
        <v>9878</v>
      </c>
      <c r="D4980" s="101">
        <v>3148600</v>
      </c>
      <c r="E4980" s="87">
        <v>233450</v>
      </c>
      <c r="F4980" s="77" t="s">
        <v>10174</v>
      </c>
    </row>
    <row r="4981" spans="1:6" ht="13.5">
      <c r="A4981" s="82">
        <v>5</v>
      </c>
      <c r="B4981" s="81" t="s">
        <v>9879</v>
      </c>
      <c r="C4981" s="81" t="s">
        <v>9880</v>
      </c>
      <c r="D4981" s="101">
        <v>3764600</v>
      </c>
      <c r="E4981" s="87">
        <v>279125</v>
      </c>
      <c r="F4981" s="77" t="s">
        <v>10174</v>
      </c>
    </row>
    <row r="4982" spans="1:6" ht="13.5">
      <c r="A4982" s="82">
        <v>5</v>
      </c>
      <c r="B4982" s="81" t="s">
        <v>9881</v>
      </c>
      <c r="C4982" s="81" t="s">
        <v>9882</v>
      </c>
      <c r="D4982" s="101">
        <v>3422400</v>
      </c>
      <c r="E4982" s="87">
        <v>253750</v>
      </c>
      <c r="F4982" s="77" t="s">
        <v>10174</v>
      </c>
    </row>
    <row r="4983" spans="1:6" ht="13.5">
      <c r="A4983" s="82">
        <v>5</v>
      </c>
      <c r="B4983" s="81" t="s">
        <v>9883</v>
      </c>
      <c r="C4983" s="81" t="s">
        <v>9884</v>
      </c>
      <c r="D4983" s="101">
        <v>4106900</v>
      </c>
      <c r="E4983" s="87">
        <v>304500</v>
      </c>
      <c r="F4983" s="77" t="s">
        <v>10174</v>
      </c>
    </row>
    <row r="4984" spans="1:6" ht="13.5">
      <c r="A4984" s="82">
        <v>5</v>
      </c>
      <c r="B4984" s="81" t="s">
        <v>9885</v>
      </c>
      <c r="C4984" s="81" t="s">
        <v>9886</v>
      </c>
      <c r="D4984" s="101">
        <v>2327200</v>
      </c>
      <c r="E4984" s="87">
        <v>172549.99999999997</v>
      </c>
      <c r="F4984" s="77" t="s">
        <v>10174</v>
      </c>
    </row>
    <row r="4985" spans="1:6" ht="13.5">
      <c r="A4985" s="82">
        <v>5</v>
      </c>
      <c r="B4985" s="81" t="s">
        <v>9887</v>
      </c>
      <c r="C4985" s="81" t="s">
        <v>9888</v>
      </c>
      <c r="D4985" s="101">
        <v>2737900</v>
      </c>
      <c r="E4985" s="87">
        <v>203000</v>
      </c>
      <c r="F4985" s="77" t="s">
        <v>10174</v>
      </c>
    </row>
    <row r="4986" spans="1:6" ht="13.5">
      <c r="A4986" s="82">
        <v>5</v>
      </c>
      <c r="B4986" s="81" t="s">
        <v>9889</v>
      </c>
      <c r="C4986" s="81" t="s">
        <v>9890</v>
      </c>
      <c r="D4986" s="101">
        <v>2601000</v>
      </c>
      <c r="E4986" s="87">
        <v>192850</v>
      </c>
      <c r="F4986" s="77" t="s">
        <v>10174</v>
      </c>
    </row>
    <row r="4987" spans="1:6" ht="13.5">
      <c r="A4987" s="82">
        <v>5</v>
      </c>
      <c r="B4987" s="81" t="s">
        <v>9891</v>
      </c>
      <c r="C4987" s="81" t="s">
        <v>9892</v>
      </c>
      <c r="D4987" s="101">
        <v>3080200</v>
      </c>
      <c r="E4987" s="87">
        <v>228375</v>
      </c>
      <c r="F4987" s="77" t="s">
        <v>10174</v>
      </c>
    </row>
    <row r="4988" spans="1:6" ht="13.5">
      <c r="A4988" s="82">
        <v>5</v>
      </c>
      <c r="B4988" s="81" t="s">
        <v>9893</v>
      </c>
      <c r="C4988" s="81" t="s">
        <v>9894</v>
      </c>
      <c r="D4988" s="101">
        <v>3148600</v>
      </c>
      <c r="E4988" s="87">
        <v>233450</v>
      </c>
      <c r="F4988" s="77" t="s">
        <v>10174</v>
      </c>
    </row>
    <row r="4989" spans="1:6" ht="13.5">
      <c r="A4989" s="82">
        <v>5</v>
      </c>
      <c r="B4989" s="81" t="s">
        <v>9895</v>
      </c>
      <c r="C4989" s="81" t="s">
        <v>9896</v>
      </c>
      <c r="D4989" s="101">
        <v>3833100</v>
      </c>
      <c r="E4989" s="87">
        <v>284200</v>
      </c>
      <c r="F4989" s="77" t="s">
        <v>10174</v>
      </c>
    </row>
    <row r="4990" spans="1:6" ht="13.5">
      <c r="A4990" s="82">
        <v>5</v>
      </c>
      <c r="B4990" s="81" t="s">
        <v>9897</v>
      </c>
      <c r="C4990" s="81" t="s">
        <v>9898</v>
      </c>
      <c r="D4990" s="101">
        <v>3490900</v>
      </c>
      <c r="E4990" s="87">
        <v>258825</v>
      </c>
      <c r="F4990" s="77" t="s">
        <v>10174</v>
      </c>
    </row>
    <row r="4991" spans="1:6" ht="13.5">
      <c r="A4991" s="82">
        <v>5</v>
      </c>
      <c r="B4991" s="81" t="s">
        <v>9899</v>
      </c>
      <c r="C4991" s="81" t="s">
        <v>9900</v>
      </c>
      <c r="D4991" s="101">
        <v>4175300</v>
      </c>
      <c r="E4991" s="87">
        <v>309575</v>
      </c>
      <c r="F4991" s="77" t="s">
        <v>10174</v>
      </c>
    </row>
    <row r="4992" spans="1:6" ht="13.5">
      <c r="A4992" s="82">
        <v>1</v>
      </c>
      <c r="B4992" s="81" t="s">
        <v>9901</v>
      </c>
      <c r="C4992" s="81" t="s">
        <v>9902</v>
      </c>
      <c r="D4992" s="101">
        <v>1008582800</v>
      </c>
      <c r="E4992" s="87">
        <v>39526637.5</v>
      </c>
      <c r="F4992" s="77" t="s">
        <v>10170</v>
      </c>
    </row>
    <row r="4993" spans="1:6" ht="13.5">
      <c r="A4993" s="82">
        <v>1</v>
      </c>
      <c r="B4993" s="81" t="s">
        <v>9903</v>
      </c>
      <c r="C4993" s="81" t="s">
        <v>9904</v>
      </c>
      <c r="D4993" s="101">
        <v>1985747800</v>
      </c>
      <c r="E4993" s="87">
        <v>77822007.5</v>
      </c>
      <c r="F4993" s="77" t="s">
        <v>10170</v>
      </c>
    </row>
    <row r="4994" spans="1:6" ht="13.5">
      <c r="A4994" s="82">
        <v>1</v>
      </c>
      <c r="B4994" s="81" t="s">
        <v>9905</v>
      </c>
      <c r="C4994" s="81" t="s">
        <v>9906</v>
      </c>
      <c r="D4994" s="101">
        <v>3958422100</v>
      </c>
      <c r="E4994" s="87">
        <v>155131657.5</v>
      </c>
      <c r="F4994" s="77" t="s">
        <v>10170</v>
      </c>
    </row>
    <row r="4995" spans="1:6" ht="13.5">
      <c r="A4995" s="82">
        <v>1</v>
      </c>
      <c r="B4995" s="81" t="s">
        <v>9907</v>
      </c>
      <c r="C4995" s="81" t="s">
        <v>9908</v>
      </c>
      <c r="D4995" s="101">
        <v>2491921500</v>
      </c>
      <c r="E4995" s="87">
        <v>97659095.000000015</v>
      </c>
      <c r="F4995" s="77" t="s">
        <v>10170</v>
      </c>
    </row>
    <row r="4996" spans="1:6" ht="13.5">
      <c r="A4996" s="82">
        <v>1</v>
      </c>
      <c r="B4996" s="81" t="s">
        <v>9909</v>
      </c>
      <c r="C4996" s="81" t="s">
        <v>9910</v>
      </c>
      <c r="D4996" s="101">
        <v>913987500</v>
      </c>
      <c r="E4996" s="87">
        <v>35819422.5</v>
      </c>
      <c r="F4996" s="77" t="s">
        <v>10170</v>
      </c>
    </row>
    <row r="4997" spans="1:6" ht="13.5">
      <c r="A4997" s="82">
        <v>1</v>
      </c>
      <c r="B4997" s="81" t="s">
        <v>9911</v>
      </c>
      <c r="C4997" s="81" t="s">
        <v>9912</v>
      </c>
      <c r="D4997" s="101">
        <v>2150707800</v>
      </c>
      <c r="E4997" s="87">
        <v>84286832.5</v>
      </c>
      <c r="F4997" s="77" t="s">
        <v>10170</v>
      </c>
    </row>
    <row r="4998" spans="1:6" ht="13.5">
      <c r="A4998" s="82">
        <v>1</v>
      </c>
      <c r="B4998" s="81" t="s">
        <v>9913</v>
      </c>
      <c r="C4998" s="81" t="s">
        <v>9914</v>
      </c>
      <c r="D4998" s="101">
        <v>1032265800</v>
      </c>
      <c r="E4998" s="87">
        <v>40454782.5</v>
      </c>
      <c r="F4998" s="77" t="s">
        <v>10170</v>
      </c>
    </row>
    <row r="4999" spans="1:6" ht="13.5">
      <c r="A4999" s="82">
        <v>1</v>
      </c>
      <c r="B4999" s="81" t="s">
        <v>9915</v>
      </c>
      <c r="C4999" s="81" t="s">
        <v>9916</v>
      </c>
      <c r="D4999" s="101">
        <v>1032265800</v>
      </c>
      <c r="E4999" s="87">
        <v>40454782.5</v>
      </c>
      <c r="F4999" s="77" t="s">
        <v>10170</v>
      </c>
    </row>
    <row r="5000" spans="1:6" ht="13.5">
      <c r="A5000" s="82">
        <v>1</v>
      </c>
      <c r="B5000" s="81" t="s">
        <v>9917</v>
      </c>
      <c r="C5000" s="81" t="s">
        <v>9918</v>
      </c>
      <c r="D5000" s="101">
        <v>3933726000</v>
      </c>
      <c r="E5000" s="87">
        <v>154163811.5</v>
      </c>
      <c r="F5000" s="77" t="s">
        <v>10170</v>
      </c>
    </row>
    <row r="5001" spans="1:6" ht="13.5">
      <c r="A5001" s="82">
        <v>1</v>
      </c>
      <c r="B5001" s="81" t="s">
        <v>9919</v>
      </c>
      <c r="C5001" s="81" t="s">
        <v>9920</v>
      </c>
      <c r="D5001" s="101">
        <v>997713200</v>
      </c>
      <c r="E5001" s="87">
        <v>39100656.5</v>
      </c>
      <c r="F5001" s="77" t="s">
        <v>10170</v>
      </c>
    </row>
    <row r="5002" spans="1:6" ht="13.5">
      <c r="A5002" s="82">
        <v>1</v>
      </c>
      <c r="B5002" s="81" t="s">
        <v>9921</v>
      </c>
      <c r="C5002" s="81" t="s">
        <v>9922</v>
      </c>
      <c r="D5002" s="101">
        <v>1491456700</v>
      </c>
      <c r="E5002" s="87">
        <v>58450602</v>
      </c>
      <c r="F5002" s="77" t="s">
        <v>10170</v>
      </c>
    </row>
    <row r="5003" spans="1:6" ht="13.5">
      <c r="A5003" s="82">
        <v>1</v>
      </c>
      <c r="B5003" s="81" t="s">
        <v>9923</v>
      </c>
      <c r="C5003" s="81" t="s">
        <v>9924</v>
      </c>
      <c r="D5003" s="101">
        <v>5320361300</v>
      </c>
      <c r="E5003" s="87">
        <v>208506433</v>
      </c>
      <c r="F5003" s="77" t="s">
        <v>10170</v>
      </c>
    </row>
    <row r="5004" spans="1:6" ht="13.5">
      <c r="A5004" s="82">
        <v>1</v>
      </c>
      <c r="B5004" s="81" t="s">
        <v>9925</v>
      </c>
      <c r="C5004" s="81" t="s">
        <v>9926</v>
      </c>
      <c r="D5004" s="101">
        <v>7016039800</v>
      </c>
      <c r="E5004" s="87">
        <v>274960542</v>
      </c>
      <c r="F5004" s="77" t="s">
        <v>10170</v>
      </c>
    </row>
    <row r="5005" spans="1:6" ht="13.5">
      <c r="A5005" s="82">
        <v>1</v>
      </c>
      <c r="B5005" s="81" t="s">
        <v>9927</v>
      </c>
      <c r="C5005" s="81" t="s">
        <v>9928</v>
      </c>
      <c r="D5005" s="101">
        <v>693119200</v>
      </c>
      <c r="E5005" s="87">
        <v>27163531.5</v>
      </c>
      <c r="F5005" s="77" t="s">
        <v>10170</v>
      </c>
    </row>
    <row r="5006" spans="1:6" ht="13.5">
      <c r="A5006" s="82">
        <v>1</v>
      </c>
      <c r="B5006" s="81" t="s">
        <v>9929</v>
      </c>
      <c r="C5006" s="81" t="s">
        <v>9930</v>
      </c>
      <c r="D5006" s="101">
        <v>782813500</v>
      </c>
      <c r="E5006" s="87">
        <v>30678679.5</v>
      </c>
      <c r="F5006" s="77" t="s">
        <v>10170</v>
      </c>
    </row>
    <row r="5007" spans="1:6" ht="13.5">
      <c r="A5007" s="82">
        <v>1</v>
      </c>
      <c r="B5007" s="81" t="s">
        <v>9931</v>
      </c>
      <c r="C5007" s="81" t="s">
        <v>9932</v>
      </c>
      <c r="D5007" s="101">
        <v>872507900</v>
      </c>
      <c r="E5007" s="87">
        <v>34193827.5</v>
      </c>
      <c r="F5007" s="77" t="s">
        <v>10170</v>
      </c>
    </row>
    <row r="5008" spans="1:6" ht="13.5">
      <c r="A5008" s="82">
        <v>1</v>
      </c>
      <c r="B5008" s="81" t="s">
        <v>9933</v>
      </c>
      <c r="C5008" s="81" t="s">
        <v>9934</v>
      </c>
      <c r="D5008" s="101">
        <v>693119200</v>
      </c>
      <c r="E5008" s="87">
        <v>27163531.5</v>
      </c>
      <c r="F5008" s="77" t="s">
        <v>10170</v>
      </c>
    </row>
    <row r="5009" spans="1:6" ht="13.5">
      <c r="A5009" s="82">
        <v>1</v>
      </c>
      <c r="B5009" s="81" t="s">
        <v>9935</v>
      </c>
      <c r="C5009" s="81" t="s">
        <v>9936</v>
      </c>
      <c r="D5009" s="101">
        <v>782813500</v>
      </c>
      <c r="E5009" s="87">
        <v>30678679.5</v>
      </c>
      <c r="F5009" s="77" t="s">
        <v>10170</v>
      </c>
    </row>
    <row r="5010" spans="1:6" ht="13.5">
      <c r="A5010" s="82">
        <v>1</v>
      </c>
      <c r="B5010" s="81" t="s">
        <v>9937</v>
      </c>
      <c r="C5010" s="81" t="s">
        <v>9938</v>
      </c>
      <c r="D5010" s="101">
        <v>872507900</v>
      </c>
      <c r="E5010" s="87">
        <v>34193827.5</v>
      </c>
      <c r="F5010" s="77" t="s">
        <v>10170</v>
      </c>
    </row>
    <row r="5011" spans="1:6" ht="13.5">
      <c r="A5011" s="82">
        <v>1</v>
      </c>
      <c r="B5011" s="81" t="s">
        <v>3622</v>
      </c>
      <c r="C5011" s="81" t="s">
        <v>9939</v>
      </c>
      <c r="D5011" s="101">
        <v>1796557300</v>
      </c>
      <c r="E5011" s="87">
        <v>70407577.5</v>
      </c>
      <c r="F5011" s="77" t="s">
        <v>10170</v>
      </c>
    </row>
    <row r="5012" spans="1:6" ht="13.5">
      <c r="A5012" s="82">
        <v>1</v>
      </c>
      <c r="B5012" s="81" t="s">
        <v>3623</v>
      </c>
      <c r="C5012" s="81" t="s">
        <v>9940</v>
      </c>
      <c r="D5012" s="101">
        <v>1796557300</v>
      </c>
      <c r="E5012" s="87">
        <v>70407577.5</v>
      </c>
      <c r="F5012" s="77" t="s">
        <v>10170</v>
      </c>
    </row>
    <row r="5013" spans="1:6" ht="13.5">
      <c r="A5013" s="82">
        <v>1</v>
      </c>
      <c r="B5013" s="81" t="s">
        <v>9941</v>
      </c>
      <c r="C5013" s="81" t="s">
        <v>9942</v>
      </c>
      <c r="D5013" s="101">
        <v>364677800</v>
      </c>
      <c r="E5013" s="87">
        <v>14291823.5</v>
      </c>
      <c r="F5013" s="77" t="s">
        <v>10170</v>
      </c>
    </row>
    <row r="5014" spans="1:6" ht="13.5">
      <c r="A5014" s="82">
        <v>1</v>
      </c>
      <c r="B5014" s="81" t="s">
        <v>9943</v>
      </c>
      <c r="C5014" s="81" t="s">
        <v>9944</v>
      </c>
      <c r="D5014" s="101">
        <v>411824800</v>
      </c>
      <c r="E5014" s="87">
        <v>16139529.499999998</v>
      </c>
      <c r="F5014" s="77" t="s">
        <v>10170</v>
      </c>
    </row>
    <row r="5015" spans="1:6" ht="13.5">
      <c r="A5015" s="82">
        <v>1</v>
      </c>
      <c r="B5015" s="81" t="s">
        <v>9945</v>
      </c>
      <c r="C5015" s="81" t="s">
        <v>9946</v>
      </c>
      <c r="D5015" s="101">
        <v>458971900</v>
      </c>
      <c r="E5015" s="87">
        <v>17987235.5</v>
      </c>
      <c r="F5015" s="77" t="s">
        <v>10170</v>
      </c>
    </row>
    <row r="5016" spans="1:6" ht="13.5">
      <c r="A5016" s="82">
        <v>1</v>
      </c>
      <c r="B5016" s="81" t="s">
        <v>9947</v>
      </c>
      <c r="C5016" s="81" t="s">
        <v>9948</v>
      </c>
      <c r="D5016" s="101">
        <v>364677800</v>
      </c>
      <c r="E5016" s="87">
        <v>14291823.5</v>
      </c>
      <c r="F5016" s="77" t="s">
        <v>10170</v>
      </c>
    </row>
    <row r="5017" spans="1:6" ht="13.5">
      <c r="A5017" s="82">
        <v>1</v>
      </c>
      <c r="B5017" s="81" t="s">
        <v>9949</v>
      </c>
      <c r="C5017" s="81" t="s">
        <v>9950</v>
      </c>
      <c r="D5017" s="101">
        <v>411824800</v>
      </c>
      <c r="E5017" s="87">
        <v>16139529.499999998</v>
      </c>
      <c r="F5017" s="77" t="s">
        <v>10170</v>
      </c>
    </row>
    <row r="5018" spans="1:6" ht="13.5">
      <c r="A5018" s="82">
        <v>1</v>
      </c>
      <c r="B5018" s="81" t="s">
        <v>9951</v>
      </c>
      <c r="C5018" s="81" t="s">
        <v>9952</v>
      </c>
      <c r="D5018" s="101">
        <v>458971900</v>
      </c>
      <c r="E5018" s="87">
        <v>17987235.5</v>
      </c>
      <c r="F5018" s="77" t="s">
        <v>10170</v>
      </c>
    </row>
    <row r="5019" spans="1:6" ht="13.5">
      <c r="A5019" s="82">
        <v>1</v>
      </c>
      <c r="B5019" s="81" t="s">
        <v>9953</v>
      </c>
      <c r="C5019" s="81" t="s">
        <v>9954</v>
      </c>
      <c r="D5019" s="101">
        <v>569789400</v>
      </c>
      <c r="E5019" s="87">
        <v>22330203</v>
      </c>
      <c r="F5019" s="77" t="s">
        <v>10170</v>
      </c>
    </row>
    <row r="5020" spans="1:6" ht="13.5">
      <c r="A5020" s="82">
        <v>1</v>
      </c>
      <c r="B5020" s="81" t="s">
        <v>9955</v>
      </c>
      <c r="C5020" s="81" t="s">
        <v>9956</v>
      </c>
      <c r="D5020" s="101">
        <v>643384800</v>
      </c>
      <c r="E5020" s="87">
        <v>25214426.999999996</v>
      </c>
      <c r="F5020" s="77" t="s">
        <v>10170</v>
      </c>
    </row>
    <row r="5021" spans="1:6" ht="13.5">
      <c r="A5021" s="82">
        <v>1</v>
      </c>
      <c r="B5021" s="81" t="s">
        <v>9957</v>
      </c>
      <c r="C5021" s="81" t="s">
        <v>9958</v>
      </c>
      <c r="D5021" s="101">
        <v>716980200</v>
      </c>
      <c r="E5021" s="87">
        <v>28098651</v>
      </c>
      <c r="F5021" s="77" t="s">
        <v>10170</v>
      </c>
    </row>
    <row r="5022" spans="1:6" ht="13.5">
      <c r="A5022" s="82">
        <v>1</v>
      </c>
      <c r="B5022" s="81" t="s">
        <v>9959</v>
      </c>
      <c r="C5022" s="81" t="s">
        <v>9960</v>
      </c>
      <c r="D5022" s="101">
        <v>1133336300</v>
      </c>
      <c r="E5022" s="87">
        <v>44415762</v>
      </c>
      <c r="F5022" s="77" t="s">
        <v>10170</v>
      </c>
    </row>
    <row r="5023" spans="1:6" ht="13.5">
      <c r="A5023" s="82">
        <v>1</v>
      </c>
      <c r="B5023" s="81" t="s">
        <v>9961</v>
      </c>
      <c r="C5023" s="81" t="s">
        <v>9962</v>
      </c>
      <c r="D5023" s="101">
        <v>1451373500</v>
      </c>
      <c r="E5023" s="87">
        <v>56879730</v>
      </c>
      <c r="F5023" s="77" t="s">
        <v>10170</v>
      </c>
    </row>
    <row r="5024" spans="1:6" ht="13.5">
      <c r="A5024" s="82">
        <v>1</v>
      </c>
      <c r="B5024" s="81" t="s">
        <v>9963</v>
      </c>
      <c r="C5024" s="81" t="s">
        <v>9964</v>
      </c>
      <c r="D5024" s="101">
        <v>569789400</v>
      </c>
      <c r="E5024" s="87">
        <v>22330203</v>
      </c>
      <c r="F5024" s="77" t="s">
        <v>10170</v>
      </c>
    </row>
    <row r="5025" spans="1:6" ht="13.5">
      <c r="A5025" s="82">
        <v>1</v>
      </c>
      <c r="B5025" s="81" t="s">
        <v>9965</v>
      </c>
      <c r="C5025" s="81" t="s">
        <v>9966</v>
      </c>
      <c r="D5025" s="101">
        <v>643384800</v>
      </c>
      <c r="E5025" s="87">
        <v>25214426.999999996</v>
      </c>
      <c r="F5025" s="77" t="s">
        <v>10170</v>
      </c>
    </row>
    <row r="5026" spans="1:6" ht="13.5">
      <c r="A5026" s="82">
        <v>1</v>
      </c>
      <c r="B5026" s="81" t="s">
        <v>9967</v>
      </c>
      <c r="C5026" s="81" t="s">
        <v>9968</v>
      </c>
      <c r="D5026" s="101">
        <v>569789400</v>
      </c>
      <c r="E5026" s="87">
        <v>22330203</v>
      </c>
      <c r="F5026" s="77" t="s">
        <v>10170</v>
      </c>
    </row>
    <row r="5027" spans="1:6" ht="13.5">
      <c r="A5027" s="82">
        <v>1</v>
      </c>
      <c r="B5027" s="81" t="s">
        <v>9969</v>
      </c>
      <c r="C5027" s="81" t="s">
        <v>9956</v>
      </c>
      <c r="D5027" s="101">
        <v>643384800</v>
      </c>
      <c r="E5027" s="87">
        <v>25214426.999999996</v>
      </c>
      <c r="F5027" s="77" t="s">
        <v>10170</v>
      </c>
    </row>
    <row r="5028" spans="1:6" ht="13.5">
      <c r="A5028" s="82">
        <v>1</v>
      </c>
      <c r="B5028" s="81" t="s">
        <v>9970</v>
      </c>
      <c r="C5028" s="81" t="s">
        <v>9958</v>
      </c>
      <c r="D5028" s="101">
        <v>716980200</v>
      </c>
      <c r="E5028" s="87">
        <v>28098651</v>
      </c>
      <c r="F5028" s="77" t="s">
        <v>10170</v>
      </c>
    </row>
    <row r="5029" spans="1:6" ht="13.5">
      <c r="A5029" s="82">
        <v>1</v>
      </c>
      <c r="B5029" s="81" t="s">
        <v>9971</v>
      </c>
      <c r="C5029" s="81" t="s">
        <v>9964</v>
      </c>
      <c r="D5029" s="101">
        <v>569789400</v>
      </c>
      <c r="E5029" s="87">
        <v>22330203</v>
      </c>
      <c r="F5029" s="77" t="s">
        <v>10170</v>
      </c>
    </row>
    <row r="5030" spans="1:6" ht="13.5">
      <c r="A5030" s="82">
        <v>1</v>
      </c>
      <c r="B5030" s="81" t="s">
        <v>9972</v>
      </c>
      <c r="C5030" s="81" t="s">
        <v>9966</v>
      </c>
      <c r="D5030" s="101">
        <v>643384800</v>
      </c>
      <c r="E5030" s="87">
        <v>25214426.999999996</v>
      </c>
      <c r="F5030" s="77" t="s">
        <v>10170</v>
      </c>
    </row>
    <row r="5031" spans="1:6" ht="13.5">
      <c r="A5031" s="82">
        <v>1</v>
      </c>
      <c r="B5031" s="81" t="s">
        <v>9973</v>
      </c>
      <c r="C5031" s="81" t="s">
        <v>9974</v>
      </c>
      <c r="D5031" s="101">
        <v>716980200</v>
      </c>
      <c r="E5031" s="87">
        <v>28098651</v>
      </c>
      <c r="F5031" s="77" t="s">
        <v>10170</v>
      </c>
    </row>
    <row r="5032" spans="1:6" ht="13.5">
      <c r="A5032" s="82">
        <v>1</v>
      </c>
      <c r="B5032" s="81" t="s">
        <v>9975</v>
      </c>
      <c r="C5032" s="81" t="s">
        <v>9976</v>
      </c>
      <c r="D5032" s="101">
        <v>670873500</v>
      </c>
      <c r="E5032" s="87">
        <v>26291719</v>
      </c>
      <c r="F5032" s="77" t="s">
        <v>10170</v>
      </c>
    </row>
    <row r="5033" spans="1:6" ht="13.5">
      <c r="A5033" s="82">
        <v>1</v>
      </c>
      <c r="B5033" s="81" t="s">
        <v>9977</v>
      </c>
      <c r="C5033" s="81" t="s">
        <v>9978</v>
      </c>
      <c r="D5033" s="101">
        <v>670873500</v>
      </c>
      <c r="E5033" s="87">
        <v>26291719</v>
      </c>
      <c r="F5033" s="77" t="s">
        <v>10170</v>
      </c>
    </row>
    <row r="5034" spans="1:6" ht="13.5">
      <c r="A5034" s="82">
        <v>1</v>
      </c>
      <c r="B5034" s="81" t="s">
        <v>9979</v>
      </c>
      <c r="C5034" s="81" t="s">
        <v>9980</v>
      </c>
      <c r="D5034" s="101">
        <v>673994800</v>
      </c>
      <c r="E5034" s="87">
        <v>26414040.999999996</v>
      </c>
      <c r="F5034" s="77" t="s">
        <v>10170</v>
      </c>
    </row>
    <row r="5035" spans="1:6" ht="13.5">
      <c r="A5035" s="82">
        <v>1</v>
      </c>
      <c r="B5035" s="81" t="s">
        <v>9981</v>
      </c>
      <c r="C5035" s="81" t="s">
        <v>9982</v>
      </c>
      <c r="D5035" s="101">
        <v>673994800</v>
      </c>
      <c r="E5035" s="87">
        <v>26414040.999999996</v>
      </c>
      <c r="F5035" s="77" t="s">
        <v>10170</v>
      </c>
    </row>
    <row r="5036" spans="1:6" ht="13.5">
      <c r="A5036" s="82">
        <v>1</v>
      </c>
      <c r="B5036" s="81" t="s">
        <v>9983</v>
      </c>
      <c r="C5036" s="81" t="s">
        <v>9984</v>
      </c>
      <c r="D5036" s="101">
        <v>1541711300</v>
      </c>
      <c r="E5036" s="87">
        <v>60420093.5</v>
      </c>
      <c r="F5036" s="77" t="s">
        <v>10170</v>
      </c>
    </row>
    <row r="5037" spans="1:6" ht="13.5">
      <c r="A5037" s="82">
        <v>1</v>
      </c>
      <c r="B5037" s="81" t="s">
        <v>9985</v>
      </c>
      <c r="C5037" s="81" t="s">
        <v>9986</v>
      </c>
      <c r="D5037" s="101">
        <v>1394739600</v>
      </c>
      <c r="E5037" s="87">
        <v>54660229.5</v>
      </c>
      <c r="F5037" s="77" t="s">
        <v>10170</v>
      </c>
    </row>
    <row r="5038" spans="1:6" ht="13.5">
      <c r="A5038" s="82">
        <v>1</v>
      </c>
      <c r="B5038" s="81" t="s">
        <v>9987</v>
      </c>
      <c r="C5038" s="81" t="s">
        <v>9988</v>
      </c>
      <c r="D5038" s="101">
        <v>2221373600</v>
      </c>
      <c r="E5038" s="87">
        <v>87056245.5</v>
      </c>
      <c r="F5038" s="77" t="s">
        <v>10170</v>
      </c>
    </row>
    <row r="5039" spans="1:6" ht="13.5">
      <c r="A5039" s="82">
        <v>1</v>
      </c>
      <c r="B5039" s="81" t="s">
        <v>9989</v>
      </c>
      <c r="C5039" s="81" t="s">
        <v>9990</v>
      </c>
      <c r="D5039" s="101">
        <v>2892055400</v>
      </c>
      <c r="E5039" s="87">
        <v>113340453.5</v>
      </c>
      <c r="F5039" s="77" t="s">
        <v>10170</v>
      </c>
    </row>
    <row r="5040" spans="1:6" ht="13.5">
      <c r="A5040" s="82">
        <v>1</v>
      </c>
      <c r="B5040" s="81" t="s">
        <v>9991</v>
      </c>
      <c r="C5040" s="81" t="s">
        <v>9992</v>
      </c>
      <c r="D5040" s="101">
        <v>3689338900</v>
      </c>
      <c r="E5040" s="87">
        <v>144586213.5</v>
      </c>
      <c r="F5040" s="77" t="s">
        <v>10170</v>
      </c>
    </row>
    <row r="5041" spans="1:6" ht="13.5">
      <c r="A5041" s="82">
        <v>1</v>
      </c>
      <c r="B5041" s="81" t="s">
        <v>9993</v>
      </c>
      <c r="C5041" s="81" t="s">
        <v>9994</v>
      </c>
      <c r="D5041" s="101">
        <v>3290697200</v>
      </c>
      <c r="E5041" s="87">
        <v>128963333.5</v>
      </c>
      <c r="F5041" s="77" t="s">
        <v>10170</v>
      </c>
    </row>
    <row r="5042" spans="1:6" ht="13.5">
      <c r="A5042" s="82">
        <v>1</v>
      </c>
      <c r="B5042" s="81" t="s">
        <v>9995</v>
      </c>
      <c r="C5042" s="81" t="s">
        <v>9996</v>
      </c>
      <c r="D5042" s="101">
        <v>1954959900</v>
      </c>
      <c r="E5042" s="87">
        <v>76615419</v>
      </c>
      <c r="F5042" s="77" t="s">
        <v>10170</v>
      </c>
    </row>
    <row r="5043" spans="1:6" ht="13.5">
      <c r="A5043" s="82">
        <v>1</v>
      </c>
      <c r="B5043" s="81" t="s">
        <v>9997</v>
      </c>
      <c r="C5043" s="81" t="s">
        <v>9998</v>
      </c>
      <c r="D5043" s="101">
        <v>2003256900</v>
      </c>
      <c r="E5043" s="87">
        <v>78508191</v>
      </c>
      <c r="F5043" s="77" t="s">
        <v>10170</v>
      </c>
    </row>
    <row r="5044" spans="1:6" ht="13.5">
      <c r="A5044" s="82">
        <v>1</v>
      </c>
      <c r="B5044" s="81" t="s">
        <v>9999</v>
      </c>
      <c r="C5044" s="81" t="s">
        <v>10000</v>
      </c>
      <c r="D5044" s="101">
        <v>2003256900</v>
      </c>
      <c r="E5044" s="87">
        <v>78508191</v>
      </c>
      <c r="F5044" s="77" t="s">
        <v>10170</v>
      </c>
    </row>
    <row r="5045" spans="1:6" ht="13.5">
      <c r="A5045" s="82">
        <v>1</v>
      </c>
      <c r="B5045" s="81" t="s">
        <v>2371</v>
      </c>
      <c r="C5045" s="81" t="s">
        <v>10001</v>
      </c>
      <c r="D5045" s="101">
        <v>2708833600</v>
      </c>
      <c r="E5045" s="87">
        <v>106159937.5</v>
      </c>
      <c r="F5045" s="77" t="s">
        <v>10170</v>
      </c>
    </row>
    <row r="5046" spans="1:6" ht="13.5">
      <c r="A5046" s="82">
        <v>1</v>
      </c>
      <c r="B5046" s="81" t="s">
        <v>2375</v>
      </c>
      <c r="C5046" s="81" t="s">
        <v>10002</v>
      </c>
      <c r="D5046" s="101">
        <v>3177429300</v>
      </c>
      <c r="E5046" s="87">
        <v>124524332.50000001</v>
      </c>
      <c r="F5046" s="77" t="s">
        <v>10170</v>
      </c>
    </row>
    <row r="5047" spans="1:6" ht="13.5">
      <c r="A5047" s="82">
        <v>1</v>
      </c>
      <c r="B5047" s="81" t="s">
        <v>5289</v>
      </c>
      <c r="C5047" s="81" t="s">
        <v>10003</v>
      </c>
      <c r="D5047" s="101">
        <v>4783290100</v>
      </c>
      <c r="E5047" s="87">
        <v>187458465</v>
      </c>
      <c r="F5047" s="77" t="s">
        <v>10170</v>
      </c>
    </row>
    <row r="5048" spans="1:6" ht="13.5">
      <c r="A5048" s="82">
        <v>1</v>
      </c>
      <c r="B5048" s="81" t="s">
        <v>2372</v>
      </c>
      <c r="C5048" s="81" t="s">
        <v>10004</v>
      </c>
      <c r="D5048" s="101">
        <v>3623847800</v>
      </c>
      <c r="E5048" s="87">
        <v>142019597.5</v>
      </c>
      <c r="F5048" s="77" t="s">
        <v>10170</v>
      </c>
    </row>
    <row r="5049" spans="1:6" ht="13.5">
      <c r="A5049" s="82">
        <v>1</v>
      </c>
      <c r="B5049" s="81" t="s">
        <v>2373</v>
      </c>
      <c r="C5049" s="81" t="s">
        <v>10005</v>
      </c>
      <c r="D5049" s="101">
        <v>2696649800</v>
      </c>
      <c r="E5049" s="87">
        <v>105682452.5</v>
      </c>
      <c r="F5049" s="77" t="s">
        <v>10170</v>
      </c>
    </row>
    <row r="5050" spans="1:6" ht="13.5">
      <c r="A5050" s="82">
        <v>1</v>
      </c>
      <c r="B5050" s="81" t="s">
        <v>2376</v>
      </c>
      <c r="C5050" s="81" t="s">
        <v>10006</v>
      </c>
      <c r="D5050" s="101">
        <v>3164013400</v>
      </c>
      <c r="E5050" s="87">
        <v>123998562.5</v>
      </c>
      <c r="F5050" s="77" t="s">
        <v>10170</v>
      </c>
    </row>
    <row r="5051" spans="1:6" ht="13.5">
      <c r="A5051" s="82">
        <v>1</v>
      </c>
      <c r="B5051" s="81" t="s">
        <v>2374</v>
      </c>
      <c r="C5051" s="81" t="s">
        <v>10007</v>
      </c>
      <c r="D5051" s="101">
        <v>3623847800</v>
      </c>
      <c r="E5051" s="87">
        <v>142019597.5</v>
      </c>
      <c r="F5051" s="77" t="s">
        <v>10170</v>
      </c>
    </row>
    <row r="5052" spans="1:6" ht="13.5">
      <c r="A5052" s="82">
        <v>1</v>
      </c>
      <c r="B5052" s="81" t="s">
        <v>10008</v>
      </c>
      <c r="C5052" s="81" t="s">
        <v>10009</v>
      </c>
      <c r="D5052" s="101">
        <v>693105500</v>
      </c>
      <c r="E5052" s="87">
        <v>27162994.999999996</v>
      </c>
      <c r="F5052" s="77" t="s">
        <v>10170</v>
      </c>
    </row>
    <row r="5053" spans="1:6" ht="13.5">
      <c r="A5053" s="82">
        <v>1</v>
      </c>
      <c r="B5053" s="81" t="s">
        <v>10010</v>
      </c>
      <c r="C5053" s="81" t="s">
        <v>10011</v>
      </c>
      <c r="D5053" s="101">
        <v>579687000</v>
      </c>
      <c r="E5053" s="87">
        <v>22718092.5</v>
      </c>
      <c r="F5053" s="77" t="s">
        <v>10170</v>
      </c>
    </row>
    <row r="5054" spans="1:6" ht="13.5">
      <c r="A5054" s="82">
        <v>1</v>
      </c>
      <c r="B5054" s="81" t="s">
        <v>10012</v>
      </c>
      <c r="C5054" s="81" t="s">
        <v>10013</v>
      </c>
      <c r="D5054" s="101">
        <v>1245413200</v>
      </c>
      <c r="E5054" s="87">
        <v>48808087.5</v>
      </c>
      <c r="F5054" s="77" t="s">
        <v>10170</v>
      </c>
    </row>
    <row r="5055" spans="1:6" ht="13.5">
      <c r="A5055" s="82">
        <v>1</v>
      </c>
      <c r="B5055" s="81" t="s">
        <v>10014</v>
      </c>
      <c r="C5055" s="81" t="s">
        <v>10015</v>
      </c>
      <c r="D5055" s="101">
        <v>1795188300</v>
      </c>
      <c r="E5055" s="87">
        <v>70353927.5</v>
      </c>
      <c r="F5055" s="77" t="s">
        <v>10170</v>
      </c>
    </row>
    <row r="5056" spans="1:6" ht="13.5">
      <c r="A5056" s="82">
        <v>1</v>
      </c>
      <c r="B5056" s="81" t="s">
        <v>10016</v>
      </c>
      <c r="C5056" s="81" t="s">
        <v>10017</v>
      </c>
      <c r="D5056" s="101">
        <v>1795188300</v>
      </c>
      <c r="E5056" s="87">
        <v>70353927.5</v>
      </c>
      <c r="F5056" s="77" t="s">
        <v>10170</v>
      </c>
    </row>
    <row r="5057" spans="1:6" ht="13.5">
      <c r="A5057" s="82">
        <v>1</v>
      </c>
      <c r="B5057" s="81" t="s">
        <v>2836</v>
      </c>
      <c r="C5057" s="81" t="s">
        <v>10018</v>
      </c>
      <c r="D5057" s="101">
        <v>3393519900</v>
      </c>
      <c r="E5057" s="87">
        <v>132992985</v>
      </c>
      <c r="F5057" s="77" t="s">
        <v>10170</v>
      </c>
    </row>
    <row r="5058" spans="1:6" ht="13.5">
      <c r="A5058" s="82">
        <v>1</v>
      </c>
      <c r="B5058" s="81" t="s">
        <v>2837</v>
      </c>
      <c r="C5058" s="81" t="s">
        <v>10019</v>
      </c>
      <c r="D5058" s="101">
        <v>4310656000</v>
      </c>
      <c r="E5058" s="87">
        <v>168935802.5</v>
      </c>
      <c r="F5058" s="77" t="s">
        <v>10170</v>
      </c>
    </row>
    <row r="5059" spans="1:6" ht="13.5">
      <c r="A5059" s="82">
        <v>1</v>
      </c>
      <c r="B5059" s="81" t="s">
        <v>10020</v>
      </c>
      <c r="C5059" s="81" t="s">
        <v>10021</v>
      </c>
      <c r="D5059" s="101">
        <v>2701441200</v>
      </c>
      <c r="E5059" s="87">
        <v>105870227.5</v>
      </c>
      <c r="F5059" s="77" t="s">
        <v>10170</v>
      </c>
    </row>
    <row r="5060" spans="1:6" ht="13.5">
      <c r="A5060" s="82">
        <v>1</v>
      </c>
      <c r="B5060" s="81" t="s">
        <v>10022</v>
      </c>
      <c r="C5060" s="81" t="s">
        <v>10023</v>
      </c>
      <c r="D5060" s="101">
        <v>8468850700</v>
      </c>
      <c r="E5060" s="87">
        <v>331896604.5</v>
      </c>
      <c r="F5060" s="77" t="s">
        <v>10170</v>
      </c>
    </row>
    <row r="5061" spans="1:6" ht="13.5">
      <c r="A5061" s="82">
        <v>1</v>
      </c>
      <c r="B5061" s="81" t="s">
        <v>10024</v>
      </c>
      <c r="C5061" s="81" t="s">
        <v>10025</v>
      </c>
      <c r="D5061" s="101">
        <v>11608852500</v>
      </c>
      <c r="E5061" s="87">
        <v>454954146</v>
      </c>
      <c r="F5061" s="77" t="s">
        <v>10170</v>
      </c>
    </row>
    <row r="5062" spans="1:6" ht="13.5">
      <c r="A5062" s="82">
        <v>1</v>
      </c>
      <c r="B5062" s="81" t="s">
        <v>10026</v>
      </c>
      <c r="C5062" s="81" t="s">
        <v>10027</v>
      </c>
      <c r="D5062" s="101">
        <v>11296619700</v>
      </c>
      <c r="E5062" s="87">
        <v>442717654</v>
      </c>
      <c r="F5062" s="77" t="s">
        <v>10170</v>
      </c>
    </row>
    <row r="5063" spans="1:6" ht="13.5">
      <c r="A5063" s="82">
        <v>1</v>
      </c>
      <c r="B5063" s="81" t="s">
        <v>10028</v>
      </c>
      <c r="C5063" s="81" t="s">
        <v>10029</v>
      </c>
      <c r="D5063" s="101">
        <v>10806900900</v>
      </c>
      <c r="E5063" s="87">
        <v>423525439.5</v>
      </c>
      <c r="F5063" s="77" t="s">
        <v>10170</v>
      </c>
    </row>
    <row r="5064" spans="1:6" ht="13.5">
      <c r="A5064" s="82">
        <v>1</v>
      </c>
      <c r="B5064" s="81" t="s">
        <v>10030</v>
      </c>
      <c r="C5064" s="81" t="s">
        <v>10031</v>
      </c>
      <c r="D5064" s="101">
        <v>17644866100</v>
      </c>
      <c r="E5064" s="87">
        <v>691507189.5</v>
      </c>
      <c r="F5064" s="77" t="s">
        <v>10170</v>
      </c>
    </row>
    <row r="5065" spans="1:6" ht="13.5">
      <c r="A5065" s="82">
        <v>1</v>
      </c>
      <c r="B5065" s="81" t="s">
        <v>10032</v>
      </c>
      <c r="C5065" s="81" t="s">
        <v>10033</v>
      </c>
      <c r="D5065" s="101">
        <v>17196010800</v>
      </c>
      <c r="E5065" s="87">
        <v>673916427.5</v>
      </c>
      <c r="F5065" s="77" t="s">
        <v>10170</v>
      </c>
    </row>
    <row r="5066" spans="1:6" ht="13.5">
      <c r="A5066" s="82">
        <v>1</v>
      </c>
      <c r="B5066" s="81" t="s">
        <v>10034</v>
      </c>
      <c r="C5066" s="81" t="s">
        <v>7258</v>
      </c>
      <c r="D5066" s="101">
        <v>17142621300</v>
      </c>
      <c r="E5066" s="87">
        <v>671824077.5</v>
      </c>
      <c r="F5066" s="77" t="s">
        <v>10170</v>
      </c>
    </row>
    <row r="5067" spans="1:6" ht="13.5">
      <c r="A5067" s="82">
        <v>1</v>
      </c>
      <c r="B5067" s="81" t="s">
        <v>10035</v>
      </c>
      <c r="C5067" s="81" t="s">
        <v>10036</v>
      </c>
      <c r="D5067" s="101">
        <v>5807711800</v>
      </c>
      <c r="E5067" s="87">
        <v>227605833</v>
      </c>
      <c r="F5067" s="77" t="s">
        <v>10170</v>
      </c>
    </row>
    <row r="5068" spans="1:6" ht="13.5">
      <c r="A5068" s="82">
        <v>1</v>
      </c>
      <c r="B5068" s="81" t="s">
        <v>10037</v>
      </c>
      <c r="C5068" s="81" t="s">
        <v>10038</v>
      </c>
      <c r="D5068" s="101">
        <v>23206972400</v>
      </c>
      <c r="E5068" s="87">
        <v>909487676</v>
      </c>
      <c r="F5068" s="77" t="s">
        <v>10170</v>
      </c>
    </row>
    <row r="5069" spans="1:6" ht="13.5">
      <c r="A5069" s="82">
        <v>1</v>
      </c>
      <c r="B5069" s="81" t="s">
        <v>10039</v>
      </c>
      <c r="C5069" s="81" t="s">
        <v>10040</v>
      </c>
      <c r="D5069" s="101">
        <v>4907961500</v>
      </c>
      <c r="E5069" s="87">
        <v>192344370.5</v>
      </c>
      <c r="F5069" s="77" t="s">
        <v>10170</v>
      </c>
    </row>
    <row r="5070" spans="1:6" ht="13.5">
      <c r="A5070" s="82">
        <v>1</v>
      </c>
      <c r="B5070" s="81" t="s">
        <v>10041</v>
      </c>
      <c r="C5070" s="81" t="s">
        <v>10042</v>
      </c>
      <c r="D5070" s="101">
        <v>6402525800</v>
      </c>
      <c r="E5070" s="87">
        <v>250916758</v>
      </c>
      <c r="F5070" s="77" t="s">
        <v>10170</v>
      </c>
    </row>
    <row r="5071" spans="1:6" ht="13.5">
      <c r="A5071" s="82">
        <v>1</v>
      </c>
      <c r="B5071" s="81" t="s">
        <v>10043</v>
      </c>
      <c r="C5071" s="81" t="s">
        <v>10044</v>
      </c>
      <c r="D5071" s="101">
        <v>1096237400</v>
      </c>
      <c r="E5071" s="87">
        <v>42961847</v>
      </c>
      <c r="F5071" s="77" t="s">
        <v>10170</v>
      </c>
    </row>
    <row r="5072" spans="1:6" ht="13.5">
      <c r="A5072" s="82">
        <v>1</v>
      </c>
      <c r="B5072" s="81" t="s">
        <v>10045</v>
      </c>
      <c r="C5072" s="81" t="s">
        <v>10046</v>
      </c>
      <c r="D5072" s="101">
        <v>50514700</v>
      </c>
      <c r="E5072" s="87">
        <v>1979685</v>
      </c>
      <c r="F5072" s="77" t="s">
        <v>10170</v>
      </c>
    </row>
    <row r="5073" spans="1:6" ht="13.5">
      <c r="A5073" s="82">
        <v>1</v>
      </c>
      <c r="B5073" s="81" t="s">
        <v>10047</v>
      </c>
      <c r="C5073" s="81" t="s">
        <v>4050</v>
      </c>
      <c r="D5073" s="101">
        <v>121290000</v>
      </c>
      <c r="E5073" s="87">
        <v>4753390</v>
      </c>
      <c r="F5073" s="77" t="s">
        <v>10170</v>
      </c>
    </row>
    <row r="5074" spans="1:6" ht="13.5">
      <c r="A5074" s="82">
        <v>1</v>
      </c>
      <c r="B5074" s="81" t="s">
        <v>10048</v>
      </c>
      <c r="C5074" s="81" t="s">
        <v>10049</v>
      </c>
      <c r="D5074" s="101">
        <v>422297400</v>
      </c>
      <c r="E5074" s="87">
        <v>16549952</v>
      </c>
      <c r="F5074" s="77" t="s">
        <v>10170</v>
      </c>
    </row>
    <row r="5075" spans="1:6" ht="13.5">
      <c r="A5075" s="82">
        <v>1</v>
      </c>
      <c r="B5075" s="81" t="s">
        <v>10050</v>
      </c>
      <c r="C5075" s="81" t="s">
        <v>4047</v>
      </c>
      <c r="D5075" s="101">
        <v>920832300</v>
      </c>
      <c r="E5075" s="87">
        <v>36087672.5</v>
      </c>
      <c r="F5075" s="77" t="s">
        <v>10170</v>
      </c>
    </row>
    <row r="5076" spans="1:6" ht="13.5">
      <c r="A5076" s="82">
        <v>1</v>
      </c>
      <c r="B5076" s="81" t="s">
        <v>10051</v>
      </c>
      <c r="C5076" s="81" t="s">
        <v>10052</v>
      </c>
      <c r="D5076" s="101">
        <v>11930038400</v>
      </c>
      <c r="E5076" s="87">
        <v>467541509</v>
      </c>
      <c r="F5076" s="77" t="s">
        <v>10170</v>
      </c>
    </row>
    <row r="5077" spans="1:6" ht="13.5">
      <c r="A5077" s="82">
        <v>1</v>
      </c>
      <c r="B5077" s="81" t="s">
        <v>10053</v>
      </c>
      <c r="C5077" s="81" t="s">
        <v>10054</v>
      </c>
      <c r="D5077" s="101">
        <v>11762477400</v>
      </c>
      <c r="E5077" s="87">
        <v>460974749</v>
      </c>
      <c r="F5077" s="77" t="s">
        <v>10170</v>
      </c>
    </row>
    <row r="5078" spans="1:6" ht="13.5">
      <c r="A5078" s="82">
        <v>1</v>
      </c>
      <c r="B5078" s="81" t="s">
        <v>5652</v>
      </c>
      <c r="C5078" s="81" t="s">
        <v>10055</v>
      </c>
      <c r="D5078" s="101">
        <v>11635136600</v>
      </c>
      <c r="E5078" s="87">
        <v>455984226</v>
      </c>
      <c r="F5078" s="77" t="s">
        <v>10170</v>
      </c>
    </row>
    <row r="5079" spans="1:6" ht="13.5">
      <c r="A5079" s="82">
        <v>1</v>
      </c>
      <c r="B5079" s="81" t="s">
        <v>10056</v>
      </c>
      <c r="C5079" s="81" t="s">
        <v>5995</v>
      </c>
      <c r="D5079" s="101">
        <v>11200340600</v>
      </c>
      <c r="E5079" s="87">
        <v>438944449.5</v>
      </c>
      <c r="F5079" s="77" t="s">
        <v>10170</v>
      </c>
    </row>
    <row r="5080" spans="1:6" ht="13.5">
      <c r="A5080" s="82">
        <v>1</v>
      </c>
      <c r="B5080" s="81" t="s">
        <v>10057</v>
      </c>
      <c r="C5080" s="81" t="s">
        <v>10058</v>
      </c>
      <c r="D5080" s="101">
        <v>17815055400</v>
      </c>
      <c r="E5080" s="87">
        <v>698176957.5</v>
      </c>
      <c r="F5080" s="77" t="s">
        <v>10170</v>
      </c>
    </row>
    <row r="5081" spans="1:6" ht="13.5">
      <c r="A5081" s="82">
        <v>1</v>
      </c>
      <c r="B5081" s="81" t="s">
        <v>10059</v>
      </c>
      <c r="C5081" s="81" t="s">
        <v>10060</v>
      </c>
      <c r="D5081" s="101">
        <v>17797464300</v>
      </c>
      <c r="E5081" s="87">
        <v>697487555</v>
      </c>
      <c r="F5081" s="77" t="s">
        <v>10170</v>
      </c>
    </row>
    <row r="5082" spans="1:6" ht="13.5">
      <c r="A5082" s="82">
        <v>1</v>
      </c>
      <c r="B5082" s="81" t="s">
        <v>10061</v>
      </c>
      <c r="C5082" s="81" t="s">
        <v>10062</v>
      </c>
      <c r="D5082" s="101">
        <v>17707181200</v>
      </c>
      <c r="E5082" s="87">
        <v>693949337.5</v>
      </c>
      <c r="F5082" s="77" t="s">
        <v>10170</v>
      </c>
    </row>
    <row r="5083" spans="1:6" ht="13.5">
      <c r="A5083" s="82">
        <v>1</v>
      </c>
      <c r="B5083" s="81" t="s">
        <v>10063</v>
      </c>
      <c r="C5083" s="81" t="s">
        <v>10064</v>
      </c>
      <c r="D5083" s="101">
        <v>17563919400</v>
      </c>
      <c r="E5083" s="87">
        <v>688334865</v>
      </c>
      <c r="F5083" s="77" t="s">
        <v>10170</v>
      </c>
    </row>
    <row r="5084" spans="1:6" ht="13.5">
      <c r="A5084" s="82">
        <v>1</v>
      </c>
      <c r="B5084" s="81" t="s">
        <v>10065</v>
      </c>
      <c r="C5084" s="81" t="s">
        <v>7258</v>
      </c>
      <c r="D5084" s="101">
        <v>17234547100</v>
      </c>
      <c r="E5084" s="87">
        <v>675426675</v>
      </c>
      <c r="F5084" s="77" t="s">
        <v>10170</v>
      </c>
    </row>
    <row r="5085" spans="1:6" ht="13.5">
      <c r="A5085" s="82">
        <v>1</v>
      </c>
      <c r="B5085" s="81" t="s">
        <v>10066</v>
      </c>
      <c r="C5085" s="81" t="s">
        <v>10067</v>
      </c>
      <c r="D5085" s="101">
        <v>8699438600</v>
      </c>
      <c r="E5085" s="87">
        <v>340933410.5</v>
      </c>
      <c r="F5085" s="77" t="s">
        <v>10170</v>
      </c>
    </row>
    <row r="5086" spans="1:6" ht="13.5">
      <c r="A5086" s="82">
        <v>1</v>
      </c>
      <c r="B5086" s="81" t="s">
        <v>10068</v>
      </c>
      <c r="C5086" s="81" t="s">
        <v>10069</v>
      </c>
      <c r="D5086" s="101">
        <v>17449706900</v>
      </c>
      <c r="E5086" s="87">
        <v>683858845.5</v>
      </c>
      <c r="F5086" s="77" t="s">
        <v>10170</v>
      </c>
    </row>
    <row r="5087" spans="1:6" ht="13.5">
      <c r="A5087" s="82">
        <v>1</v>
      </c>
      <c r="B5087" s="81" t="s">
        <v>10070</v>
      </c>
      <c r="C5087" s="81" t="s">
        <v>10071</v>
      </c>
      <c r="D5087" s="101">
        <v>8738002300</v>
      </c>
      <c r="E5087" s="87">
        <v>342444731</v>
      </c>
      <c r="F5087" s="77" t="s">
        <v>10170</v>
      </c>
    </row>
    <row r="5088" spans="1:6" ht="13.5">
      <c r="A5088" s="82">
        <v>1</v>
      </c>
      <c r="B5088" s="81" t="s">
        <v>10072</v>
      </c>
      <c r="C5088" s="81" t="s">
        <v>10073</v>
      </c>
      <c r="D5088" s="101">
        <v>8729747500</v>
      </c>
      <c r="E5088" s="87">
        <v>342121221.5</v>
      </c>
      <c r="F5088" s="77" t="s">
        <v>10170</v>
      </c>
    </row>
    <row r="5089" spans="1:6" ht="13.5">
      <c r="A5089" s="82">
        <v>1</v>
      </c>
      <c r="B5089" s="81" t="s">
        <v>10074</v>
      </c>
      <c r="C5089" s="81" t="s">
        <v>10075</v>
      </c>
      <c r="D5089" s="101">
        <v>17482794700</v>
      </c>
      <c r="E5089" s="87">
        <v>685155566</v>
      </c>
      <c r="F5089" s="77" t="s">
        <v>10170</v>
      </c>
    </row>
    <row r="5090" spans="1:6" ht="13.5">
      <c r="A5090" s="82">
        <v>1</v>
      </c>
      <c r="B5090" s="81" t="s">
        <v>10076</v>
      </c>
      <c r="C5090" s="81" t="s">
        <v>10077</v>
      </c>
      <c r="D5090" s="101">
        <v>17474539800</v>
      </c>
      <c r="E5090" s="87">
        <v>684832056.5</v>
      </c>
      <c r="F5090" s="77" t="s">
        <v>10170</v>
      </c>
    </row>
    <row r="5091" spans="1:6" ht="13.5">
      <c r="A5091" s="82">
        <v>1</v>
      </c>
      <c r="B5091" s="81" t="s">
        <v>10078</v>
      </c>
      <c r="C5091" s="81" t="s">
        <v>10079</v>
      </c>
      <c r="D5091" s="101">
        <v>8587786100</v>
      </c>
      <c r="E5091" s="87">
        <v>336557716.5</v>
      </c>
      <c r="F5091" s="77" t="s">
        <v>10170</v>
      </c>
    </row>
    <row r="5092" spans="1:6" ht="13.5">
      <c r="A5092" s="82">
        <v>1</v>
      </c>
      <c r="B5092" s="81" t="s">
        <v>10080</v>
      </c>
      <c r="C5092" s="81" t="s">
        <v>10081</v>
      </c>
      <c r="D5092" s="101">
        <v>17080306200</v>
      </c>
      <c r="E5092" s="87">
        <v>669381929.5</v>
      </c>
      <c r="F5092" s="77" t="s">
        <v>10170</v>
      </c>
    </row>
    <row r="5093" spans="1:6" ht="13.5">
      <c r="A5093" s="82">
        <v>1</v>
      </c>
      <c r="B5093" s="81" t="s">
        <v>10082</v>
      </c>
      <c r="C5093" s="81" t="s">
        <v>10083</v>
      </c>
      <c r="D5093" s="101">
        <v>12575901000</v>
      </c>
      <c r="E5093" s="87">
        <v>492853042.50000006</v>
      </c>
      <c r="F5093" s="77" t="s">
        <v>10170</v>
      </c>
    </row>
    <row r="5094" spans="1:6" ht="13.5">
      <c r="A5094" s="82">
        <v>1</v>
      </c>
      <c r="B5094" s="81" t="s">
        <v>10084</v>
      </c>
      <c r="C5094" s="81" t="s">
        <v>10085</v>
      </c>
      <c r="D5094" s="101">
        <v>26832271200</v>
      </c>
      <c r="E5094" s="87">
        <v>1051564142.5</v>
      </c>
      <c r="F5094" s="77" t="s">
        <v>10170</v>
      </c>
    </row>
    <row r="5095" spans="1:6" ht="13.5">
      <c r="A5095" s="82">
        <v>1</v>
      </c>
      <c r="B5095" s="81" t="s">
        <v>10086</v>
      </c>
      <c r="C5095" s="81" t="s">
        <v>10087</v>
      </c>
      <c r="D5095" s="101">
        <v>12701243100</v>
      </c>
      <c r="E5095" s="87">
        <v>497765236.5</v>
      </c>
      <c r="F5095" s="77" t="s">
        <v>10170</v>
      </c>
    </row>
    <row r="5096" spans="1:6" ht="13.5">
      <c r="A5096" s="82">
        <v>1</v>
      </c>
      <c r="B5096" s="81" t="s">
        <v>10088</v>
      </c>
      <c r="C5096" s="81" t="s">
        <v>10089</v>
      </c>
      <c r="D5096" s="101">
        <v>26957613400</v>
      </c>
      <c r="E5096" s="87">
        <v>1056476336.5</v>
      </c>
      <c r="F5096" s="77" t="s">
        <v>10170</v>
      </c>
    </row>
    <row r="5097" spans="1:6" ht="13.5">
      <c r="A5097" s="82">
        <v>1</v>
      </c>
      <c r="B5097" s="81" t="s">
        <v>10090</v>
      </c>
      <c r="C5097" s="81" t="s">
        <v>10089</v>
      </c>
      <c r="D5097" s="101">
        <v>12370077500</v>
      </c>
      <c r="E5097" s="87">
        <v>484786765</v>
      </c>
      <c r="F5097" s="77" t="s">
        <v>10170</v>
      </c>
    </row>
    <row r="5098" spans="1:6" ht="13.5">
      <c r="A5098" s="82">
        <v>1</v>
      </c>
      <c r="B5098" s="81" t="s">
        <v>10091</v>
      </c>
      <c r="C5098" s="81" t="s">
        <v>10092</v>
      </c>
      <c r="D5098" s="101">
        <v>26832284900</v>
      </c>
      <c r="E5098" s="87">
        <v>1051564679</v>
      </c>
      <c r="F5098" s="77" t="s">
        <v>10170</v>
      </c>
    </row>
    <row r="5099" spans="1:6" ht="13.5">
      <c r="A5099" s="82">
        <v>1</v>
      </c>
      <c r="B5099" s="81" t="s">
        <v>10093</v>
      </c>
      <c r="C5099" s="81" t="s">
        <v>10094</v>
      </c>
      <c r="D5099" s="101">
        <v>26815652000</v>
      </c>
      <c r="E5099" s="87">
        <v>1050912831.5</v>
      </c>
      <c r="F5099" s="77" t="s">
        <v>10170</v>
      </c>
    </row>
    <row r="5100" spans="1:6" ht="13.5">
      <c r="A5100" s="82">
        <v>1</v>
      </c>
      <c r="B5100" s="81" t="s">
        <v>10095</v>
      </c>
      <c r="C5100" s="81" t="s">
        <v>10096</v>
      </c>
      <c r="D5100" s="101">
        <v>15246431000</v>
      </c>
      <c r="E5100" s="87">
        <v>597511853</v>
      </c>
      <c r="F5100" s="77" t="s">
        <v>10170</v>
      </c>
    </row>
    <row r="5101" spans="1:6" ht="13.5">
      <c r="A5101" s="82">
        <v>1</v>
      </c>
      <c r="B5101" s="81" t="s">
        <v>10097</v>
      </c>
      <c r="C5101" s="81" t="s">
        <v>10098</v>
      </c>
      <c r="D5101" s="101">
        <v>32736029400</v>
      </c>
      <c r="E5101" s="87">
        <v>1282934059.5</v>
      </c>
      <c r="F5101" s="77" t="s">
        <v>10170</v>
      </c>
    </row>
    <row r="5102" spans="1:6" ht="13.5">
      <c r="A5102" s="82">
        <v>1</v>
      </c>
      <c r="B5102" s="81" t="s">
        <v>10099</v>
      </c>
      <c r="C5102" s="81" t="s">
        <v>10100</v>
      </c>
      <c r="D5102" s="101">
        <v>15234055500</v>
      </c>
      <c r="E5102" s="87">
        <v>597026857</v>
      </c>
      <c r="F5102" s="77" t="s">
        <v>10170</v>
      </c>
    </row>
    <row r="5103" spans="1:6" ht="13.5">
      <c r="A5103" s="82">
        <v>1</v>
      </c>
      <c r="B5103" s="81" t="s">
        <v>10101</v>
      </c>
      <c r="C5103" s="81" t="s">
        <v>10102</v>
      </c>
      <c r="D5103" s="101">
        <v>23978847900</v>
      </c>
      <c r="E5103" s="87">
        <v>939737692</v>
      </c>
      <c r="F5103" s="77" t="s">
        <v>10170</v>
      </c>
    </row>
    <row r="5104" spans="1:6" ht="13.5">
      <c r="A5104" s="82">
        <v>1</v>
      </c>
      <c r="B5104" s="81" t="s">
        <v>10103</v>
      </c>
      <c r="C5104" s="81" t="s">
        <v>10100</v>
      </c>
      <c r="D5104" s="101">
        <v>15092094200</v>
      </c>
      <c r="E5104" s="87">
        <v>591463352</v>
      </c>
      <c r="F5104" s="77" t="s">
        <v>10170</v>
      </c>
    </row>
    <row r="5105" spans="1:6" ht="13.5">
      <c r="A5105" s="82">
        <v>1</v>
      </c>
      <c r="B5105" s="81" t="s">
        <v>10104</v>
      </c>
      <c r="C5105" s="81" t="s">
        <v>10105</v>
      </c>
      <c r="D5105" s="101">
        <v>23836886500</v>
      </c>
      <c r="E5105" s="87">
        <v>934174186.99999988</v>
      </c>
      <c r="F5105" s="77" t="s">
        <v>10170</v>
      </c>
    </row>
    <row r="5106" spans="1:6" ht="13.5">
      <c r="A5106" s="82">
        <v>1</v>
      </c>
      <c r="B5106" s="81" t="s">
        <v>10106</v>
      </c>
      <c r="C5106" s="81" t="s">
        <v>10107</v>
      </c>
      <c r="D5106" s="101">
        <v>23591459000</v>
      </c>
      <c r="E5106" s="87">
        <v>924555814.99999988</v>
      </c>
      <c r="F5106" s="77" t="s">
        <v>10170</v>
      </c>
    </row>
    <row r="5107" spans="1:6" ht="13.5">
      <c r="A5107" s="82">
        <v>1</v>
      </c>
      <c r="B5107" s="81" t="s">
        <v>10108</v>
      </c>
      <c r="C5107" s="81" t="s">
        <v>10109</v>
      </c>
      <c r="D5107" s="101">
        <v>23720853300</v>
      </c>
      <c r="E5107" s="87">
        <v>929626812.99999988</v>
      </c>
      <c r="F5107" s="77" t="s">
        <v>10170</v>
      </c>
    </row>
    <row r="5108" spans="1:6" ht="13.5">
      <c r="A5108" s="82">
        <v>1</v>
      </c>
      <c r="B5108" s="81" t="s">
        <v>10110</v>
      </c>
      <c r="C5108" s="81" t="s">
        <v>10111</v>
      </c>
      <c r="D5108" s="101">
        <v>52104213300</v>
      </c>
      <c r="E5108" s="87">
        <v>2041978551.5</v>
      </c>
      <c r="F5108" s="77" t="s">
        <v>10170</v>
      </c>
    </row>
    <row r="5109" spans="1:6" ht="13.5">
      <c r="A5109" s="82">
        <v>1</v>
      </c>
      <c r="B5109" s="81" t="s">
        <v>10112</v>
      </c>
      <c r="C5109" s="81" t="s">
        <v>1138</v>
      </c>
      <c r="D5109" s="101">
        <v>46818500</v>
      </c>
      <c r="E5109" s="87">
        <v>1834830.0000000002</v>
      </c>
      <c r="F5109" s="77" t="s">
        <v>5504</v>
      </c>
    </row>
    <row r="5110" spans="1:6" ht="13.5">
      <c r="A5110" s="82">
        <v>1</v>
      </c>
      <c r="B5110" s="81" t="s">
        <v>10113</v>
      </c>
      <c r="C5110" s="81" t="s">
        <v>1611</v>
      </c>
      <c r="D5110" s="101">
        <v>59125500</v>
      </c>
      <c r="E5110" s="87">
        <v>2317143.5</v>
      </c>
      <c r="F5110" s="77" t="s">
        <v>5504</v>
      </c>
    </row>
    <row r="5111" spans="1:6" ht="13.5">
      <c r="A5111" s="82">
        <v>1</v>
      </c>
      <c r="B5111" s="81" t="s">
        <v>5613</v>
      </c>
      <c r="C5111" s="81" t="s">
        <v>1665</v>
      </c>
      <c r="D5111" s="101">
        <v>93623300</v>
      </c>
      <c r="E5111" s="87">
        <v>3669123.4999999995</v>
      </c>
      <c r="F5111" s="77" t="s">
        <v>5504</v>
      </c>
    </row>
    <row r="5112" spans="1:6" ht="13.5">
      <c r="A5112" s="82">
        <v>1</v>
      </c>
      <c r="B5112" s="81" t="s">
        <v>5614</v>
      </c>
      <c r="C5112" s="81" t="s">
        <v>1612</v>
      </c>
      <c r="D5112" s="101">
        <v>124192200</v>
      </c>
      <c r="E5112" s="87">
        <v>4867128</v>
      </c>
      <c r="F5112" s="77" t="s">
        <v>5504</v>
      </c>
    </row>
    <row r="5113" spans="1:6" ht="13.5">
      <c r="A5113" s="82">
        <v>1</v>
      </c>
      <c r="B5113" s="81" t="s">
        <v>10114</v>
      </c>
      <c r="C5113" s="81" t="s">
        <v>10115</v>
      </c>
      <c r="D5113" s="101">
        <v>1449908700</v>
      </c>
      <c r="E5113" s="87">
        <v>56822324.5</v>
      </c>
      <c r="F5113" s="77" t="s">
        <v>10170</v>
      </c>
    </row>
    <row r="5114" spans="1:6" ht="13.5">
      <c r="A5114" s="82">
        <v>1</v>
      </c>
      <c r="B5114" s="81" t="s">
        <v>10116</v>
      </c>
      <c r="C5114" s="81" t="s">
        <v>10117</v>
      </c>
      <c r="D5114" s="101">
        <v>459492100</v>
      </c>
      <c r="E5114" s="87">
        <v>43802325</v>
      </c>
      <c r="F5114" s="77" t="s">
        <v>10176</v>
      </c>
    </row>
    <row r="5115" spans="1:6" ht="13.5">
      <c r="A5115" s="82">
        <v>1</v>
      </c>
      <c r="B5115" s="81" t="s">
        <v>10118</v>
      </c>
      <c r="C5115" s="81" t="s">
        <v>10119</v>
      </c>
      <c r="D5115" s="101">
        <v>981559400</v>
      </c>
      <c r="E5115" s="87">
        <v>93569805</v>
      </c>
      <c r="F5115" s="77" t="s">
        <v>10176</v>
      </c>
    </row>
    <row r="5116" spans="1:6" ht="13.5">
      <c r="A5116" s="82">
        <v>1</v>
      </c>
      <c r="B5116" s="81" t="s">
        <v>10120</v>
      </c>
      <c r="C5116" s="81" t="s">
        <v>10121</v>
      </c>
      <c r="D5116" s="101">
        <v>1503626800</v>
      </c>
      <c r="E5116" s="87">
        <v>143337285</v>
      </c>
      <c r="F5116" s="77" t="s">
        <v>10176</v>
      </c>
    </row>
    <row r="5117" spans="1:6" ht="13.5">
      <c r="A5117" s="82">
        <v>1</v>
      </c>
      <c r="B5117" s="81" t="s">
        <v>10122</v>
      </c>
      <c r="C5117" s="81" t="s">
        <v>10123</v>
      </c>
      <c r="D5117" s="101">
        <v>674049500</v>
      </c>
      <c r="E5117" s="87">
        <v>64255590.000000007</v>
      </c>
      <c r="F5117" s="77" t="s">
        <v>10176</v>
      </c>
    </row>
    <row r="5118" spans="1:6" ht="13.5">
      <c r="A5118" s="82">
        <v>1</v>
      </c>
      <c r="B5118" s="81" t="s">
        <v>10124</v>
      </c>
      <c r="C5118" s="81" t="s">
        <v>10125</v>
      </c>
      <c r="D5118" s="101">
        <v>1228314800</v>
      </c>
      <c r="E5118" s="87">
        <v>117092430.00000001</v>
      </c>
      <c r="F5118" s="77" t="s">
        <v>10176</v>
      </c>
    </row>
    <row r="5119" spans="1:6" ht="13.5">
      <c r="A5119" s="82">
        <v>1</v>
      </c>
      <c r="B5119" s="81" t="s">
        <v>10126</v>
      </c>
      <c r="C5119" s="81" t="s">
        <v>10127</v>
      </c>
      <c r="D5119" s="101">
        <v>1782580200</v>
      </c>
      <c r="E5119" s="87">
        <v>169929270</v>
      </c>
      <c r="F5119" s="77" t="s">
        <v>10176</v>
      </c>
    </row>
    <row r="5120" spans="1:6" ht="13.5">
      <c r="A5120" s="82">
        <v>1</v>
      </c>
      <c r="B5120" s="81" t="s">
        <v>10128</v>
      </c>
      <c r="C5120" s="81" t="s">
        <v>10129</v>
      </c>
      <c r="D5120" s="101">
        <v>28364900</v>
      </c>
      <c r="E5120" s="87">
        <v>2703960</v>
      </c>
      <c r="F5120" s="77" t="s">
        <v>10176</v>
      </c>
    </row>
    <row r="5121" spans="1:6" ht="13.5">
      <c r="A5121" s="82">
        <v>1</v>
      </c>
      <c r="B5121" s="81" t="s">
        <v>10130</v>
      </c>
      <c r="C5121" s="81" t="s">
        <v>10131</v>
      </c>
      <c r="D5121" s="101">
        <v>68612400</v>
      </c>
      <c r="E5121" s="87">
        <v>6540660</v>
      </c>
      <c r="F5121" s="77" t="s">
        <v>10176</v>
      </c>
    </row>
    <row r="5122" spans="1:6" ht="13.5">
      <c r="A5122" s="82">
        <v>1</v>
      </c>
      <c r="B5122" s="81" t="s">
        <v>10132</v>
      </c>
      <c r="C5122" s="81" t="s">
        <v>10133</v>
      </c>
      <c r="D5122" s="101">
        <v>108859900</v>
      </c>
      <c r="E5122" s="87">
        <v>10377360</v>
      </c>
      <c r="F5122" s="77" t="s">
        <v>10176</v>
      </c>
    </row>
    <row r="5123" spans="1:6" ht="13.5">
      <c r="A5123" s="82">
        <v>1</v>
      </c>
      <c r="B5123" s="81" t="s">
        <v>10134</v>
      </c>
      <c r="C5123" s="81" t="s">
        <v>10135</v>
      </c>
      <c r="D5123" s="101">
        <v>37756000</v>
      </c>
      <c r="E5123" s="87">
        <v>3599190.0000000005</v>
      </c>
      <c r="F5123" s="77" t="s">
        <v>10176</v>
      </c>
    </row>
    <row r="5124" spans="1:6" ht="13.5">
      <c r="A5124" s="82">
        <v>1</v>
      </c>
      <c r="B5124" s="81" t="s">
        <v>10136</v>
      </c>
      <c r="C5124" s="81" t="s">
        <v>10137</v>
      </c>
      <c r="D5124" s="101">
        <v>80303300</v>
      </c>
      <c r="E5124" s="87">
        <v>7655130.0000000009</v>
      </c>
      <c r="F5124" s="77" t="s">
        <v>10176</v>
      </c>
    </row>
    <row r="5125" spans="1:6" ht="13.5">
      <c r="A5125" s="82">
        <v>1</v>
      </c>
      <c r="B5125" s="81" t="s">
        <v>10138</v>
      </c>
      <c r="C5125" s="81" t="s">
        <v>10139</v>
      </c>
      <c r="D5125" s="101">
        <v>122850600</v>
      </c>
      <c r="E5125" s="87">
        <v>11711070</v>
      </c>
      <c r="F5125" s="77" t="s">
        <v>10176</v>
      </c>
    </row>
    <row r="5126" spans="1:6" ht="13.5">
      <c r="A5126" s="82">
        <v>1</v>
      </c>
      <c r="B5126" s="81" t="s">
        <v>10140</v>
      </c>
      <c r="C5126" s="81" t="s">
        <v>10141</v>
      </c>
      <c r="D5126" s="101">
        <v>99044400</v>
      </c>
      <c r="E5126" s="87">
        <v>9441675</v>
      </c>
      <c r="F5126" s="77" t="s">
        <v>10176</v>
      </c>
    </row>
    <row r="5127" spans="1:6" ht="13.5">
      <c r="A5127" s="82">
        <v>1</v>
      </c>
      <c r="B5127" s="81" t="s">
        <v>10142</v>
      </c>
      <c r="C5127" s="81" t="s">
        <v>10143</v>
      </c>
      <c r="D5127" s="101">
        <v>258884400</v>
      </c>
      <c r="E5127" s="87">
        <v>24678855.000000004</v>
      </c>
      <c r="F5127" s="77" t="s">
        <v>10176</v>
      </c>
    </row>
    <row r="5128" spans="1:6" ht="13.5">
      <c r="A5128" s="82">
        <v>1</v>
      </c>
      <c r="B5128" s="81" t="s">
        <v>10144</v>
      </c>
      <c r="C5128" s="81" t="s">
        <v>10145</v>
      </c>
      <c r="D5128" s="101">
        <v>418724400</v>
      </c>
      <c r="E5128" s="87">
        <v>39916035</v>
      </c>
      <c r="F5128" s="77" t="s">
        <v>10176</v>
      </c>
    </row>
    <row r="5129" spans="1:6" ht="13.5">
      <c r="A5129" s="82">
        <v>1</v>
      </c>
      <c r="B5129" s="81" t="s">
        <v>10146</v>
      </c>
      <c r="C5129" s="81" t="s">
        <v>10147</v>
      </c>
      <c r="D5129" s="101">
        <v>119880000</v>
      </c>
      <c r="E5129" s="87">
        <v>11427885</v>
      </c>
      <c r="F5129" s="77" t="s">
        <v>10176</v>
      </c>
    </row>
    <row r="5130" spans="1:6" ht="13.5">
      <c r="A5130" s="82">
        <v>1</v>
      </c>
      <c r="B5130" s="81" t="s">
        <v>10148</v>
      </c>
      <c r="C5130" s="81" t="s">
        <v>10149</v>
      </c>
      <c r="D5130" s="101">
        <v>283169800</v>
      </c>
      <c r="E5130" s="87">
        <v>26993925</v>
      </c>
      <c r="F5130" s="77" t="s">
        <v>10176</v>
      </c>
    </row>
    <row r="5131" spans="1:6" ht="13.5">
      <c r="A5131" s="82">
        <v>1</v>
      </c>
      <c r="B5131" s="81" t="s">
        <v>10150</v>
      </c>
      <c r="C5131" s="81" t="s">
        <v>10151</v>
      </c>
      <c r="D5131" s="101">
        <v>446459600</v>
      </c>
      <c r="E5131" s="87">
        <v>42559965</v>
      </c>
      <c r="F5131" s="77" t="s">
        <v>10176</v>
      </c>
    </row>
    <row r="5132" spans="1:6" ht="13.5">
      <c r="A5132" s="82">
        <v>1</v>
      </c>
      <c r="B5132" s="81" t="s">
        <v>10152</v>
      </c>
      <c r="C5132" s="81" t="s">
        <v>10153</v>
      </c>
      <c r="D5132" s="101">
        <v>246755400</v>
      </c>
      <c r="E5132" s="87">
        <v>23522625</v>
      </c>
      <c r="F5132" s="77" t="s">
        <v>10176</v>
      </c>
    </row>
    <row r="5133" spans="1:6" ht="13.5">
      <c r="A5133" s="82">
        <v>1</v>
      </c>
      <c r="B5133" s="81" t="s">
        <v>10154</v>
      </c>
      <c r="C5133" s="81" t="s">
        <v>10155</v>
      </c>
      <c r="D5133" s="101">
        <v>278953400</v>
      </c>
      <c r="E5133" s="87">
        <v>26591985</v>
      </c>
      <c r="F5133" s="77" t="s">
        <v>10176</v>
      </c>
    </row>
    <row r="5134" spans="1:6" ht="13.5">
      <c r="A5134" s="82">
        <v>1</v>
      </c>
      <c r="B5134" s="81" t="s">
        <v>10156</v>
      </c>
      <c r="C5134" s="81" t="s">
        <v>10157</v>
      </c>
      <c r="D5134" s="101">
        <v>24299100</v>
      </c>
      <c r="E5134" s="87">
        <v>2316375</v>
      </c>
      <c r="F5134" s="77" t="s">
        <v>10176</v>
      </c>
    </row>
    <row r="5135" spans="1:6" ht="13.5">
      <c r="A5135" s="82">
        <v>1</v>
      </c>
      <c r="B5135" s="81" t="s">
        <v>10158</v>
      </c>
      <c r="C5135" s="81" t="s">
        <v>10159</v>
      </c>
      <c r="D5135" s="101">
        <v>27748900</v>
      </c>
      <c r="E5135" s="87">
        <v>2645235</v>
      </c>
      <c r="F5135" s="77" t="s">
        <v>10176</v>
      </c>
    </row>
    <row r="5136" spans="1:6" ht="13.5">
      <c r="A5136" s="82">
        <v>1</v>
      </c>
      <c r="B5136" s="81" t="s">
        <v>10160</v>
      </c>
      <c r="C5136" s="81" t="s">
        <v>10161</v>
      </c>
      <c r="D5136" s="101">
        <v>57688100</v>
      </c>
      <c r="E5136" s="87">
        <v>5499270</v>
      </c>
      <c r="F5136" s="77" t="s">
        <v>10176</v>
      </c>
    </row>
    <row r="5137" spans="1:6" ht="13.5">
      <c r="A5137" s="82">
        <v>1</v>
      </c>
      <c r="B5137" s="81" t="s">
        <v>10162</v>
      </c>
      <c r="C5137" s="81" t="s">
        <v>10163</v>
      </c>
      <c r="D5137" s="101">
        <v>65737600</v>
      </c>
      <c r="E5137" s="87">
        <v>6266610</v>
      </c>
      <c r="F5137" s="77" t="s">
        <v>10176</v>
      </c>
    </row>
    <row r="5138" spans="1:6" ht="13.5">
      <c r="A5138" s="82">
        <v>1</v>
      </c>
      <c r="B5138" s="81" t="s">
        <v>10164</v>
      </c>
      <c r="C5138" s="81" t="s">
        <v>6418</v>
      </c>
      <c r="D5138" s="101">
        <v>12649200</v>
      </c>
      <c r="E5138" s="87">
        <v>1205820</v>
      </c>
      <c r="F5138" s="77" t="s">
        <v>10173</v>
      </c>
    </row>
    <row r="5139" spans="1:6" ht="13.5">
      <c r="A5139" s="82">
        <v>1</v>
      </c>
      <c r="B5139" s="81" t="s">
        <v>10165</v>
      </c>
      <c r="C5139" s="81" t="s">
        <v>6422</v>
      </c>
      <c r="D5139" s="101">
        <v>3354000</v>
      </c>
      <c r="E5139" s="87">
        <v>319725</v>
      </c>
      <c r="F5139" s="77" t="s">
        <v>10173</v>
      </c>
    </row>
    <row r="5140" spans="1:6" ht="13.5">
      <c r="A5140" s="82">
        <v>1</v>
      </c>
      <c r="B5140" s="81" t="s">
        <v>10166</v>
      </c>
      <c r="C5140" s="81" t="s">
        <v>6426</v>
      </c>
      <c r="D5140" s="101">
        <v>1629100</v>
      </c>
      <c r="E5140" s="87">
        <v>155295</v>
      </c>
      <c r="F5140" s="77" t="s">
        <v>10173</v>
      </c>
    </row>
    <row r="5141" spans="1:6" ht="13.5">
      <c r="A5141" s="82">
        <v>1</v>
      </c>
      <c r="B5141" s="81" t="s">
        <v>10167</v>
      </c>
      <c r="C5141" s="81" t="s">
        <v>6420</v>
      </c>
      <c r="D5141" s="101">
        <v>3545600</v>
      </c>
      <c r="E5141" s="87">
        <v>337995</v>
      </c>
      <c r="F5141" s="77" t="s">
        <v>10173</v>
      </c>
    </row>
    <row r="5142" spans="1:6" ht="13.5">
      <c r="A5142" s="82">
        <v>1</v>
      </c>
      <c r="B5142" s="81" t="s">
        <v>10168</v>
      </c>
      <c r="C5142" s="81" t="s">
        <v>6424</v>
      </c>
      <c r="D5142" s="101">
        <v>3121200</v>
      </c>
      <c r="E5142" s="87">
        <v>297540</v>
      </c>
      <c r="F5142" s="77" t="s">
        <v>10173</v>
      </c>
    </row>
    <row r="5143" spans="1:6" ht="13.5">
      <c r="A5143" s="82">
        <v>5</v>
      </c>
      <c r="B5143" s="81" t="s">
        <v>9817</v>
      </c>
      <c r="C5143" s="81" t="s">
        <v>9818</v>
      </c>
      <c r="D5143" s="101">
        <v>31349200</v>
      </c>
      <c r="E5143" s="87">
        <v>2324350</v>
      </c>
      <c r="F5143" s="77" t="s">
        <v>10174</v>
      </c>
    </row>
    <row r="5144" spans="1:6" ht="13.5">
      <c r="A5144" s="82">
        <v>5</v>
      </c>
      <c r="B5144" s="81" t="s">
        <v>9819</v>
      </c>
      <c r="C5144" s="81" t="s">
        <v>9820</v>
      </c>
      <c r="D5144" s="101">
        <v>26078700</v>
      </c>
      <c r="E5144" s="87">
        <v>1933575</v>
      </c>
      <c r="F5144" s="77" t="s">
        <v>10174</v>
      </c>
    </row>
    <row r="5145" spans="1:6" ht="13.5">
      <c r="A5145" s="82">
        <v>5</v>
      </c>
      <c r="B5145" s="81" t="s">
        <v>9821</v>
      </c>
      <c r="C5145" s="81" t="s">
        <v>9822</v>
      </c>
      <c r="D5145" s="101">
        <v>37920200</v>
      </c>
      <c r="E5145" s="87">
        <v>2811549.9999999995</v>
      </c>
      <c r="F5145" s="77" t="s">
        <v>10174</v>
      </c>
    </row>
    <row r="5146" spans="1:6" ht="13.5">
      <c r="A5146" s="82">
        <v>5</v>
      </c>
      <c r="B5146" s="81" t="s">
        <v>9823</v>
      </c>
      <c r="C5146" s="81" t="s">
        <v>9824</v>
      </c>
      <c r="D5146" s="101">
        <v>31623000</v>
      </c>
      <c r="E5146" s="87">
        <v>2344650</v>
      </c>
      <c r="F5146" s="77" t="s">
        <v>10174</v>
      </c>
    </row>
    <row r="5147" spans="1:6" ht="13.5">
      <c r="A5147" s="82">
        <v>5</v>
      </c>
      <c r="B5147" s="81" t="s">
        <v>9825</v>
      </c>
      <c r="C5147" s="81" t="s">
        <v>9826</v>
      </c>
      <c r="D5147" s="101">
        <v>19028600</v>
      </c>
      <c r="E5147" s="87">
        <v>1410849.9999999998</v>
      </c>
      <c r="F5147" s="77" t="s">
        <v>10174</v>
      </c>
    </row>
    <row r="5148" spans="1:6" ht="13.5">
      <c r="A5148" s="82">
        <v>5</v>
      </c>
      <c r="B5148" s="81" t="s">
        <v>9827</v>
      </c>
      <c r="C5148" s="81" t="s">
        <v>9828</v>
      </c>
      <c r="D5148" s="101">
        <v>15811500</v>
      </c>
      <c r="E5148" s="87">
        <v>1172325</v>
      </c>
      <c r="F5148" s="77" t="s">
        <v>10174</v>
      </c>
    </row>
    <row r="5149" spans="1:6" ht="13.5">
      <c r="A5149" s="82">
        <v>5</v>
      </c>
      <c r="B5149" s="81" t="s">
        <v>9829</v>
      </c>
      <c r="C5149" s="81" t="s">
        <v>9830</v>
      </c>
      <c r="D5149" s="101">
        <v>22587900</v>
      </c>
      <c r="E5149" s="87">
        <v>1674750</v>
      </c>
      <c r="F5149" s="77" t="s">
        <v>10174</v>
      </c>
    </row>
    <row r="5150" spans="1:6" ht="13.5">
      <c r="A5150" s="82">
        <v>5</v>
      </c>
      <c r="B5150" s="81" t="s">
        <v>9831</v>
      </c>
      <c r="C5150" s="81" t="s">
        <v>9832</v>
      </c>
      <c r="D5150" s="101">
        <v>18823200</v>
      </c>
      <c r="E5150" s="87">
        <v>1395624.9999999998</v>
      </c>
      <c r="F5150" s="77" t="s">
        <v>10174</v>
      </c>
    </row>
    <row r="5151" spans="1:6" ht="13.5">
      <c r="A5151" s="82">
        <v>5</v>
      </c>
      <c r="B5151" s="81" t="s">
        <v>9833</v>
      </c>
      <c r="C5151" s="81" t="s">
        <v>9834</v>
      </c>
      <c r="D5151" s="101">
        <v>26763200</v>
      </c>
      <c r="E5151" s="87">
        <v>1984325</v>
      </c>
      <c r="F5151" s="77" t="s">
        <v>10174</v>
      </c>
    </row>
    <row r="5152" spans="1:6" ht="13.5">
      <c r="A5152" s="82">
        <v>5</v>
      </c>
      <c r="B5152" s="81" t="s">
        <v>9835</v>
      </c>
      <c r="C5152" s="81" t="s">
        <v>9836</v>
      </c>
      <c r="D5152" s="101">
        <v>22314100</v>
      </c>
      <c r="E5152" s="87">
        <v>1654450</v>
      </c>
      <c r="F5152" s="77" t="s">
        <v>10174</v>
      </c>
    </row>
    <row r="5153" spans="1:6" ht="13.5">
      <c r="A5153" s="82">
        <v>5</v>
      </c>
      <c r="B5153" s="81" t="s">
        <v>9837</v>
      </c>
      <c r="C5153" s="81" t="s">
        <v>9838</v>
      </c>
      <c r="D5153" s="101">
        <v>37646500</v>
      </c>
      <c r="E5153" s="87">
        <v>2791249.9999999995</v>
      </c>
      <c r="F5153" s="77" t="s">
        <v>10174</v>
      </c>
    </row>
    <row r="5154" spans="1:6" ht="13.5">
      <c r="A5154" s="82">
        <v>5</v>
      </c>
      <c r="B5154" s="81" t="s">
        <v>9839</v>
      </c>
      <c r="C5154" s="81" t="s">
        <v>9840</v>
      </c>
      <c r="D5154" s="101">
        <v>32992000</v>
      </c>
      <c r="E5154" s="87">
        <v>2446150</v>
      </c>
      <c r="F5154" s="77" t="s">
        <v>10174</v>
      </c>
    </row>
    <row r="5155" spans="1:6" ht="13.5">
      <c r="A5155" s="82">
        <v>5</v>
      </c>
      <c r="B5155" s="81" t="s">
        <v>9841</v>
      </c>
      <c r="C5155" s="81" t="s">
        <v>9842</v>
      </c>
      <c r="D5155" s="101">
        <v>26763200</v>
      </c>
      <c r="E5155" s="87">
        <v>1984325</v>
      </c>
      <c r="F5155" s="77" t="s">
        <v>10174</v>
      </c>
    </row>
    <row r="5156" spans="1:6" ht="13.5">
      <c r="A5156" s="82">
        <v>5</v>
      </c>
      <c r="B5156" s="81" t="s">
        <v>9843</v>
      </c>
      <c r="C5156" s="81" t="s">
        <v>9844</v>
      </c>
      <c r="D5156" s="101">
        <v>22314100</v>
      </c>
      <c r="E5156" s="87">
        <v>1654450</v>
      </c>
      <c r="F5156" s="77" t="s">
        <v>10174</v>
      </c>
    </row>
    <row r="5157" spans="1:6" ht="13.5">
      <c r="A5157" s="82">
        <v>5</v>
      </c>
      <c r="B5157" s="81" t="s">
        <v>9845</v>
      </c>
      <c r="C5157" s="81" t="s">
        <v>9846</v>
      </c>
      <c r="D5157" s="101">
        <v>1779700</v>
      </c>
      <c r="E5157" s="87">
        <v>131950</v>
      </c>
      <c r="F5157" s="77" t="s">
        <v>10174</v>
      </c>
    </row>
    <row r="5158" spans="1:6" ht="13.5">
      <c r="A5158" s="82">
        <v>5</v>
      </c>
      <c r="B5158" s="81" t="s">
        <v>9847</v>
      </c>
      <c r="C5158" s="81" t="s">
        <v>9848</v>
      </c>
      <c r="D5158" s="101">
        <v>2190300</v>
      </c>
      <c r="E5158" s="87">
        <v>162400</v>
      </c>
      <c r="F5158" s="77" t="s">
        <v>10174</v>
      </c>
    </row>
    <row r="5159" spans="1:6" ht="13.5">
      <c r="A5159" s="82">
        <v>5</v>
      </c>
      <c r="B5159" s="81" t="s">
        <v>9849</v>
      </c>
      <c r="C5159" s="81" t="s">
        <v>9850</v>
      </c>
      <c r="D5159" s="101">
        <v>2121900</v>
      </c>
      <c r="E5159" s="87">
        <v>157325</v>
      </c>
      <c r="F5159" s="77" t="s">
        <v>10174</v>
      </c>
    </row>
    <row r="5160" spans="1:6" ht="13.5">
      <c r="A5160" s="82">
        <v>5</v>
      </c>
      <c r="B5160" s="81" t="s">
        <v>9851</v>
      </c>
      <c r="C5160" s="81" t="s">
        <v>9852</v>
      </c>
      <c r="D5160" s="101">
        <v>2532600</v>
      </c>
      <c r="E5160" s="87">
        <v>187775</v>
      </c>
      <c r="F5160" s="77" t="s">
        <v>10174</v>
      </c>
    </row>
    <row r="5161" spans="1:6" ht="13.5">
      <c r="A5161" s="82">
        <v>5</v>
      </c>
      <c r="B5161" s="81" t="s">
        <v>9853</v>
      </c>
      <c r="C5161" s="81" t="s">
        <v>9854</v>
      </c>
      <c r="D5161" s="101">
        <v>2806400</v>
      </c>
      <c r="E5161" s="87">
        <v>208075</v>
      </c>
      <c r="F5161" s="77" t="s">
        <v>10174</v>
      </c>
    </row>
    <row r="5162" spans="1:6" ht="13.5">
      <c r="A5162" s="82">
        <v>5</v>
      </c>
      <c r="B5162" s="81" t="s">
        <v>9855</v>
      </c>
      <c r="C5162" s="81" t="s">
        <v>9856</v>
      </c>
      <c r="D5162" s="101">
        <v>3354000</v>
      </c>
      <c r="E5162" s="87">
        <v>248675</v>
      </c>
      <c r="F5162" s="77" t="s">
        <v>10174</v>
      </c>
    </row>
    <row r="5163" spans="1:6" ht="13.5">
      <c r="A5163" s="82">
        <v>5</v>
      </c>
      <c r="B5163" s="81" t="s">
        <v>9857</v>
      </c>
      <c r="C5163" s="81" t="s">
        <v>9858</v>
      </c>
      <c r="D5163" s="101">
        <v>3148600</v>
      </c>
      <c r="E5163" s="87">
        <v>233450</v>
      </c>
      <c r="F5163" s="77" t="s">
        <v>10174</v>
      </c>
    </row>
    <row r="5164" spans="1:6" ht="13.5">
      <c r="A5164" s="82">
        <v>5</v>
      </c>
      <c r="B5164" s="81" t="s">
        <v>9859</v>
      </c>
      <c r="C5164" s="81" t="s">
        <v>9860</v>
      </c>
      <c r="D5164" s="101">
        <v>3764600</v>
      </c>
      <c r="E5164" s="87">
        <v>279125</v>
      </c>
      <c r="F5164" s="77" t="s">
        <v>10174</v>
      </c>
    </row>
    <row r="5165" spans="1:6" ht="13.5">
      <c r="A5165" s="82">
        <v>5</v>
      </c>
      <c r="B5165" s="81" t="s">
        <v>9861</v>
      </c>
      <c r="C5165" s="81" t="s">
        <v>9862</v>
      </c>
      <c r="D5165" s="101">
        <v>2121900</v>
      </c>
      <c r="E5165" s="87">
        <v>157325</v>
      </c>
      <c r="F5165" s="77" t="s">
        <v>10174</v>
      </c>
    </row>
    <row r="5166" spans="1:6" ht="13.5">
      <c r="A5166" s="82">
        <v>5</v>
      </c>
      <c r="B5166" s="81" t="s">
        <v>9863</v>
      </c>
      <c r="C5166" s="81" t="s">
        <v>9864</v>
      </c>
      <c r="D5166" s="101">
        <v>2532600</v>
      </c>
      <c r="E5166" s="87">
        <v>187775</v>
      </c>
      <c r="F5166" s="77" t="s">
        <v>10174</v>
      </c>
    </row>
    <row r="5167" spans="1:6" ht="13.5">
      <c r="A5167" s="82">
        <v>5</v>
      </c>
      <c r="B5167" s="81" t="s">
        <v>9865</v>
      </c>
      <c r="C5167" s="81" t="s">
        <v>9866</v>
      </c>
      <c r="D5167" s="101">
        <v>2395700</v>
      </c>
      <c r="E5167" s="87">
        <v>177624.99999999997</v>
      </c>
      <c r="F5167" s="77" t="s">
        <v>10174</v>
      </c>
    </row>
    <row r="5168" spans="1:6" ht="13.5">
      <c r="A5168" s="82">
        <v>5</v>
      </c>
      <c r="B5168" s="81" t="s">
        <v>9867</v>
      </c>
      <c r="C5168" s="81" t="s">
        <v>9868</v>
      </c>
      <c r="D5168" s="101">
        <v>2874800</v>
      </c>
      <c r="E5168" s="87">
        <v>213150</v>
      </c>
      <c r="F5168" s="77" t="s">
        <v>10174</v>
      </c>
    </row>
    <row r="5169" spans="1:6" ht="13.5">
      <c r="A5169" s="82">
        <v>5</v>
      </c>
      <c r="B5169" s="81" t="s">
        <v>9869</v>
      </c>
      <c r="C5169" s="81" t="s">
        <v>9870</v>
      </c>
      <c r="D5169" s="101">
        <v>3011700</v>
      </c>
      <c r="E5169" s="87">
        <v>223300</v>
      </c>
      <c r="F5169" s="77" t="s">
        <v>10174</v>
      </c>
    </row>
    <row r="5170" spans="1:6" ht="13.5">
      <c r="A5170" s="82">
        <v>5</v>
      </c>
      <c r="B5170" s="81" t="s">
        <v>9871</v>
      </c>
      <c r="C5170" s="81" t="s">
        <v>9872</v>
      </c>
      <c r="D5170" s="101">
        <v>3627700</v>
      </c>
      <c r="E5170" s="87">
        <v>268975</v>
      </c>
      <c r="F5170" s="77" t="s">
        <v>10174</v>
      </c>
    </row>
    <row r="5171" spans="1:6" ht="13.5">
      <c r="A5171" s="82">
        <v>5</v>
      </c>
      <c r="B5171" s="81" t="s">
        <v>9873</v>
      </c>
      <c r="C5171" s="81" t="s">
        <v>9874</v>
      </c>
      <c r="D5171" s="101">
        <v>3285500</v>
      </c>
      <c r="E5171" s="87">
        <v>243600</v>
      </c>
      <c r="F5171" s="77" t="s">
        <v>10174</v>
      </c>
    </row>
    <row r="5172" spans="1:6" ht="13.5">
      <c r="A5172" s="82">
        <v>5</v>
      </c>
      <c r="B5172" s="81" t="s">
        <v>9875</v>
      </c>
      <c r="C5172" s="81" t="s">
        <v>9876</v>
      </c>
      <c r="D5172" s="101">
        <v>3970000</v>
      </c>
      <c r="E5172" s="87">
        <v>294350</v>
      </c>
      <c r="F5172" s="77" t="s">
        <v>10174</v>
      </c>
    </row>
    <row r="5173" spans="1:6" ht="13.5">
      <c r="A5173" s="82">
        <v>5</v>
      </c>
      <c r="B5173" s="81" t="s">
        <v>9877</v>
      </c>
      <c r="C5173" s="81" t="s">
        <v>9878</v>
      </c>
      <c r="D5173" s="101">
        <v>3148600</v>
      </c>
      <c r="E5173" s="87">
        <v>233450</v>
      </c>
      <c r="F5173" s="77" t="s">
        <v>10174</v>
      </c>
    </row>
    <row r="5174" spans="1:6" ht="13.5">
      <c r="A5174" s="82">
        <v>5</v>
      </c>
      <c r="B5174" s="81" t="s">
        <v>9879</v>
      </c>
      <c r="C5174" s="81" t="s">
        <v>9880</v>
      </c>
      <c r="D5174" s="101">
        <v>3764600</v>
      </c>
      <c r="E5174" s="87">
        <v>279125</v>
      </c>
      <c r="F5174" s="77" t="s">
        <v>10174</v>
      </c>
    </row>
    <row r="5175" spans="1:6" ht="13.5">
      <c r="A5175" s="82">
        <v>5</v>
      </c>
      <c r="B5175" s="81" t="s">
        <v>9885</v>
      </c>
      <c r="C5175" s="81" t="s">
        <v>9886</v>
      </c>
      <c r="D5175" s="101">
        <v>2327200</v>
      </c>
      <c r="E5175" s="87">
        <v>172549.99999999997</v>
      </c>
      <c r="F5175" s="77" t="s">
        <v>10174</v>
      </c>
    </row>
    <row r="5176" spans="1:6" ht="13.5">
      <c r="A5176" s="82">
        <v>5</v>
      </c>
      <c r="B5176" s="81" t="s">
        <v>9887</v>
      </c>
      <c r="C5176" s="81" t="s">
        <v>9888</v>
      </c>
      <c r="D5176" s="101">
        <v>2737900</v>
      </c>
      <c r="E5176" s="87">
        <v>203000</v>
      </c>
      <c r="F5176" s="77" t="s">
        <v>10174</v>
      </c>
    </row>
    <row r="5177" spans="1:6" ht="13.5">
      <c r="A5177" s="82">
        <v>5</v>
      </c>
      <c r="B5177" s="81" t="s">
        <v>9889</v>
      </c>
      <c r="C5177" s="81" t="s">
        <v>9890</v>
      </c>
      <c r="D5177" s="101">
        <v>2601000</v>
      </c>
      <c r="E5177" s="87">
        <v>192850</v>
      </c>
      <c r="F5177" s="77" t="s">
        <v>10174</v>
      </c>
    </row>
    <row r="5178" spans="1:6" ht="13.5">
      <c r="A5178" s="82">
        <v>5</v>
      </c>
      <c r="B5178" s="81" t="s">
        <v>9891</v>
      </c>
      <c r="C5178" s="81" t="s">
        <v>9892</v>
      </c>
      <c r="D5178" s="101">
        <v>3080200</v>
      </c>
      <c r="E5178" s="87">
        <v>228375</v>
      </c>
      <c r="F5178" s="77" t="s">
        <v>10174</v>
      </c>
    </row>
    <row r="5179" spans="1:6" ht="13.5">
      <c r="A5179" s="82">
        <v>5</v>
      </c>
      <c r="B5179" s="81" t="s">
        <v>9893</v>
      </c>
      <c r="C5179" s="81" t="s">
        <v>9894</v>
      </c>
      <c r="D5179" s="101">
        <v>3148600</v>
      </c>
      <c r="E5179" s="87">
        <v>233450</v>
      </c>
      <c r="F5179" s="77" t="s">
        <v>10174</v>
      </c>
    </row>
    <row r="5180" spans="1:6" ht="13.5">
      <c r="A5180" s="82">
        <v>5</v>
      </c>
      <c r="B5180" s="81" t="s">
        <v>9895</v>
      </c>
      <c r="C5180" s="81" t="s">
        <v>9896</v>
      </c>
      <c r="D5180" s="101">
        <v>3833100</v>
      </c>
      <c r="E5180" s="87">
        <v>284200</v>
      </c>
      <c r="F5180" s="77" t="s">
        <v>10174</v>
      </c>
    </row>
    <row r="5181" spans="1:6" ht="13.5">
      <c r="A5181" s="82">
        <v>5</v>
      </c>
      <c r="B5181" s="81" t="s">
        <v>9897</v>
      </c>
      <c r="C5181" s="81" t="s">
        <v>9898</v>
      </c>
      <c r="D5181" s="101">
        <v>3490900</v>
      </c>
      <c r="E5181" s="87">
        <v>258825</v>
      </c>
      <c r="F5181" s="77" t="s">
        <v>10174</v>
      </c>
    </row>
    <row r="5182" spans="1:6" ht="13.5">
      <c r="A5182" s="82">
        <v>5</v>
      </c>
      <c r="B5182" s="81" t="s">
        <v>9899</v>
      </c>
      <c r="C5182" s="81" t="s">
        <v>9900</v>
      </c>
      <c r="D5182" s="101">
        <v>4175300</v>
      </c>
      <c r="E5182" s="87">
        <v>309575</v>
      </c>
      <c r="F5182" s="77" t="s">
        <v>10174</v>
      </c>
    </row>
  </sheetData>
  <autoFilter ref="A5:K5182" xr:uid="{00000000-0001-0000-0100-000000000000}">
    <sortState xmlns:xlrd2="http://schemas.microsoft.com/office/spreadsheetml/2017/richdata2" ref="A6:K3801">
      <sortCondition ref="B5:B3801"/>
    </sortState>
  </autoFilter>
  <sortState xmlns:xlrd2="http://schemas.microsoft.com/office/spreadsheetml/2017/richdata2" ref="A298:XDS343">
    <sortCondition ref="B298:B343"/>
  </sortState>
  <phoneticPr fontId="9" type="noConversion"/>
  <pageMargins left="0.7" right="0.7" top="0.75" bottom="0.75" header="0.3" footer="0.3"/>
  <pageSetup scale="10"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5B1B-A373-D246-8CE6-FA8D97C74A81}">
  <dimension ref="A3:K1902"/>
  <sheetViews>
    <sheetView workbookViewId="0">
      <selection activeCell="F1" sqref="F1"/>
    </sheetView>
  </sheetViews>
  <sheetFormatPr defaultColWidth="11.42578125" defaultRowHeight="12.75"/>
  <cols>
    <col min="1" max="1" width="11.42578125" bestFit="1" customWidth="1"/>
    <col min="2" max="2" width="31.85546875" bestFit="1" customWidth="1"/>
    <col min="4" max="4" width="11.42578125" bestFit="1" customWidth="1"/>
    <col min="5" max="5" width="26.140625" bestFit="1" customWidth="1"/>
    <col min="7" max="7" width="11.42578125" bestFit="1" customWidth="1"/>
    <col min="8" max="8" width="38" bestFit="1" customWidth="1"/>
    <col min="10" max="10" width="11.42578125" bestFit="1" customWidth="1"/>
    <col min="11" max="11" width="33.140625" bestFit="1" customWidth="1"/>
  </cols>
  <sheetData>
    <row r="3" spans="1:11">
      <c r="A3" s="1" t="s">
        <v>22</v>
      </c>
      <c r="B3" s="1" t="s">
        <v>34</v>
      </c>
      <c r="D3" s="1" t="s">
        <v>22</v>
      </c>
      <c r="E3" s="1" t="s">
        <v>34</v>
      </c>
      <c r="G3" s="1" t="s">
        <v>22</v>
      </c>
      <c r="H3" s="1" t="s">
        <v>34</v>
      </c>
      <c r="J3" s="1" t="s">
        <v>22</v>
      </c>
      <c r="K3" s="1" t="s">
        <v>34</v>
      </c>
    </row>
    <row r="4" spans="1:11">
      <c r="A4">
        <v>1</v>
      </c>
      <c r="B4" t="s">
        <v>3178</v>
      </c>
      <c r="D4">
        <v>3</v>
      </c>
      <c r="E4" t="s">
        <v>5673</v>
      </c>
      <c r="G4">
        <v>4</v>
      </c>
      <c r="H4" t="s">
        <v>2951</v>
      </c>
      <c r="J4">
        <v>5</v>
      </c>
      <c r="K4" t="s">
        <v>410</v>
      </c>
    </row>
    <row r="5" spans="1:11">
      <c r="B5" t="s">
        <v>3180</v>
      </c>
      <c r="E5" t="s">
        <v>5674</v>
      </c>
      <c r="H5" t="s">
        <v>2953</v>
      </c>
      <c r="K5" t="s">
        <v>408</v>
      </c>
    </row>
    <row r="6" spans="1:11">
      <c r="B6" t="s">
        <v>3182</v>
      </c>
      <c r="E6" t="s">
        <v>5675</v>
      </c>
      <c r="H6" t="s">
        <v>2955</v>
      </c>
      <c r="K6" t="s">
        <v>414</v>
      </c>
    </row>
    <row r="7" spans="1:11">
      <c r="B7" t="s">
        <v>3845</v>
      </c>
      <c r="E7" t="s">
        <v>5676</v>
      </c>
      <c r="H7" t="s">
        <v>3951</v>
      </c>
      <c r="K7" t="s">
        <v>412</v>
      </c>
    </row>
    <row r="8" spans="1:11">
      <c r="B8" t="s">
        <v>3847</v>
      </c>
      <c r="E8" t="s">
        <v>5677</v>
      </c>
      <c r="H8" t="s">
        <v>2380</v>
      </c>
      <c r="K8" t="s">
        <v>3348</v>
      </c>
    </row>
    <row r="9" spans="1:11">
      <c r="B9" t="s">
        <v>2337</v>
      </c>
      <c r="E9" t="s">
        <v>5678</v>
      </c>
      <c r="H9" t="s">
        <v>2379</v>
      </c>
      <c r="K9" t="s">
        <v>3346</v>
      </c>
    </row>
    <row r="10" spans="1:11">
      <c r="B10" t="s">
        <v>2345</v>
      </c>
      <c r="E10" t="s">
        <v>5679</v>
      </c>
      <c r="H10" t="s">
        <v>4697</v>
      </c>
      <c r="K10" t="s">
        <v>5116</v>
      </c>
    </row>
    <row r="11" spans="1:11">
      <c r="B11" t="s">
        <v>2353</v>
      </c>
      <c r="E11" t="s">
        <v>5680</v>
      </c>
      <c r="H11" t="s">
        <v>2083</v>
      </c>
      <c r="K11" t="s">
        <v>5117</v>
      </c>
    </row>
    <row r="12" spans="1:11">
      <c r="B12" t="s">
        <v>2935</v>
      </c>
      <c r="E12" t="s">
        <v>5681</v>
      </c>
      <c r="H12" t="s">
        <v>2082</v>
      </c>
      <c r="K12" t="s">
        <v>5827</v>
      </c>
    </row>
    <row r="13" spans="1:11">
      <c r="B13" t="s">
        <v>2937</v>
      </c>
      <c r="E13" t="s">
        <v>5682</v>
      </c>
      <c r="H13" t="s">
        <v>4699</v>
      </c>
      <c r="K13" t="s">
        <v>5826</v>
      </c>
    </row>
    <row r="14" spans="1:11">
      <c r="B14" t="s">
        <v>2339</v>
      </c>
      <c r="E14" t="s">
        <v>5683</v>
      </c>
      <c r="H14" t="s">
        <v>2378</v>
      </c>
      <c r="K14" t="s">
        <v>5834</v>
      </c>
    </row>
    <row r="15" spans="1:11">
      <c r="B15" t="s">
        <v>2347</v>
      </c>
      <c r="E15" t="s">
        <v>5684</v>
      </c>
      <c r="H15" t="s">
        <v>2377</v>
      </c>
      <c r="K15" t="s">
        <v>5833</v>
      </c>
    </row>
    <row r="16" spans="1:11">
      <c r="B16" t="s">
        <v>2355</v>
      </c>
      <c r="E16" t="s">
        <v>5685</v>
      </c>
      <c r="H16" t="s">
        <v>5775</v>
      </c>
      <c r="K16" t="s">
        <v>5794</v>
      </c>
    </row>
    <row r="17" spans="2:11">
      <c r="B17" t="s">
        <v>2931</v>
      </c>
      <c r="E17" t="s">
        <v>5686</v>
      </c>
      <c r="H17" t="s">
        <v>5776</v>
      </c>
      <c r="K17" t="s">
        <v>5795</v>
      </c>
    </row>
    <row r="18" spans="2:11">
      <c r="B18" t="s">
        <v>2933</v>
      </c>
      <c r="E18" t="s">
        <v>5687</v>
      </c>
      <c r="H18" t="s">
        <v>5777</v>
      </c>
      <c r="K18" t="s">
        <v>3360</v>
      </c>
    </row>
    <row r="19" spans="2:11">
      <c r="B19" t="s">
        <v>2120</v>
      </c>
      <c r="E19" t="s">
        <v>5688</v>
      </c>
      <c r="H19" t="s">
        <v>5778</v>
      </c>
      <c r="K19" t="s">
        <v>3358</v>
      </c>
    </row>
    <row r="20" spans="2:11">
      <c r="B20" t="s">
        <v>2122</v>
      </c>
      <c r="E20" t="s">
        <v>5689</v>
      </c>
      <c r="H20" t="s">
        <v>5297</v>
      </c>
      <c r="K20" t="s">
        <v>973</v>
      </c>
    </row>
    <row r="21" spans="2:11">
      <c r="B21" t="s">
        <v>2124</v>
      </c>
      <c r="E21" t="s">
        <v>5690</v>
      </c>
      <c r="H21" t="s">
        <v>5299</v>
      </c>
      <c r="K21" t="s">
        <v>971</v>
      </c>
    </row>
    <row r="22" spans="2:11">
      <c r="B22" t="s">
        <v>2939</v>
      </c>
      <c r="E22" t="s">
        <v>5691</v>
      </c>
      <c r="H22" t="s">
        <v>1071</v>
      </c>
      <c r="K22" t="s">
        <v>1279</v>
      </c>
    </row>
    <row r="23" spans="2:11">
      <c r="B23" t="s">
        <v>2941</v>
      </c>
      <c r="E23" t="s">
        <v>5692</v>
      </c>
      <c r="H23" t="s">
        <v>5730</v>
      </c>
      <c r="K23" t="s">
        <v>1277</v>
      </c>
    </row>
    <row r="24" spans="2:11">
      <c r="B24" t="s">
        <v>4809</v>
      </c>
      <c r="E24" t="s">
        <v>5693</v>
      </c>
      <c r="H24" t="s">
        <v>5731</v>
      </c>
      <c r="K24" t="s">
        <v>1267</v>
      </c>
    </row>
    <row r="25" spans="2:11">
      <c r="B25" t="s">
        <v>4810</v>
      </c>
      <c r="E25" t="s">
        <v>5694</v>
      </c>
      <c r="H25" t="s">
        <v>5732</v>
      </c>
      <c r="K25" t="s">
        <v>1265</v>
      </c>
    </row>
    <row r="26" spans="2:11">
      <c r="B26" t="s">
        <v>4811</v>
      </c>
      <c r="E26" t="s">
        <v>5695</v>
      </c>
      <c r="H26" t="s">
        <v>5734</v>
      </c>
      <c r="K26" t="s">
        <v>605</v>
      </c>
    </row>
    <row r="27" spans="2:11">
      <c r="B27" t="s">
        <v>4812</v>
      </c>
      <c r="E27" t="s">
        <v>5696</v>
      </c>
      <c r="H27" t="s">
        <v>5733</v>
      </c>
      <c r="K27" t="s">
        <v>603</v>
      </c>
    </row>
    <row r="28" spans="2:11">
      <c r="B28" t="s">
        <v>4813</v>
      </c>
      <c r="E28" t="s">
        <v>5697</v>
      </c>
      <c r="H28" t="s">
        <v>1951</v>
      </c>
      <c r="K28" t="s">
        <v>697</v>
      </c>
    </row>
    <row r="29" spans="2:11">
      <c r="B29" t="s">
        <v>3480</v>
      </c>
      <c r="E29" t="s">
        <v>5698</v>
      </c>
      <c r="H29" t="s">
        <v>5753</v>
      </c>
      <c r="K29" t="s">
        <v>699</v>
      </c>
    </row>
    <row r="30" spans="2:11">
      <c r="B30" t="s">
        <v>3482</v>
      </c>
      <c r="E30" t="s">
        <v>5699</v>
      </c>
      <c r="H30" t="s">
        <v>5754</v>
      </c>
      <c r="K30" t="s">
        <v>5118</v>
      </c>
    </row>
    <row r="31" spans="2:11">
      <c r="B31" t="s">
        <v>3484</v>
      </c>
      <c r="E31" t="s">
        <v>4217</v>
      </c>
      <c r="H31" t="s">
        <v>5755</v>
      </c>
      <c r="K31" t="s">
        <v>5119</v>
      </c>
    </row>
    <row r="32" spans="2:11">
      <c r="B32" t="s">
        <v>3486</v>
      </c>
      <c r="E32" t="s">
        <v>4219</v>
      </c>
      <c r="H32" t="s">
        <v>5759</v>
      </c>
      <c r="K32" t="s">
        <v>925</v>
      </c>
    </row>
    <row r="33" spans="2:11">
      <c r="B33" t="s">
        <v>3488</v>
      </c>
      <c r="E33" t="s">
        <v>4209</v>
      </c>
      <c r="H33" t="s">
        <v>5760</v>
      </c>
      <c r="K33" t="s">
        <v>923</v>
      </c>
    </row>
    <row r="34" spans="2:11">
      <c r="B34" t="s">
        <v>5527</v>
      </c>
      <c r="E34" t="s">
        <v>4221</v>
      </c>
      <c r="H34" t="s">
        <v>5761</v>
      </c>
      <c r="K34" t="s">
        <v>2712</v>
      </c>
    </row>
    <row r="35" spans="2:11">
      <c r="B35" t="s">
        <v>5528</v>
      </c>
      <c r="E35" t="s">
        <v>4223</v>
      </c>
      <c r="H35" t="s">
        <v>5765</v>
      </c>
      <c r="K35" t="s">
        <v>2710</v>
      </c>
    </row>
    <row r="36" spans="2:11">
      <c r="B36" t="s">
        <v>5529</v>
      </c>
      <c r="E36" t="s">
        <v>4225</v>
      </c>
      <c r="H36" t="s">
        <v>5766</v>
      </c>
      <c r="K36" t="s">
        <v>1687</v>
      </c>
    </row>
    <row r="37" spans="2:11">
      <c r="B37" t="s">
        <v>5530</v>
      </c>
      <c r="E37" t="s">
        <v>4211</v>
      </c>
      <c r="H37" t="s">
        <v>5767</v>
      </c>
      <c r="K37" t="s">
        <v>1685</v>
      </c>
    </row>
    <row r="38" spans="2:11">
      <c r="B38" t="s">
        <v>5531</v>
      </c>
      <c r="E38" t="s">
        <v>4213</v>
      </c>
      <c r="H38" t="s">
        <v>5756</v>
      </c>
      <c r="K38" t="s">
        <v>4546</v>
      </c>
    </row>
    <row r="39" spans="2:11">
      <c r="B39" t="s">
        <v>5522</v>
      </c>
      <c r="E39" t="s">
        <v>4215</v>
      </c>
      <c r="H39" t="s">
        <v>5757</v>
      </c>
      <c r="K39" t="s">
        <v>4548</v>
      </c>
    </row>
    <row r="40" spans="2:11">
      <c r="B40" t="s">
        <v>5523</v>
      </c>
      <c r="E40" t="s">
        <v>5700</v>
      </c>
      <c r="H40" t="s">
        <v>5758</v>
      </c>
      <c r="K40" t="s">
        <v>5120</v>
      </c>
    </row>
    <row r="41" spans="2:11">
      <c r="B41" t="s">
        <v>5524</v>
      </c>
      <c r="E41" t="s">
        <v>5701</v>
      </c>
      <c r="H41" t="s">
        <v>5762</v>
      </c>
      <c r="K41" t="s">
        <v>5122</v>
      </c>
    </row>
    <row r="42" spans="2:11">
      <c r="B42" t="s">
        <v>5525</v>
      </c>
      <c r="E42" t="s">
        <v>5702</v>
      </c>
      <c r="H42" t="s">
        <v>5763</v>
      </c>
      <c r="K42" t="s">
        <v>3657</v>
      </c>
    </row>
    <row r="43" spans="2:11">
      <c r="B43" t="s">
        <v>5526</v>
      </c>
      <c r="E43" t="s">
        <v>5703</v>
      </c>
      <c r="H43" t="s">
        <v>5764</v>
      </c>
      <c r="K43" t="s">
        <v>3655</v>
      </c>
    </row>
    <row r="44" spans="2:11">
      <c r="B44" t="s">
        <v>2341</v>
      </c>
      <c r="E44" t="s">
        <v>5704</v>
      </c>
      <c r="H44" t="s">
        <v>5768</v>
      </c>
      <c r="K44" t="s">
        <v>4814</v>
      </c>
    </row>
    <row r="45" spans="2:11">
      <c r="B45" t="s">
        <v>2349</v>
      </c>
      <c r="E45" t="s">
        <v>5705</v>
      </c>
      <c r="H45" t="s">
        <v>5769</v>
      </c>
      <c r="K45" t="s">
        <v>4816</v>
      </c>
    </row>
    <row r="46" spans="2:11">
      <c r="B46" t="s">
        <v>2357</v>
      </c>
      <c r="E46" t="s">
        <v>5706</v>
      </c>
      <c r="H46" t="s">
        <v>5770</v>
      </c>
      <c r="K46" t="s">
        <v>3669</v>
      </c>
    </row>
    <row r="47" spans="2:11">
      <c r="B47" t="s">
        <v>2947</v>
      </c>
      <c r="E47" t="s">
        <v>5707</v>
      </c>
      <c r="H47" t="s">
        <v>2428</v>
      </c>
      <c r="K47" t="s">
        <v>3667</v>
      </c>
    </row>
    <row r="48" spans="2:11">
      <c r="B48" t="s">
        <v>2949</v>
      </c>
      <c r="E48" t="s">
        <v>5708</v>
      </c>
      <c r="H48" t="s">
        <v>3312</v>
      </c>
      <c r="K48" t="s">
        <v>4550</v>
      </c>
    </row>
    <row r="49" spans="2:11">
      <c r="B49" t="s">
        <v>2343</v>
      </c>
      <c r="E49" t="s">
        <v>5709</v>
      </c>
      <c r="H49" t="s">
        <v>3313</v>
      </c>
      <c r="K49" t="s">
        <v>4552</v>
      </c>
    </row>
    <row r="50" spans="2:11">
      <c r="B50" t="s">
        <v>2351</v>
      </c>
      <c r="E50" t="s">
        <v>5710</v>
      </c>
      <c r="H50" t="s">
        <v>2427</v>
      </c>
      <c r="K50" t="s">
        <v>4554</v>
      </c>
    </row>
    <row r="51" spans="2:11">
      <c r="B51" t="s">
        <v>2359</v>
      </c>
      <c r="E51" t="s">
        <v>5711</v>
      </c>
      <c r="H51" t="s">
        <v>3163</v>
      </c>
      <c r="K51" t="s">
        <v>4556</v>
      </c>
    </row>
    <row r="52" spans="2:11">
      <c r="B52" t="s">
        <v>2943</v>
      </c>
      <c r="E52" t="s">
        <v>5712</v>
      </c>
      <c r="H52" t="s">
        <v>3164</v>
      </c>
      <c r="K52" t="s">
        <v>5796</v>
      </c>
    </row>
    <row r="53" spans="2:11">
      <c r="B53" t="s">
        <v>2945</v>
      </c>
      <c r="E53" t="s">
        <v>5713</v>
      </c>
      <c r="H53" t="s">
        <v>208</v>
      </c>
      <c r="K53" t="s">
        <v>5797</v>
      </c>
    </row>
    <row r="54" spans="2:11">
      <c r="B54" t="s">
        <v>5506</v>
      </c>
      <c r="E54" t="s">
        <v>5714</v>
      </c>
      <c r="H54" t="s">
        <v>5781</v>
      </c>
      <c r="K54" t="s">
        <v>2100</v>
      </c>
    </row>
    <row r="55" spans="2:11">
      <c r="B55" t="s">
        <v>5512</v>
      </c>
      <c r="E55" t="s">
        <v>5715</v>
      </c>
      <c r="H55" t="s">
        <v>4703</v>
      </c>
      <c r="K55" t="s">
        <v>2098</v>
      </c>
    </row>
    <row r="56" spans="2:11">
      <c r="B56" t="s">
        <v>5513</v>
      </c>
      <c r="E56" t="s">
        <v>5716</v>
      </c>
      <c r="H56" t="s">
        <v>5313</v>
      </c>
      <c r="K56" t="s">
        <v>5124</v>
      </c>
    </row>
    <row r="57" spans="2:11">
      <c r="B57" t="s">
        <v>5514</v>
      </c>
      <c r="E57" t="s">
        <v>5717</v>
      </c>
      <c r="H57" t="s">
        <v>5792</v>
      </c>
      <c r="K57" t="s">
        <v>5125</v>
      </c>
    </row>
    <row r="58" spans="2:11">
      <c r="B58" t="s">
        <v>5515</v>
      </c>
      <c r="E58" t="s">
        <v>5718</v>
      </c>
      <c r="H58" t="s">
        <v>5788</v>
      </c>
      <c r="K58" t="s">
        <v>913</v>
      </c>
    </row>
    <row r="59" spans="2:11">
      <c r="B59" t="s">
        <v>5507</v>
      </c>
      <c r="E59" t="s">
        <v>5719</v>
      </c>
      <c r="H59" t="s">
        <v>5790</v>
      </c>
      <c r="K59" t="s">
        <v>911</v>
      </c>
    </row>
    <row r="60" spans="2:11">
      <c r="B60" t="s">
        <v>5508</v>
      </c>
      <c r="E60" t="s">
        <v>5720</v>
      </c>
      <c r="H60" t="s">
        <v>5789</v>
      </c>
      <c r="K60" t="s">
        <v>1172</v>
      </c>
    </row>
    <row r="61" spans="2:11">
      <c r="B61" t="s">
        <v>5509</v>
      </c>
      <c r="E61" t="s">
        <v>5721</v>
      </c>
      <c r="H61" t="s">
        <v>5779</v>
      </c>
      <c r="K61" t="s">
        <v>1170</v>
      </c>
    </row>
    <row r="62" spans="2:11">
      <c r="B62" t="s">
        <v>5510</v>
      </c>
      <c r="E62" t="s">
        <v>5722</v>
      </c>
      <c r="H62" t="s">
        <v>5315</v>
      </c>
      <c r="K62" t="s">
        <v>5126</v>
      </c>
    </row>
    <row r="63" spans="2:11">
      <c r="B63" t="s">
        <v>5511</v>
      </c>
      <c r="E63" t="s">
        <v>5723</v>
      </c>
      <c r="H63" t="s">
        <v>5317</v>
      </c>
      <c r="K63" t="s">
        <v>5127</v>
      </c>
    </row>
    <row r="64" spans="2:11">
      <c r="B64" t="s">
        <v>4346</v>
      </c>
      <c r="E64" t="s">
        <v>5724</v>
      </c>
      <c r="H64" t="s">
        <v>5301</v>
      </c>
      <c r="K64" t="s">
        <v>2261</v>
      </c>
    </row>
    <row r="65" spans="2:11">
      <c r="B65" t="s">
        <v>4356</v>
      </c>
      <c r="E65" t="s">
        <v>5725</v>
      </c>
      <c r="H65" t="s">
        <v>5305</v>
      </c>
      <c r="K65" t="s">
        <v>2259</v>
      </c>
    </row>
    <row r="66" spans="2:11">
      <c r="B66" t="s">
        <v>4358</v>
      </c>
      <c r="E66" t="s">
        <v>5726</v>
      </c>
      <c r="H66" t="s">
        <v>5309</v>
      </c>
      <c r="K66" t="s">
        <v>2031</v>
      </c>
    </row>
    <row r="67" spans="2:11">
      <c r="B67" t="s">
        <v>4360</v>
      </c>
      <c r="E67" t="s">
        <v>5665</v>
      </c>
      <c r="H67" t="s">
        <v>5303</v>
      </c>
      <c r="K67" t="s">
        <v>2029</v>
      </c>
    </row>
    <row r="68" spans="2:11">
      <c r="B68" t="s">
        <v>4362</v>
      </c>
      <c r="E68" t="s">
        <v>5666</v>
      </c>
      <c r="H68" t="s">
        <v>5307</v>
      </c>
      <c r="K68" t="s">
        <v>406</v>
      </c>
    </row>
    <row r="69" spans="2:11">
      <c r="B69" t="s">
        <v>4364</v>
      </c>
      <c r="E69" t="s">
        <v>5661</v>
      </c>
      <c r="H69" t="s">
        <v>5735</v>
      </c>
      <c r="K69" t="s">
        <v>404</v>
      </c>
    </row>
    <row r="70" spans="2:11">
      <c r="B70" t="s">
        <v>4348</v>
      </c>
      <c r="E70" t="s">
        <v>5667</v>
      </c>
      <c r="H70" t="s">
        <v>5736</v>
      </c>
      <c r="K70" t="s">
        <v>555</v>
      </c>
    </row>
    <row r="71" spans="2:11">
      <c r="B71" t="s">
        <v>4350</v>
      </c>
      <c r="E71" t="s">
        <v>5668</v>
      </c>
      <c r="H71" t="s">
        <v>5737</v>
      </c>
      <c r="K71" t="s">
        <v>553</v>
      </c>
    </row>
    <row r="72" spans="2:11">
      <c r="B72" t="s">
        <v>4352</v>
      </c>
      <c r="E72" t="s">
        <v>5669</v>
      </c>
      <c r="H72" t="s">
        <v>5741</v>
      </c>
      <c r="K72" t="s">
        <v>5798</v>
      </c>
    </row>
    <row r="73" spans="2:11">
      <c r="B73" t="s">
        <v>4354</v>
      </c>
      <c r="E73" t="s">
        <v>5662</v>
      </c>
      <c r="H73" t="s">
        <v>5742</v>
      </c>
      <c r="K73" t="s">
        <v>5799</v>
      </c>
    </row>
    <row r="74" spans="2:11">
      <c r="B74" t="s">
        <v>5590</v>
      </c>
      <c r="E74" t="s">
        <v>5663</v>
      </c>
      <c r="H74" t="s">
        <v>5743</v>
      </c>
      <c r="K74" t="s">
        <v>1206</v>
      </c>
    </row>
    <row r="75" spans="2:11">
      <c r="B75" t="s">
        <v>5591</v>
      </c>
      <c r="E75" t="s">
        <v>5664</v>
      </c>
      <c r="H75" t="s">
        <v>5747</v>
      </c>
      <c r="K75" t="s">
        <v>1204</v>
      </c>
    </row>
    <row r="76" spans="2:11">
      <c r="B76" t="s">
        <v>5592</v>
      </c>
      <c r="E76" t="s">
        <v>5253</v>
      </c>
      <c r="H76" t="s">
        <v>5748</v>
      </c>
      <c r="K76" t="s">
        <v>5841</v>
      </c>
    </row>
    <row r="77" spans="2:11">
      <c r="B77" t="s">
        <v>5593</v>
      </c>
      <c r="E77" t="s">
        <v>5255</v>
      </c>
      <c r="H77" t="s">
        <v>5749</v>
      </c>
      <c r="K77" t="s">
        <v>5840</v>
      </c>
    </row>
    <row r="78" spans="2:11">
      <c r="B78" t="s">
        <v>3798</v>
      </c>
      <c r="E78" t="s">
        <v>5245</v>
      </c>
      <c r="H78" t="s">
        <v>5738</v>
      </c>
      <c r="K78" t="s">
        <v>5076</v>
      </c>
    </row>
    <row r="79" spans="2:11">
      <c r="B79" t="s">
        <v>3800</v>
      </c>
      <c r="E79" t="s">
        <v>5257</v>
      </c>
      <c r="H79" t="s">
        <v>5739</v>
      </c>
      <c r="K79" t="s">
        <v>5078</v>
      </c>
    </row>
    <row r="80" spans="2:11">
      <c r="B80" t="s">
        <v>4588</v>
      </c>
      <c r="E80" t="s">
        <v>5259</v>
      </c>
      <c r="H80" t="s">
        <v>5740</v>
      </c>
      <c r="K80" t="s">
        <v>3952</v>
      </c>
    </row>
    <row r="81" spans="2:11">
      <c r="B81" t="s">
        <v>3801</v>
      </c>
      <c r="E81" t="s">
        <v>5261</v>
      </c>
      <c r="H81" t="s">
        <v>5744</v>
      </c>
      <c r="K81" t="s">
        <v>3953</v>
      </c>
    </row>
    <row r="82" spans="2:11">
      <c r="B82" t="s">
        <v>3802</v>
      </c>
      <c r="E82" t="s">
        <v>5247</v>
      </c>
      <c r="H82" t="s">
        <v>5745</v>
      </c>
      <c r="K82" t="s">
        <v>3954</v>
      </c>
    </row>
    <row r="83" spans="2:11">
      <c r="B83" t="s">
        <v>3388</v>
      </c>
      <c r="E83" t="s">
        <v>5249</v>
      </c>
      <c r="H83" t="s">
        <v>5746</v>
      </c>
      <c r="K83" t="s">
        <v>3955</v>
      </c>
    </row>
    <row r="84" spans="2:11">
      <c r="B84" t="s">
        <v>3392</v>
      </c>
      <c r="E84" t="s">
        <v>5251</v>
      </c>
      <c r="H84" t="s">
        <v>5750</v>
      </c>
      <c r="K84" t="s">
        <v>3786</v>
      </c>
    </row>
    <row r="85" spans="2:11">
      <c r="B85" t="s">
        <v>3394</v>
      </c>
      <c r="E85" t="s">
        <v>1638</v>
      </c>
      <c r="H85" t="s">
        <v>5751</v>
      </c>
      <c r="K85" t="s">
        <v>3784</v>
      </c>
    </row>
    <row r="86" spans="2:11">
      <c r="B86" t="s">
        <v>3396</v>
      </c>
      <c r="E86" t="s">
        <v>2604</v>
      </c>
      <c r="H86" t="s">
        <v>5752</v>
      </c>
      <c r="K86" t="s">
        <v>1156</v>
      </c>
    </row>
    <row r="87" spans="2:11">
      <c r="B87" t="s">
        <v>3398</v>
      </c>
      <c r="E87" t="s">
        <v>2606</v>
      </c>
      <c r="H87" t="s">
        <v>2973</v>
      </c>
      <c r="K87" t="s">
        <v>1154</v>
      </c>
    </row>
    <row r="88" spans="2:11">
      <c r="B88" t="s">
        <v>3390</v>
      </c>
      <c r="E88" t="s">
        <v>2596</v>
      </c>
      <c r="H88" t="s">
        <v>2974</v>
      </c>
      <c r="K88" t="s">
        <v>4582</v>
      </c>
    </row>
    <row r="89" spans="2:11">
      <c r="B89" t="s">
        <v>3400</v>
      </c>
      <c r="E89" t="s">
        <v>2608</v>
      </c>
      <c r="H89" t="s">
        <v>2975</v>
      </c>
      <c r="K89" t="s">
        <v>4584</v>
      </c>
    </row>
    <row r="90" spans="2:11">
      <c r="B90" t="s">
        <v>3404</v>
      </c>
      <c r="E90" t="s">
        <v>2610</v>
      </c>
      <c r="H90" t="s">
        <v>3165</v>
      </c>
      <c r="K90" t="s">
        <v>800</v>
      </c>
    </row>
    <row r="91" spans="2:11">
      <c r="B91" t="s">
        <v>3406</v>
      </c>
      <c r="E91" t="s">
        <v>2612</v>
      </c>
      <c r="H91" t="s">
        <v>3166</v>
      </c>
      <c r="K91" t="s">
        <v>798</v>
      </c>
    </row>
    <row r="92" spans="2:11">
      <c r="B92" t="s">
        <v>3408</v>
      </c>
      <c r="E92" t="s">
        <v>2598</v>
      </c>
      <c r="H92" t="s">
        <v>3167</v>
      </c>
      <c r="K92" t="s">
        <v>5800</v>
      </c>
    </row>
    <row r="93" spans="2:11">
      <c r="B93" t="s">
        <v>3410</v>
      </c>
      <c r="E93" t="s">
        <v>2600</v>
      </c>
      <c r="H93" t="s">
        <v>2734</v>
      </c>
      <c r="K93" t="s">
        <v>5801</v>
      </c>
    </row>
    <row r="94" spans="2:11">
      <c r="B94" t="s">
        <v>3402</v>
      </c>
      <c r="E94" t="s">
        <v>2602</v>
      </c>
      <c r="H94" t="s">
        <v>5774</v>
      </c>
      <c r="K94" t="s">
        <v>3527</v>
      </c>
    </row>
    <row r="95" spans="2:11">
      <c r="B95" t="s">
        <v>5516</v>
      </c>
      <c r="E95" t="s">
        <v>1556</v>
      </c>
      <c r="H95" t="s">
        <v>5791</v>
      </c>
      <c r="K95" t="s">
        <v>3529</v>
      </c>
    </row>
    <row r="96" spans="2:11">
      <c r="B96" t="s">
        <v>1302</v>
      </c>
      <c r="E96" t="s">
        <v>1558</v>
      </c>
      <c r="H96" t="s">
        <v>5780</v>
      </c>
      <c r="K96" t="s">
        <v>3531</v>
      </c>
    </row>
    <row r="97" spans="2:11">
      <c r="B97" t="s">
        <v>4308</v>
      </c>
      <c r="E97" t="s">
        <v>1548</v>
      </c>
      <c r="H97" t="s">
        <v>4701</v>
      </c>
      <c r="K97" t="s">
        <v>3533</v>
      </c>
    </row>
    <row r="98" spans="2:11">
      <c r="B98" t="s">
        <v>4309</v>
      </c>
      <c r="E98" t="s">
        <v>1560</v>
      </c>
      <c r="H98" t="s">
        <v>5311</v>
      </c>
      <c r="K98" t="s">
        <v>5874</v>
      </c>
    </row>
    <row r="99" spans="2:11">
      <c r="B99" t="s">
        <v>4310</v>
      </c>
      <c r="E99" t="s">
        <v>1562</v>
      </c>
      <c r="H99" t="s">
        <v>5793</v>
      </c>
      <c r="K99" t="s">
        <v>993</v>
      </c>
    </row>
    <row r="100" spans="2:11">
      <c r="B100" t="s">
        <v>4311</v>
      </c>
      <c r="E100" t="s">
        <v>1564</v>
      </c>
      <c r="H100" t="s">
        <v>5771</v>
      </c>
      <c r="K100" t="s">
        <v>991</v>
      </c>
    </row>
    <row r="101" spans="2:11">
      <c r="B101" t="s">
        <v>4312</v>
      </c>
      <c r="E101" t="s">
        <v>1550</v>
      </c>
      <c r="H101" t="s">
        <v>5772</v>
      </c>
      <c r="K101" t="s">
        <v>1108</v>
      </c>
    </row>
    <row r="102" spans="2:11">
      <c r="B102" t="s">
        <v>4313</v>
      </c>
      <c r="E102" t="s">
        <v>1552</v>
      </c>
      <c r="H102" t="s">
        <v>5773</v>
      </c>
      <c r="K102" t="s">
        <v>1110</v>
      </c>
    </row>
    <row r="103" spans="2:11">
      <c r="B103" t="s">
        <v>4910</v>
      </c>
      <c r="E103" t="s">
        <v>1554</v>
      </c>
      <c r="H103" t="s">
        <v>5319</v>
      </c>
      <c r="K103" t="s">
        <v>997</v>
      </c>
    </row>
    <row r="104" spans="2:11">
      <c r="B104" t="s">
        <v>5157</v>
      </c>
      <c r="E104" t="s">
        <v>230</v>
      </c>
      <c r="H104" t="s">
        <v>4513</v>
      </c>
      <c r="K104" t="s">
        <v>995</v>
      </c>
    </row>
    <row r="105" spans="2:11">
      <c r="B105" t="s">
        <v>5158</v>
      </c>
      <c r="E105" t="s">
        <v>232</v>
      </c>
      <c r="H105" t="s">
        <v>2976</v>
      </c>
      <c r="K105" t="s">
        <v>949</v>
      </c>
    </row>
    <row r="106" spans="2:11">
      <c r="B106" t="s">
        <v>5159</v>
      </c>
      <c r="E106" t="s">
        <v>881</v>
      </c>
      <c r="H106" t="s">
        <v>4515</v>
      </c>
      <c r="K106" t="s">
        <v>947</v>
      </c>
    </row>
    <row r="107" spans="2:11">
      <c r="B107" t="s">
        <v>5160</v>
      </c>
      <c r="E107" t="s">
        <v>234</v>
      </c>
      <c r="H107" t="s">
        <v>2977</v>
      </c>
      <c r="K107" t="s">
        <v>953</v>
      </c>
    </row>
    <row r="108" spans="2:11">
      <c r="B108" t="s">
        <v>5161</v>
      </c>
      <c r="E108" t="s">
        <v>236</v>
      </c>
      <c r="H108" t="s">
        <v>2979</v>
      </c>
      <c r="K108" t="s">
        <v>951</v>
      </c>
    </row>
    <row r="109" spans="2:11">
      <c r="B109" t="s">
        <v>4087</v>
      </c>
      <c r="E109" t="s">
        <v>238</v>
      </c>
      <c r="H109" t="s">
        <v>4247</v>
      </c>
      <c r="K109" t="s">
        <v>3138</v>
      </c>
    </row>
    <row r="110" spans="2:11">
      <c r="B110" t="s">
        <v>4089</v>
      </c>
      <c r="E110" t="s">
        <v>224</v>
      </c>
      <c r="H110" t="s">
        <v>4516</v>
      </c>
      <c r="K110" t="s">
        <v>3136</v>
      </c>
    </row>
    <row r="111" spans="2:11">
      <c r="B111" t="s">
        <v>4091</v>
      </c>
      <c r="E111" t="s">
        <v>226</v>
      </c>
      <c r="H111" t="s">
        <v>4517</v>
      </c>
      <c r="K111" t="s">
        <v>4399</v>
      </c>
    </row>
    <row r="112" spans="2:11">
      <c r="B112" t="s">
        <v>4093</v>
      </c>
      <c r="E112" t="s">
        <v>228</v>
      </c>
      <c r="H112" t="s">
        <v>2978</v>
      </c>
      <c r="K112" t="s">
        <v>4397</v>
      </c>
    </row>
    <row r="113" spans="2:11">
      <c r="B113" t="s">
        <v>4095</v>
      </c>
      <c r="E113" t="s">
        <v>130</v>
      </c>
      <c r="H113" t="s">
        <v>3956</v>
      </c>
      <c r="K113" t="s">
        <v>4983</v>
      </c>
    </row>
    <row r="114" spans="2:11">
      <c r="B114" t="s">
        <v>4097</v>
      </c>
      <c r="E114" t="s">
        <v>63</v>
      </c>
      <c r="H114" t="s">
        <v>3314</v>
      </c>
      <c r="K114" t="s">
        <v>4985</v>
      </c>
    </row>
    <row r="115" spans="2:11">
      <c r="B115" t="s">
        <v>5162</v>
      </c>
      <c r="E115" t="s">
        <v>65</v>
      </c>
      <c r="H115" t="s">
        <v>206</v>
      </c>
      <c r="K115" t="s">
        <v>5329</v>
      </c>
    </row>
    <row r="116" spans="2:11">
      <c r="B116" t="s">
        <v>5163</v>
      </c>
      <c r="E116" t="s">
        <v>67</v>
      </c>
      <c r="H116" t="s">
        <v>207</v>
      </c>
      <c r="K116" t="s">
        <v>5330</v>
      </c>
    </row>
    <row r="117" spans="2:11">
      <c r="B117" t="s">
        <v>5164</v>
      </c>
      <c r="E117" t="s">
        <v>69</v>
      </c>
      <c r="H117" t="s">
        <v>204</v>
      </c>
      <c r="K117" t="s">
        <v>4290</v>
      </c>
    </row>
    <row r="118" spans="2:11">
      <c r="B118" t="s">
        <v>5165</v>
      </c>
      <c r="E118" t="s">
        <v>71</v>
      </c>
      <c r="H118" t="s">
        <v>205</v>
      </c>
      <c r="K118" t="s">
        <v>4288</v>
      </c>
    </row>
    <row r="119" spans="2:11">
      <c r="B119" t="s">
        <v>5166</v>
      </c>
      <c r="E119" t="s">
        <v>57</v>
      </c>
      <c r="H119" t="s">
        <v>3848</v>
      </c>
      <c r="K119" t="s">
        <v>5331</v>
      </c>
    </row>
    <row r="120" spans="2:11">
      <c r="B120" t="s">
        <v>5167</v>
      </c>
      <c r="E120" t="s">
        <v>126</v>
      </c>
      <c r="H120" t="s">
        <v>3850</v>
      </c>
      <c r="K120" t="s">
        <v>5332</v>
      </c>
    </row>
    <row r="121" spans="2:11">
      <c r="B121" t="s">
        <v>4465</v>
      </c>
      <c r="E121" t="s">
        <v>59</v>
      </c>
      <c r="H121" t="s">
        <v>3854</v>
      </c>
      <c r="K121" t="s">
        <v>4538</v>
      </c>
    </row>
    <row r="122" spans="2:11">
      <c r="B122" t="s">
        <v>4466</v>
      </c>
      <c r="E122" t="s">
        <v>128</v>
      </c>
      <c r="H122" t="s">
        <v>3852</v>
      </c>
      <c r="K122" t="s">
        <v>4540</v>
      </c>
    </row>
    <row r="123" spans="2:11">
      <c r="B123" t="s">
        <v>4467</v>
      </c>
      <c r="E123" t="s">
        <v>61</v>
      </c>
      <c r="H123" t="s">
        <v>3856</v>
      </c>
      <c r="K123" t="s">
        <v>4262</v>
      </c>
    </row>
    <row r="124" spans="2:11">
      <c r="B124" t="s">
        <v>4468</v>
      </c>
      <c r="E124" t="s">
        <v>149</v>
      </c>
      <c r="H124" t="s">
        <v>3858</v>
      </c>
      <c r="K124" t="s">
        <v>4260</v>
      </c>
    </row>
    <row r="125" spans="2:11">
      <c r="B125" t="s">
        <v>4469</v>
      </c>
      <c r="E125" t="s">
        <v>151</v>
      </c>
      <c r="H125" t="s">
        <v>3860</v>
      </c>
      <c r="K125" t="s">
        <v>5333</v>
      </c>
    </row>
    <row r="126" spans="2:11">
      <c r="B126" t="s">
        <v>4470</v>
      </c>
      <c r="E126" t="s">
        <v>153</v>
      </c>
      <c r="H126" t="s">
        <v>4590</v>
      </c>
      <c r="K126" t="s">
        <v>5334</v>
      </c>
    </row>
    <row r="127" spans="2:11">
      <c r="B127" t="s">
        <v>4111</v>
      </c>
      <c r="E127" t="s">
        <v>155</v>
      </c>
      <c r="H127" t="s">
        <v>3862</v>
      </c>
      <c r="K127" t="s">
        <v>4542</v>
      </c>
    </row>
    <row r="128" spans="2:11">
      <c r="B128" t="s">
        <v>4113</v>
      </c>
      <c r="E128" t="s">
        <v>157</v>
      </c>
      <c r="H128" t="s">
        <v>3864</v>
      </c>
      <c r="K128" t="s">
        <v>4544</v>
      </c>
    </row>
    <row r="129" spans="2:11">
      <c r="B129" t="s">
        <v>4115</v>
      </c>
      <c r="E129" t="s">
        <v>143</v>
      </c>
      <c r="H129" t="s">
        <v>2957</v>
      </c>
      <c r="K129" t="s">
        <v>4304</v>
      </c>
    </row>
    <row r="130" spans="2:11">
      <c r="B130" t="s">
        <v>4117</v>
      </c>
      <c r="E130" t="s">
        <v>145</v>
      </c>
      <c r="H130" t="s">
        <v>3729</v>
      </c>
      <c r="K130" t="s">
        <v>4302</v>
      </c>
    </row>
    <row r="131" spans="2:11">
      <c r="B131" t="s">
        <v>4119</v>
      </c>
      <c r="E131" t="s">
        <v>147</v>
      </c>
      <c r="H131" t="s">
        <v>4242</v>
      </c>
      <c r="K131" t="s">
        <v>5335</v>
      </c>
    </row>
    <row r="132" spans="2:11">
      <c r="B132" t="s">
        <v>4121</v>
      </c>
      <c r="E132" t="s">
        <v>524</v>
      </c>
      <c r="H132" t="s">
        <v>4729</v>
      </c>
      <c r="K132" t="s">
        <v>5336</v>
      </c>
    </row>
    <row r="133" spans="2:11">
      <c r="B133" t="s">
        <v>5168</v>
      </c>
      <c r="E133" t="s">
        <v>526</v>
      </c>
      <c r="H133" t="s">
        <v>2959</v>
      </c>
      <c r="K133" t="s">
        <v>4276</v>
      </c>
    </row>
    <row r="134" spans="2:11">
      <c r="B134" t="s">
        <v>5169</v>
      </c>
      <c r="E134" t="s">
        <v>528</v>
      </c>
      <c r="H134" t="s">
        <v>2961</v>
      </c>
      <c r="K134" t="s">
        <v>4274</v>
      </c>
    </row>
    <row r="135" spans="2:11">
      <c r="B135" t="s">
        <v>5170</v>
      </c>
      <c r="E135" t="s">
        <v>530</v>
      </c>
      <c r="H135" t="s">
        <v>3310</v>
      </c>
      <c r="K135" t="s">
        <v>1630</v>
      </c>
    </row>
    <row r="136" spans="2:11">
      <c r="B136" t="s">
        <v>5171</v>
      </c>
      <c r="E136" t="s">
        <v>532</v>
      </c>
      <c r="H136" t="s">
        <v>4245</v>
      </c>
      <c r="K136" t="s">
        <v>1628</v>
      </c>
    </row>
    <row r="137" spans="2:11">
      <c r="B137" t="s">
        <v>5172</v>
      </c>
      <c r="E137" t="s">
        <v>518</v>
      </c>
      <c r="H137" t="s">
        <v>3308</v>
      </c>
      <c r="K137" t="s">
        <v>3338</v>
      </c>
    </row>
    <row r="138" spans="2:11">
      <c r="B138" t="s">
        <v>5173</v>
      </c>
      <c r="E138" t="s">
        <v>520</v>
      </c>
      <c r="H138" t="s">
        <v>5787</v>
      </c>
      <c r="K138" t="s">
        <v>3339</v>
      </c>
    </row>
    <row r="139" spans="2:11">
      <c r="B139" t="s">
        <v>4471</v>
      </c>
      <c r="E139" t="s">
        <v>522</v>
      </c>
      <c r="H139" t="s">
        <v>5786</v>
      </c>
      <c r="K139" t="s">
        <v>4987</v>
      </c>
    </row>
    <row r="140" spans="2:11">
      <c r="B140" t="s">
        <v>4473</v>
      </c>
      <c r="E140" t="s">
        <v>4973</v>
      </c>
      <c r="H140" t="s">
        <v>5785</v>
      </c>
      <c r="K140" t="s">
        <v>4989</v>
      </c>
    </row>
    <row r="141" spans="2:11">
      <c r="B141" t="s">
        <v>4475</v>
      </c>
      <c r="E141" t="s">
        <v>5670</v>
      </c>
      <c r="H141" t="s">
        <v>5783</v>
      </c>
      <c r="K141" t="s">
        <v>1351</v>
      </c>
    </row>
    <row r="142" spans="2:11">
      <c r="B142" t="s">
        <v>4477</v>
      </c>
      <c r="E142" t="s">
        <v>5671</v>
      </c>
      <c r="H142" t="s">
        <v>5784</v>
      </c>
      <c r="K142" t="s">
        <v>1349</v>
      </c>
    </row>
    <row r="143" spans="2:11">
      <c r="B143" t="s">
        <v>4479</v>
      </c>
      <c r="E143" t="s">
        <v>5672</v>
      </c>
      <c r="H143" t="s">
        <v>2963</v>
      </c>
      <c r="K143" t="s">
        <v>1337</v>
      </c>
    </row>
    <row r="144" spans="2:11">
      <c r="B144" t="s">
        <v>4481</v>
      </c>
      <c r="E144" t="s">
        <v>4975</v>
      </c>
      <c r="H144" t="s">
        <v>4705</v>
      </c>
      <c r="K144" t="s">
        <v>1335</v>
      </c>
    </row>
    <row r="145" spans="2:11">
      <c r="B145" t="s">
        <v>4099</v>
      </c>
      <c r="E145" t="s">
        <v>3282</v>
      </c>
      <c r="H145" t="s">
        <v>3946</v>
      </c>
      <c r="K145" t="s">
        <v>2320</v>
      </c>
    </row>
    <row r="146" spans="2:11">
      <c r="B146" t="s">
        <v>4101</v>
      </c>
      <c r="E146" t="s">
        <v>3284</v>
      </c>
      <c r="H146" t="s">
        <v>2965</v>
      </c>
      <c r="K146" t="s">
        <v>2318</v>
      </c>
    </row>
    <row r="147" spans="2:11">
      <c r="B147" t="s">
        <v>4103</v>
      </c>
      <c r="E147" t="s">
        <v>3286</v>
      </c>
      <c r="H147" t="s">
        <v>2969</v>
      </c>
      <c r="K147" t="s">
        <v>5337</v>
      </c>
    </row>
    <row r="148" spans="2:11">
      <c r="B148" t="s">
        <v>4105</v>
      </c>
      <c r="E148" t="s">
        <v>3496</v>
      </c>
      <c r="H148" t="s">
        <v>5782</v>
      </c>
      <c r="K148" t="s">
        <v>5338</v>
      </c>
    </row>
    <row r="149" spans="2:11">
      <c r="B149" t="s">
        <v>4107</v>
      </c>
      <c r="E149" t="s">
        <v>3498</v>
      </c>
      <c r="H149" t="s">
        <v>2971</v>
      </c>
      <c r="K149" t="s">
        <v>3565</v>
      </c>
    </row>
    <row r="150" spans="2:11">
      <c r="B150" t="s">
        <v>4109</v>
      </c>
      <c r="E150" t="s">
        <v>3500</v>
      </c>
      <c r="H150" t="s">
        <v>2967</v>
      </c>
      <c r="K150" t="s">
        <v>3563</v>
      </c>
    </row>
    <row r="151" spans="2:11">
      <c r="B151" t="s">
        <v>5174</v>
      </c>
      <c r="E151" t="s">
        <v>4660</v>
      </c>
      <c r="H151" t="s">
        <v>4707</v>
      </c>
      <c r="K151" t="s">
        <v>3559</v>
      </c>
    </row>
    <row r="152" spans="2:11">
      <c r="B152" t="s">
        <v>5175</v>
      </c>
      <c r="E152" t="s">
        <v>4662</v>
      </c>
      <c r="H152" t="s">
        <v>1095</v>
      </c>
      <c r="K152" t="s">
        <v>3557</v>
      </c>
    </row>
    <row r="153" spans="2:11">
      <c r="B153" t="s">
        <v>5176</v>
      </c>
      <c r="E153" t="s">
        <v>4664</v>
      </c>
      <c r="H153" t="s">
        <v>5110</v>
      </c>
      <c r="K153" t="s">
        <v>398</v>
      </c>
    </row>
    <row r="154" spans="2:11">
      <c r="B154" t="s">
        <v>5177</v>
      </c>
      <c r="E154" t="s">
        <v>4197</v>
      </c>
      <c r="H154" t="s">
        <v>3523</v>
      </c>
      <c r="K154" t="s">
        <v>396</v>
      </c>
    </row>
    <row r="155" spans="2:11">
      <c r="B155" t="s">
        <v>5178</v>
      </c>
      <c r="E155" t="s">
        <v>4199</v>
      </c>
      <c r="H155" t="s">
        <v>3525</v>
      </c>
      <c r="K155" t="s">
        <v>874</v>
      </c>
    </row>
    <row r="156" spans="2:11">
      <c r="B156" t="s">
        <v>5179</v>
      </c>
      <c r="E156" t="s">
        <v>4201</v>
      </c>
      <c r="H156" t="s">
        <v>3521</v>
      </c>
      <c r="K156" t="s">
        <v>872</v>
      </c>
    </row>
    <row r="157" spans="2:11">
      <c r="B157" t="s">
        <v>5180</v>
      </c>
      <c r="E157" t="s">
        <v>4185</v>
      </c>
      <c r="H157" t="s">
        <v>4238</v>
      </c>
      <c r="K157" t="s">
        <v>1413</v>
      </c>
    </row>
    <row r="158" spans="2:11">
      <c r="B158" t="s">
        <v>5181</v>
      </c>
      <c r="E158" t="s">
        <v>4187</v>
      </c>
      <c r="H158" t="s">
        <v>4240</v>
      </c>
      <c r="K158" t="s">
        <v>1411</v>
      </c>
    </row>
    <row r="159" spans="2:11">
      <c r="B159" t="s">
        <v>5182</v>
      </c>
      <c r="E159" t="s">
        <v>4189</v>
      </c>
      <c r="H159" t="s">
        <v>4239</v>
      </c>
      <c r="K159" t="s">
        <v>347</v>
      </c>
    </row>
    <row r="160" spans="2:11">
      <c r="B160" t="s">
        <v>5183</v>
      </c>
      <c r="E160" t="s">
        <v>4191</v>
      </c>
      <c r="H160" t="s">
        <v>4241</v>
      </c>
      <c r="K160" t="s">
        <v>346</v>
      </c>
    </row>
    <row r="161" spans="2:11">
      <c r="B161" t="s">
        <v>5184</v>
      </c>
      <c r="E161" t="s">
        <v>4193</v>
      </c>
      <c r="H161" t="s">
        <v>4234</v>
      </c>
      <c r="K161" t="s">
        <v>675</v>
      </c>
    </row>
    <row r="162" spans="2:11">
      <c r="B162" t="s">
        <v>4122</v>
      </c>
      <c r="E162" t="s">
        <v>4195</v>
      </c>
      <c r="H162" t="s">
        <v>4236</v>
      </c>
      <c r="K162" t="s">
        <v>673</v>
      </c>
    </row>
    <row r="163" spans="2:11">
      <c r="B163" t="s">
        <v>4124</v>
      </c>
      <c r="E163" t="s">
        <v>4179</v>
      </c>
      <c r="H163" t="s">
        <v>4235</v>
      </c>
      <c r="K163" t="s">
        <v>846</v>
      </c>
    </row>
    <row r="164" spans="2:11">
      <c r="B164" t="s">
        <v>4126</v>
      </c>
      <c r="E164" t="s">
        <v>4181</v>
      </c>
      <c r="H164" t="s">
        <v>4237</v>
      </c>
      <c r="K164" t="s">
        <v>844</v>
      </c>
    </row>
    <row r="165" spans="2:11">
      <c r="B165" t="s">
        <v>4128</v>
      </c>
      <c r="E165" t="s">
        <v>4183</v>
      </c>
      <c r="H165" t="s">
        <v>6575</v>
      </c>
      <c r="K165" t="s">
        <v>701</v>
      </c>
    </row>
    <row r="166" spans="2:11">
      <c r="B166" t="s">
        <v>4130</v>
      </c>
      <c r="E166" t="s">
        <v>4167</v>
      </c>
      <c r="H166" t="s">
        <v>6577</v>
      </c>
      <c r="K166" t="s">
        <v>703</v>
      </c>
    </row>
    <row r="167" spans="2:11">
      <c r="B167" t="s">
        <v>4132</v>
      </c>
      <c r="E167" t="s">
        <v>4169</v>
      </c>
      <c r="H167" t="s">
        <v>6579</v>
      </c>
      <c r="K167" t="s">
        <v>834</v>
      </c>
    </row>
    <row r="168" spans="2:11">
      <c r="B168" t="s">
        <v>5185</v>
      </c>
      <c r="E168" t="s">
        <v>4171</v>
      </c>
      <c r="H168" t="s">
        <v>6581</v>
      </c>
      <c r="K168" t="s">
        <v>832</v>
      </c>
    </row>
    <row r="169" spans="2:11">
      <c r="B169" t="s">
        <v>5186</v>
      </c>
      <c r="E169" t="s">
        <v>4173</v>
      </c>
      <c r="H169" t="s">
        <v>6583</v>
      </c>
      <c r="K169" t="s">
        <v>812</v>
      </c>
    </row>
    <row r="170" spans="2:11">
      <c r="B170" t="s">
        <v>5187</v>
      </c>
      <c r="E170" t="s">
        <v>4175</v>
      </c>
      <c r="H170" t="s">
        <v>6585</v>
      </c>
      <c r="K170" t="s">
        <v>810</v>
      </c>
    </row>
    <row r="171" spans="2:11">
      <c r="B171" t="s">
        <v>5188</v>
      </c>
      <c r="E171" t="s">
        <v>4177</v>
      </c>
      <c r="H171" t="s">
        <v>6587</v>
      </c>
      <c r="K171" t="s">
        <v>1056</v>
      </c>
    </row>
    <row r="172" spans="2:11">
      <c r="B172" t="s">
        <v>5189</v>
      </c>
      <c r="E172" t="s">
        <v>4161</v>
      </c>
      <c r="H172" t="s">
        <v>6589</v>
      </c>
      <c r="K172" t="s">
        <v>1054</v>
      </c>
    </row>
    <row r="173" spans="2:11">
      <c r="B173" t="s">
        <v>5190</v>
      </c>
      <c r="E173" t="s">
        <v>4163</v>
      </c>
      <c r="H173" t="s">
        <v>6591</v>
      </c>
      <c r="K173" t="s">
        <v>1935</v>
      </c>
    </row>
    <row r="174" spans="2:11">
      <c r="B174" t="s">
        <v>1496</v>
      </c>
      <c r="E174" t="s">
        <v>4165</v>
      </c>
      <c r="H174" t="s">
        <v>6912</v>
      </c>
      <c r="K174" t="s">
        <v>1937</v>
      </c>
    </row>
    <row r="175" spans="2:11">
      <c r="B175" t="s">
        <v>1516</v>
      </c>
      <c r="E175" t="s">
        <v>2189</v>
      </c>
      <c r="H175" t="s">
        <v>6913</v>
      </c>
      <c r="K175" t="s">
        <v>1939</v>
      </c>
    </row>
    <row r="176" spans="2:11">
      <c r="B176" t="s">
        <v>1514</v>
      </c>
      <c r="E176" t="s">
        <v>5217</v>
      </c>
      <c r="H176" t="s">
        <v>6914</v>
      </c>
      <c r="K176" t="s">
        <v>1941</v>
      </c>
    </row>
    <row r="177" spans="2:11">
      <c r="B177" t="s">
        <v>1518</v>
      </c>
      <c r="E177" t="s">
        <v>2190</v>
      </c>
      <c r="H177" t="s">
        <v>6915</v>
      </c>
      <c r="K177" t="s">
        <v>1709</v>
      </c>
    </row>
    <row r="178" spans="2:11">
      <c r="B178" t="s">
        <v>1510</v>
      </c>
      <c r="E178" t="s">
        <v>2191</v>
      </c>
      <c r="H178" t="s">
        <v>6916</v>
      </c>
      <c r="K178" t="s">
        <v>1707</v>
      </c>
    </row>
    <row r="179" spans="2:11">
      <c r="B179" t="s">
        <v>1512</v>
      </c>
      <c r="E179" t="s">
        <v>13</v>
      </c>
      <c r="H179" t="s">
        <v>6917</v>
      </c>
      <c r="K179" t="s">
        <v>1721</v>
      </c>
    </row>
    <row r="180" spans="2:11">
      <c r="B180" t="s">
        <v>1486</v>
      </c>
      <c r="E180" t="s">
        <v>11</v>
      </c>
      <c r="H180" t="s">
        <v>6918</v>
      </c>
      <c r="K180" t="s">
        <v>1719</v>
      </c>
    </row>
    <row r="181" spans="2:11">
      <c r="B181" t="s">
        <v>1506</v>
      </c>
      <c r="E181" t="s">
        <v>1478</v>
      </c>
      <c r="H181" t="s">
        <v>6919</v>
      </c>
      <c r="K181" t="s">
        <v>3047</v>
      </c>
    </row>
    <row r="182" spans="2:11">
      <c r="B182" t="s">
        <v>1504</v>
      </c>
      <c r="E182" t="s">
        <v>7</v>
      </c>
      <c r="H182" t="s">
        <v>6920</v>
      </c>
      <c r="K182" t="s">
        <v>3045</v>
      </c>
    </row>
    <row r="183" spans="2:11">
      <c r="B183" t="s">
        <v>1508</v>
      </c>
      <c r="E183" t="s">
        <v>1417</v>
      </c>
      <c r="H183" t="s">
        <v>6921</v>
      </c>
      <c r="K183" t="s">
        <v>2141</v>
      </c>
    </row>
    <row r="184" spans="2:11">
      <c r="B184" t="s">
        <v>1500</v>
      </c>
      <c r="E184" t="s">
        <v>12</v>
      </c>
      <c r="H184" t="s">
        <v>6922</v>
      </c>
      <c r="K184" t="s">
        <v>2143</v>
      </c>
    </row>
    <row r="185" spans="2:11">
      <c r="B185" t="s">
        <v>1502</v>
      </c>
      <c r="E185" t="s">
        <v>10</v>
      </c>
      <c r="H185" t="s">
        <v>6923</v>
      </c>
      <c r="K185" t="s">
        <v>4818</v>
      </c>
    </row>
    <row r="186" spans="2:11">
      <c r="B186" t="s">
        <v>1498</v>
      </c>
      <c r="E186" t="s">
        <v>31</v>
      </c>
      <c r="H186" t="s">
        <v>6924</v>
      </c>
      <c r="K186" t="s">
        <v>4820</v>
      </c>
    </row>
    <row r="187" spans="2:11">
      <c r="B187" t="s">
        <v>1429</v>
      </c>
      <c r="E187" t="s">
        <v>1300</v>
      </c>
      <c r="H187" t="s">
        <v>6925</v>
      </c>
      <c r="K187" t="s">
        <v>5896</v>
      </c>
    </row>
    <row r="188" spans="2:11">
      <c r="B188" t="s">
        <v>1453</v>
      </c>
      <c r="E188" t="s">
        <v>1471</v>
      </c>
      <c r="H188" t="s">
        <v>6926</v>
      </c>
      <c r="K188" t="s">
        <v>5897</v>
      </c>
    </row>
    <row r="189" spans="2:11">
      <c r="B189" t="s">
        <v>1447</v>
      </c>
      <c r="E189" t="s">
        <v>1663</v>
      </c>
      <c r="H189" t="s">
        <v>6927</v>
      </c>
      <c r="K189" t="s">
        <v>5032</v>
      </c>
    </row>
    <row r="190" spans="2:11">
      <c r="B190" t="s">
        <v>1459</v>
      </c>
      <c r="E190" t="s">
        <v>1467</v>
      </c>
      <c r="H190" t="s">
        <v>6928</v>
      </c>
      <c r="K190" t="s">
        <v>5034</v>
      </c>
    </row>
    <row r="191" spans="2:11">
      <c r="B191" t="s">
        <v>1435</v>
      </c>
      <c r="E191" t="s">
        <v>1465</v>
      </c>
      <c r="H191" t="s">
        <v>6929</v>
      </c>
      <c r="K191" t="s">
        <v>4822</v>
      </c>
    </row>
    <row r="192" spans="2:11">
      <c r="B192" t="s">
        <v>1441</v>
      </c>
      <c r="E192" t="s">
        <v>1299</v>
      </c>
      <c r="H192" t="s">
        <v>6930</v>
      </c>
      <c r="K192" t="s">
        <v>4824</v>
      </c>
    </row>
    <row r="193" spans="2:11">
      <c r="B193" t="s">
        <v>1287</v>
      </c>
      <c r="E193" t="s">
        <v>1662</v>
      </c>
      <c r="H193" t="s">
        <v>6931</v>
      </c>
      <c r="K193" t="s">
        <v>4826</v>
      </c>
    </row>
    <row r="194" spans="2:11">
      <c r="B194" t="s">
        <v>1658</v>
      </c>
      <c r="E194" t="s">
        <v>1463</v>
      </c>
      <c r="H194" t="s">
        <v>6932</v>
      </c>
      <c r="K194" t="s">
        <v>4828</v>
      </c>
    </row>
    <row r="195" spans="2:11">
      <c r="B195" t="s">
        <v>1317</v>
      </c>
      <c r="E195" t="s">
        <v>5241</v>
      </c>
      <c r="H195" t="s">
        <v>6933</v>
      </c>
      <c r="K195" t="s">
        <v>5382</v>
      </c>
    </row>
    <row r="196" spans="2:11">
      <c r="B196" t="s">
        <v>1322</v>
      </c>
      <c r="E196" t="s">
        <v>1301</v>
      </c>
      <c r="H196" t="s">
        <v>6934</v>
      </c>
      <c r="K196" t="s">
        <v>5380</v>
      </c>
    </row>
    <row r="197" spans="2:11">
      <c r="B197" t="s">
        <v>1307</v>
      </c>
      <c r="E197" t="s">
        <v>1297</v>
      </c>
      <c r="H197" t="s">
        <v>6935</v>
      </c>
      <c r="K197" t="s">
        <v>5898</v>
      </c>
    </row>
    <row r="198" spans="2:11">
      <c r="B198" t="s">
        <v>1312</v>
      </c>
      <c r="E198" t="s">
        <v>1469</v>
      </c>
      <c r="H198" t="s">
        <v>6936</v>
      </c>
      <c r="K198" t="s">
        <v>5899</v>
      </c>
    </row>
    <row r="199" spans="2:11">
      <c r="B199" t="s">
        <v>1423</v>
      </c>
      <c r="E199" t="s">
        <v>1298</v>
      </c>
      <c r="H199" t="s">
        <v>6937</v>
      </c>
      <c r="K199" t="s">
        <v>5036</v>
      </c>
    </row>
    <row r="200" spans="2:11">
      <c r="B200" t="s">
        <v>5648</v>
      </c>
      <c r="E200" t="s">
        <v>2444</v>
      </c>
      <c r="H200" t="s">
        <v>6938</v>
      </c>
      <c r="K200" t="s">
        <v>5038</v>
      </c>
    </row>
    <row r="201" spans="2:11">
      <c r="B201" t="s">
        <v>4911</v>
      </c>
      <c r="E201" t="s">
        <v>2442</v>
      </c>
      <c r="H201" t="s">
        <v>6939</v>
      </c>
      <c r="K201" t="s">
        <v>4830</v>
      </c>
    </row>
    <row r="202" spans="2:11">
      <c r="B202" t="s">
        <v>4913</v>
      </c>
      <c r="E202" t="s">
        <v>3116</v>
      </c>
      <c r="H202" t="s">
        <v>6940</v>
      </c>
      <c r="K202" t="s">
        <v>4832</v>
      </c>
    </row>
    <row r="203" spans="2:11">
      <c r="B203" t="s">
        <v>4915</v>
      </c>
      <c r="E203" t="s">
        <v>2449</v>
      </c>
      <c r="H203" t="s">
        <v>6941</v>
      </c>
      <c r="K203" t="s">
        <v>4834</v>
      </c>
    </row>
    <row r="204" spans="2:11">
      <c r="B204" t="s">
        <v>4917</v>
      </c>
      <c r="E204" t="s">
        <v>1073</v>
      </c>
      <c r="H204" t="s">
        <v>6942</v>
      </c>
      <c r="K204" t="s">
        <v>4836</v>
      </c>
    </row>
    <row r="205" spans="2:11">
      <c r="B205" t="s">
        <v>4919</v>
      </c>
      <c r="E205" t="s">
        <v>1283</v>
      </c>
      <c r="H205" t="s">
        <v>6943</v>
      </c>
      <c r="K205" t="s">
        <v>5900</v>
      </c>
    </row>
    <row r="206" spans="2:11">
      <c r="B206" t="s">
        <v>4921</v>
      </c>
      <c r="E206" t="s">
        <v>2455</v>
      </c>
      <c r="H206" t="s">
        <v>6944</v>
      </c>
      <c r="K206" t="s">
        <v>5901</v>
      </c>
    </row>
    <row r="207" spans="2:11">
      <c r="B207" t="s">
        <v>5649</v>
      </c>
      <c r="E207" t="s">
        <v>2446</v>
      </c>
      <c r="H207" t="s">
        <v>6945</v>
      </c>
      <c r="K207" t="s">
        <v>5040</v>
      </c>
    </row>
    <row r="208" spans="2:11">
      <c r="B208" t="s">
        <v>5191</v>
      </c>
      <c r="E208" t="s">
        <v>1419</v>
      </c>
      <c r="H208" t="s">
        <v>6946</v>
      </c>
      <c r="K208" t="s">
        <v>5042</v>
      </c>
    </row>
    <row r="209" spans="2:11">
      <c r="B209" t="s">
        <v>5650</v>
      </c>
      <c r="E209" t="s">
        <v>2453</v>
      </c>
      <c r="H209" t="s">
        <v>6947</v>
      </c>
      <c r="K209" t="s">
        <v>4838</v>
      </c>
    </row>
    <row r="210" spans="2:11">
      <c r="B210" t="s">
        <v>1431</v>
      </c>
      <c r="E210" t="s">
        <v>2451</v>
      </c>
      <c r="H210" t="s">
        <v>6948</v>
      </c>
      <c r="K210" t="s">
        <v>4840</v>
      </c>
    </row>
    <row r="211" spans="2:11">
      <c r="B211" t="s">
        <v>1455</v>
      </c>
      <c r="E211" t="s">
        <v>1074</v>
      </c>
      <c r="H211" t="s">
        <v>6949</v>
      </c>
      <c r="K211" t="s">
        <v>1943</v>
      </c>
    </row>
    <row r="212" spans="2:11">
      <c r="B212" t="s">
        <v>1449</v>
      </c>
      <c r="E212" t="s">
        <v>2855</v>
      </c>
      <c r="H212" t="s">
        <v>6950</v>
      </c>
      <c r="K212" t="s">
        <v>1945</v>
      </c>
    </row>
    <row r="213" spans="2:11">
      <c r="B213" t="s">
        <v>1461</v>
      </c>
      <c r="E213" t="s">
        <v>2448</v>
      </c>
      <c r="H213" t="s">
        <v>6951</v>
      </c>
      <c r="K213" t="s">
        <v>3762</v>
      </c>
    </row>
    <row r="214" spans="2:11">
      <c r="B214" t="s">
        <v>1437</v>
      </c>
      <c r="E214" t="s">
        <v>1649</v>
      </c>
      <c r="H214" t="s">
        <v>6952</v>
      </c>
      <c r="K214" t="s">
        <v>3760</v>
      </c>
    </row>
    <row r="215" spans="2:11">
      <c r="B215" t="s">
        <v>1443</v>
      </c>
      <c r="E215" t="s">
        <v>1645</v>
      </c>
      <c r="H215" t="s">
        <v>6953</v>
      </c>
      <c r="K215" t="s">
        <v>1808</v>
      </c>
    </row>
    <row r="216" spans="2:11">
      <c r="B216" t="s">
        <v>1289</v>
      </c>
      <c r="E216" t="s">
        <v>1647</v>
      </c>
      <c r="H216" t="s">
        <v>6954</v>
      </c>
      <c r="K216" t="s">
        <v>1806</v>
      </c>
    </row>
    <row r="217" spans="2:11">
      <c r="B217" t="s">
        <v>1619</v>
      </c>
      <c r="E217" t="s">
        <v>1579</v>
      </c>
      <c r="H217" t="s">
        <v>6955</v>
      </c>
      <c r="K217" t="s">
        <v>3774</v>
      </c>
    </row>
    <row r="218" spans="2:11">
      <c r="B218" t="s">
        <v>1319</v>
      </c>
      <c r="E218" t="s">
        <v>1575</v>
      </c>
      <c r="H218" t="s">
        <v>6956</v>
      </c>
      <c r="K218" t="s">
        <v>3772</v>
      </c>
    </row>
    <row r="219" spans="2:11">
      <c r="B219" t="s">
        <v>1324</v>
      </c>
      <c r="E219" t="s">
        <v>1577</v>
      </c>
      <c r="H219" t="s">
        <v>6957</v>
      </c>
      <c r="K219" t="s">
        <v>3738</v>
      </c>
    </row>
    <row r="220" spans="2:11">
      <c r="B220" t="s">
        <v>1309</v>
      </c>
      <c r="E220" t="s">
        <v>3186</v>
      </c>
      <c r="H220" t="s">
        <v>6958</v>
      </c>
      <c r="K220" t="s">
        <v>3736</v>
      </c>
    </row>
    <row r="221" spans="2:11">
      <c r="B221" t="s">
        <v>1314</v>
      </c>
      <c r="E221" t="s">
        <v>1574</v>
      </c>
      <c r="H221" t="s">
        <v>6959</v>
      </c>
      <c r="K221" t="s">
        <v>3059</v>
      </c>
    </row>
    <row r="222" spans="2:11">
      <c r="B222" t="s">
        <v>1425</v>
      </c>
      <c r="E222" t="s">
        <v>1572</v>
      </c>
      <c r="H222" t="s">
        <v>6960</v>
      </c>
      <c r="K222" t="s">
        <v>3057</v>
      </c>
    </row>
    <row r="223" spans="2:11">
      <c r="B223" t="s">
        <v>1427</v>
      </c>
      <c r="E223" t="s">
        <v>1573</v>
      </c>
      <c r="H223" t="s">
        <v>6961</v>
      </c>
      <c r="K223" t="s">
        <v>2145</v>
      </c>
    </row>
    <row r="224" spans="2:11">
      <c r="B224" t="s">
        <v>1451</v>
      </c>
      <c r="E224" t="s">
        <v>1571</v>
      </c>
      <c r="H224" t="s">
        <v>6962</v>
      </c>
      <c r="K224" t="s">
        <v>2147</v>
      </c>
    </row>
    <row r="225" spans="2:11">
      <c r="B225" t="s">
        <v>1445</v>
      </c>
      <c r="E225" t="s">
        <v>1569</v>
      </c>
      <c r="H225" t="s">
        <v>6963</v>
      </c>
      <c r="K225" t="s">
        <v>5394</v>
      </c>
    </row>
    <row r="226" spans="2:11">
      <c r="B226" t="s">
        <v>1457</v>
      </c>
      <c r="E226" t="s">
        <v>1570</v>
      </c>
      <c r="H226" t="s">
        <v>6964</v>
      </c>
      <c r="K226" t="s">
        <v>5392</v>
      </c>
    </row>
    <row r="227" spans="2:11">
      <c r="B227" t="s">
        <v>1433</v>
      </c>
      <c r="E227" t="s">
        <v>3188</v>
      </c>
      <c r="H227" t="s">
        <v>6965</v>
      </c>
      <c r="K227" t="s">
        <v>2590</v>
      </c>
    </row>
    <row r="228" spans="2:11">
      <c r="B228" t="s">
        <v>1439</v>
      </c>
      <c r="E228" t="s">
        <v>1655</v>
      </c>
      <c r="H228" t="s">
        <v>6966</v>
      </c>
      <c r="K228" t="s">
        <v>2588</v>
      </c>
    </row>
    <row r="229" spans="2:11">
      <c r="B229" t="s">
        <v>1285</v>
      </c>
      <c r="E229" t="s">
        <v>1651</v>
      </c>
      <c r="H229" t="s">
        <v>6967</v>
      </c>
      <c r="K229" t="s">
        <v>2684</v>
      </c>
    </row>
    <row r="230" spans="2:11">
      <c r="B230" t="s">
        <v>1660</v>
      </c>
      <c r="E230" t="s">
        <v>1653</v>
      </c>
      <c r="H230" t="s">
        <v>6968</v>
      </c>
      <c r="K230" t="s">
        <v>2682</v>
      </c>
    </row>
    <row r="231" spans="2:11">
      <c r="B231" t="s">
        <v>1315</v>
      </c>
      <c r="E231" t="s">
        <v>3280</v>
      </c>
      <c r="H231" t="s">
        <v>6969</v>
      </c>
      <c r="K231" t="s">
        <v>2001</v>
      </c>
    </row>
    <row r="232" spans="2:11">
      <c r="B232" t="s">
        <v>1320</v>
      </c>
      <c r="E232" t="s">
        <v>3276</v>
      </c>
      <c r="H232" t="s">
        <v>6970</v>
      </c>
      <c r="K232" t="s">
        <v>1999</v>
      </c>
    </row>
    <row r="233" spans="2:11">
      <c r="B233" t="s">
        <v>1305</v>
      </c>
      <c r="E233" t="s">
        <v>3278</v>
      </c>
      <c r="H233" t="s">
        <v>6971</v>
      </c>
      <c r="K233" t="s">
        <v>2013</v>
      </c>
    </row>
    <row r="234" spans="2:11">
      <c r="B234" t="s">
        <v>1310</v>
      </c>
      <c r="E234" t="s">
        <v>1643</v>
      </c>
      <c r="H234" t="s">
        <v>6972</v>
      </c>
      <c r="K234" t="s">
        <v>2011</v>
      </c>
    </row>
    <row r="235" spans="2:11">
      <c r="B235" t="s">
        <v>1421</v>
      </c>
      <c r="E235" t="s">
        <v>1639</v>
      </c>
      <c r="H235" t="s">
        <v>6973</v>
      </c>
      <c r="K235" t="s">
        <v>4419</v>
      </c>
    </row>
    <row r="236" spans="2:11">
      <c r="B236" t="s">
        <v>2286</v>
      </c>
      <c r="E236" t="s">
        <v>1641</v>
      </c>
      <c r="H236" t="s">
        <v>6974</v>
      </c>
      <c r="K236" t="s">
        <v>4417</v>
      </c>
    </row>
    <row r="237" spans="2:11">
      <c r="B237" t="s">
        <v>2302</v>
      </c>
      <c r="E237" t="s">
        <v>3184</v>
      </c>
      <c r="H237" t="s">
        <v>6975</v>
      </c>
      <c r="K237" t="s">
        <v>3896</v>
      </c>
    </row>
    <row r="238" spans="2:11">
      <c r="B238" t="s">
        <v>2298</v>
      </c>
      <c r="E238" t="s">
        <v>4386</v>
      </c>
      <c r="H238" t="s">
        <v>6976</v>
      </c>
      <c r="K238" t="s">
        <v>3894</v>
      </c>
    </row>
    <row r="239" spans="2:11">
      <c r="B239" t="s">
        <v>2306</v>
      </c>
      <c r="E239" t="s">
        <v>3112</v>
      </c>
      <c r="H239" t="s">
        <v>6977</v>
      </c>
      <c r="K239" t="s">
        <v>4443</v>
      </c>
    </row>
    <row r="240" spans="2:11">
      <c r="B240" t="s">
        <v>2290</v>
      </c>
      <c r="E240" t="s">
        <v>1542</v>
      </c>
      <c r="H240" t="s">
        <v>6978</v>
      </c>
      <c r="K240" t="s">
        <v>4441</v>
      </c>
    </row>
    <row r="241" spans="2:11">
      <c r="B241" t="s">
        <v>2294</v>
      </c>
      <c r="E241" t="s">
        <v>1544</v>
      </c>
      <c r="H241" t="s">
        <v>6979</v>
      </c>
      <c r="K241" t="s">
        <v>5952</v>
      </c>
    </row>
    <row r="242" spans="2:11">
      <c r="B242" t="s">
        <v>2284</v>
      </c>
      <c r="E242" t="s">
        <v>1546</v>
      </c>
      <c r="H242" t="s">
        <v>6980</v>
      </c>
      <c r="K242" t="s">
        <v>5951</v>
      </c>
    </row>
    <row r="243" spans="2:11">
      <c r="B243" t="s">
        <v>2300</v>
      </c>
      <c r="E243" t="s">
        <v>1539</v>
      </c>
      <c r="H243" t="s">
        <v>6981</v>
      </c>
      <c r="K243" t="s">
        <v>3920</v>
      </c>
    </row>
    <row r="244" spans="2:11">
      <c r="B244" t="s">
        <v>2296</v>
      </c>
      <c r="E244" t="s">
        <v>1540</v>
      </c>
      <c r="H244" t="s">
        <v>6982</v>
      </c>
      <c r="K244" t="s">
        <v>3918</v>
      </c>
    </row>
    <row r="245" spans="2:11">
      <c r="B245" t="s">
        <v>2304</v>
      </c>
      <c r="E245" t="s">
        <v>1541</v>
      </c>
      <c r="H245" t="s">
        <v>6983</v>
      </c>
      <c r="K245" t="s">
        <v>4431</v>
      </c>
    </row>
    <row r="246" spans="2:11">
      <c r="B246" t="s">
        <v>2288</v>
      </c>
      <c r="E246" t="s">
        <v>1536</v>
      </c>
      <c r="H246" t="s">
        <v>6984</v>
      </c>
      <c r="K246" t="s">
        <v>4429</v>
      </c>
    </row>
    <row r="247" spans="2:11">
      <c r="B247" t="s">
        <v>2292</v>
      </c>
      <c r="E247" t="s">
        <v>1537</v>
      </c>
      <c r="H247" t="s">
        <v>6985</v>
      </c>
      <c r="K247" t="s">
        <v>3908</v>
      </c>
    </row>
    <row r="248" spans="2:11">
      <c r="B248" t="s">
        <v>2308</v>
      </c>
      <c r="E248" t="s">
        <v>1538</v>
      </c>
      <c r="H248" t="s">
        <v>6986</v>
      </c>
      <c r="K248" t="s">
        <v>3906</v>
      </c>
    </row>
    <row r="249" spans="2:11">
      <c r="B249" t="s">
        <v>3221</v>
      </c>
      <c r="E249" t="s">
        <v>1533</v>
      </c>
      <c r="H249" t="s">
        <v>6987</v>
      </c>
      <c r="K249" t="s">
        <v>1947</v>
      </c>
    </row>
    <row r="250" spans="2:11">
      <c r="B250" t="s">
        <v>3243</v>
      </c>
      <c r="E250" t="s">
        <v>1534</v>
      </c>
      <c r="H250" t="s">
        <v>6988</v>
      </c>
      <c r="K250" t="s">
        <v>1949</v>
      </c>
    </row>
    <row r="251" spans="2:11">
      <c r="B251" t="s">
        <v>3244</v>
      </c>
      <c r="E251" t="s">
        <v>1535</v>
      </c>
      <c r="H251" t="s">
        <v>6989</v>
      </c>
      <c r="K251" t="s">
        <v>1861</v>
      </c>
    </row>
    <row r="252" spans="2:11">
      <c r="B252" t="s">
        <v>3246</v>
      </c>
      <c r="E252" t="s">
        <v>1588</v>
      </c>
      <c r="H252" t="s">
        <v>6990</v>
      </c>
      <c r="K252" t="s">
        <v>1859</v>
      </c>
    </row>
    <row r="253" spans="2:11">
      <c r="B253" t="s">
        <v>3248</v>
      </c>
      <c r="E253" t="s">
        <v>1589</v>
      </c>
      <c r="H253" t="s">
        <v>6991</v>
      </c>
      <c r="K253" t="s">
        <v>1835</v>
      </c>
    </row>
    <row r="254" spans="2:11">
      <c r="B254" t="s">
        <v>3250</v>
      </c>
      <c r="E254" t="s">
        <v>1590</v>
      </c>
      <c r="H254" t="s">
        <v>6992</v>
      </c>
      <c r="K254" t="s">
        <v>1833</v>
      </c>
    </row>
    <row r="255" spans="2:11">
      <c r="B255" t="s">
        <v>4447</v>
      </c>
      <c r="E255" t="s">
        <v>3190</v>
      </c>
      <c r="H255" t="s">
        <v>6993</v>
      </c>
      <c r="K255" t="s">
        <v>1873</v>
      </c>
    </row>
    <row r="256" spans="2:11">
      <c r="B256" t="s">
        <v>4449</v>
      </c>
      <c r="E256" t="s">
        <v>3192</v>
      </c>
      <c r="H256" t="s">
        <v>6994</v>
      </c>
      <c r="K256" t="s">
        <v>1871</v>
      </c>
    </row>
    <row r="257" spans="2:11">
      <c r="B257" t="s">
        <v>4451</v>
      </c>
      <c r="E257" t="s">
        <v>3194</v>
      </c>
      <c r="H257" t="s">
        <v>6995</v>
      </c>
      <c r="K257" t="s">
        <v>336</v>
      </c>
    </row>
    <row r="258" spans="2:11">
      <c r="B258" t="s">
        <v>4453</v>
      </c>
      <c r="E258" t="s">
        <v>1527</v>
      </c>
      <c r="H258" t="s">
        <v>5964</v>
      </c>
      <c r="K258" t="s">
        <v>334</v>
      </c>
    </row>
    <row r="259" spans="2:11">
      <c r="B259" t="s">
        <v>4455</v>
      </c>
      <c r="E259" t="s">
        <v>1529</v>
      </c>
      <c r="H259" t="s">
        <v>5965</v>
      </c>
      <c r="K259" t="s">
        <v>418</v>
      </c>
    </row>
    <row r="260" spans="2:11">
      <c r="B260" t="s">
        <v>4457</v>
      </c>
      <c r="E260" t="s">
        <v>1531</v>
      </c>
      <c r="H260" t="s">
        <v>5966</v>
      </c>
      <c r="K260" t="s">
        <v>416</v>
      </c>
    </row>
    <row r="261" spans="2:11">
      <c r="B261" t="s">
        <v>3219</v>
      </c>
      <c r="E261" t="s">
        <v>2192</v>
      </c>
      <c r="H261" t="s">
        <v>5967</v>
      </c>
      <c r="K261" t="s">
        <v>506</v>
      </c>
    </row>
    <row r="262" spans="2:11">
      <c r="B262" t="s">
        <v>3252</v>
      </c>
      <c r="E262" t="s">
        <v>2194</v>
      </c>
      <c r="H262" t="s">
        <v>5968</v>
      </c>
      <c r="K262" t="s">
        <v>504</v>
      </c>
    </row>
    <row r="263" spans="2:11">
      <c r="B263" t="s">
        <v>3254</v>
      </c>
      <c r="E263" t="s">
        <v>2196</v>
      </c>
      <c r="H263" t="s">
        <v>5969</v>
      </c>
      <c r="K263" t="s">
        <v>601</v>
      </c>
    </row>
    <row r="264" spans="2:11">
      <c r="B264" t="s">
        <v>3256</v>
      </c>
      <c r="E264" t="s">
        <v>2198</v>
      </c>
      <c r="H264" t="s">
        <v>5970</v>
      </c>
      <c r="K264" t="s">
        <v>599</v>
      </c>
    </row>
    <row r="265" spans="2:11">
      <c r="B265" t="s">
        <v>3258</v>
      </c>
      <c r="E265" t="s">
        <v>293</v>
      </c>
      <c r="H265" t="s">
        <v>5971</v>
      </c>
      <c r="K265" t="s">
        <v>705</v>
      </c>
    </row>
    <row r="266" spans="2:11">
      <c r="B266" t="s">
        <v>3260</v>
      </c>
      <c r="E266" t="s">
        <v>295</v>
      </c>
      <c r="H266" t="s">
        <v>5972</v>
      </c>
      <c r="K266" t="s">
        <v>707</v>
      </c>
    </row>
    <row r="267" spans="2:11">
      <c r="B267" t="s">
        <v>4459</v>
      </c>
      <c r="E267" t="s">
        <v>297</v>
      </c>
      <c r="H267" t="s">
        <v>5973</v>
      </c>
      <c r="K267" t="s">
        <v>709</v>
      </c>
    </row>
    <row r="268" spans="2:11">
      <c r="B268" t="s">
        <v>4460</v>
      </c>
      <c r="E268" t="s">
        <v>537</v>
      </c>
      <c r="H268" t="s">
        <v>5974</v>
      </c>
      <c r="K268" t="s">
        <v>711</v>
      </c>
    </row>
    <row r="269" spans="2:11">
      <c r="B269" t="s">
        <v>4461</v>
      </c>
      <c r="E269" t="s">
        <v>1075</v>
      </c>
      <c r="H269" t="s">
        <v>5975</v>
      </c>
      <c r="K269" t="s">
        <v>312</v>
      </c>
    </row>
    <row r="270" spans="2:11">
      <c r="B270" t="s">
        <v>4462</v>
      </c>
      <c r="E270" t="s">
        <v>957</v>
      </c>
      <c r="H270" t="s">
        <v>5976</v>
      </c>
      <c r="K270" t="s">
        <v>310</v>
      </c>
    </row>
    <row r="271" spans="2:11">
      <c r="B271" t="s">
        <v>4463</v>
      </c>
      <c r="E271" t="s">
        <v>959</v>
      </c>
      <c r="H271" t="s">
        <v>5977</v>
      </c>
      <c r="K271" t="s">
        <v>426</v>
      </c>
    </row>
    <row r="272" spans="2:11">
      <c r="B272" t="s">
        <v>4464</v>
      </c>
      <c r="E272" t="s">
        <v>189</v>
      </c>
      <c r="H272" t="s">
        <v>5978</v>
      </c>
      <c r="K272" t="s">
        <v>424</v>
      </c>
    </row>
    <row r="273" spans="2:11">
      <c r="B273" t="s">
        <v>3223</v>
      </c>
      <c r="E273" t="s">
        <v>961</v>
      </c>
      <c r="H273" t="s">
        <v>5979</v>
      </c>
      <c r="K273" t="s">
        <v>627</v>
      </c>
    </row>
    <row r="274" spans="2:11">
      <c r="B274" t="s">
        <v>3220</v>
      </c>
      <c r="E274" t="s">
        <v>191</v>
      </c>
      <c r="H274" t="s">
        <v>5980</v>
      </c>
      <c r="K274" t="s">
        <v>625</v>
      </c>
    </row>
    <row r="275" spans="2:11">
      <c r="B275" t="s">
        <v>3224</v>
      </c>
      <c r="E275" t="s">
        <v>193</v>
      </c>
      <c r="H275" t="s">
        <v>5981</v>
      </c>
      <c r="K275" t="s">
        <v>639</v>
      </c>
    </row>
    <row r="276" spans="2:11">
      <c r="B276" t="s">
        <v>3225</v>
      </c>
      <c r="E276" t="s">
        <v>195</v>
      </c>
      <c r="H276" t="s">
        <v>5982</v>
      </c>
      <c r="K276" t="s">
        <v>637</v>
      </c>
    </row>
    <row r="277" spans="2:11">
      <c r="B277" t="s">
        <v>3227</v>
      </c>
      <c r="E277" t="s">
        <v>169</v>
      </c>
      <c r="H277" t="s">
        <v>5983</v>
      </c>
      <c r="K277" t="s">
        <v>651</v>
      </c>
    </row>
    <row r="278" spans="2:11">
      <c r="B278" t="s">
        <v>3229</v>
      </c>
      <c r="E278" t="s">
        <v>1076</v>
      </c>
      <c r="H278" t="s">
        <v>5984</v>
      </c>
      <c r="K278" t="s">
        <v>649</v>
      </c>
    </row>
    <row r="279" spans="2:11">
      <c r="B279" t="s">
        <v>3231</v>
      </c>
      <c r="E279" t="s">
        <v>1077</v>
      </c>
      <c r="H279" t="s">
        <v>5985</v>
      </c>
      <c r="K279" t="s">
        <v>663</v>
      </c>
    </row>
    <row r="280" spans="2:11">
      <c r="B280" t="s">
        <v>3218</v>
      </c>
      <c r="E280" t="s">
        <v>1078</v>
      </c>
      <c r="H280" t="s">
        <v>5986</v>
      </c>
      <c r="K280" t="s">
        <v>661</v>
      </c>
    </row>
    <row r="281" spans="2:11">
      <c r="B281" t="s">
        <v>3233</v>
      </c>
      <c r="E281" t="s">
        <v>1079</v>
      </c>
      <c r="H281" t="s">
        <v>5987</v>
      </c>
      <c r="K281" t="s">
        <v>891</v>
      </c>
    </row>
    <row r="282" spans="2:11">
      <c r="B282" t="s">
        <v>3235</v>
      </c>
      <c r="E282" t="s">
        <v>1080</v>
      </c>
      <c r="H282" t="s">
        <v>6996</v>
      </c>
      <c r="K282" t="s">
        <v>889</v>
      </c>
    </row>
    <row r="283" spans="2:11">
      <c r="B283" t="s">
        <v>3237</v>
      </c>
      <c r="E283" t="s">
        <v>1081</v>
      </c>
      <c r="H283" t="s">
        <v>5988</v>
      </c>
      <c r="K283" t="s">
        <v>3126</v>
      </c>
    </row>
    <row r="284" spans="2:11">
      <c r="B284" t="s">
        <v>3239</v>
      </c>
      <c r="E284" t="s">
        <v>1082</v>
      </c>
      <c r="H284" t="s">
        <v>5989</v>
      </c>
      <c r="K284" t="s">
        <v>3124</v>
      </c>
    </row>
    <row r="285" spans="2:11">
      <c r="B285" t="s">
        <v>3241</v>
      </c>
      <c r="E285" t="s">
        <v>48</v>
      </c>
      <c r="H285" t="s">
        <v>6997</v>
      </c>
      <c r="K285" t="s">
        <v>2648</v>
      </c>
    </row>
    <row r="286" spans="2:11">
      <c r="B286" t="s">
        <v>3222</v>
      </c>
      <c r="E286" t="s">
        <v>5727</v>
      </c>
      <c r="H286" t="s">
        <v>6998</v>
      </c>
      <c r="K286" t="s">
        <v>2646</v>
      </c>
    </row>
    <row r="287" spans="2:11">
      <c r="B287" t="s">
        <v>2437</v>
      </c>
      <c r="E287" t="s">
        <v>5728</v>
      </c>
      <c r="H287" t="s">
        <v>6999</v>
      </c>
      <c r="K287" t="s">
        <v>5902</v>
      </c>
    </row>
    <row r="288" spans="2:11">
      <c r="B288" t="s">
        <v>2435</v>
      </c>
      <c r="E288" t="s">
        <v>510</v>
      </c>
      <c r="H288" t="s">
        <v>7000</v>
      </c>
      <c r="K288" t="s">
        <v>5903</v>
      </c>
    </row>
    <row r="289" spans="2:11">
      <c r="B289" t="s">
        <v>2411</v>
      </c>
      <c r="E289" t="s">
        <v>5729</v>
      </c>
      <c r="H289" t="s">
        <v>7001</v>
      </c>
      <c r="K289" t="s">
        <v>5904</v>
      </c>
    </row>
    <row r="290" spans="2:11">
      <c r="B290" t="s">
        <v>2413</v>
      </c>
      <c r="E290" t="s">
        <v>512</v>
      </c>
      <c r="H290" t="s">
        <v>7002</v>
      </c>
      <c r="K290" t="s">
        <v>5905</v>
      </c>
    </row>
    <row r="291" spans="2:11">
      <c r="B291" t="s">
        <v>4601</v>
      </c>
      <c r="E291" t="s">
        <v>514</v>
      </c>
      <c r="H291" t="s">
        <v>7003</v>
      </c>
      <c r="K291" t="s">
        <v>5906</v>
      </c>
    </row>
    <row r="292" spans="2:11">
      <c r="B292" t="s">
        <v>3804</v>
      </c>
      <c r="E292" t="s">
        <v>516</v>
      </c>
      <c r="H292" t="s">
        <v>7004</v>
      </c>
      <c r="K292" t="s">
        <v>5907</v>
      </c>
    </row>
    <row r="293" spans="2:11">
      <c r="B293" t="s">
        <v>2417</v>
      </c>
      <c r="E293" t="s">
        <v>4</v>
      </c>
      <c r="H293" t="s">
        <v>7005</v>
      </c>
      <c r="K293" t="s">
        <v>3681</v>
      </c>
    </row>
    <row r="294" spans="2:11">
      <c r="B294" t="s">
        <v>2419</v>
      </c>
      <c r="E294" t="s">
        <v>41</v>
      </c>
      <c r="H294" t="s">
        <v>7006</v>
      </c>
      <c r="K294" t="s">
        <v>3679</v>
      </c>
    </row>
    <row r="295" spans="2:11">
      <c r="B295" t="s">
        <v>2421</v>
      </c>
      <c r="E295" t="s">
        <v>9</v>
      </c>
      <c r="H295" t="s">
        <v>7007</v>
      </c>
      <c r="K295" t="s">
        <v>5945</v>
      </c>
    </row>
    <row r="296" spans="2:11">
      <c r="B296" t="s">
        <v>2403</v>
      </c>
      <c r="E296" t="s">
        <v>43</v>
      </c>
      <c r="H296" t="s">
        <v>7008</v>
      </c>
      <c r="K296" t="s">
        <v>5944</v>
      </c>
    </row>
    <row r="297" spans="2:11">
      <c r="B297" t="s">
        <v>2753</v>
      </c>
      <c r="E297" t="s">
        <v>32</v>
      </c>
      <c r="H297" t="s">
        <v>7009</v>
      </c>
      <c r="K297" t="s">
        <v>2660</v>
      </c>
    </row>
    <row r="298" spans="2:11">
      <c r="B298" t="s">
        <v>2405</v>
      </c>
      <c r="E298" t="s">
        <v>8</v>
      </c>
      <c r="H298" t="s">
        <v>7010</v>
      </c>
      <c r="K298" t="s">
        <v>2658</v>
      </c>
    </row>
    <row r="299" spans="2:11">
      <c r="B299" t="s">
        <v>2755</v>
      </c>
      <c r="E299" t="s">
        <v>16</v>
      </c>
      <c r="H299" t="s">
        <v>7011</v>
      </c>
      <c r="K299" t="s">
        <v>3750</v>
      </c>
    </row>
    <row r="300" spans="2:11">
      <c r="B300" t="s">
        <v>2431</v>
      </c>
      <c r="E300" t="s">
        <v>3957</v>
      </c>
      <c r="H300" t="s">
        <v>7012</v>
      </c>
      <c r="K300" t="s">
        <v>3748</v>
      </c>
    </row>
    <row r="301" spans="2:11">
      <c r="B301" t="s">
        <v>2416</v>
      </c>
      <c r="E301" t="s">
        <v>2865</v>
      </c>
      <c r="H301" t="s">
        <v>7013</v>
      </c>
      <c r="K301" t="s">
        <v>3071</v>
      </c>
    </row>
    <row r="302" spans="2:11">
      <c r="B302" t="s">
        <v>2407</v>
      </c>
      <c r="E302" t="s">
        <v>2867</v>
      </c>
      <c r="H302" t="s">
        <v>7014</v>
      </c>
      <c r="K302" t="s">
        <v>3073</v>
      </c>
    </row>
    <row r="303" spans="2:11">
      <c r="B303" t="s">
        <v>2757</v>
      </c>
      <c r="E303" t="s">
        <v>2869</v>
      </c>
      <c r="H303" t="s">
        <v>7015</v>
      </c>
      <c r="K303" t="s">
        <v>4842</v>
      </c>
    </row>
    <row r="304" spans="2:11">
      <c r="B304" t="s">
        <v>2409</v>
      </c>
      <c r="E304" t="s">
        <v>2871</v>
      </c>
      <c r="H304" t="s">
        <v>7016</v>
      </c>
      <c r="K304" t="s">
        <v>4844</v>
      </c>
    </row>
    <row r="305" spans="2:11">
      <c r="B305" t="s">
        <v>2759</v>
      </c>
      <c r="E305" t="s">
        <v>2857</v>
      </c>
      <c r="H305" t="s">
        <v>7017</v>
      </c>
      <c r="K305" t="s">
        <v>713</v>
      </c>
    </row>
    <row r="306" spans="2:11">
      <c r="B306" t="s">
        <v>2429</v>
      </c>
      <c r="E306" t="s">
        <v>2859</v>
      </c>
      <c r="H306" t="s">
        <v>7018</v>
      </c>
      <c r="K306" t="s">
        <v>715</v>
      </c>
    </row>
    <row r="307" spans="2:11">
      <c r="B307" t="s">
        <v>2415</v>
      </c>
      <c r="E307" t="s">
        <v>2861</v>
      </c>
      <c r="H307" t="s">
        <v>7019</v>
      </c>
      <c r="K307" t="s">
        <v>717</v>
      </c>
    </row>
    <row r="308" spans="2:11">
      <c r="B308" t="s">
        <v>2398</v>
      </c>
      <c r="E308" t="s">
        <v>2863</v>
      </c>
      <c r="H308" t="s">
        <v>7020</v>
      </c>
      <c r="K308" t="s">
        <v>718</v>
      </c>
    </row>
    <row r="309" spans="2:11">
      <c r="B309" t="s">
        <v>4231</v>
      </c>
      <c r="E309" t="s">
        <v>5270</v>
      </c>
      <c r="H309" t="s">
        <v>7021</v>
      </c>
      <c r="K309" t="s">
        <v>1484</v>
      </c>
    </row>
    <row r="310" spans="2:11">
      <c r="B310" t="s">
        <v>3843</v>
      </c>
      <c r="E310" t="s">
        <v>1526</v>
      </c>
      <c r="H310" t="s">
        <v>7022</v>
      </c>
      <c r="K310" t="s">
        <v>1482</v>
      </c>
    </row>
    <row r="311" spans="2:11">
      <c r="B311" t="s">
        <v>5594</v>
      </c>
      <c r="E311" t="s">
        <v>1522</v>
      </c>
      <c r="H311" t="s">
        <v>7023</v>
      </c>
      <c r="K311" t="s">
        <v>1007</v>
      </c>
    </row>
    <row r="312" spans="2:11">
      <c r="B312" t="s">
        <v>5595</v>
      </c>
      <c r="E312" t="s">
        <v>1525</v>
      </c>
      <c r="H312" t="s">
        <v>7024</v>
      </c>
      <c r="K312" t="s">
        <v>1005</v>
      </c>
    </row>
    <row r="313" spans="2:11">
      <c r="B313" t="s">
        <v>5596</v>
      </c>
      <c r="E313" t="s">
        <v>2875</v>
      </c>
      <c r="H313" t="s">
        <v>7025</v>
      </c>
      <c r="K313" t="s">
        <v>324</v>
      </c>
    </row>
    <row r="314" spans="2:11">
      <c r="B314" t="s">
        <v>5597</v>
      </c>
      <c r="E314" t="s">
        <v>2881</v>
      </c>
      <c r="H314" t="s">
        <v>7026</v>
      </c>
      <c r="K314" t="s">
        <v>322</v>
      </c>
    </row>
    <row r="315" spans="2:11">
      <c r="B315" t="s">
        <v>4923</v>
      </c>
      <c r="E315" t="s">
        <v>3492</v>
      </c>
      <c r="H315" t="s">
        <v>7027</v>
      </c>
      <c r="K315" t="s">
        <v>422</v>
      </c>
    </row>
    <row r="316" spans="2:11">
      <c r="B316" t="s">
        <v>2746</v>
      </c>
      <c r="E316" t="s">
        <v>1520</v>
      </c>
      <c r="H316" t="s">
        <v>7028</v>
      </c>
      <c r="K316" t="s">
        <v>420</v>
      </c>
    </row>
    <row r="317" spans="2:11">
      <c r="B317" t="s">
        <v>2748</v>
      </c>
      <c r="E317" t="s">
        <v>4203</v>
      </c>
      <c r="H317" t="s">
        <v>7029</v>
      </c>
      <c r="K317" t="s">
        <v>3577</v>
      </c>
    </row>
    <row r="318" spans="2:11">
      <c r="B318" t="s">
        <v>5112</v>
      </c>
      <c r="E318" t="s">
        <v>4977</v>
      </c>
      <c r="H318" t="s">
        <v>7030</v>
      </c>
      <c r="K318" t="s">
        <v>3575</v>
      </c>
    </row>
    <row r="319" spans="2:11">
      <c r="B319" t="s">
        <v>2749</v>
      </c>
      <c r="E319" t="s">
        <v>5265</v>
      </c>
      <c r="H319" t="s">
        <v>7031</v>
      </c>
      <c r="K319" t="s">
        <v>719</v>
      </c>
    </row>
    <row r="320" spans="2:11">
      <c r="B320" t="s">
        <v>4592</v>
      </c>
      <c r="E320" t="s">
        <v>1524</v>
      </c>
      <c r="H320" t="s">
        <v>7032</v>
      </c>
      <c r="K320" t="s">
        <v>721</v>
      </c>
    </row>
    <row r="321" spans="2:11">
      <c r="B321" t="s">
        <v>3930</v>
      </c>
      <c r="E321" t="s">
        <v>3272</v>
      </c>
      <c r="H321" t="s">
        <v>7033</v>
      </c>
      <c r="K321" t="s">
        <v>723</v>
      </c>
    </row>
    <row r="322" spans="2:11">
      <c r="B322" t="s">
        <v>2751</v>
      </c>
      <c r="E322" t="s">
        <v>3108</v>
      </c>
      <c r="H322" t="s">
        <v>7034</v>
      </c>
      <c r="K322" t="s">
        <v>725</v>
      </c>
    </row>
    <row r="323" spans="2:11">
      <c r="B323" t="s">
        <v>5601</v>
      </c>
      <c r="E323" t="s">
        <v>4666</v>
      </c>
      <c r="H323" t="s">
        <v>7035</v>
      </c>
      <c r="K323" t="s">
        <v>3958</v>
      </c>
    </row>
    <row r="324" spans="2:11">
      <c r="B324" t="s">
        <v>5602</v>
      </c>
      <c r="E324" t="s">
        <v>4668</v>
      </c>
      <c r="H324" t="s">
        <v>7036</v>
      </c>
      <c r="K324" t="s">
        <v>3959</v>
      </c>
    </row>
    <row r="325" spans="2:11">
      <c r="B325" t="s">
        <v>3148</v>
      </c>
      <c r="E325" t="s">
        <v>4971</v>
      </c>
      <c r="H325" t="s">
        <v>7037</v>
      </c>
      <c r="K325" t="s">
        <v>3960</v>
      </c>
    </row>
    <row r="326" spans="2:11">
      <c r="B326" t="s">
        <v>3149</v>
      </c>
      <c r="E326" t="s">
        <v>4669</v>
      </c>
      <c r="H326" t="s">
        <v>7038</v>
      </c>
      <c r="K326" t="s">
        <v>3961</v>
      </c>
    </row>
    <row r="327" spans="2:11">
      <c r="B327" t="s">
        <v>3146</v>
      </c>
      <c r="E327" t="s">
        <v>3110</v>
      </c>
      <c r="H327" t="s">
        <v>7039</v>
      </c>
      <c r="K327" t="s">
        <v>3962</v>
      </c>
    </row>
    <row r="328" spans="2:11">
      <c r="B328" t="s">
        <v>3147</v>
      </c>
      <c r="E328" t="s">
        <v>5269</v>
      </c>
      <c r="H328" t="s">
        <v>3306</v>
      </c>
      <c r="K328" t="s">
        <v>3963</v>
      </c>
    </row>
    <row r="329" spans="2:11">
      <c r="B329" t="s">
        <v>5578</v>
      </c>
      <c r="E329" t="s">
        <v>1566</v>
      </c>
      <c r="H329" t="s">
        <v>3304</v>
      </c>
      <c r="K329" t="s">
        <v>394</v>
      </c>
    </row>
    <row r="330" spans="2:11">
      <c r="B330" t="s">
        <v>5579</v>
      </c>
      <c r="E330" t="s">
        <v>1568</v>
      </c>
      <c r="H330" t="s">
        <v>6251</v>
      </c>
      <c r="K330" t="s">
        <v>392</v>
      </c>
    </row>
    <row r="331" spans="2:11">
      <c r="B331" t="s">
        <v>5576</v>
      </c>
      <c r="E331" t="s">
        <v>2879</v>
      </c>
      <c r="H331" t="s">
        <v>6253</v>
      </c>
      <c r="K331" t="s">
        <v>1035</v>
      </c>
    </row>
    <row r="332" spans="2:11">
      <c r="B332" t="s">
        <v>5580</v>
      </c>
      <c r="E332" t="s">
        <v>2873</v>
      </c>
      <c r="H332" t="s">
        <v>7040</v>
      </c>
      <c r="K332" t="s">
        <v>1033</v>
      </c>
    </row>
    <row r="333" spans="2:11">
      <c r="B333" t="s">
        <v>5081</v>
      </c>
      <c r="E333" t="s">
        <v>2877</v>
      </c>
      <c r="H333" t="s">
        <v>6413</v>
      </c>
      <c r="K333" t="s">
        <v>3196</v>
      </c>
    </row>
    <row r="334" spans="2:11">
      <c r="B334" t="s">
        <v>5082</v>
      </c>
      <c r="E334" t="s">
        <v>3494</v>
      </c>
      <c r="H334" t="s">
        <v>6415</v>
      </c>
      <c r="K334" t="s">
        <v>3198</v>
      </c>
    </row>
    <row r="335" spans="2:11">
      <c r="B335" t="s">
        <v>5084</v>
      </c>
      <c r="E335" t="s">
        <v>1634</v>
      </c>
      <c r="H335" t="s">
        <v>6417</v>
      </c>
      <c r="K335" t="s">
        <v>492</v>
      </c>
    </row>
    <row r="336" spans="2:11">
      <c r="B336" t="s">
        <v>5085</v>
      </c>
      <c r="E336" t="s">
        <v>4205</v>
      </c>
      <c r="H336" t="s">
        <v>6419</v>
      </c>
      <c r="K336" t="s">
        <v>494</v>
      </c>
    </row>
    <row r="337" spans="2:11">
      <c r="B337" t="s">
        <v>5086</v>
      </c>
      <c r="E337" t="s">
        <v>4979</v>
      </c>
      <c r="H337" t="s">
        <v>6421</v>
      </c>
      <c r="K337" t="s">
        <v>390</v>
      </c>
    </row>
    <row r="338" spans="2:11">
      <c r="B338" t="s">
        <v>5087</v>
      </c>
      <c r="E338" t="s">
        <v>5263</v>
      </c>
      <c r="H338" t="s">
        <v>6423</v>
      </c>
      <c r="K338" t="s">
        <v>388</v>
      </c>
    </row>
    <row r="339" spans="2:11">
      <c r="B339" t="s">
        <v>5083</v>
      </c>
      <c r="E339" t="s">
        <v>1567</v>
      </c>
      <c r="H339" t="s">
        <v>6425</v>
      </c>
      <c r="K339" t="s">
        <v>1046</v>
      </c>
    </row>
    <row r="340" spans="2:11">
      <c r="B340" t="s">
        <v>2700</v>
      </c>
      <c r="E340" t="s">
        <v>3274</v>
      </c>
      <c r="H340" t="s">
        <v>6427</v>
      </c>
      <c r="K340" t="s">
        <v>1044</v>
      </c>
    </row>
    <row r="341" spans="2:11">
      <c r="B341" t="s">
        <v>2702</v>
      </c>
      <c r="E341" t="s">
        <v>4207</v>
      </c>
      <c r="H341" t="s">
        <v>6429</v>
      </c>
      <c r="K341" t="s">
        <v>3200</v>
      </c>
    </row>
    <row r="342" spans="2:11">
      <c r="B342" t="s">
        <v>2698</v>
      </c>
      <c r="E342" t="s">
        <v>4981</v>
      </c>
      <c r="H342" t="s">
        <v>6431</v>
      </c>
      <c r="K342" t="s">
        <v>3201</v>
      </c>
    </row>
    <row r="343" spans="2:11">
      <c r="B343" t="s">
        <v>895</v>
      </c>
      <c r="E343" t="s">
        <v>4671</v>
      </c>
      <c r="H343" t="s">
        <v>6433</v>
      </c>
      <c r="K343" t="s">
        <v>488</v>
      </c>
    </row>
    <row r="344" spans="2:11">
      <c r="B344" t="s">
        <v>897</v>
      </c>
      <c r="E344" t="s">
        <v>4672</v>
      </c>
      <c r="H344" t="s">
        <v>6435</v>
      </c>
      <c r="K344" t="s">
        <v>490</v>
      </c>
    </row>
    <row r="345" spans="2:11">
      <c r="B345" t="s">
        <v>899</v>
      </c>
      <c r="E345" t="s">
        <v>4969</v>
      </c>
      <c r="H345" t="s">
        <v>6437</v>
      </c>
      <c r="K345" t="s">
        <v>386</v>
      </c>
    </row>
    <row r="346" spans="2:11">
      <c r="B346" t="s">
        <v>1673</v>
      </c>
      <c r="E346" t="s">
        <v>4673</v>
      </c>
      <c r="H346" t="s">
        <v>6439</v>
      </c>
      <c r="K346" t="s">
        <v>586</v>
      </c>
    </row>
    <row r="347" spans="2:11">
      <c r="B347" t="s">
        <v>1675</v>
      </c>
      <c r="E347" t="s">
        <v>5244</v>
      </c>
      <c r="H347" t="s">
        <v>6441</v>
      </c>
      <c r="K347" t="s">
        <v>597</v>
      </c>
    </row>
    <row r="348" spans="2:11">
      <c r="B348" t="s">
        <v>1677</v>
      </c>
      <c r="E348" t="s">
        <v>291</v>
      </c>
      <c r="H348" t="s">
        <v>6443</v>
      </c>
      <c r="K348" t="s">
        <v>1480</v>
      </c>
    </row>
    <row r="349" spans="2:11">
      <c r="B349" t="s">
        <v>4499</v>
      </c>
      <c r="E349" t="s">
        <v>1580</v>
      </c>
      <c r="H349" t="s">
        <v>6445</v>
      </c>
      <c r="K349" t="s">
        <v>3926</v>
      </c>
    </row>
    <row r="350" spans="2:11">
      <c r="B350" t="s">
        <v>4501</v>
      </c>
      <c r="E350" t="s">
        <v>5271</v>
      </c>
      <c r="H350" t="s">
        <v>6447</v>
      </c>
      <c r="K350" t="s">
        <v>3924</v>
      </c>
    </row>
    <row r="351" spans="2:11">
      <c r="B351" t="s">
        <v>4497</v>
      </c>
      <c r="E351" t="s">
        <v>858</v>
      </c>
      <c r="H351" t="s">
        <v>6449</v>
      </c>
      <c r="K351" t="s">
        <v>3601</v>
      </c>
    </row>
    <row r="352" spans="2:11">
      <c r="B352" t="s">
        <v>5090</v>
      </c>
      <c r="E352" t="s">
        <v>1582</v>
      </c>
      <c r="H352" t="s">
        <v>6451</v>
      </c>
      <c r="K352" t="s">
        <v>3599</v>
      </c>
    </row>
    <row r="353" spans="2:11">
      <c r="B353" t="s">
        <v>5518</v>
      </c>
      <c r="E353" t="s">
        <v>2383</v>
      </c>
      <c r="H353" t="s">
        <v>6453</v>
      </c>
      <c r="K353" t="s">
        <v>1244</v>
      </c>
    </row>
    <row r="354" spans="2:11">
      <c r="B354" t="s">
        <v>5088</v>
      </c>
      <c r="E354" t="s">
        <v>187</v>
      </c>
      <c r="H354" t="s">
        <v>6455</v>
      </c>
      <c r="K354" t="s">
        <v>1246</v>
      </c>
    </row>
    <row r="355" spans="2:11">
      <c r="B355" t="s">
        <v>3624</v>
      </c>
      <c r="E355" t="s">
        <v>185</v>
      </c>
      <c r="H355" t="s">
        <v>6457</v>
      </c>
      <c r="K355" t="s">
        <v>1248</v>
      </c>
    </row>
    <row r="356" spans="2:11">
      <c r="B356" t="s">
        <v>3626</v>
      </c>
      <c r="E356" t="s">
        <v>3834</v>
      </c>
      <c r="H356" t="s">
        <v>6459</v>
      </c>
      <c r="K356" t="s">
        <v>1250</v>
      </c>
    </row>
    <row r="357" spans="2:11">
      <c r="B357" t="s">
        <v>3628</v>
      </c>
      <c r="E357" t="s">
        <v>508</v>
      </c>
      <c r="H357" t="s">
        <v>6461</v>
      </c>
      <c r="K357" t="s">
        <v>3589</v>
      </c>
    </row>
    <row r="358" spans="2:11">
      <c r="B358" t="s">
        <v>4746</v>
      </c>
      <c r="E358" t="s">
        <v>222</v>
      </c>
      <c r="H358" t="s">
        <v>6463</v>
      </c>
      <c r="K358" t="s">
        <v>3587</v>
      </c>
    </row>
    <row r="359" spans="2:11">
      <c r="B359" t="s">
        <v>4744</v>
      </c>
      <c r="E359" t="s">
        <v>5267</v>
      </c>
      <c r="H359" t="s">
        <v>6465</v>
      </c>
      <c r="K359" t="s">
        <v>384</v>
      </c>
    </row>
    <row r="360" spans="2:11">
      <c r="B360" t="s">
        <v>3630</v>
      </c>
      <c r="E360" t="s">
        <v>880</v>
      </c>
      <c r="H360" t="s">
        <v>6467</v>
      </c>
      <c r="K360" t="s">
        <v>382</v>
      </c>
    </row>
    <row r="361" spans="2:11">
      <c r="B361" t="s">
        <v>3632</v>
      </c>
      <c r="E361" t="s">
        <v>731</v>
      </c>
      <c r="H361" t="s">
        <v>6469</v>
      </c>
      <c r="K361" t="s">
        <v>360</v>
      </c>
    </row>
    <row r="362" spans="2:11">
      <c r="B362" t="s">
        <v>3634</v>
      </c>
      <c r="E362" t="s">
        <v>2401</v>
      </c>
      <c r="H362" t="s">
        <v>6471</v>
      </c>
      <c r="K362" t="s">
        <v>358</v>
      </c>
    </row>
    <row r="363" spans="2:11">
      <c r="B363" t="s">
        <v>4487</v>
      </c>
      <c r="E363" t="s">
        <v>955</v>
      </c>
      <c r="H363" t="s">
        <v>6473</v>
      </c>
      <c r="K363" t="s">
        <v>1749</v>
      </c>
    </row>
    <row r="364" spans="2:11">
      <c r="B364" t="s">
        <v>4489</v>
      </c>
      <c r="E364" t="s">
        <v>3288</v>
      </c>
      <c r="H364" t="s">
        <v>6475</v>
      </c>
      <c r="K364" t="s">
        <v>1747</v>
      </c>
    </row>
    <row r="365" spans="2:11">
      <c r="B365" t="s">
        <v>4485</v>
      </c>
      <c r="E365" t="s">
        <v>3114</v>
      </c>
      <c r="H365" t="s">
        <v>6477</v>
      </c>
      <c r="K365" t="s">
        <v>380</v>
      </c>
    </row>
    <row r="366" spans="2:11">
      <c r="B366" t="s">
        <v>4493</v>
      </c>
      <c r="E366" t="s">
        <v>4227</v>
      </c>
      <c r="H366" t="s">
        <v>6479</v>
      </c>
      <c r="K366" t="s">
        <v>378</v>
      </c>
    </row>
    <row r="367" spans="2:11">
      <c r="B367" t="s">
        <v>4495</v>
      </c>
      <c r="E367" t="s">
        <v>175</v>
      </c>
      <c r="H367" t="s">
        <v>6481</v>
      </c>
      <c r="K367" t="s">
        <v>372</v>
      </c>
    </row>
    <row r="368" spans="2:11">
      <c r="B368" t="s">
        <v>4491</v>
      </c>
      <c r="E368" t="s">
        <v>76</v>
      </c>
      <c r="H368" t="s">
        <v>6483</v>
      </c>
      <c r="K368" t="s">
        <v>370</v>
      </c>
    </row>
    <row r="369" spans="2:11">
      <c r="B369" t="s">
        <v>5582</v>
      </c>
      <c r="E369" t="s">
        <v>1093</v>
      </c>
      <c r="H369" t="s">
        <v>6485</v>
      </c>
      <c r="K369" t="s">
        <v>1775</v>
      </c>
    </row>
    <row r="370" spans="2:11">
      <c r="B370" t="s">
        <v>5583</v>
      </c>
      <c r="E370" t="s">
        <v>136</v>
      </c>
      <c r="H370" t="s">
        <v>6487</v>
      </c>
      <c r="K370" t="s">
        <v>1773</v>
      </c>
    </row>
    <row r="371" spans="2:11">
      <c r="B371" t="s">
        <v>5581</v>
      </c>
      <c r="E371" t="s">
        <v>73</v>
      </c>
      <c r="H371" t="s">
        <v>6489</v>
      </c>
      <c r="K371" t="s">
        <v>468</v>
      </c>
    </row>
    <row r="372" spans="2:11">
      <c r="B372" t="s">
        <v>3432</v>
      </c>
      <c r="E372" t="s">
        <v>1094</v>
      </c>
      <c r="H372" t="s">
        <v>6491</v>
      </c>
      <c r="K372" t="s">
        <v>466</v>
      </c>
    </row>
    <row r="373" spans="2:11">
      <c r="B373" t="s">
        <v>3434</v>
      </c>
      <c r="E373" t="s">
        <v>241</v>
      </c>
      <c r="H373" t="s">
        <v>6493</v>
      </c>
      <c r="K373" t="s">
        <v>2568</v>
      </c>
    </row>
    <row r="374" spans="2:11">
      <c r="B374" t="s">
        <v>2086</v>
      </c>
      <c r="E374" t="s">
        <v>1060</v>
      </c>
      <c r="H374" t="s">
        <v>6495</v>
      </c>
      <c r="K374" t="s">
        <v>2566</v>
      </c>
    </row>
    <row r="375" spans="2:11">
      <c r="B375" t="s">
        <v>2088</v>
      </c>
      <c r="E375" t="s">
        <v>167</v>
      </c>
      <c r="H375" t="s">
        <v>6497</v>
      </c>
      <c r="K375" t="s">
        <v>727</v>
      </c>
    </row>
    <row r="376" spans="2:11">
      <c r="B376" t="s">
        <v>2090</v>
      </c>
      <c r="E376" t="s">
        <v>75</v>
      </c>
      <c r="H376" t="s">
        <v>6499</v>
      </c>
      <c r="K376" t="s">
        <v>729</v>
      </c>
    </row>
    <row r="377" spans="2:11">
      <c r="B377" t="s">
        <v>5093</v>
      </c>
      <c r="E377" t="s">
        <v>4384</v>
      </c>
      <c r="H377" t="s">
        <v>6501</v>
      </c>
      <c r="K377" t="s">
        <v>2467</v>
      </c>
    </row>
    <row r="378" spans="2:11">
      <c r="B378" t="s">
        <v>5094</v>
      </c>
      <c r="E378" t="s">
        <v>5282</v>
      </c>
      <c r="H378" t="s">
        <v>6503</v>
      </c>
      <c r="K378" t="s">
        <v>2465</v>
      </c>
    </row>
    <row r="379" spans="2:11">
      <c r="B379" t="s">
        <v>5095</v>
      </c>
      <c r="E379" t="s">
        <v>202</v>
      </c>
      <c r="H379" t="s">
        <v>6505</v>
      </c>
      <c r="K379" t="s">
        <v>2481</v>
      </c>
    </row>
    <row r="380" spans="2:11">
      <c r="B380" t="s">
        <v>5096</v>
      </c>
      <c r="E380" t="s">
        <v>24</v>
      </c>
      <c r="H380" t="s">
        <v>6507</v>
      </c>
      <c r="K380" t="s">
        <v>2479</v>
      </c>
    </row>
    <row r="381" spans="2:11">
      <c r="B381" t="s">
        <v>5092</v>
      </c>
      <c r="E381" t="s">
        <v>1212</v>
      </c>
      <c r="H381" t="s">
        <v>6509</v>
      </c>
      <c r="K381" t="s">
        <v>2185</v>
      </c>
    </row>
    <row r="382" spans="2:11">
      <c r="B382" t="s">
        <v>901</v>
      </c>
      <c r="E382" t="s">
        <v>1210</v>
      </c>
      <c r="H382" t="s">
        <v>6511</v>
      </c>
      <c r="K382" t="s">
        <v>2183</v>
      </c>
    </row>
    <row r="383" spans="2:11">
      <c r="B383" t="s">
        <v>903</v>
      </c>
      <c r="E383" t="s">
        <v>1216</v>
      </c>
      <c r="H383" t="s">
        <v>6513</v>
      </c>
      <c r="K383" t="s">
        <v>2067</v>
      </c>
    </row>
    <row r="384" spans="2:11">
      <c r="B384" t="s">
        <v>2792</v>
      </c>
      <c r="E384" t="s">
        <v>1214</v>
      </c>
      <c r="H384" t="s">
        <v>6515</v>
      </c>
      <c r="K384" t="s">
        <v>2065</v>
      </c>
    </row>
    <row r="385" spans="2:11">
      <c r="B385" t="s">
        <v>2794</v>
      </c>
      <c r="E385" t="s">
        <v>17</v>
      </c>
      <c r="H385" t="s">
        <v>6517</v>
      </c>
      <c r="K385" t="s">
        <v>5895</v>
      </c>
    </row>
    <row r="386" spans="2:11">
      <c r="B386" t="s">
        <v>1128</v>
      </c>
      <c r="E386" t="s">
        <v>46</v>
      </c>
      <c r="H386" t="s">
        <v>6519</v>
      </c>
      <c r="K386" t="s">
        <v>5894</v>
      </c>
    </row>
    <row r="387" spans="2:11">
      <c r="B387" t="s">
        <v>1130</v>
      </c>
      <c r="E387" t="s">
        <v>3839</v>
      </c>
      <c r="H387" t="s">
        <v>6521</v>
      </c>
      <c r="K387" t="s">
        <v>3619</v>
      </c>
    </row>
    <row r="388" spans="2:11">
      <c r="B388" t="s">
        <v>1132</v>
      </c>
      <c r="E388" t="s">
        <v>4674</v>
      </c>
      <c r="H388" t="s">
        <v>6523</v>
      </c>
      <c r="K388" t="s">
        <v>3617</v>
      </c>
    </row>
    <row r="389" spans="2:11">
      <c r="B389" t="s">
        <v>5098</v>
      </c>
      <c r="E389" t="s">
        <v>4676</v>
      </c>
      <c r="H389" t="s">
        <v>6525</v>
      </c>
      <c r="K389" t="s">
        <v>5888</v>
      </c>
    </row>
    <row r="390" spans="2:11">
      <c r="B390" t="s">
        <v>5099</v>
      </c>
      <c r="E390" t="s">
        <v>5</v>
      </c>
      <c r="H390" t="s">
        <v>6527</v>
      </c>
      <c r="K390" t="s">
        <v>5887</v>
      </c>
    </row>
    <row r="391" spans="2:11">
      <c r="B391" t="s">
        <v>5100</v>
      </c>
      <c r="E391" t="s">
        <v>20</v>
      </c>
      <c r="H391" t="s">
        <v>6529</v>
      </c>
      <c r="K391" t="s">
        <v>4991</v>
      </c>
    </row>
    <row r="392" spans="2:11">
      <c r="B392" t="s">
        <v>5101</v>
      </c>
      <c r="E392" t="s">
        <v>2116</v>
      </c>
      <c r="H392" t="s">
        <v>6531</v>
      </c>
      <c r="K392" t="s">
        <v>4993</v>
      </c>
    </row>
    <row r="393" spans="2:11">
      <c r="B393" t="s">
        <v>5097</v>
      </c>
      <c r="E393" t="s">
        <v>5660</v>
      </c>
      <c r="H393" t="s">
        <v>6533</v>
      </c>
      <c r="K393" t="s">
        <v>3081</v>
      </c>
    </row>
    <row r="394" spans="2:11">
      <c r="B394" t="s">
        <v>2248</v>
      </c>
      <c r="E394" t="s">
        <v>45</v>
      </c>
      <c r="H394" t="s">
        <v>6535</v>
      </c>
      <c r="K394" t="s">
        <v>3083</v>
      </c>
    </row>
    <row r="395" spans="2:11">
      <c r="B395" t="s">
        <v>2250</v>
      </c>
      <c r="E395" t="s">
        <v>21</v>
      </c>
      <c r="H395" t="s">
        <v>6537</v>
      </c>
      <c r="K395" t="s">
        <v>5849</v>
      </c>
    </row>
    <row r="396" spans="2:11">
      <c r="B396" t="s">
        <v>4608</v>
      </c>
      <c r="E396" t="s">
        <v>2</v>
      </c>
      <c r="H396" t="s">
        <v>6539</v>
      </c>
      <c r="K396" t="s">
        <v>5848</v>
      </c>
    </row>
    <row r="397" spans="2:11">
      <c r="B397" t="s">
        <v>2017</v>
      </c>
      <c r="E397" t="s">
        <v>18</v>
      </c>
      <c r="H397" t="s">
        <v>6541</v>
      </c>
      <c r="K397" t="s">
        <v>163</v>
      </c>
    </row>
    <row r="398" spans="2:11">
      <c r="B398" t="s">
        <v>2019</v>
      </c>
      <c r="E398" t="s">
        <v>5659</v>
      </c>
      <c r="H398" t="s">
        <v>6543</v>
      </c>
      <c r="K398" t="s">
        <v>161</v>
      </c>
    </row>
    <row r="399" spans="2:11">
      <c r="B399" t="s">
        <v>2021</v>
      </c>
      <c r="E399" t="s">
        <v>535</v>
      </c>
      <c r="H399" t="s">
        <v>6545</v>
      </c>
      <c r="K399" t="s">
        <v>160</v>
      </c>
    </row>
    <row r="400" spans="2:11">
      <c r="B400" t="s">
        <v>209</v>
      </c>
      <c r="E400" t="s">
        <v>5243</v>
      </c>
      <c r="H400" t="s">
        <v>6547</v>
      </c>
      <c r="K400" t="s">
        <v>166</v>
      </c>
    </row>
    <row r="401" spans="2:11">
      <c r="B401" t="s">
        <v>210</v>
      </c>
      <c r="E401" t="s">
        <v>2396</v>
      </c>
      <c r="H401" t="s">
        <v>6549</v>
      </c>
      <c r="K401" t="s">
        <v>165</v>
      </c>
    </row>
    <row r="402" spans="2:11">
      <c r="B402" t="s">
        <v>212</v>
      </c>
      <c r="E402" t="s">
        <v>3290</v>
      </c>
      <c r="H402" t="s">
        <v>6551</v>
      </c>
      <c r="K402" t="s">
        <v>181</v>
      </c>
    </row>
    <row r="403" spans="2:11">
      <c r="B403" t="s">
        <v>539</v>
      </c>
      <c r="E403" t="s">
        <v>2594</v>
      </c>
      <c r="H403" t="s">
        <v>6553</v>
      </c>
      <c r="K403" t="s">
        <v>179</v>
      </c>
    </row>
    <row r="404" spans="2:11">
      <c r="B404" t="s">
        <v>541</v>
      </c>
      <c r="E404" t="s">
        <v>534</v>
      </c>
      <c r="H404" t="s">
        <v>6555</v>
      </c>
      <c r="K404" t="s">
        <v>177</v>
      </c>
    </row>
    <row r="405" spans="2:11">
      <c r="B405" t="s">
        <v>543</v>
      </c>
      <c r="E405" t="s">
        <v>5242</v>
      </c>
      <c r="H405" t="s">
        <v>6557</v>
      </c>
      <c r="K405" t="s">
        <v>184</v>
      </c>
    </row>
    <row r="406" spans="2:11">
      <c r="B406" t="s">
        <v>5585</v>
      </c>
      <c r="E406" t="s">
        <v>6751</v>
      </c>
      <c r="H406" t="s">
        <v>6559</v>
      </c>
      <c r="K406" t="s">
        <v>183</v>
      </c>
    </row>
    <row r="407" spans="2:11">
      <c r="B407" t="s">
        <v>5586</v>
      </c>
      <c r="E407" t="s">
        <v>6209</v>
      </c>
      <c r="H407" t="s">
        <v>6561</v>
      </c>
      <c r="K407" t="s">
        <v>3344</v>
      </c>
    </row>
    <row r="408" spans="2:11">
      <c r="B408" t="s">
        <v>5584</v>
      </c>
      <c r="E408" t="s">
        <v>6752</v>
      </c>
      <c r="H408" t="s">
        <v>6563</v>
      </c>
      <c r="K408" t="s">
        <v>3342</v>
      </c>
    </row>
    <row r="409" spans="2:11">
      <c r="B409" t="s">
        <v>1194</v>
      </c>
      <c r="E409" t="s">
        <v>6903</v>
      </c>
      <c r="H409" t="s">
        <v>6565</v>
      </c>
      <c r="K409" t="s">
        <v>3340</v>
      </c>
    </row>
    <row r="410" spans="2:11">
      <c r="B410" t="s">
        <v>1196</v>
      </c>
      <c r="E410" t="s">
        <v>6217</v>
      </c>
      <c r="H410" t="s">
        <v>6573</v>
      </c>
      <c r="K410" t="s">
        <v>3351</v>
      </c>
    </row>
    <row r="411" spans="2:11">
      <c r="B411" t="s">
        <v>5651</v>
      </c>
      <c r="E411" t="s">
        <v>6219</v>
      </c>
      <c r="H411" t="s">
        <v>6567</v>
      </c>
      <c r="K411" t="s">
        <v>3350</v>
      </c>
    </row>
    <row r="412" spans="2:11">
      <c r="B412" t="s">
        <v>5577</v>
      </c>
      <c r="E412" t="s">
        <v>6904</v>
      </c>
      <c r="H412" t="s">
        <v>6569</v>
      </c>
      <c r="K412" t="s">
        <v>5128</v>
      </c>
    </row>
    <row r="413" spans="2:11">
      <c r="B413" t="s">
        <v>4936</v>
      </c>
      <c r="E413" t="s">
        <v>6905</v>
      </c>
      <c r="H413" t="s">
        <v>6571</v>
      </c>
      <c r="K413" t="s">
        <v>5129</v>
      </c>
    </row>
    <row r="414" spans="2:11">
      <c r="B414" t="s">
        <v>4937</v>
      </c>
      <c r="E414" t="s">
        <v>6906</v>
      </c>
      <c r="H414" t="s">
        <v>6593</v>
      </c>
      <c r="K414" t="s">
        <v>5130</v>
      </c>
    </row>
    <row r="415" spans="2:11">
      <c r="B415" t="s">
        <v>5192</v>
      </c>
      <c r="E415" t="s">
        <v>6907</v>
      </c>
      <c r="H415" t="s">
        <v>6595</v>
      </c>
      <c r="K415" t="s">
        <v>5131</v>
      </c>
    </row>
    <row r="416" spans="2:11">
      <c r="B416" t="s">
        <v>3965</v>
      </c>
      <c r="E416" t="s">
        <v>6225</v>
      </c>
      <c r="H416" t="s">
        <v>6597</v>
      </c>
      <c r="K416" t="s">
        <v>5132</v>
      </c>
    </row>
    <row r="417" spans="2:11">
      <c r="B417" t="s">
        <v>3964</v>
      </c>
      <c r="E417" t="s">
        <v>6227</v>
      </c>
      <c r="H417" t="s">
        <v>6599</v>
      </c>
      <c r="K417" t="s">
        <v>5825</v>
      </c>
    </row>
    <row r="418" spans="2:11">
      <c r="B418" t="s">
        <v>4135</v>
      </c>
      <c r="E418" t="s">
        <v>6229</v>
      </c>
      <c r="H418" t="s">
        <v>6601</v>
      </c>
      <c r="K418" t="s">
        <v>5824</v>
      </c>
    </row>
    <row r="419" spans="2:11">
      <c r="B419" t="s">
        <v>4137</v>
      </c>
      <c r="E419" t="s">
        <v>6908</v>
      </c>
      <c r="H419" t="s">
        <v>6603</v>
      </c>
      <c r="K419" t="s">
        <v>5823</v>
      </c>
    </row>
    <row r="420" spans="2:11">
      <c r="B420" t="s">
        <v>3708</v>
      </c>
      <c r="E420" t="s">
        <v>6221</v>
      </c>
      <c r="H420" t="s">
        <v>6605</v>
      </c>
      <c r="K420" t="s">
        <v>5829</v>
      </c>
    </row>
    <row r="421" spans="2:11">
      <c r="B421" t="s">
        <v>5193</v>
      </c>
      <c r="E421" t="s">
        <v>6223</v>
      </c>
      <c r="H421" t="s">
        <v>6607</v>
      </c>
      <c r="K421" t="s">
        <v>5828</v>
      </c>
    </row>
    <row r="422" spans="2:11">
      <c r="B422" t="s">
        <v>3810</v>
      </c>
      <c r="E422" t="s">
        <v>6909</v>
      </c>
      <c r="H422" t="s">
        <v>6609</v>
      </c>
      <c r="K422" t="s">
        <v>5832</v>
      </c>
    </row>
    <row r="423" spans="2:11">
      <c r="B423" t="s">
        <v>1144</v>
      </c>
      <c r="E423" t="s">
        <v>6910</v>
      </c>
      <c r="G423" t="s">
        <v>5606</v>
      </c>
      <c r="K423" t="s">
        <v>5831</v>
      </c>
    </row>
    <row r="424" spans="2:11">
      <c r="B424" t="s">
        <v>1146</v>
      </c>
      <c r="E424" t="s">
        <v>6911</v>
      </c>
      <c r="G424" t="s">
        <v>3621</v>
      </c>
      <c r="K424" t="s">
        <v>5830</v>
      </c>
    </row>
    <row r="425" spans="2:11">
      <c r="B425" t="s">
        <v>4138</v>
      </c>
      <c r="D425" t="s">
        <v>5605</v>
      </c>
      <c r="K425" t="s">
        <v>5836</v>
      </c>
    </row>
    <row r="426" spans="2:11">
      <c r="B426" t="s">
        <v>4139</v>
      </c>
      <c r="D426" t="s">
        <v>3621</v>
      </c>
      <c r="K426" t="s">
        <v>5835</v>
      </c>
    </row>
    <row r="427" spans="2:11">
      <c r="B427" t="s">
        <v>786</v>
      </c>
      <c r="K427" t="s">
        <v>5802</v>
      </c>
    </row>
    <row r="428" spans="2:11">
      <c r="B428" t="s">
        <v>788</v>
      </c>
      <c r="K428" t="s">
        <v>5803</v>
      </c>
    </row>
    <row r="429" spans="2:11">
      <c r="B429" t="s">
        <v>790</v>
      </c>
      <c r="K429" t="s">
        <v>5804</v>
      </c>
    </row>
    <row r="430" spans="2:11">
      <c r="B430" t="s">
        <v>5588</v>
      </c>
      <c r="K430" t="s">
        <v>5805</v>
      </c>
    </row>
    <row r="431" spans="2:11">
      <c r="B431" t="s">
        <v>5587</v>
      </c>
      <c r="K431" t="s">
        <v>5806</v>
      </c>
    </row>
    <row r="432" spans="2:11">
      <c r="B432" t="s">
        <v>5608</v>
      </c>
      <c r="K432" t="s">
        <v>3356</v>
      </c>
    </row>
    <row r="433" spans="2:11">
      <c r="B433" t="s">
        <v>5607</v>
      </c>
      <c r="K433" t="s">
        <v>3354</v>
      </c>
    </row>
    <row r="434" spans="2:11">
      <c r="B434" t="s">
        <v>2910</v>
      </c>
      <c r="K434" t="s">
        <v>3352</v>
      </c>
    </row>
    <row r="435" spans="2:11">
      <c r="B435" t="s">
        <v>2912</v>
      </c>
      <c r="K435" t="s">
        <v>3363</v>
      </c>
    </row>
    <row r="436" spans="2:11">
      <c r="B436" t="s">
        <v>2908</v>
      </c>
      <c r="K436" t="s">
        <v>3362</v>
      </c>
    </row>
    <row r="437" spans="2:11">
      <c r="B437" t="s">
        <v>2490</v>
      </c>
      <c r="K437" t="s">
        <v>967</v>
      </c>
    </row>
    <row r="438" spans="2:11">
      <c r="B438" t="s">
        <v>2492</v>
      </c>
      <c r="K438" t="s">
        <v>965</v>
      </c>
    </row>
    <row r="439" spans="2:11">
      <c r="B439" t="s">
        <v>2488</v>
      </c>
      <c r="K439" t="s">
        <v>963</v>
      </c>
    </row>
    <row r="440" spans="2:11">
      <c r="B440" t="s">
        <v>2502</v>
      </c>
      <c r="K440" t="s">
        <v>970</v>
      </c>
    </row>
    <row r="441" spans="2:11">
      <c r="B441" t="s">
        <v>2504</v>
      </c>
      <c r="K441" t="s">
        <v>969</v>
      </c>
    </row>
    <row r="442" spans="2:11">
      <c r="B442" t="s">
        <v>2500</v>
      </c>
      <c r="K442" t="s">
        <v>1275</v>
      </c>
    </row>
    <row r="443" spans="2:11">
      <c r="B443" t="s">
        <v>2496</v>
      </c>
      <c r="K443" t="s">
        <v>1273</v>
      </c>
    </row>
    <row r="444" spans="2:11">
      <c r="B444" t="s">
        <v>2498</v>
      </c>
      <c r="K444" t="s">
        <v>1271</v>
      </c>
    </row>
    <row r="445" spans="2:11">
      <c r="B445" t="s">
        <v>2494</v>
      </c>
      <c r="K445" t="s">
        <v>1282</v>
      </c>
    </row>
    <row r="446" spans="2:11">
      <c r="B446" t="s">
        <v>3300</v>
      </c>
      <c r="K446" t="s">
        <v>1281</v>
      </c>
    </row>
    <row r="447" spans="2:11">
      <c r="B447" t="s">
        <v>3302</v>
      </c>
      <c r="K447" t="s">
        <v>1263</v>
      </c>
    </row>
    <row r="448" spans="2:11">
      <c r="B448" t="s">
        <v>3298</v>
      </c>
      <c r="K448" t="s">
        <v>1261</v>
      </c>
    </row>
    <row r="449" spans="2:11">
      <c r="B449" t="s">
        <v>3294</v>
      </c>
      <c r="K449" t="s">
        <v>1259</v>
      </c>
    </row>
    <row r="450" spans="2:11">
      <c r="B450" t="s">
        <v>3296</v>
      </c>
      <c r="K450" t="s">
        <v>1270</v>
      </c>
    </row>
    <row r="451" spans="2:11">
      <c r="B451" t="s">
        <v>3292</v>
      </c>
      <c r="K451" t="s">
        <v>1269</v>
      </c>
    </row>
    <row r="452" spans="2:11">
      <c r="B452" t="s">
        <v>3726</v>
      </c>
      <c r="K452" t="s">
        <v>595</v>
      </c>
    </row>
    <row r="453" spans="2:11">
      <c r="B453" t="s">
        <v>3727</v>
      </c>
      <c r="K453" t="s">
        <v>593</v>
      </c>
    </row>
    <row r="454" spans="2:11">
      <c r="B454" t="s">
        <v>3728</v>
      </c>
      <c r="K454" t="s">
        <v>591</v>
      </c>
    </row>
    <row r="455" spans="2:11">
      <c r="B455" t="s">
        <v>5195</v>
      </c>
      <c r="K455" t="s">
        <v>608</v>
      </c>
    </row>
    <row r="456" spans="2:11">
      <c r="B456" t="s">
        <v>5196</v>
      </c>
      <c r="K456" t="s">
        <v>607</v>
      </c>
    </row>
    <row r="457" spans="2:11">
      <c r="B457" t="s">
        <v>5194</v>
      </c>
      <c r="K457" t="s">
        <v>733</v>
      </c>
    </row>
    <row r="458" spans="2:11">
      <c r="B458" t="s">
        <v>5104</v>
      </c>
      <c r="K458" t="s">
        <v>735</v>
      </c>
    </row>
    <row r="459" spans="2:11">
      <c r="B459" t="s">
        <v>5106</v>
      </c>
      <c r="K459" t="s">
        <v>737</v>
      </c>
    </row>
    <row r="460" spans="2:11">
      <c r="B460" t="s">
        <v>5102</v>
      </c>
      <c r="K460" t="s">
        <v>1127</v>
      </c>
    </row>
    <row r="461" spans="2:11">
      <c r="B461" t="s">
        <v>5287</v>
      </c>
      <c r="K461" t="s">
        <v>1126</v>
      </c>
    </row>
    <row r="462" spans="2:11">
      <c r="B462" t="s">
        <v>5286</v>
      </c>
      <c r="K462" t="s">
        <v>5133</v>
      </c>
    </row>
    <row r="463" spans="2:11">
      <c r="B463" t="s">
        <v>5288</v>
      </c>
      <c r="K463" t="s">
        <v>5134</v>
      </c>
    </row>
    <row r="464" spans="2:11">
      <c r="B464" t="s">
        <v>860</v>
      </c>
      <c r="K464" t="s">
        <v>5135</v>
      </c>
    </row>
    <row r="465" spans="2:11">
      <c r="B465" t="s">
        <v>862</v>
      </c>
      <c r="K465" t="s">
        <v>5136</v>
      </c>
    </row>
    <row r="466" spans="2:11">
      <c r="B466" t="s">
        <v>864</v>
      </c>
      <c r="K466" t="s">
        <v>5137</v>
      </c>
    </row>
    <row r="467" spans="2:11">
      <c r="B467" t="s">
        <v>3152</v>
      </c>
      <c r="K467" t="s">
        <v>921</v>
      </c>
    </row>
    <row r="468" spans="2:11">
      <c r="B468" t="s">
        <v>3154</v>
      </c>
      <c r="K468" t="s">
        <v>919</v>
      </c>
    </row>
    <row r="469" spans="2:11">
      <c r="B469" t="s">
        <v>1399</v>
      </c>
      <c r="K469" t="s">
        <v>917</v>
      </c>
    </row>
    <row r="470" spans="2:11">
      <c r="B470" t="s">
        <v>1401</v>
      </c>
      <c r="K470" t="s">
        <v>928</v>
      </c>
    </row>
    <row r="471" spans="2:11">
      <c r="B471" t="s">
        <v>1403</v>
      </c>
      <c r="K471" t="s">
        <v>927</v>
      </c>
    </row>
    <row r="472" spans="2:11">
      <c r="B472" t="s">
        <v>1902</v>
      </c>
      <c r="K472" t="s">
        <v>2708</v>
      </c>
    </row>
    <row r="473" spans="2:11">
      <c r="B473" t="s">
        <v>1908</v>
      </c>
      <c r="K473" t="s">
        <v>2706</v>
      </c>
    </row>
    <row r="474" spans="2:11">
      <c r="B474" t="s">
        <v>1906</v>
      </c>
      <c r="K474" t="s">
        <v>2704</v>
      </c>
    </row>
    <row r="475" spans="2:11">
      <c r="B475" t="s">
        <v>1904</v>
      </c>
      <c r="K475" t="s">
        <v>2715</v>
      </c>
    </row>
    <row r="476" spans="2:11">
      <c r="B476" t="s">
        <v>1910</v>
      </c>
      <c r="K476" t="s">
        <v>2714</v>
      </c>
    </row>
    <row r="477" spans="2:11">
      <c r="B477" t="s">
        <v>1900</v>
      </c>
      <c r="K477" t="s">
        <v>1683</v>
      </c>
    </row>
    <row r="478" spans="2:11">
      <c r="B478" t="s">
        <v>1671</v>
      </c>
      <c r="K478" t="s">
        <v>1681</v>
      </c>
    </row>
    <row r="479" spans="2:11">
      <c r="B479" t="s">
        <v>1796</v>
      </c>
      <c r="K479" t="s">
        <v>1679</v>
      </c>
    </row>
    <row r="480" spans="2:11">
      <c r="B480" t="s">
        <v>1817</v>
      </c>
      <c r="K480" t="s">
        <v>1690</v>
      </c>
    </row>
    <row r="481" spans="2:11">
      <c r="B481" t="s">
        <v>1798</v>
      </c>
      <c r="K481" t="s">
        <v>1689</v>
      </c>
    </row>
    <row r="482" spans="2:11">
      <c r="B482" t="s">
        <v>1794</v>
      </c>
      <c r="K482" t="s">
        <v>4558</v>
      </c>
    </row>
    <row r="483" spans="2:11">
      <c r="B483" t="s">
        <v>1815</v>
      </c>
      <c r="K483" t="s">
        <v>4560</v>
      </c>
    </row>
    <row r="484" spans="2:11">
      <c r="B484" t="s">
        <v>1691</v>
      </c>
      <c r="K484" t="s">
        <v>4562</v>
      </c>
    </row>
    <row r="485" spans="2:11">
      <c r="B485" t="s">
        <v>2766</v>
      </c>
      <c r="K485" t="s">
        <v>4564</v>
      </c>
    </row>
    <row r="486" spans="2:11">
      <c r="B486" t="s">
        <v>2770</v>
      </c>
      <c r="K486" t="s">
        <v>4565</v>
      </c>
    </row>
    <row r="487" spans="2:11">
      <c r="B487" t="s">
        <v>4503</v>
      </c>
      <c r="K487" t="s">
        <v>5138</v>
      </c>
    </row>
    <row r="488" spans="2:11">
      <c r="B488" t="s">
        <v>2772</v>
      </c>
      <c r="K488" t="s">
        <v>5140</v>
      </c>
    </row>
    <row r="489" spans="2:11">
      <c r="B489" t="s">
        <v>4505</v>
      </c>
      <c r="K489" t="s">
        <v>5142</v>
      </c>
    </row>
    <row r="490" spans="2:11">
      <c r="B490" t="s">
        <v>2768</v>
      </c>
      <c r="K490" t="s">
        <v>5144</v>
      </c>
    </row>
    <row r="491" spans="2:11">
      <c r="B491" t="s">
        <v>2127</v>
      </c>
      <c r="K491" t="s">
        <v>5145</v>
      </c>
    </row>
    <row r="492" spans="2:11">
      <c r="B492" t="s">
        <v>2131</v>
      </c>
      <c r="K492" t="s">
        <v>3653</v>
      </c>
    </row>
    <row r="493" spans="2:11">
      <c r="B493" t="s">
        <v>2129</v>
      </c>
      <c r="K493" t="s">
        <v>3651</v>
      </c>
    </row>
    <row r="494" spans="2:11">
      <c r="B494" t="s">
        <v>2126</v>
      </c>
      <c r="K494" t="s">
        <v>3649</v>
      </c>
    </row>
    <row r="495" spans="2:11">
      <c r="B495" t="s">
        <v>4750</v>
      </c>
      <c r="K495" t="s">
        <v>3660</v>
      </c>
    </row>
    <row r="496" spans="2:11">
      <c r="B496" t="s">
        <v>4752</v>
      </c>
      <c r="K496" t="s">
        <v>3659</v>
      </c>
    </row>
    <row r="497" spans="2:11">
      <c r="B497" t="s">
        <v>5292</v>
      </c>
      <c r="K497" t="s">
        <v>4846</v>
      </c>
    </row>
    <row r="498" spans="2:11">
      <c r="B498" t="s">
        <v>4748</v>
      </c>
      <c r="K498" t="s">
        <v>4848</v>
      </c>
    </row>
    <row r="499" spans="2:11">
      <c r="B499" t="s">
        <v>5541</v>
      </c>
      <c r="K499" t="s">
        <v>4850</v>
      </c>
    </row>
    <row r="500" spans="2:11">
      <c r="B500" t="s">
        <v>5543</v>
      </c>
      <c r="K500" t="s">
        <v>4852</v>
      </c>
    </row>
    <row r="501" spans="2:11">
      <c r="B501" t="s">
        <v>5544</v>
      </c>
      <c r="K501" t="s">
        <v>4853</v>
      </c>
    </row>
    <row r="502" spans="2:11">
      <c r="B502" t="s">
        <v>5542</v>
      </c>
      <c r="K502" t="s">
        <v>3665</v>
      </c>
    </row>
    <row r="503" spans="2:11">
      <c r="B503" t="s">
        <v>5545</v>
      </c>
      <c r="K503" t="s">
        <v>3663</v>
      </c>
    </row>
    <row r="504" spans="2:11">
      <c r="B504" t="s">
        <v>5540</v>
      </c>
      <c r="K504" t="s">
        <v>3661</v>
      </c>
    </row>
    <row r="505" spans="2:11">
      <c r="B505" t="s">
        <v>4941</v>
      </c>
      <c r="K505" t="s">
        <v>3672</v>
      </c>
    </row>
    <row r="506" spans="2:11">
      <c r="B506" t="s">
        <v>4943</v>
      </c>
      <c r="K506" t="s">
        <v>3671</v>
      </c>
    </row>
    <row r="507" spans="2:11">
      <c r="B507" t="s">
        <v>4945</v>
      </c>
      <c r="K507" t="s">
        <v>4566</v>
      </c>
    </row>
    <row r="508" spans="2:11">
      <c r="B508" t="s">
        <v>4947</v>
      </c>
      <c r="K508" t="s">
        <v>4568</v>
      </c>
    </row>
    <row r="509" spans="2:11">
      <c r="B509" t="s">
        <v>4939</v>
      </c>
      <c r="K509" t="s">
        <v>4570</v>
      </c>
    </row>
    <row r="510" spans="2:11">
      <c r="B510" t="s">
        <v>4756</v>
      </c>
      <c r="K510" t="s">
        <v>4572</v>
      </c>
    </row>
    <row r="511" spans="2:11">
      <c r="B511" t="s">
        <v>4758</v>
      </c>
      <c r="K511" t="s">
        <v>4573</v>
      </c>
    </row>
    <row r="512" spans="2:11">
      <c r="B512" t="s">
        <v>4760</v>
      </c>
      <c r="K512" t="s">
        <v>4574</v>
      </c>
    </row>
    <row r="513" spans="2:11">
      <c r="B513" t="s">
        <v>4762</v>
      </c>
      <c r="K513" t="s">
        <v>4576</v>
      </c>
    </row>
    <row r="514" spans="2:11">
      <c r="B514" t="s">
        <v>4754</v>
      </c>
      <c r="K514" t="s">
        <v>4578</v>
      </c>
    </row>
    <row r="515" spans="2:11">
      <c r="B515" t="s">
        <v>4766</v>
      </c>
      <c r="K515" t="s">
        <v>4580</v>
      </c>
    </row>
    <row r="516" spans="2:11">
      <c r="B516" t="s">
        <v>4768</v>
      </c>
      <c r="K516" t="s">
        <v>4581</v>
      </c>
    </row>
    <row r="517" spans="2:11">
      <c r="B517" t="s">
        <v>5294</v>
      </c>
      <c r="K517" t="s">
        <v>5807</v>
      </c>
    </row>
    <row r="518" spans="2:11">
      <c r="B518" t="s">
        <v>5200</v>
      </c>
      <c r="K518" t="s">
        <v>5808</v>
      </c>
    </row>
    <row r="519" spans="2:11">
      <c r="B519" t="s">
        <v>5290</v>
      </c>
      <c r="K519" t="s">
        <v>5809</v>
      </c>
    </row>
    <row r="520" spans="2:11">
      <c r="B520" t="s">
        <v>5202</v>
      </c>
      <c r="K520" t="s">
        <v>5810</v>
      </c>
    </row>
    <row r="521" spans="2:11">
      <c r="B521" t="s">
        <v>4764</v>
      </c>
      <c r="K521" t="s">
        <v>5811</v>
      </c>
    </row>
    <row r="522" spans="2:11">
      <c r="B522" t="s">
        <v>5547</v>
      </c>
      <c r="K522" t="s">
        <v>2096</v>
      </c>
    </row>
    <row r="523" spans="2:11">
      <c r="B523" t="s">
        <v>5549</v>
      </c>
      <c r="K523" t="s">
        <v>2094</v>
      </c>
    </row>
    <row r="524" spans="2:11">
      <c r="B524" t="s">
        <v>5550</v>
      </c>
      <c r="K524" t="s">
        <v>2092</v>
      </c>
    </row>
    <row r="525" spans="2:11">
      <c r="B525" t="s">
        <v>5548</v>
      </c>
      <c r="K525" t="s">
        <v>2103</v>
      </c>
    </row>
    <row r="526" spans="2:11">
      <c r="B526" t="s">
        <v>5551</v>
      </c>
      <c r="K526" t="s">
        <v>2102</v>
      </c>
    </row>
    <row r="527" spans="2:11">
      <c r="B527" t="s">
        <v>5546</v>
      </c>
      <c r="K527" t="s">
        <v>5146</v>
      </c>
    </row>
    <row r="528" spans="2:11">
      <c r="B528" t="s">
        <v>4951</v>
      </c>
      <c r="K528" t="s">
        <v>5147</v>
      </c>
    </row>
    <row r="529" spans="2:11">
      <c r="B529" t="s">
        <v>4953</v>
      </c>
      <c r="K529" t="s">
        <v>5148</v>
      </c>
    </row>
    <row r="530" spans="2:11">
      <c r="B530" t="s">
        <v>4955</v>
      </c>
      <c r="K530" t="s">
        <v>5149</v>
      </c>
    </row>
    <row r="531" spans="2:11">
      <c r="B531" t="s">
        <v>4957</v>
      </c>
      <c r="K531" t="s">
        <v>5150</v>
      </c>
    </row>
    <row r="532" spans="2:11">
      <c r="B532" t="s">
        <v>4949</v>
      </c>
      <c r="K532" t="s">
        <v>909</v>
      </c>
    </row>
    <row r="533" spans="2:11">
      <c r="B533" t="s">
        <v>4772</v>
      </c>
      <c r="K533" t="s">
        <v>907</v>
      </c>
    </row>
    <row r="534" spans="2:11">
      <c r="B534" t="s">
        <v>4774</v>
      </c>
      <c r="K534" t="s">
        <v>905</v>
      </c>
    </row>
    <row r="535" spans="2:11">
      <c r="B535" t="s">
        <v>4776</v>
      </c>
      <c r="K535" t="s">
        <v>916</v>
      </c>
    </row>
    <row r="536" spans="2:11">
      <c r="B536" t="s">
        <v>4778</v>
      </c>
      <c r="K536" t="s">
        <v>915</v>
      </c>
    </row>
    <row r="537" spans="2:11">
      <c r="B537" t="s">
        <v>4770</v>
      </c>
      <c r="K537" t="s">
        <v>1168</v>
      </c>
    </row>
    <row r="538" spans="2:11">
      <c r="B538" t="s">
        <v>4782</v>
      </c>
      <c r="K538" t="s">
        <v>1166</v>
      </c>
    </row>
    <row r="539" spans="2:11">
      <c r="B539" t="s">
        <v>4784</v>
      </c>
      <c r="K539" t="s">
        <v>1164</v>
      </c>
    </row>
    <row r="540" spans="2:11">
      <c r="B540" t="s">
        <v>5295</v>
      </c>
      <c r="K540" t="s">
        <v>1175</v>
      </c>
    </row>
    <row r="541" spans="2:11">
      <c r="B541" t="s">
        <v>4780</v>
      </c>
      <c r="K541" t="s">
        <v>1174</v>
      </c>
    </row>
    <row r="542" spans="2:11">
      <c r="B542" t="s">
        <v>5553</v>
      </c>
      <c r="K542" t="s">
        <v>5151</v>
      </c>
    </row>
    <row r="543" spans="2:11">
      <c r="B543" t="s">
        <v>5555</v>
      </c>
      <c r="K543" t="s">
        <v>5152</v>
      </c>
    </row>
    <row r="544" spans="2:11">
      <c r="B544" t="s">
        <v>5556</v>
      </c>
      <c r="K544" t="s">
        <v>5153</v>
      </c>
    </row>
    <row r="545" spans="2:11">
      <c r="B545" t="s">
        <v>5554</v>
      </c>
      <c r="K545" t="s">
        <v>5154</v>
      </c>
    </row>
    <row r="546" spans="2:11">
      <c r="B546" t="s">
        <v>5557</v>
      </c>
      <c r="K546" t="s">
        <v>5155</v>
      </c>
    </row>
    <row r="547" spans="2:11">
      <c r="B547" t="s">
        <v>5552</v>
      </c>
      <c r="K547" t="s">
        <v>2257</v>
      </c>
    </row>
    <row r="548" spans="2:11">
      <c r="B548" t="s">
        <v>4961</v>
      </c>
      <c r="K548" t="s">
        <v>2255</v>
      </c>
    </row>
    <row r="549" spans="2:11">
      <c r="B549" t="s">
        <v>4963</v>
      </c>
      <c r="K549" t="s">
        <v>2253</v>
      </c>
    </row>
    <row r="550" spans="2:11">
      <c r="B550" t="s">
        <v>4964</v>
      </c>
      <c r="K550" t="s">
        <v>2264</v>
      </c>
    </row>
    <row r="551" spans="2:11">
      <c r="B551" t="s">
        <v>4966</v>
      </c>
      <c r="K551" t="s">
        <v>2263</v>
      </c>
    </row>
    <row r="552" spans="2:11">
      <c r="B552" t="s">
        <v>4959</v>
      </c>
      <c r="K552" t="s">
        <v>2027</v>
      </c>
    </row>
    <row r="553" spans="2:11">
      <c r="B553" t="s">
        <v>4788</v>
      </c>
      <c r="K553" t="s">
        <v>2025</v>
      </c>
    </row>
    <row r="554" spans="2:11">
      <c r="B554" t="s">
        <v>4790</v>
      </c>
      <c r="K554" t="s">
        <v>2023</v>
      </c>
    </row>
    <row r="555" spans="2:11">
      <c r="B555" t="s">
        <v>4792</v>
      </c>
      <c r="K555" t="s">
        <v>2034</v>
      </c>
    </row>
    <row r="556" spans="2:11">
      <c r="B556" t="s">
        <v>4794</v>
      </c>
      <c r="K556" t="s">
        <v>2033</v>
      </c>
    </row>
    <row r="557" spans="2:11">
      <c r="B557" t="s">
        <v>4786</v>
      </c>
      <c r="K557" t="s">
        <v>218</v>
      </c>
    </row>
    <row r="558" spans="2:11">
      <c r="B558" t="s">
        <v>1914</v>
      </c>
      <c r="K558" t="s">
        <v>216</v>
      </c>
    </row>
    <row r="559" spans="2:11">
      <c r="B559" t="s">
        <v>1918</v>
      </c>
      <c r="K559" t="s">
        <v>214</v>
      </c>
    </row>
    <row r="560" spans="2:11">
      <c r="B560" t="s">
        <v>1920</v>
      </c>
      <c r="K560" t="s">
        <v>221</v>
      </c>
    </row>
    <row r="561" spans="2:11">
      <c r="B561" t="s">
        <v>1916</v>
      </c>
      <c r="K561" t="s">
        <v>220</v>
      </c>
    </row>
    <row r="562" spans="2:11">
      <c r="B562" t="s">
        <v>1922</v>
      </c>
      <c r="K562" t="s">
        <v>588</v>
      </c>
    </row>
    <row r="563" spans="2:11">
      <c r="B563" t="s">
        <v>1912</v>
      </c>
      <c r="K563" t="s">
        <v>589</v>
      </c>
    </row>
    <row r="564" spans="2:11">
      <c r="B564" t="s">
        <v>3692</v>
      </c>
      <c r="K564" t="s">
        <v>549</v>
      </c>
    </row>
    <row r="565" spans="2:11">
      <c r="B565" t="s">
        <v>3695</v>
      </c>
      <c r="K565" t="s">
        <v>547</v>
      </c>
    </row>
    <row r="566" spans="2:11">
      <c r="B566" t="s">
        <v>3696</v>
      </c>
      <c r="K566" t="s">
        <v>545</v>
      </c>
    </row>
    <row r="567" spans="2:11">
      <c r="B567" t="s">
        <v>3697</v>
      </c>
      <c r="K567" t="s">
        <v>552</v>
      </c>
    </row>
    <row r="568" spans="2:11">
      <c r="B568" t="s">
        <v>3693</v>
      </c>
      <c r="K568" t="s">
        <v>551</v>
      </c>
    </row>
    <row r="569" spans="2:11">
      <c r="B569" t="s">
        <v>3694</v>
      </c>
      <c r="K569" t="s">
        <v>5812</v>
      </c>
    </row>
    <row r="570" spans="2:11">
      <c r="B570" t="s">
        <v>1693</v>
      </c>
      <c r="K570" t="s">
        <v>5813</v>
      </c>
    </row>
    <row r="571" spans="2:11">
      <c r="B571" t="s">
        <v>1697</v>
      </c>
      <c r="K571" t="s">
        <v>5814</v>
      </c>
    </row>
    <row r="572" spans="2:11">
      <c r="B572" t="s">
        <v>1821</v>
      </c>
      <c r="K572" t="s">
        <v>5815</v>
      </c>
    </row>
    <row r="573" spans="2:11">
      <c r="B573" t="s">
        <v>1699</v>
      </c>
      <c r="K573" t="s">
        <v>5816</v>
      </c>
    </row>
    <row r="574" spans="2:11">
      <c r="B574" t="s">
        <v>1819</v>
      </c>
      <c r="K574" t="s">
        <v>1202</v>
      </c>
    </row>
    <row r="575" spans="2:11">
      <c r="B575" t="s">
        <v>1695</v>
      </c>
      <c r="K575" t="s">
        <v>1200</v>
      </c>
    </row>
    <row r="576" spans="2:11">
      <c r="B576" t="s">
        <v>3698</v>
      </c>
      <c r="K576" t="s">
        <v>1198</v>
      </c>
    </row>
    <row r="577" spans="2:11">
      <c r="B577" t="s">
        <v>3701</v>
      </c>
      <c r="K577" t="s">
        <v>1209</v>
      </c>
    </row>
    <row r="578" spans="2:11">
      <c r="B578" t="s">
        <v>3702</v>
      </c>
      <c r="K578" t="s">
        <v>1208</v>
      </c>
    </row>
    <row r="579" spans="2:11">
      <c r="B579" t="s">
        <v>3703</v>
      </c>
      <c r="K579" t="s">
        <v>5839</v>
      </c>
    </row>
    <row r="580" spans="2:11">
      <c r="B580" t="s">
        <v>3699</v>
      </c>
      <c r="K580" t="s">
        <v>5838</v>
      </c>
    </row>
    <row r="581" spans="2:11">
      <c r="B581" t="s">
        <v>3700</v>
      </c>
      <c r="K581" t="s">
        <v>5837</v>
      </c>
    </row>
    <row r="582" spans="2:11">
      <c r="B582" t="s">
        <v>3704</v>
      </c>
      <c r="K582" t="s">
        <v>5843</v>
      </c>
    </row>
    <row r="583" spans="2:11">
      <c r="B583" t="s">
        <v>3706</v>
      </c>
      <c r="K583" t="s">
        <v>5842</v>
      </c>
    </row>
    <row r="584" spans="2:11">
      <c r="B584" t="s">
        <v>4507</v>
      </c>
      <c r="K584" t="s">
        <v>5068</v>
      </c>
    </row>
    <row r="585" spans="2:11">
      <c r="B585" t="s">
        <v>3707</v>
      </c>
      <c r="K585" t="s">
        <v>5070</v>
      </c>
    </row>
    <row r="586" spans="2:11">
      <c r="B586" t="s">
        <v>4509</v>
      </c>
      <c r="K586" t="s">
        <v>5072</v>
      </c>
    </row>
    <row r="587" spans="2:11">
      <c r="B587" t="s">
        <v>3705</v>
      </c>
      <c r="K587" t="s">
        <v>5074</v>
      </c>
    </row>
    <row r="588" spans="2:11">
      <c r="B588" t="s">
        <v>2774</v>
      </c>
      <c r="K588" t="s">
        <v>5075</v>
      </c>
    </row>
    <row r="589" spans="2:11">
      <c r="B589" t="s">
        <v>2778</v>
      </c>
      <c r="K589" t="s">
        <v>3966</v>
      </c>
    </row>
    <row r="590" spans="2:11">
      <c r="B590" t="s">
        <v>2780</v>
      </c>
      <c r="K590" t="s">
        <v>3967</v>
      </c>
    </row>
    <row r="591" spans="2:11">
      <c r="B591" t="s">
        <v>2776</v>
      </c>
      <c r="K591" t="s">
        <v>3968</v>
      </c>
    </row>
    <row r="592" spans="2:11">
      <c r="B592" t="s">
        <v>2135</v>
      </c>
      <c r="K592" t="s">
        <v>3969</v>
      </c>
    </row>
    <row r="593" spans="2:11">
      <c r="B593" t="s">
        <v>2139</v>
      </c>
      <c r="K593" t="s">
        <v>3970</v>
      </c>
    </row>
    <row r="594" spans="2:11">
      <c r="B594" t="s">
        <v>2137</v>
      </c>
      <c r="K594" t="s">
        <v>3971</v>
      </c>
    </row>
    <row r="595" spans="2:11">
      <c r="B595" t="s">
        <v>2133</v>
      </c>
      <c r="K595" t="s">
        <v>3972</v>
      </c>
    </row>
    <row r="596" spans="2:11">
      <c r="B596" t="s">
        <v>5204</v>
      </c>
      <c r="K596" t="s">
        <v>3973</v>
      </c>
    </row>
    <row r="597" spans="2:11">
      <c r="B597" t="s">
        <v>5210</v>
      </c>
      <c r="K597" t="s">
        <v>3974</v>
      </c>
    </row>
    <row r="598" spans="2:11">
      <c r="B598" t="s">
        <v>5211</v>
      </c>
      <c r="K598" t="s">
        <v>3975</v>
      </c>
    </row>
    <row r="599" spans="2:11">
      <c r="B599" t="s">
        <v>5212</v>
      </c>
      <c r="K599" t="s">
        <v>3782</v>
      </c>
    </row>
    <row r="600" spans="2:11">
      <c r="B600" t="s">
        <v>5206</v>
      </c>
      <c r="K600" t="s">
        <v>3780</v>
      </c>
    </row>
    <row r="601" spans="2:11">
      <c r="B601" t="s">
        <v>5208</v>
      </c>
      <c r="K601" t="s">
        <v>3778</v>
      </c>
    </row>
    <row r="602" spans="2:11">
      <c r="B602" t="s">
        <v>2570</v>
      </c>
      <c r="K602" t="s">
        <v>3789</v>
      </c>
    </row>
    <row r="603" spans="2:11">
      <c r="B603" t="s">
        <v>2576</v>
      </c>
      <c r="K603" t="s">
        <v>3788</v>
      </c>
    </row>
    <row r="604" spans="2:11">
      <c r="B604" t="s">
        <v>2578</v>
      </c>
      <c r="K604" t="s">
        <v>1152</v>
      </c>
    </row>
    <row r="605" spans="2:11">
      <c r="B605" t="s">
        <v>2580</v>
      </c>
      <c r="K605" t="s">
        <v>1150</v>
      </c>
    </row>
    <row r="606" spans="2:11">
      <c r="B606" t="s">
        <v>2572</v>
      </c>
      <c r="K606" t="s">
        <v>1148</v>
      </c>
    </row>
    <row r="607" spans="2:11">
      <c r="B607" t="s">
        <v>2574</v>
      </c>
      <c r="K607" t="s">
        <v>1159</v>
      </c>
    </row>
    <row r="608" spans="2:11">
      <c r="B608" t="s">
        <v>2664</v>
      </c>
      <c r="K608" t="s">
        <v>1158</v>
      </c>
    </row>
    <row r="609" spans="2:11">
      <c r="B609" t="s">
        <v>2670</v>
      </c>
      <c r="K609" t="s">
        <v>4407</v>
      </c>
    </row>
    <row r="610" spans="2:11">
      <c r="B610" t="s">
        <v>2672</v>
      </c>
      <c r="K610" t="s">
        <v>4405</v>
      </c>
    </row>
    <row r="611" spans="2:11">
      <c r="B611" t="s">
        <v>2674</v>
      </c>
      <c r="K611" t="s">
        <v>4403</v>
      </c>
    </row>
    <row r="612" spans="2:11">
      <c r="B612" t="s">
        <v>2666</v>
      </c>
      <c r="K612" t="s">
        <v>4410</v>
      </c>
    </row>
    <row r="613" spans="2:11">
      <c r="B613" t="s">
        <v>2668</v>
      </c>
      <c r="K613" t="s">
        <v>4409</v>
      </c>
    </row>
    <row r="614" spans="2:11">
      <c r="B614" t="s">
        <v>1985</v>
      </c>
      <c r="K614" t="s">
        <v>796</v>
      </c>
    </row>
    <row r="615" spans="2:11">
      <c r="B615" t="s">
        <v>1989</v>
      </c>
      <c r="K615" t="s">
        <v>794</v>
      </c>
    </row>
    <row r="616" spans="2:11">
      <c r="B616" t="s">
        <v>1991</v>
      </c>
      <c r="K616" t="s">
        <v>792</v>
      </c>
    </row>
    <row r="617" spans="2:11">
      <c r="B617" t="s">
        <v>1987</v>
      </c>
      <c r="K617" t="s">
        <v>803</v>
      </c>
    </row>
    <row r="618" spans="2:11">
      <c r="B618" t="s">
        <v>1605</v>
      </c>
      <c r="K618" t="s">
        <v>802</v>
      </c>
    </row>
    <row r="619" spans="2:11">
      <c r="B619" t="s">
        <v>4328</v>
      </c>
      <c r="K619" t="s">
        <v>5817</v>
      </c>
    </row>
    <row r="620" spans="2:11">
      <c r="B620" t="s">
        <v>4324</v>
      </c>
      <c r="K620" t="s">
        <v>5818</v>
      </c>
    </row>
    <row r="621" spans="2:11">
      <c r="B621" t="s">
        <v>4330</v>
      </c>
      <c r="K621" t="s">
        <v>5819</v>
      </c>
    </row>
    <row r="622" spans="2:11">
      <c r="B622" t="s">
        <v>4326</v>
      </c>
      <c r="K622" t="s">
        <v>5820</v>
      </c>
    </row>
    <row r="623" spans="2:11">
      <c r="B623" t="s">
        <v>4318</v>
      </c>
      <c r="K623" t="s">
        <v>5821</v>
      </c>
    </row>
    <row r="624" spans="2:11">
      <c r="B624" t="s">
        <v>3811</v>
      </c>
      <c r="K624" t="s">
        <v>5938</v>
      </c>
    </row>
    <row r="625" spans="2:11">
      <c r="B625" t="s">
        <v>3815</v>
      </c>
      <c r="K625" t="s">
        <v>5939</v>
      </c>
    </row>
    <row r="626" spans="2:11">
      <c r="B626" t="s">
        <v>3813</v>
      </c>
      <c r="K626" t="s">
        <v>5940</v>
      </c>
    </row>
    <row r="627" spans="2:11">
      <c r="B627" t="s">
        <v>4344</v>
      </c>
      <c r="K627" t="s">
        <v>3535</v>
      </c>
    </row>
    <row r="628" spans="2:11">
      <c r="B628" t="s">
        <v>4340</v>
      </c>
      <c r="K628" t="s">
        <v>3537</v>
      </c>
    </row>
    <row r="629" spans="2:11">
      <c r="B629" t="s">
        <v>4967</v>
      </c>
      <c r="K629" t="s">
        <v>3539</v>
      </c>
    </row>
    <row r="630" spans="2:11">
      <c r="B630" t="s">
        <v>4342</v>
      </c>
      <c r="K630" t="s">
        <v>3541</v>
      </c>
    </row>
    <row r="631" spans="2:11">
      <c r="B631" t="s">
        <v>5284</v>
      </c>
      <c r="K631" t="s">
        <v>3543</v>
      </c>
    </row>
    <row r="632" spans="2:11">
      <c r="B632" t="s">
        <v>5285</v>
      </c>
      <c r="K632" t="s">
        <v>3544</v>
      </c>
    </row>
    <row r="633" spans="2:11">
      <c r="B633" t="s">
        <v>4322</v>
      </c>
      <c r="K633" t="s">
        <v>3545</v>
      </c>
    </row>
    <row r="634" spans="2:11">
      <c r="B634" t="s">
        <v>3823</v>
      </c>
      <c r="K634" t="s">
        <v>3546</v>
      </c>
    </row>
    <row r="635" spans="2:11">
      <c r="B635" t="s">
        <v>3827</v>
      </c>
      <c r="K635" t="s">
        <v>3547</v>
      </c>
    </row>
    <row r="636" spans="2:11">
      <c r="B636" t="s">
        <v>3825</v>
      </c>
      <c r="K636" t="s">
        <v>3549</v>
      </c>
    </row>
    <row r="637" spans="2:11">
      <c r="B637" t="s">
        <v>4336</v>
      </c>
      <c r="K637" t="s">
        <v>3551</v>
      </c>
    </row>
    <row r="638" spans="2:11">
      <c r="B638" t="s">
        <v>4332</v>
      </c>
      <c r="K638" t="s">
        <v>3553</v>
      </c>
    </row>
    <row r="639" spans="2:11">
      <c r="B639" t="s">
        <v>4338</v>
      </c>
      <c r="K639" t="s">
        <v>3555</v>
      </c>
    </row>
    <row r="640" spans="2:11">
      <c r="B640" t="s">
        <v>4334</v>
      </c>
      <c r="K640" t="s">
        <v>3556</v>
      </c>
    </row>
    <row r="641" spans="2:11">
      <c r="B641" t="s">
        <v>4320</v>
      </c>
      <c r="K641" t="s">
        <v>5875</v>
      </c>
    </row>
    <row r="642" spans="2:11">
      <c r="B642" t="s">
        <v>3817</v>
      </c>
      <c r="K642" t="s">
        <v>5876</v>
      </c>
    </row>
    <row r="643" spans="2:11">
      <c r="B643" t="s">
        <v>3821</v>
      </c>
      <c r="K643" t="s">
        <v>5877</v>
      </c>
    </row>
    <row r="644" spans="2:11">
      <c r="B644" t="s">
        <v>3819</v>
      </c>
      <c r="K644" t="s">
        <v>5878</v>
      </c>
    </row>
    <row r="645" spans="2:11">
      <c r="B645" t="s">
        <v>1926</v>
      </c>
      <c r="K645" t="s">
        <v>5879</v>
      </c>
    </row>
    <row r="646" spans="2:11">
      <c r="B646" t="s">
        <v>1930</v>
      </c>
      <c r="K646" t="s">
        <v>5880</v>
      </c>
    </row>
    <row r="647" spans="2:11">
      <c r="B647" t="s">
        <v>1928</v>
      </c>
      <c r="K647" t="s">
        <v>2506</v>
      </c>
    </row>
    <row r="648" spans="2:11">
      <c r="B648" t="s">
        <v>1924</v>
      </c>
      <c r="K648" t="s">
        <v>2508</v>
      </c>
    </row>
    <row r="649" spans="2:11">
      <c r="B649" t="s">
        <v>1839</v>
      </c>
      <c r="K649" t="s">
        <v>2510</v>
      </c>
    </row>
    <row r="650" spans="2:11">
      <c r="B650" t="s">
        <v>1843</v>
      </c>
      <c r="K650" t="s">
        <v>3075</v>
      </c>
    </row>
    <row r="651" spans="2:11">
      <c r="B651" t="s">
        <v>1845</v>
      </c>
      <c r="K651" t="s">
        <v>3077</v>
      </c>
    </row>
    <row r="652" spans="2:11">
      <c r="B652" t="s">
        <v>1841</v>
      </c>
      <c r="K652" t="s">
        <v>3079</v>
      </c>
    </row>
    <row r="653" spans="2:11">
      <c r="B653" t="s">
        <v>1603</v>
      </c>
      <c r="K653" t="s">
        <v>2512</v>
      </c>
    </row>
    <row r="654" spans="2:11">
      <c r="B654" t="s">
        <v>1847</v>
      </c>
      <c r="K654" t="s">
        <v>2514</v>
      </c>
    </row>
    <row r="655" spans="2:11">
      <c r="B655" t="s">
        <v>1849</v>
      </c>
      <c r="K655" t="s">
        <v>2516</v>
      </c>
    </row>
    <row r="656" spans="2:11">
      <c r="B656" t="s">
        <v>1851</v>
      </c>
      <c r="K656" t="s">
        <v>1379</v>
      </c>
    </row>
    <row r="657" spans="2:11">
      <c r="B657" t="s">
        <v>1607</v>
      </c>
      <c r="K657" t="s">
        <v>1377</v>
      </c>
    </row>
    <row r="658" spans="2:11">
      <c r="B658" t="s">
        <v>3096</v>
      </c>
      <c r="K658" t="s">
        <v>1375</v>
      </c>
    </row>
    <row r="659" spans="2:11">
      <c r="B659" t="s">
        <v>3102</v>
      </c>
      <c r="K659" t="s">
        <v>2534</v>
      </c>
    </row>
    <row r="660" spans="2:11">
      <c r="B660" t="s">
        <v>3104</v>
      </c>
      <c r="K660" t="s">
        <v>2532</v>
      </c>
    </row>
    <row r="661" spans="2:11">
      <c r="B661" t="s">
        <v>3106</v>
      </c>
      <c r="K661" t="s">
        <v>2530</v>
      </c>
    </row>
    <row r="662" spans="2:11">
      <c r="B662" t="s">
        <v>3098</v>
      </c>
      <c r="K662" t="s">
        <v>1385</v>
      </c>
    </row>
    <row r="663" spans="2:11">
      <c r="B663" t="s">
        <v>3100</v>
      </c>
      <c r="K663" t="s">
        <v>1383</v>
      </c>
    </row>
    <row r="664" spans="2:11">
      <c r="B664" t="s">
        <v>2616</v>
      </c>
      <c r="K664" t="s">
        <v>1381</v>
      </c>
    </row>
    <row r="665" spans="2:11">
      <c r="B665" t="s">
        <v>2622</v>
      </c>
      <c r="K665" t="s">
        <v>2540</v>
      </c>
    </row>
    <row r="666" spans="2:11">
      <c r="B666" t="s">
        <v>2624</v>
      </c>
      <c r="K666" t="s">
        <v>2538</v>
      </c>
    </row>
    <row r="667" spans="2:11">
      <c r="B667" t="s">
        <v>2626</v>
      </c>
      <c r="K667" t="s">
        <v>2536</v>
      </c>
    </row>
    <row r="668" spans="2:11">
      <c r="B668" t="s">
        <v>2618</v>
      </c>
      <c r="K668" t="s">
        <v>2528</v>
      </c>
    </row>
    <row r="669" spans="2:11">
      <c r="B669" t="s">
        <v>2620</v>
      </c>
      <c r="K669" t="s">
        <v>2526</v>
      </c>
    </row>
    <row r="670" spans="2:11">
      <c r="B670" t="s">
        <v>5559</v>
      </c>
      <c r="K670" t="s">
        <v>2524</v>
      </c>
    </row>
    <row r="671" spans="2:11">
      <c r="B671" t="s">
        <v>5561</v>
      </c>
      <c r="K671" t="s">
        <v>2522</v>
      </c>
    </row>
    <row r="672" spans="2:11">
      <c r="B672" t="s">
        <v>5562</v>
      </c>
      <c r="K672" t="s">
        <v>2520</v>
      </c>
    </row>
    <row r="673" spans="2:11">
      <c r="B673" t="s">
        <v>5560</v>
      </c>
      <c r="K673" t="s">
        <v>2518</v>
      </c>
    </row>
    <row r="674" spans="2:11">
      <c r="B674" t="s">
        <v>5563</v>
      </c>
      <c r="K674" t="s">
        <v>1069</v>
      </c>
    </row>
    <row r="675" spans="2:11">
      <c r="B675" t="s">
        <v>5558</v>
      </c>
      <c r="K675" t="s">
        <v>1067</v>
      </c>
    </row>
    <row r="676" spans="2:11">
      <c r="B676" t="s">
        <v>5565</v>
      </c>
      <c r="K676" t="s">
        <v>1065</v>
      </c>
    </row>
    <row r="677" spans="2:11">
      <c r="B677" t="s">
        <v>5567</v>
      </c>
      <c r="K677" t="s">
        <v>1184</v>
      </c>
    </row>
    <row r="678" spans="2:11">
      <c r="B678" t="s">
        <v>5568</v>
      </c>
      <c r="K678" t="s">
        <v>1182</v>
      </c>
    </row>
    <row r="679" spans="2:11">
      <c r="B679" t="s">
        <v>5566</v>
      </c>
      <c r="K679" t="s">
        <v>1180</v>
      </c>
    </row>
    <row r="680" spans="2:11">
      <c r="B680" t="s">
        <v>5569</v>
      </c>
      <c r="K680" t="s">
        <v>1391</v>
      </c>
    </row>
    <row r="681" spans="2:11">
      <c r="B681" t="s">
        <v>5564</v>
      </c>
      <c r="K681" t="s">
        <v>1389</v>
      </c>
    </row>
    <row r="682" spans="2:11">
      <c r="B682" t="s">
        <v>5571</v>
      </c>
      <c r="K682" t="s">
        <v>1387</v>
      </c>
    </row>
    <row r="683" spans="2:11">
      <c r="B683" t="s">
        <v>5573</v>
      </c>
      <c r="K683" t="s">
        <v>3386</v>
      </c>
    </row>
    <row r="684" spans="2:11">
      <c r="B684" t="s">
        <v>5574</v>
      </c>
      <c r="K684" t="s">
        <v>3384</v>
      </c>
    </row>
    <row r="685" spans="2:11">
      <c r="B685" t="s">
        <v>5572</v>
      </c>
      <c r="K685" t="s">
        <v>3382</v>
      </c>
    </row>
    <row r="686" spans="2:11">
      <c r="B686" t="s">
        <v>5575</v>
      </c>
      <c r="K686" t="s">
        <v>1190</v>
      </c>
    </row>
    <row r="687" spans="2:11">
      <c r="B687" t="s">
        <v>5570</v>
      </c>
      <c r="K687" t="s">
        <v>1188</v>
      </c>
    </row>
    <row r="688" spans="2:11">
      <c r="B688" t="s">
        <v>5657</v>
      </c>
      <c r="K688" t="s">
        <v>1186</v>
      </c>
    </row>
    <row r="689" spans="2:11">
      <c r="B689" t="s">
        <v>5658</v>
      </c>
      <c r="K689" t="s">
        <v>1397</v>
      </c>
    </row>
    <row r="690" spans="2:11">
      <c r="B690" t="s">
        <v>5656</v>
      </c>
      <c r="K690" t="s">
        <v>1395</v>
      </c>
    </row>
    <row r="691" spans="2:11">
      <c r="B691" t="s">
        <v>5214</v>
      </c>
      <c r="K691" t="s">
        <v>1393</v>
      </c>
    </row>
    <row r="692" spans="2:11">
      <c r="B692" t="s">
        <v>2628</v>
      </c>
      <c r="K692" t="s">
        <v>3380</v>
      </c>
    </row>
    <row r="693" spans="2:11">
      <c r="B693" t="s">
        <v>2635</v>
      </c>
      <c r="K693" t="s">
        <v>3378</v>
      </c>
    </row>
    <row r="694" spans="2:11">
      <c r="B694" t="s">
        <v>2637</v>
      </c>
      <c r="K694" t="s">
        <v>3376</v>
      </c>
    </row>
    <row r="695" spans="2:11">
      <c r="B695" t="s">
        <v>3808</v>
      </c>
      <c r="K695" t="s">
        <v>3374</v>
      </c>
    </row>
    <row r="696" spans="2:11">
      <c r="B696" t="s">
        <v>2630</v>
      </c>
      <c r="K696" t="s">
        <v>3372</v>
      </c>
    </row>
    <row r="697" spans="2:11">
      <c r="B697" t="s">
        <v>2632</v>
      </c>
      <c r="K697" t="s">
        <v>3370</v>
      </c>
    </row>
    <row r="698" spans="2:11">
      <c r="B698" t="s">
        <v>5213</v>
      </c>
      <c r="K698" t="s">
        <v>3364</v>
      </c>
    </row>
    <row r="699" spans="2:11">
      <c r="B699" t="s">
        <v>3686</v>
      </c>
      <c r="K699" t="s">
        <v>3366</v>
      </c>
    </row>
    <row r="700" spans="2:11">
      <c r="B700" t="s">
        <v>3691</v>
      </c>
      <c r="K700" t="s">
        <v>3368</v>
      </c>
    </row>
    <row r="701" spans="2:11">
      <c r="B701" t="s">
        <v>3689</v>
      </c>
      <c r="K701" t="s">
        <v>3794</v>
      </c>
    </row>
    <row r="702" spans="2:11">
      <c r="B702" t="s">
        <v>3690</v>
      </c>
      <c r="K702" t="s">
        <v>3792</v>
      </c>
    </row>
    <row r="703" spans="2:11">
      <c r="B703" t="s">
        <v>3687</v>
      </c>
      <c r="K703" t="s">
        <v>3790</v>
      </c>
    </row>
    <row r="704" spans="2:11">
      <c r="B704" t="s">
        <v>3688</v>
      </c>
      <c r="K704" t="s">
        <v>4995</v>
      </c>
    </row>
    <row r="705" spans="2:11">
      <c r="B705" t="s">
        <v>2783</v>
      </c>
      <c r="K705" t="s">
        <v>4997</v>
      </c>
    </row>
    <row r="706" spans="2:11">
      <c r="B706" t="s">
        <v>2786</v>
      </c>
      <c r="K706" t="s">
        <v>4999</v>
      </c>
    </row>
    <row r="707" spans="2:11">
      <c r="B707" t="s">
        <v>2788</v>
      </c>
      <c r="K707" t="s">
        <v>5001</v>
      </c>
    </row>
    <row r="708" spans="2:11">
      <c r="B708" t="s">
        <v>3809</v>
      </c>
      <c r="K708" t="s">
        <v>5002</v>
      </c>
    </row>
    <row r="709" spans="2:11">
      <c r="B709" t="s">
        <v>2790</v>
      </c>
      <c r="K709" t="s">
        <v>5003</v>
      </c>
    </row>
    <row r="710" spans="2:11">
      <c r="B710" t="s">
        <v>2781</v>
      </c>
      <c r="K710" t="s">
        <v>979</v>
      </c>
    </row>
    <row r="711" spans="2:11">
      <c r="B711" t="s">
        <v>4798</v>
      </c>
      <c r="K711" t="s">
        <v>977</v>
      </c>
    </row>
    <row r="712" spans="2:11">
      <c r="B712" t="s">
        <v>4803</v>
      </c>
      <c r="K712" t="s">
        <v>975</v>
      </c>
    </row>
    <row r="713" spans="2:11">
      <c r="B713" t="s">
        <v>4805</v>
      </c>
      <c r="K713" t="s">
        <v>982</v>
      </c>
    </row>
    <row r="714" spans="2:11">
      <c r="B714" t="s">
        <v>4801</v>
      </c>
      <c r="K714" t="s">
        <v>981</v>
      </c>
    </row>
    <row r="715" spans="2:11">
      <c r="B715" t="s">
        <v>4807</v>
      </c>
      <c r="K715" t="s">
        <v>1100</v>
      </c>
    </row>
    <row r="716" spans="2:11">
      <c r="B716" t="s">
        <v>4796</v>
      </c>
      <c r="K716" t="s">
        <v>1102</v>
      </c>
    </row>
    <row r="717" spans="2:11">
      <c r="B717" t="s">
        <v>3435</v>
      </c>
      <c r="K717" t="s">
        <v>1104</v>
      </c>
    </row>
    <row r="718" spans="2:11">
      <c r="B718" t="s">
        <v>3441</v>
      </c>
      <c r="K718" t="s">
        <v>1106</v>
      </c>
    </row>
    <row r="719" spans="2:11">
      <c r="B719" t="s">
        <v>3443</v>
      </c>
      <c r="K719" t="s">
        <v>1107</v>
      </c>
    </row>
    <row r="720" spans="2:11">
      <c r="B720" t="s">
        <v>3445</v>
      </c>
      <c r="K720" t="s">
        <v>987</v>
      </c>
    </row>
    <row r="721" spans="2:11">
      <c r="B721" t="s">
        <v>3437</v>
      </c>
      <c r="K721" t="s">
        <v>985</v>
      </c>
    </row>
    <row r="722" spans="2:11">
      <c r="B722" t="s">
        <v>3439</v>
      </c>
      <c r="K722" t="s">
        <v>983</v>
      </c>
    </row>
    <row r="723" spans="2:11">
      <c r="B723" t="s">
        <v>3976</v>
      </c>
      <c r="K723" t="s">
        <v>990</v>
      </c>
    </row>
    <row r="724" spans="2:11">
      <c r="B724" t="s">
        <v>3986</v>
      </c>
      <c r="K724" t="s">
        <v>989</v>
      </c>
    </row>
    <row r="725" spans="2:11">
      <c r="B725" t="s">
        <v>3987</v>
      </c>
      <c r="K725" t="s">
        <v>935</v>
      </c>
    </row>
    <row r="726" spans="2:11">
      <c r="B726" t="s">
        <v>4155</v>
      </c>
      <c r="K726" t="s">
        <v>933</v>
      </c>
    </row>
    <row r="727" spans="2:11">
      <c r="B727" t="s">
        <v>4157</v>
      </c>
      <c r="K727" t="s">
        <v>931</v>
      </c>
    </row>
    <row r="728" spans="2:11">
      <c r="B728" t="s">
        <v>3977</v>
      </c>
      <c r="K728" t="s">
        <v>937</v>
      </c>
    </row>
    <row r="729" spans="2:11">
      <c r="B729" t="s">
        <v>3978</v>
      </c>
      <c r="K729" t="s">
        <v>938</v>
      </c>
    </row>
    <row r="730" spans="2:11">
      <c r="B730" t="s">
        <v>4149</v>
      </c>
      <c r="K730" t="s">
        <v>943</v>
      </c>
    </row>
    <row r="731" spans="2:11">
      <c r="B731" t="s">
        <v>4143</v>
      </c>
      <c r="K731" t="s">
        <v>941</v>
      </c>
    </row>
    <row r="732" spans="2:11">
      <c r="B732" t="s">
        <v>3985</v>
      </c>
      <c r="K732" t="s">
        <v>939</v>
      </c>
    </row>
    <row r="733" spans="2:11">
      <c r="B733" t="s">
        <v>3979</v>
      </c>
      <c r="K733" t="s">
        <v>946</v>
      </c>
    </row>
    <row r="734" spans="2:11">
      <c r="B734" t="s">
        <v>3980</v>
      </c>
      <c r="K734" t="s">
        <v>945</v>
      </c>
    </row>
    <row r="735" spans="2:11">
      <c r="B735" t="s">
        <v>4153</v>
      </c>
      <c r="K735" t="s">
        <v>3134</v>
      </c>
    </row>
    <row r="736" spans="2:11">
      <c r="B736" t="s">
        <v>4147</v>
      </c>
      <c r="K736" t="s">
        <v>3132</v>
      </c>
    </row>
    <row r="737" spans="2:11">
      <c r="B737" t="s">
        <v>3981</v>
      </c>
      <c r="K737" t="s">
        <v>3130</v>
      </c>
    </row>
    <row r="738" spans="2:11">
      <c r="B738" t="s">
        <v>3982</v>
      </c>
      <c r="K738" t="s">
        <v>3141</v>
      </c>
    </row>
    <row r="739" spans="2:11">
      <c r="B739" t="s">
        <v>3983</v>
      </c>
      <c r="K739" t="s">
        <v>3140</v>
      </c>
    </row>
    <row r="740" spans="2:11">
      <c r="B740" t="s">
        <v>4151</v>
      </c>
      <c r="K740" t="s">
        <v>4395</v>
      </c>
    </row>
    <row r="741" spans="2:11">
      <c r="B741" t="s">
        <v>4145</v>
      </c>
      <c r="K741" t="s">
        <v>4393</v>
      </c>
    </row>
    <row r="742" spans="2:11">
      <c r="B742" t="s">
        <v>3984</v>
      </c>
      <c r="K742" t="s">
        <v>4391</v>
      </c>
    </row>
    <row r="743" spans="2:11">
      <c r="B743" t="s">
        <v>92</v>
      </c>
      <c r="K743" t="s">
        <v>4389</v>
      </c>
    </row>
    <row r="744" spans="2:11">
      <c r="B744" t="s">
        <v>96</v>
      </c>
      <c r="K744" t="s">
        <v>4402</v>
      </c>
    </row>
    <row r="745" spans="2:11">
      <c r="B745" t="s">
        <v>94</v>
      </c>
      <c r="K745" t="s">
        <v>4401</v>
      </c>
    </row>
    <row r="746" spans="2:11">
      <c r="B746" t="s">
        <v>3941</v>
      </c>
      <c r="K746" t="s">
        <v>5004</v>
      </c>
    </row>
    <row r="747" spans="2:11">
      <c r="B747" t="s">
        <v>1014</v>
      </c>
      <c r="K747" t="s">
        <v>5006</v>
      </c>
    </row>
    <row r="748" spans="2:11">
      <c r="B748" t="s">
        <v>1016</v>
      </c>
      <c r="K748" t="s">
        <v>5008</v>
      </c>
    </row>
    <row r="749" spans="2:11">
      <c r="B749" t="s">
        <v>3988</v>
      </c>
      <c r="K749" t="s">
        <v>5010</v>
      </c>
    </row>
    <row r="750" spans="2:11">
      <c r="B750" t="s">
        <v>3989</v>
      </c>
      <c r="K750" t="s">
        <v>5012</v>
      </c>
    </row>
    <row r="751" spans="2:11">
      <c r="B751" t="s">
        <v>1096</v>
      </c>
      <c r="K751" t="s">
        <v>5013</v>
      </c>
    </row>
    <row r="752" spans="2:11">
      <c r="B752" t="s">
        <v>1098</v>
      </c>
      <c r="K752" t="s">
        <v>5339</v>
      </c>
    </row>
    <row r="753" spans="2:11">
      <c r="B753" t="s">
        <v>78</v>
      </c>
      <c r="K753" t="s">
        <v>5340</v>
      </c>
    </row>
    <row r="754" spans="2:11">
      <c r="B754" t="s">
        <v>3937</v>
      </c>
      <c r="K754" t="s">
        <v>5341</v>
      </c>
    </row>
    <row r="755" spans="2:11">
      <c r="B755" t="s">
        <v>3939</v>
      </c>
      <c r="K755" t="s">
        <v>5342</v>
      </c>
    </row>
    <row r="756" spans="2:11">
      <c r="B756" t="s">
        <v>1022</v>
      </c>
      <c r="K756" t="s">
        <v>5343</v>
      </c>
    </row>
    <row r="757" spans="2:11">
      <c r="B757" t="s">
        <v>1024</v>
      </c>
      <c r="K757" t="s">
        <v>5344</v>
      </c>
    </row>
    <row r="758" spans="2:11">
      <c r="B758" t="s">
        <v>80</v>
      </c>
      <c r="K758" t="s">
        <v>4286</v>
      </c>
    </row>
    <row r="759" spans="2:11">
      <c r="B759" t="s">
        <v>3933</v>
      </c>
      <c r="K759" t="s">
        <v>4284</v>
      </c>
    </row>
    <row r="760" spans="2:11">
      <c r="B760" t="s">
        <v>3935</v>
      </c>
      <c r="K760" t="s">
        <v>4282</v>
      </c>
    </row>
    <row r="761" spans="2:11">
      <c r="B761" t="s">
        <v>1018</v>
      </c>
      <c r="K761" t="s">
        <v>4280</v>
      </c>
    </row>
    <row r="762" spans="2:11">
      <c r="B762" t="s">
        <v>1020</v>
      </c>
      <c r="K762" t="s">
        <v>4293</v>
      </c>
    </row>
    <row r="763" spans="2:11">
      <c r="B763" t="s">
        <v>3475</v>
      </c>
      <c r="K763" t="s">
        <v>4292</v>
      </c>
    </row>
    <row r="764" spans="2:11">
      <c r="B764" t="s">
        <v>3476</v>
      </c>
      <c r="K764" t="s">
        <v>5345</v>
      </c>
    </row>
    <row r="765" spans="2:11">
      <c r="B765" t="s">
        <v>3459</v>
      </c>
      <c r="K765" t="s">
        <v>5346</v>
      </c>
    </row>
    <row r="766" spans="2:11">
      <c r="B766" t="s">
        <v>3465</v>
      </c>
      <c r="K766" t="s">
        <v>5347</v>
      </c>
    </row>
    <row r="767" spans="2:11">
      <c r="B767" t="s">
        <v>3457</v>
      </c>
      <c r="K767" t="s">
        <v>5348</v>
      </c>
    </row>
    <row r="768" spans="2:11">
      <c r="B768" t="s">
        <v>3463</v>
      </c>
      <c r="K768" t="s">
        <v>5349</v>
      </c>
    </row>
    <row r="769" spans="2:11">
      <c r="B769" t="s">
        <v>3456</v>
      </c>
      <c r="K769" t="s">
        <v>5350</v>
      </c>
    </row>
    <row r="770" spans="2:11">
      <c r="B770" t="s">
        <v>3462</v>
      </c>
      <c r="K770" t="s">
        <v>4518</v>
      </c>
    </row>
    <row r="771" spans="2:11">
      <c r="B771" t="s">
        <v>3455</v>
      </c>
      <c r="K771" t="s">
        <v>4520</v>
      </c>
    </row>
    <row r="772" spans="2:11">
      <c r="B772" t="s">
        <v>3461</v>
      </c>
      <c r="K772" t="s">
        <v>4522</v>
      </c>
    </row>
    <row r="773" spans="2:11">
      <c r="B773" t="s">
        <v>3467</v>
      </c>
      <c r="K773" t="s">
        <v>4524</v>
      </c>
    </row>
    <row r="774" spans="2:11">
      <c r="B774" t="s">
        <v>3471</v>
      </c>
      <c r="K774" t="s">
        <v>4526</v>
      </c>
    </row>
    <row r="775" spans="2:11">
      <c r="B775" t="s">
        <v>3469</v>
      </c>
      <c r="K775" t="s">
        <v>4527</v>
      </c>
    </row>
    <row r="776" spans="2:11">
      <c r="B776" t="s">
        <v>3473</v>
      </c>
      <c r="K776" t="s">
        <v>4258</v>
      </c>
    </row>
    <row r="777" spans="2:11">
      <c r="B777" t="s">
        <v>1236</v>
      </c>
      <c r="K777" t="s">
        <v>4256</v>
      </c>
    </row>
    <row r="778" spans="2:11">
      <c r="B778" t="s">
        <v>1237</v>
      </c>
      <c r="K778" t="s">
        <v>4254</v>
      </c>
    </row>
    <row r="779" spans="2:11">
      <c r="B779" t="s">
        <v>2717</v>
      </c>
      <c r="K779" t="s">
        <v>4252</v>
      </c>
    </row>
    <row r="780" spans="2:11">
      <c r="B780" t="s">
        <v>2716</v>
      </c>
      <c r="K780" t="s">
        <v>4265</v>
      </c>
    </row>
    <row r="781" spans="2:11">
      <c r="B781" t="s">
        <v>1635</v>
      </c>
      <c r="K781" t="s">
        <v>4264</v>
      </c>
    </row>
    <row r="782" spans="2:11">
      <c r="B782" t="s">
        <v>1636</v>
      </c>
      <c r="K782" t="s">
        <v>5351</v>
      </c>
    </row>
    <row r="783" spans="2:11">
      <c r="B783" t="s">
        <v>2849</v>
      </c>
      <c r="K783" t="s">
        <v>5352</v>
      </c>
    </row>
    <row r="784" spans="2:11">
      <c r="B784" t="s">
        <v>2850</v>
      </c>
      <c r="K784" t="s">
        <v>5353</v>
      </c>
    </row>
    <row r="785" spans="2:11">
      <c r="B785" t="s">
        <v>1238</v>
      </c>
      <c r="K785" t="s">
        <v>5354</v>
      </c>
    </row>
    <row r="786" spans="2:11">
      <c r="B786" t="s">
        <v>1232</v>
      </c>
      <c r="K786" t="s">
        <v>5355</v>
      </c>
    </row>
    <row r="787" spans="2:11">
      <c r="B787" t="s">
        <v>1230</v>
      </c>
      <c r="K787" t="s">
        <v>5356</v>
      </c>
    </row>
    <row r="788" spans="2:11">
      <c r="B788" t="s">
        <v>1240</v>
      </c>
      <c r="K788" t="s">
        <v>4528</v>
      </c>
    </row>
    <row r="789" spans="2:11">
      <c r="B789" t="s">
        <v>1242</v>
      </c>
      <c r="K789" t="s">
        <v>4530</v>
      </c>
    </row>
    <row r="790" spans="2:11">
      <c r="B790" t="s">
        <v>1228</v>
      </c>
      <c r="K790" t="s">
        <v>4532</v>
      </c>
    </row>
    <row r="791" spans="2:11">
      <c r="B791" t="s">
        <v>1888</v>
      </c>
      <c r="K791" t="s">
        <v>4534</v>
      </c>
    </row>
    <row r="792" spans="2:11">
      <c r="B792" t="s">
        <v>1226</v>
      </c>
      <c r="K792" t="s">
        <v>4536</v>
      </c>
    </row>
    <row r="793" spans="2:11">
      <c r="B793" t="s">
        <v>1886</v>
      </c>
      <c r="K793" t="s">
        <v>4537</v>
      </c>
    </row>
    <row r="794" spans="2:11">
      <c r="B794" t="s">
        <v>1224</v>
      </c>
      <c r="K794" t="s">
        <v>4300</v>
      </c>
    </row>
    <row r="795" spans="2:11">
      <c r="B795" t="s">
        <v>1884</v>
      </c>
      <c r="K795" t="s">
        <v>4298</v>
      </c>
    </row>
    <row r="796" spans="2:11">
      <c r="B796" t="s">
        <v>1222</v>
      </c>
      <c r="K796" t="s">
        <v>4296</v>
      </c>
    </row>
    <row r="797" spans="2:11">
      <c r="B797" t="s">
        <v>1882</v>
      </c>
      <c r="K797" t="s">
        <v>4294</v>
      </c>
    </row>
    <row r="798" spans="2:11">
      <c r="B798" t="s">
        <v>1234</v>
      </c>
      <c r="K798" t="s">
        <v>4307</v>
      </c>
    </row>
    <row r="799" spans="2:11">
      <c r="B799" t="s">
        <v>1890</v>
      </c>
      <c r="K799" t="s">
        <v>4306</v>
      </c>
    </row>
    <row r="800" spans="2:11">
      <c r="B800" t="s">
        <v>3990</v>
      </c>
      <c r="K800" t="s">
        <v>5357</v>
      </c>
    </row>
    <row r="801" spans="2:11">
      <c r="B801" t="s">
        <v>3991</v>
      </c>
      <c r="K801" t="s">
        <v>5358</v>
      </c>
    </row>
    <row r="802" spans="2:11">
      <c r="B802" t="s">
        <v>3479</v>
      </c>
      <c r="K802" t="s">
        <v>5359</v>
      </c>
    </row>
    <row r="803" spans="2:11">
      <c r="B803" t="s">
        <v>3993</v>
      </c>
      <c r="K803" t="s">
        <v>5360</v>
      </c>
    </row>
    <row r="804" spans="2:11">
      <c r="B804" t="s">
        <v>3994</v>
      </c>
      <c r="K804" t="s">
        <v>5361</v>
      </c>
    </row>
    <row r="805" spans="2:11">
      <c r="B805" t="s">
        <v>3478</v>
      </c>
      <c r="K805" t="s">
        <v>5362</v>
      </c>
    </row>
    <row r="806" spans="2:11">
      <c r="B806" t="s">
        <v>5108</v>
      </c>
      <c r="K806" t="s">
        <v>4272</v>
      </c>
    </row>
    <row r="807" spans="2:11">
      <c r="B807" t="s">
        <v>3995</v>
      </c>
      <c r="K807" t="s">
        <v>4270</v>
      </c>
    </row>
    <row r="808" spans="2:11">
      <c r="B808" t="s">
        <v>3996</v>
      </c>
      <c r="K808" t="s">
        <v>4268</v>
      </c>
    </row>
    <row r="809" spans="2:11">
      <c r="B809" t="s">
        <v>3477</v>
      </c>
      <c r="K809" t="s">
        <v>4266</v>
      </c>
    </row>
    <row r="810" spans="2:11">
      <c r="B810" t="s">
        <v>4000</v>
      </c>
      <c r="K810" t="s">
        <v>4279</v>
      </c>
    </row>
    <row r="811" spans="2:11">
      <c r="B811" t="s">
        <v>4001</v>
      </c>
      <c r="K811" t="s">
        <v>4278</v>
      </c>
    </row>
    <row r="812" spans="2:11">
      <c r="B812" t="s">
        <v>4003</v>
      </c>
      <c r="K812" t="s">
        <v>1626</v>
      </c>
    </row>
    <row r="813" spans="2:11">
      <c r="B813" t="s">
        <v>4002</v>
      </c>
      <c r="K813" t="s">
        <v>1624</v>
      </c>
    </row>
    <row r="814" spans="2:11">
      <c r="B814" t="s">
        <v>1083</v>
      </c>
      <c r="K814" t="s">
        <v>1622</v>
      </c>
    </row>
    <row r="815" spans="2:11">
      <c r="B815" t="s">
        <v>1084</v>
      </c>
      <c r="K815" t="s">
        <v>1620</v>
      </c>
    </row>
    <row r="816" spans="2:11">
      <c r="B816" t="s">
        <v>283</v>
      </c>
      <c r="K816" t="s">
        <v>1633</v>
      </c>
    </row>
    <row r="817" spans="2:11">
      <c r="B817" t="s">
        <v>559</v>
      </c>
      <c r="K817" t="s">
        <v>1632</v>
      </c>
    </row>
    <row r="818" spans="2:11">
      <c r="B818" t="s">
        <v>561</v>
      </c>
      <c r="K818" t="s">
        <v>2327</v>
      </c>
    </row>
    <row r="819" spans="2:11">
      <c r="B819" t="s">
        <v>285</v>
      </c>
      <c r="K819" t="s">
        <v>2328</v>
      </c>
    </row>
    <row r="820" spans="2:11">
      <c r="B820" t="s">
        <v>2270</v>
      </c>
      <c r="K820" t="s">
        <v>2329</v>
      </c>
    </row>
    <row r="821" spans="2:11">
      <c r="B821" t="s">
        <v>2272</v>
      </c>
      <c r="K821" t="s">
        <v>2330</v>
      </c>
    </row>
    <row r="822" spans="2:11">
      <c r="B822" t="s">
        <v>1790</v>
      </c>
      <c r="K822" t="s">
        <v>2331</v>
      </c>
    </row>
    <row r="823" spans="2:11">
      <c r="B823" t="s">
        <v>1792</v>
      </c>
      <c r="K823" t="s">
        <v>2332</v>
      </c>
    </row>
    <row r="824" spans="2:11">
      <c r="B824" t="s">
        <v>1786</v>
      </c>
      <c r="K824" t="s">
        <v>5014</v>
      </c>
    </row>
    <row r="825" spans="2:11">
      <c r="B825" t="s">
        <v>1788</v>
      </c>
      <c r="K825" t="s">
        <v>5016</v>
      </c>
    </row>
    <row r="826" spans="2:11">
      <c r="B826" t="s">
        <v>1782</v>
      </c>
      <c r="K826" t="s">
        <v>5018</v>
      </c>
    </row>
    <row r="827" spans="2:11">
      <c r="B827" t="s">
        <v>1784</v>
      </c>
      <c r="K827" t="s">
        <v>5020</v>
      </c>
    </row>
    <row r="828" spans="2:11">
      <c r="B828" t="s">
        <v>2838</v>
      </c>
      <c r="K828" t="s">
        <v>5363</v>
      </c>
    </row>
    <row r="829" spans="2:11">
      <c r="B829" t="s">
        <v>2840</v>
      </c>
      <c r="K829" t="s">
        <v>5364</v>
      </c>
    </row>
    <row r="830" spans="2:11">
      <c r="B830" t="s">
        <v>197</v>
      </c>
      <c r="K830" t="s">
        <v>1347</v>
      </c>
    </row>
    <row r="831" spans="2:11">
      <c r="B831" t="s">
        <v>1725</v>
      </c>
      <c r="K831" t="s">
        <v>1345</v>
      </c>
    </row>
    <row r="832" spans="2:11">
      <c r="B832" t="s">
        <v>1727</v>
      </c>
      <c r="K832" t="s">
        <v>1343</v>
      </c>
    </row>
    <row r="833" spans="2:11">
      <c r="B833" t="s">
        <v>1729</v>
      </c>
      <c r="K833" t="s">
        <v>1341</v>
      </c>
    </row>
    <row r="834" spans="2:11">
      <c r="B834" t="s">
        <v>1731</v>
      </c>
      <c r="K834" t="s">
        <v>1354</v>
      </c>
    </row>
    <row r="835" spans="2:11">
      <c r="B835" t="s">
        <v>2387</v>
      </c>
      <c r="K835" t="s">
        <v>1353</v>
      </c>
    </row>
    <row r="836" spans="2:11">
      <c r="B836" t="s">
        <v>1735</v>
      </c>
      <c r="K836" t="s">
        <v>1333</v>
      </c>
    </row>
    <row r="837" spans="2:11">
      <c r="B837" t="s">
        <v>1737</v>
      </c>
      <c r="K837" t="s">
        <v>1331</v>
      </c>
    </row>
    <row r="838" spans="2:11">
      <c r="B838" t="s">
        <v>1733</v>
      </c>
      <c r="K838" t="s">
        <v>1329</v>
      </c>
    </row>
    <row r="839" spans="2:11">
      <c r="B839" t="s">
        <v>1777</v>
      </c>
      <c r="K839" t="s">
        <v>1327</v>
      </c>
    </row>
    <row r="840" spans="2:11">
      <c r="B840" t="s">
        <v>1473</v>
      </c>
      <c r="K840" t="s">
        <v>1340</v>
      </c>
    </row>
    <row r="841" spans="2:11">
      <c r="B841" t="s">
        <v>1751</v>
      </c>
      <c r="K841" t="s">
        <v>1339</v>
      </c>
    </row>
    <row r="842" spans="2:11">
      <c r="B842" t="s">
        <v>1753</v>
      </c>
      <c r="K842" t="s">
        <v>2316</v>
      </c>
    </row>
    <row r="843" spans="2:11">
      <c r="B843" t="s">
        <v>1755</v>
      </c>
      <c r="K843" t="s">
        <v>2314</v>
      </c>
    </row>
    <row r="844" spans="2:11">
      <c r="B844" t="s">
        <v>1757</v>
      </c>
      <c r="K844" t="s">
        <v>2312</v>
      </c>
    </row>
    <row r="845" spans="2:11">
      <c r="B845" t="s">
        <v>2389</v>
      </c>
      <c r="K845" t="s">
        <v>2310</v>
      </c>
    </row>
    <row r="846" spans="2:11">
      <c r="B846" t="s">
        <v>1761</v>
      </c>
      <c r="K846" t="s">
        <v>2323</v>
      </c>
    </row>
    <row r="847" spans="2:11">
      <c r="B847" t="s">
        <v>1763</v>
      </c>
      <c r="K847" t="s">
        <v>2322</v>
      </c>
    </row>
    <row r="848" spans="2:11">
      <c r="B848" t="s">
        <v>1759</v>
      </c>
      <c r="K848" t="s">
        <v>5365</v>
      </c>
    </row>
    <row r="849" spans="2:11">
      <c r="B849" t="s">
        <v>1779</v>
      </c>
      <c r="K849" t="s">
        <v>5881</v>
      </c>
    </row>
    <row r="850" spans="2:11">
      <c r="B850" t="s">
        <v>1474</v>
      </c>
      <c r="K850" t="s">
        <v>5366</v>
      </c>
    </row>
    <row r="851" spans="2:11">
      <c r="B851" t="s">
        <v>2542</v>
      </c>
      <c r="K851" t="s">
        <v>5367</v>
      </c>
    </row>
    <row r="852" spans="2:11">
      <c r="B852" t="s">
        <v>2544</v>
      </c>
      <c r="K852" t="s">
        <v>3330</v>
      </c>
    </row>
    <row r="853" spans="2:11">
      <c r="B853" t="s">
        <v>2546</v>
      </c>
      <c r="K853" t="s">
        <v>3332</v>
      </c>
    </row>
    <row r="854" spans="2:11">
      <c r="B854" t="s">
        <v>2548</v>
      </c>
      <c r="K854" t="s">
        <v>3334</v>
      </c>
    </row>
    <row r="855" spans="2:11">
      <c r="B855" t="s">
        <v>2391</v>
      </c>
      <c r="K855" t="s">
        <v>3336</v>
      </c>
    </row>
    <row r="856" spans="2:11">
      <c r="B856" t="s">
        <v>2552</v>
      </c>
      <c r="K856" t="s">
        <v>3568</v>
      </c>
    </row>
    <row r="857" spans="2:11">
      <c r="B857" t="s">
        <v>2554</v>
      </c>
      <c r="K857" t="s">
        <v>3567</v>
      </c>
    </row>
    <row r="858" spans="2:11">
      <c r="B858" t="s">
        <v>2550</v>
      </c>
      <c r="K858" t="s">
        <v>3322</v>
      </c>
    </row>
    <row r="859" spans="2:11">
      <c r="B859" t="s">
        <v>2556</v>
      </c>
      <c r="K859" t="s">
        <v>3324</v>
      </c>
    </row>
    <row r="860" spans="2:11">
      <c r="B860" t="s">
        <v>3637</v>
      </c>
      <c r="K860" t="s">
        <v>3326</v>
      </c>
    </row>
    <row r="861" spans="2:11">
      <c r="B861" t="s">
        <v>2054</v>
      </c>
      <c r="K861" t="s">
        <v>3328</v>
      </c>
    </row>
    <row r="862" spans="2:11">
      <c r="B862" t="s">
        <v>2056</v>
      </c>
      <c r="K862" t="s">
        <v>3562</v>
      </c>
    </row>
    <row r="863" spans="2:11">
      <c r="B863" t="s">
        <v>2052</v>
      </c>
      <c r="K863" t="s">
        <v>3561</v>
      </c>
    </row>
    <row r="864" spans="2:11">
      <c r="B864" t="s">
        <v>2615</v>
      </c>
      <c r="K864" t="s">
        <v>275</v>
      </c>
    </row>
    <row r="865" spans="2:11">
      <c r="B865" t="s">
        <v>3716</v>
      </c>
      <c r="K865" t="s">
        <v>273</v>
      </c>
    </row>
    <row r="866" spans="2:11">
      <c r="B866" t="s">
        <v>3718</v>
      </c>
      <c r="K866" t="s">
        <v>271</v>
      </c>
    </row>
    <row r="867" spans="2:11">
      <c r="B867" t="s">
        <v>2826</v>
      </c>
      <c r="K867" t="s">
        <v>278</v>
      </c>
    </row>
    <row r="868" spans="2:11">
      <c r="B868" t="s">
        <v>2828</v>
      </c>
      <c r="K868" t="s">
        <v>277</v>
      </c>
    </row>
    <row r="869" spans="2:11">
      <c r="B869" t="s">
        <v>2200</v>
      </c>
      <c r="K869" t="s">
        <v>870</v>
      </c>
    </row>
    <row r="870" spans="2:11">
      <c r="B870" t="s">
        <v>2170</v>
      </c>
      <c r="K870" t="s">
        <v>868</v>
      </c>
    </row>
    <row r="871" spans="2:11">
      <c r="B871" t="s">
        <v>2367</v>
      </c>
      <c r="K871" t="s">
        <v>866</v>
      </c>
    </row>
    <row r="872" spans="2:11">
      <c r="B872" t="s">
        <v>2040</v>
      </c>
      <c r="K872" t="s">
        <v>877</v>
      </c>
    </row>
    <row r="873" spans="2:11">
      <c r="B873" t="s">
        <v>2365</v>
      </c>
      <c r="K873" t="s">
        <v>876</v>
      </c>
    </row>
    <row r="874" spans="2:11">
      <c r="B874" t="s">
        <v>2044</v>
      </c>
      <c r="K874" t="s">
        <v>1409</v>
      </c>
    </row>
    <row r="875" spans="2:11">
      <c r="B875" t="s">
        <v>3829</v>
      </c>
      <c r="K875" t="s">
        <v>1407</v>
      </c>
    </row>
    <row r="876" spans="2:11">
      <c r="B876" t="s">
        <v>3831</v>
      </c>
      <c r="K876" t="s">
        <v>1405</v>
      </c>
    </row>
    <row r="877" spans="2:11">
      <c r="B877" t="s">
        <v>2814</v>
      </c>
      <c r="K877" t="s">
        <v>1416</v>
      </c>
    </row>
    <row r="878" spans="2:11">
      <c r="B878" t="s">
        <v>2816</v>
      </c>
      <c r="K878" t="s">
        <v>1415</v>
      </c>
    </row>
    <row r="879" spans="2:11">
      <c r="B879" t="s">
        <v>2818</v>
      </c>
      <c r="K879" t="s">
        <v>344</v>
      </c>
    </row>
    <row r="880" spans="2:11">
      <c r="B880" t="s">
        <v>2820</v>
      </c>
      <c r="K880" t="s">
        <v>342</v>
      </c>
    </row>
    <row r="881" spans="2:11">
      <c r="B881" t="s">
        <v>2802</v>
      </c>
      <c r="K881" t="s">
        <v>340</v>
      </c>
    </row>
    <row r="882" spans="2:11">
      <c r="B882" t="s">
        <v>2804</v>
      </c>
      <c r="K882" t="s">
        <v>349</v>
      </c>
    </row>
    <row r="883" spans="2:11">
      <c r="B883" t="s">
        <v>2806</v>
      </c>
      <c r="K883" t="s">
        <v>348</v>
      </c>
    </row>
    <row r="884" spans="2:11">
      <c r="B884" t="s">
        <v>2808</v>
      </c>
      <c r="K884" t="s">
        <v>671</v>
      </c>
    </row>
    <row r="885" spans="2:11">
      <c r="B885" t="s">
        <v>2822</v>
      </c>
      <c r="K885" t="s">
        <v>669</v>
      </c>
    </row>
    <row r="886" spans="2:11">
      <c r="B886" t="s">
        <v>2824</v>
      </c>
      <c r="K886" t="s">
        <v>667</v>
      </c>
    </row>
    <row r="887" spans="2:11">
      <c r="B887" t="s">
        <v>2810</v>
      </c>
      <c r="K887" t="s">
        <v>678</v>
      </c>
    </row>
    <row r="888" spans="2:11">
      <c r="B888" t="s">
        <v>2812</v>
      </c>
      <c r="K888" t="s">
        <v>677</v>
      </c>
    </row>
    <row r="889" spans="2:11">
      <c r="B889" t="s">
        <v>2363</v>
      </c>
      <c r="K889" t="s">
        <v>842</v>
      </c>
    </row>
    <row r="890" spans="2:11">
      <c r="B890" t="s">
        <v>2042</v>
      </c>
      <c r="K890" t="s">
        <v>840</v>
      </c>
    </row>
    <row r="891" spans="2:11">
      <c r="B891" t="s">
        <v>2830</v>
      </c>
      <c r="K891" t="s">
        <v>838</v>
      </c>
    </row>
    <row r="892" spans="2:11">
      <c r="B892" t="s">
        <v>2832</v>
      </c>
      <c r="K892" t="s">
        <v>849</v>
      </c>
    </row>
    <row r="893" spans="2:11">
      <c r="B893" t="s">
        <v>5532</v>
      </c>
      <c r="K893" t="s">
        <v>848</v>
      </c>
    </row>
    <row r="894" spans="2:11">
      <c r="B894" t="s">
        <v>5533</v>
      </c>
      <c r="K894" t="s">
        <v>739</v>
      </c>
    </row>
    <row r="895" spans="2:11">
      <c r="B895" t="s">
        <v>2172</v>
      </c>
      <c r="K895" t="s">
        <v>741</v>
      </c>
    </row>
    <row r="896" spans="2:11">
      <c r="B896" t="s">
        <v>2165</v>
      </c>
      <c r="K896" t="s">
        <v>743</v>
      </c>
    </row>
    <row r="897" spans="2:11">
      <c r="B897" t="s">
        <v>2166</v>
      </c>
      <c r="K897" t="s">
        <v>1113</v>
      </c>
    </row>
    <row r="898" spans="2:11">
      <c r="B898" t="s">
        <v>2168</v>
      </c>
      <c r="K898" t="s">
        <v>1112</v>
      </c>
    </row>
    <row r="899" spans="2:11">
      <c r="B899" t="s">
        <v>2169</v>
      </c>
      <c r="K899" t="s">
        <v>830</v>
      </c>
    </row>
    <row r="900" spans="2:11">
      <c r="B900" t="s">
        <v>2167</v>
      </c>
      <c r="K900" t="s">
        <v>828</v>
      </c>
    </row>
    <row r="901" spans="2:11">
      <c r="B901" t="s">
        <v>3709</v>
      </c>
      <c r="K901" t="s">
        <v>826</v>
      </c>
    </row>
    <row r="902" spans="2:11">
      <c r="B902" t="s">
        <v>3636</v>
      </c>
      <c r="K902" t="s">
        <v>837</v>
      </c>
    </row>
    <row r="903" spans="2:11">
      <c r="B903" t="s">
        <v>2370</v>
      </c>
      <c r="K903" t="s">
        <v>836</v>
      </c>
    </row>
    <row r="904" spans="2:11">
      <c r="B904" t="s">
        <v>5519</v>
      </c>
      <c r="K904" t="s">
        <v>808</v>
      </c>
    </row>
    <row r="905" spans="2:11">
      <c r="B905" t="s">
        <v>2046</v>
      </c>
      <c r="K905" t="s">
        <v>806</v>
      </c>
    </row>
    <row r="906" spans="2:11">
      <c r="B906" t="s">
        <v>5536</v>
      </c>
      <c r="K906" t="s">
        <v>804</v>
      </c>
    </row>
    <row r="907" spans="2:11">
      <c r="B907" t="s">
        <v>2035</v>
      </c>
      <c r="K907" t="s">
        <v>815</v>
      </c>
    </row>
    <row r="908" spans="2:11">
      <c r="B908" t="s">
        <v>2036</v>
      </c>
      <c r="K908" t="s">
        <v>814</v>
      </c>
    </row>
    <row r="909" spans="2:11">
      <c r="B909" t="s">
        <v>2038</v>
      </c>
      <c r="K909" t="s">
        <v>1052</v>
      </c>
    </row>
    <row r="910" spans="2:11">
      <c r="B910" t="s">
        <v>2039</v>
      </c>
      <c r="K910" t="s">
        <v>1050</v>
      </c>
    </row>
    <row r="911" spans="2:11">
      <c r="B911" t="s">
        <v>2037</v>
      </c>
      <c r="K911" t="s">
        <v>1048</v>
      </c>
    </row>
    <row r="912" spans="2:11">
      <c r="B912" t="s">
        <v>3711</v>
      </c>
      <c r="K912" t="s">
        <v>1059</v>
      </c>
    </row>
    <row r="913" spans="2:11">
      <c r="B913" t="s">
        <v>3710</v>
      </c>
      <c r="K913" t="s">
        <v>1058</v>
      </c>
    </row>
    <row r="914" spans="2:11">
      <c r="B914" t="s">
        <v>5215</v>
      </c>
      <c r="K914" t="s">
        <v>1953</v>
      </c>
    </row>
    <row r="915" spans="2:11">
      <c r="B915" t="s">
        <v>2369</v>
      </c>
      <c r="K915" t="s">
        <v>1955</v>
      </c>
    </row>
    <row r="916" spans="2:11">
      <c r="B916" t="s">
        <v>2696</v>
      </c>
      <c r="K916" t="s">
        <v>1957</v>
      </c>
    </row>
    <row r="917" spans="2:11">
      <c r="B917" t="s">
        <v>2614</v>
      </c>
      <c r="K917" t="s">
        <v>1959</v>
      </c>
    </row>
    <row r="918" spans="2:11">
      <c r="B918" t="s">
        <v>5535</v>
      </c>
      <c r="K918" t="s">
        <v>1960</v>
      </c>
    </row>
    <row r="919" spans="2:11">
      <c r="B919" t="s">
        <v>5520</v>
      </c>
      <c r="K919" t="s">
        <v>1961</v>
      </c>
    </row>
    <row r="920" spans="2:11">
      <c r="B920" t="s">
        <v>5538</v>
      </c>
      <c r="K920" t="s">
        <v>1963</v>
      </c>
    </row>
    <row r="921" spans="2:11">
      <c r="B921" t="s">
        <v>3452</v>
      </c>
      <c r="K921" t="s">
        <v>1965</v>
      </c>
    </row>
    <row r="922" spans="2:11">
      <c r="B922" t="s">
        <v>5537</v>
      </c>
      <c r="K922" t="s">
        <v>1967</v>
      </c>
    </row>
    <row r="923" spans="2:11">
      <c r="B923" t="s">
        <v>3447</v>
      </c>
      <c r="K923" t="s">
        <v>1968</v>
      </c>
    </row>
    <row r="924" spans="2:11">
      <c r="B924" t="s">
        <v>3448</v>
      </c>
      <c r="K924" t="s">
        <v>1705</v>
      </c>
    </row>
    <row r="925" spans="2:11">
      <c r="B925" t="s">
        <v>3450</v>
      </c>
      <c r="K925" t="s">
        <v>1703</v>
      </c>
    </row>
    <row r="926" spans="2:11">
      <c r="B926" t="s">
        <v>3451</v>
      </c>
      <c r="K926" t="s">
        <v>1701</v>
      </c>
    </row>
    <row r="927" spans="2:11">
      <c r="B927" t="s">
        <v>3449</v>
      </c>
      <c r="K927" t="s">
        <v>1712</v>
      </c>
    </row>
    <row r="928" spans="2:11">
      <c r="B928" t="s">
        <v>3713</v>
      </c>
      <c r="K928" t="s">
        <v>1711</v>
      </c>
    </row>
    <row r="929" spans="2:11">
      <c r="B929" t="s">
        <v>3712</v>
      </c>
      <c r="K929" t="s">
        <v>1717</v>
      </c>
    </row>
    <row r="930" spans="2:11">
      <c r="B930" t="s">
        <v>3453</v>
      </c>
      <c r="K930" t="s">
        <v>1715</v>
      </c>
    </row>
    <row r="931" spans="2:11">
      <c r="B931" t="s">
        <v>5534</v>
      </c>
      <c r="K931" t="s">
        <v>1713</v>
      </c>
    </row>
    <row r="932" spans="2:11">
      <c r="B932" t="s">
        <v>5521</v>
      </c>
      <c r="K932" t="s">
        <v>1724</v>
      </c>
    </row>
    <row r="933" spans="2:11">
      <c r="B933" t="s">
        <v>5539</v>
      </c>
      <c r="K933" t="s">
        <v>1723</v>
      </c>
    </row>
    <row r="934" spans="2:11">
      <c r="B934" t="s">
        <v>2845</v>
      </c>
      <c r="K934" t="s">
        <v>3043</v>
      </c>
    </row>
    <row r="935" spans="2:11">
      <c r="B935" t="s">
        <v>2844</v>
      </c>
      <c r="K935" t="s">
        <v>3041</v>
      </c>
    </row>
    <row r="936" spans="2:11">
      <c r="B936" t="s">
        <v>3156</v>
      </c>
      <c r="K936" t="s">
        <v>3039</v>
      </c>
    </row>
    <row r="937" spans="2:11">
      <c r="B937" t="s">
        <v>3720</v>
      </c>
      <c r="K937" t="s">
        <v>3050</v>
      </c>
    </row>
    <row r="938" spans="2:11">
      <c r="B938" t="s">
        <v>3722</v>
      </c>
      <c r="K938" t="s">
        <v>3049</v>
      </c>
    </row>
    <row r="939" spans="2:11">
      <c r="B939" t="s">
        <v>4925</v>
      </c>
      <c r="K939" t="s">
        <v>2149</v>
      </c>
    </row>
    <row r="940" spans="2:11">
      <c r="B940" t="s">
        <v>4926</v>
      </c>
      <c r="K940" t="s">
        <v>2151</v>
      </c>
    </row>
    <row r="941" spans="2:11">
      <c r="B941" t="s">
        <v>4927</v>
      </c>
      <c r="K941" t="s">
        <v>2153</v>
      </c>
    </row>
    <row r="942" spans="2:11">
      <c r="B942" t="s">
        <v>4928</v>
      </c>
      <c r="K942" t="s">
        <v>2155</v>
      </c>
    </row>
    <row r="943" spans="2:11">
      <c r="B943" t="s">
        <v>4929</v>
      </c>
      <c r="K943" t="s">
        <v>2156</v>
      </c>
    </row>
    <row r="944" spans="2:11">
      <c r="B944" t="s">
        <v>4931</v>
      </c>
      <c r="K944" t="s">
        <v>4854</v>
      </c>
    </row>
    <row r="945" spans="2:11">
      <c r="B945" t="s">
        <v>4930</v>
      </c>
      <c r="K945" t="s">
        <v>4856</v>
      </c>
    </row>
    <row r="946" spans="2:11">
      <c r="B946" t="s">
        <v>4932</v>
      </c>
      <c r="K946" t="s">
        <v>4858</v>
      </c>
    </row>
    <row r="947" spans="2:11">
      <c r="B947" t="s">
        <v>5216</v>
      </c>
      <c r="K947" t="s">
        <v>4860</v>
      </c>
    </row>
    <row r="948" spans="2:11">
      <c r="B948" t="s">
        <v>4933</v>
      </c>
      <c r="K948" t="s">
        <v>4861</v>
      </c>
    </row>
    <row r="949" spans="2:11">
      <c r="B949" t="s">
        <v>2797</v>
      </c>
      <c r="K949" t="s">
        <v>5908</v>
      </c>
    </row>
    <row r="950" spans="2:11">
      <c r="B950" t="s">
        <v>2798</v>
      </c>
      <c r="K950" t="s">
        <v>5909</v>
      </c>
    </row>
    <row r="951" spans="2:11">
      <c r="B951" t="s">
        <v>2799</v>
      </c>
      <c r="K951" t="s">
        <v>5910</v>
      </c>
    </row>
    <row r="952" spans="2:11">
      <c r="B952" t="s">
        <v>2800</v>
      </c>
      <c r="K952" t="s">
        <v>5911</v>
      </c>
    </row>
    <row r="953" spans="2:11">
      <c r="B953" t="s">
        <v>2801</v>
      </c>
      <c r="K953" t="s">
        <v>5912</v>
      </c>
    </row>
    <row r="954" spans="2:11">
      <c r="B954" t="s">
        <v>3715</v>
      </c>
      <c r="K954" t="s">
        <v>5044</v>
      </c>
    </row>
    <row r="955" spans="2:11">
      <c r="B955" t="s">
        <v>3714</v>
      </c>
      <c r="K955" t="s">
        <v>5046</v>
      </c>
    </row>
    <row r="956" spans="2:11">
      <c r="B956" t="s">
        <v>2842</v>
      </c>
      <c r="K956" t="s">
        <v>5048</v>
      </c>
    </row>
    <row r="957" spans="2:11">
      <c r="B957" t="s">
        <v>1085</v>
      </c>
      <c r="K957" t="s">
        <v>5050</v>
      </c>
    </row>
    <row r="958" spans="2:11">
      <c r="B958" t="s">
        <v>1086</v>
      </c>
      <c r="K958" t="s">
        <v>5051</v>
      </c>
    </row>
    <row r="959" spans="2:11">
      <c r="B959" t="s">
        <v>1087</v>
      </c>
      <c r="K959" t="s">
        <v>4862</v>
      </c>
    </row>
    <row r="960" spans="2:11">
      <c r="B960" t="s">
        <v>1088</v>
      </c>
      <c r="K960" t="s">
        <v>4864</v>
      </c>
    </row>
    <row r="961" spans="2:11">
      <c r="B961" t="s">
        <v>687</v>
      </c>
      <c r="K961" t="s">
        <v>4866</v>
      </c>
    </row>
    <row r="962" spans="2:11">
      <c r="B962" t="s">
        <v>688</v>
      </c>
      <c r="K962" t="s">
        <v>4868</v>
      </c>
    </row>
    <row r="963" spans="2:11">
      <c r="B963" t="s">
        <v>690</v>
      </c>
      <c r="K963" t="s">
        <v>4869</v>
      </c>
    </row>
    <row r="964" spans="2:11">
      <c r="B964" t="s">
        <v>691</v>
      </c>
      <c r="K964" t="s">
        <v>4870</v>
      </c>
    </row>
    <row r="965" spans="2:11">
      <c r="B965" t="s">
        <v>1363</v>
      </c>
      <c r="K965" t="s">
        <v>4872</v>
      </c>
    </row>
    <row r="966" spans="2:11">
      <c r="B966" t="s">
        <v>1366</v>
      </c>
      <c r="K966" t="s">
        <v>4874</v>
      </c>
    </row>
    <row r="967" spans="2:11">
      <c r="B967" t="s">
        <v>1364</v>
      </c>
      <c r="K967" t="s">
        <v>4876</v>
      </c>
    </row>
    <row r="968" spans="2:11">
      <c r="B968" t="s">
        <v>1367</v>
      </c>
      <c r="K968" t="s">
        <v>4877</v>
      </c>
    </row>
    <row r="969" spans="2:11">
      <c r="B969" t="s">
        <v>854</v>
      </c>
      <c r="K969" t="s">
        <v>5378</v>
      </c>
    </row>
    <row r="970" spans="2:11">
      <c r="B970" t="s">
        <v>856</v>
      </c>
      <c r="K970" t="s">
        <v>5376</v>
      </c>
    </row>
    <row r="971" spans="2:11">
      <c r="B971" t="s">
        <v>1584</v>
      </c>
      <c r="K971" t="s">
        <v>5374</v>
      </c>
    </row>
    <row r="972" spans="2:11">
      <c r="B972" t="s">
        <v>1586</v>
      </c>
      <c r="K972" t="s">
        <v>5385</v>
      </c>
    </row>
    <row r="973" spans="2:11">
      <c r="B973" t="s">
        <v>105</v>
      </c>
      <c r="K973" t="s">
        <v>5384</v>
      </c>
    </row>
    <row r="974" spans="2:11">
      <c r="B974" t="s">
        <v>107</v>
      </c>
      <c r="K974" t="s">
        <v>5913</v>
      </c>
    </row>
    <row r="975" spans="2:11">
      <c r="B975" t="s">
        <v>106</v>
      </c>
      <c r="K975" t="s">
        <v>5914</v>
      </c>
    </row>
    <row r="976" spans="2:11">
      <c r="B976" t="s">
        <v>108</v>
      </c>
      <c r="K976" t="s">
        <v>5915</v>
      </c>
    </row>
    <row r="977" spans="2:11">
      <c r="B977" t="s">
        <v>252</v>
      </c>
      <c r="K977" t="s">
        <v>5916</v>
      </c>
    </row>
    <row r="978" spans="2:11">
      <c r="B978" t="s">
        <v>255</v>
      </c>
      <c r="K978" t="s">
        <v>5917</v>
      </c>
    </row>
    <row r="979" spans="2:11">
      <c r="B979" t="s">
        <v>253</v>
      </c>
      <c r="K979" t="s">
        <v>5052</v>
      </c>
    </row>
    <row r="980" spans="2:11">
      <c r="B980" t="s">
        <v>256</v>
      </c>
      <c r="K980" t="s">
        <v>5054</v>
      </c>
    </row>
    <row r="981" spans="2:11">
      <c r="B981" t="s">
        <v>3150</v>
      </c>
      <c r="K981" t="s">
        <v>5056</v>
      </c>
    </row>
    <row r="982" spans="2:11">
      <c r="B982" t="s">
        <v>1880</v>
      </c>
      <c r="K982" t="s">
        <v>5058</v>
      </c>
    </row>
    <row r="983" spans="2:11">
      <c r="B983" t="s">
        <v>2073</v>
      </c>
      <c r="K983" t="s">
        <v>5059</v>
      </c>
    </row>
    <row r="984" spans="2:11">
      <c r="B984" t="s">
        <v>1825</v>
      </c>
      <c r="K984" t="s">
        <v>4878</v>
      </c>
    </row>
    <row r="985" spans="2:11">
      <c r="B985" t="s">
        <v>2075</v>
      </c>
      <c r="K985" t="s">
        <v>4880</v>
      </c>
    </row>
    <row r="986" spans="2:11">
      <c r="B986" t="s">
        <v>1218</v>
      </c>
      <c r="K986" t="s">
        <v>4882</v>
      </c>
    </row>
    <row r="987" spans="2:11">
      <c r="B987" t="s">
        <v>2069</v>
      </c>
      <c r="K987" t="s">
        <v>4884</v>
      </c>
    </row>
    <row r="988" spans="2:11">
      <c r="B988" t="s">
        <v>1220</v>
      </c>
      <c r="K988" t="s">
        <v>4885</v>
      </c>
    </row>
    <row r="989" spans="2:11">
      <c r="B989" t="s">
        <v>2071</v>
      </c>
      <c r="K989" t="s">
        <v>4886</v>
      </c>
    </row>
    <row r="990" spans="2:11">
      <c r="B990" t="s">
        <v>4004</v>
      </c>
      <c r="K990" t="s">
        <v>4888</v>
      </c>
    </row>
    <row r="991" spans="2:11">
      <c r="B991" t="s">
        <v>4005</v>
      </c>
      <c r="K991" t="s">
        <v>4890</v>
      </c>
    </row>
    <row r="992" spans="2:11">
      <c r="B992" t="s">
        <v>2112</v>
      </c>
      <c r="K992" t="s">
        <v>4892</v>
      </c>
    </row>
    <row r="993" spans="2:11">
      <c r="B993" t="s">
        <v>2902</v>
      </c>
      <c r="K993" t="s">
        <v>4893</v>
      </c>
    </row>
    <row r="994" spans="2:11">
      <c r="B994" t="s">
        <v>2268</v>
      </c>
      <c r="K994" t="s">
        <v>5918</v>
      </c>
    </row>
    <row r="995" spans="2:11">
      <c r="B995" t="s">
        <v>2904</v>
      </c>
      <c r="K995" t="s">
        <v>5919</v>
      </c>
    </row>
    <row r="996" spans="2:11">
      <c r="B996" t="s">
        <v>2266</v>
      </c>
      <c r="K996" t="s">
        <v>5920</v>
      </c>
    </row>
    <row r="997" spans="2:11">
      <c r="B997" t="s">
        <v>2906</v>
      </c>
      <c r="K997" t="s">
        <v>5921</v>
      </c>
    </row>
    <row r="998" spans="2:11">
      <c r="B998" t="s">
        <v>2883</v>
      </c>
      <c r="K998" t="s">
        <v>5922</v>
      </c>
    </row>
    <row r="999" spans="2:11">
      <c r="B999" t="s">
        <v>5636</v>
      </c>
      <c r="K999" t="s">
        <v>5060</v>
      </c>
    </row>
    <row r="1000" spans="2:11">
      <c r="B1000" t="s">
        <v>5637</v>
      </c>
      <c r="K1000" t="s">
        <v>5062</v>
      </c>
    </row>
    <row r="1001" spans="2:11">
      <c r="B1001" t="s">
        <v>2914</v>
      </c>
      <c r="K1001" t="s">
        <v>5064</v>
      </c>
    </row>
    <row r="1002" spans="2:11">
      <c r="B1002" t="s">
        <v>2916</v>
      </c>
      <c r="K1002" t="s">
        <v>5066</v>
      </c>
    </row>
    <row r="1003" spans="2:11">
      <c r="B1003" t="s">
        <v>2918</v>
      </c>
      <c r="K1003" t="s">
        <v>5067</v>
      </c>
    </row>
    <row r="1004" spans="2:11">
      <c r="B1004" t="s">
        <v>2920</v>
      </c>
      <c r="K1004" t="s">
        <v>4894</v>
      </c>
    </row>
    <row r="1005" spans="2:11">
      <c r="B1005" t="s">
        <v>2923</v>
      </c>
      <c r="K1005" t="s">
        <v>4896</v>
      </c>
    </row>
    <row r="1006" spans="2:11">
      <c r="B1006" t="s">
        <v>2925</v>
      </c>
      <c r="K1006" t="s">
        <v>4898</v>
      </c>
    </row>
    <row r="1007" spans="2:11">
      <c r="B1007" t="s">
        <v>2927</v>
      </c>
      <c r="K1007" t="s">
        <v>4900</v>
      </c>
    </row>
    <row r="1008" spans="2:11">
      <c r="B1008" t="s">
        <v>2929</v>
      </c>
      <c r="K1008" t="s">
        <v>4901</v>
      </c>
    </row>
    <row r="1009" spans="2:11">
      <c r="B1009" t="s">
        <v>5638</v>
      </c>
      <c r="K1009" t="s">
        <v>1969</v>
      </c>
    </row>
    <row r="1010" spans="2:11">
      <c r="B1010" t="s">
        <v>5639</v>
      </c>
      <c r="K1010" t="s">
        <v>1971</v>
      </c>
    </row>
    <row r="1011" spans="2:11">
      <c r="B1011" t="s">
        <v>2333</v>
      </c>
      <c r="K1011" t="s">
        <v>1973</v>
      </c>
    </row>
    <row r="1012" spans="2:11">
      <c r="B1012" t="s">
        <v>5599</v>
      </c>
      <c r="K1012" t="s">
        <v>1975</v>
      </c>
    </row>
    <row r="1013" spans="2:11">
      <c r="B1013" t="s">
        <v>5198</v>
      </c>
      <c r="K1013" t="s">
        <v>1976</v>
      </c>
    </row>
    <row r="1014" spans="2:11">
      <c r="B1014" t="s">
        <v>1475</v>
      </c>
      <c r="K1014" t="s">
        <v>3758</v>
      </c>
    </row>
    <row r="1015" spans="2:11">
      <c r="B1015" t="s">
        <v>1477</v>
      </c>
      <c r="K1015" t="s">
        <v>3756</v>
      </c>
    </row>
    <row r="1016" spans="2:11">
      <c r="B1016" t="s">
        <v>142</v>
      </c>
      <c r="K1016" t="s">
        <v>3754</v>
      </c>
    </row>
    <row r="1017" spans="2:11">
      <c r="B1017" t="s">
        <v>1089</v>
      </c>
      <c r="K1017" t="s">
        <v>3765</v>
      </c>
    </row>
    <row r="1018" spans="2:11">
      <c r="B1018" t="s">
        <v>929</v>
      </c>
      <c r="K1018" t="s">
        <v>3764</v>
      </c>
    </row>
    <row r="1019" spans="2:11">
      <c r="B1019" t="s">
        <v>2265</v>
      </c>
      <c r="K1019" t="s">
        <v>1804</v>
      </c>
    </row>
    <row r="1020" spans="2:11">
      <c r="B1020" t="s">
        <v>4314</v>
      </c>
      <c r="K1020" t="s">
        <v>1802</v>
      </c>
    </row>
    <row r="1021" spans="2:11">
      <c r="B1021" t="s">
        <v>4316</v>
      </c>
      <c r="K1021" t="s">
        <v>1800</v>
      </c>
    </row>
    <row r="1022" spans="2:11">
      <c r="B1022" t="s">
        <v>930</v>
      </c>
      <c r="K1022" t="s">
        <v>1811</v>
      </c>
    </row>
    <row r="1023" spans="2:11">
      <c r="B1023" t="s">
        <v>609</v>
      </c>
      <c r="K1023" t="s">
        <v>1810</v>
      </c>
    </row>
    <row r="1024" spans="2:11">
      <c r="B1024" t="s">
        <v>1932</v>
      </c>
      <c r="K1024" t="s">
        <v>3770</v>
      </c>
    </row>
    <row r="1025" spans="2:11">
      <c r="B1025" t="s">
        <v>1933</v>
      </c>
      <c r="K1025" t="s">
        <v>3768</v>
      </c>
    </row>
    <row r="1026" spans="2:11">
      <c r="B1026" t="s">
        <v>159</v>
      </c>
      <c r="K1026" t="s">
        <v>3766</v>
      </c>
    </row>
    <row r="1027" spans="2:11">
      <c r="B1027" t="s">
        <v>590</v>
      </c>
      <c r="K1027" t="s">
        <v>3777</v>
      </c>
    </row>
    <row r="1028" spans="2:11">
      <c r="B1028" t="s">
        <v>1934</v>
      </c>
      <c r="K1028" t="s">
        <v>3776</v>
      </c>
    </row>
    <row r="1029" spans="2:11">
      <c r="B1029" t="s">
        <v>2796</v>
      </c>
      <c r="K1029" t="s">
        <v>3734</v>
      </c>
    </row>
    <row r="1030" spans="2:11">
      <c r="B1030" t="s">
        <v>3168</v>
      </c>
      <c r="K1030" t="s">
        <v>3732</v>
      </c>
    </row>
    <row r="1031" spans="2:11">
      <c r="B1031" t="s">
        <v>3169</v>
      </c>
      <c r="K1031" t="s">
        <v>3730</v>
      </c>
    </row>
    <row r="1032" spans="2:11">
      <c r="B1032" t="s">
        <v>3170</v>
      </c>
      <c r="K1032" t="s">
        <v>3741</v>
      </c>
    </row>
    <row r="1033" spans="2:11">
      <c r="B1033" t="s">
        <v>3171</v>
      </c>
      <c r="K1033" t="s">
        <v>3740</v>
      </c>
    </row>
    <row r="1034" spans="2:11">
      <c r="B1034" t="s">
        <v>3172</v>
      </c>
      <c r="K1034" t="s">
        <v>3055</v>
      </c>
    </row>
    <row r="1035" spans="2:11">
      <c r="B1035" t="s">
        <v>3173</v>
      </c>
      <c r="K1035" t="s">
        <v>3053</v>
      </c>
    </row>
    <row r="1036" spans="2:11">
      <c r="B1036" t="s">
        <v>2922</v>
      </c>
      <c r="K1036" t="s">
        <v>3051</v>
      </c>
    </row>
    <row r="1037" spans="2:11">
      <c r="B1037" t="s">
        <v>4690</v>
      </c>
      <c r="K1037" t="s">
        <v>3062</v>
      </c>
    </row>
    <row r="1038" spans="2:11">
      <c r="B1038" t="s">
        <v>2395</v>
      </c>
      <c r="K1038" t="s">
        <v>3061</v>
      </c>
    </row>
    <row r="1039" spans="2:11">
      <c r="B1039" t="s">
        <v>4686</v>
      </c>
      <c r="K1039" t="s">
        <v>2157</v>
      </c>
    </row>
    <row r="1040" spans="2:11">
      <c r="B1040" t="s">
        <v>4688</v>
      </c>
      <c r="K1040" t="s">
        <v>2159</v>
      </c>
    </row>
    <row r="1041" spans="2:11">
      <c r="B1041" t="s">
        <v>1090</v>
      </c>
      <c r="K1041" t="s">
        <v>2161</v>
      </c>
    </row>
    <row r="1042" spans="2:11">
      <c r="B1042" t="s">
        <v>5221</v>
      </c>
      <c r="K1042" t="s">
        <v>2163</v>
      </c>
    </row>
    <row r="1043" spans="2:11">
      <c r="B1043" t="s">
        <v>5219</v>
      </c>
      <c r="K1043" t="s">
        <v>2164</v>
      </c>
    </row>
    <row r="1044" spans="2:11">
      <c r="B1044" t="s">
        <v>98</v>
      </c>
      <c r="K1044" t="s">
        <v>5390</v>
      </c>
    </row>
    <row r="1045" spans="2:11">
      <c r="B1045" t="s">
        <v>100</v>
      </c>
      <c r="K1045" t="s">
        <v>5388</v>
      </c>
    </row>
    <row r="1046" spans="2:11">
      <c r="B1046" t="s">
        <v>99</v>
      </c>
      <c r="K1046" t="s">
        <v>5386</v>
      </c>
    </row>
    <row r="1047" spans="2:11">
      <c r="B1047" t="s">
        <v>102</v>
      </c>
      <c r="K1047" t="s">
        <v>5397</v>
      </c>
    </row>
    <row r="1048" spans="2:11">
      <c r="B1048" t="s">
        <v>2334</v>
      </c>
      <c r="K1048" t="s">
        <v>5396</v>
      </c>
    </row>
    <row r="1049" spans="2:11">
      <c r="B1049" t="s">
        <v>1091</v>
      </c>
      <c r="K1049" t="s">
        <v>2586</v>
      </c>
    </row>
    <row r="1050" spans="2:11">
      <c r="B1050" t="s">
        <v>1092</v>
      </c>
      <c r="K1050" t="s">
        <v>2584</v>
      </c>
    </row>
    <row r="1051" spans="2:11">
      <c r="B1051" t="s">
        <v>3502</v>
      </c>
      <c r="K1051" t="s">
        <v>2582</v>
      </c>
    </row>
    <row r="1052" spans="2:11">
      <c r="B1052" t="s">
        <v>1062</v>
      </c>
      <c r="K1052" t="s">
        <v>2593</v>
      </c>
    </row>
    <row r="1053" spans="2:11">
      <c r="B1053" t="s">
        <v>1813</v>
      </c>
      <c r="K1053" t="s">
        <v>2592</v>
      </c>
    </row>
    <row r="1054" spans="2:11">
      <c r="B1054" t="s">
        <v>1814</v>
      </c>
      <c r="K1054" t="s">
        <v>2680</v>
      </c>
    </row>
    <row r="1055" spans="2:11">
      <c r="B1055" t="s">
        <v>693</v>
      </c>
      <c r="K1055" t="s">
        <v>2678</v>
      </c>
    </row>
    <row r="1056" spans="2:11">
      <c r="B1056" t="s">
        <v>695</v>
      </c>
      <c r="K1056" t="s">
        <v>2676</v>
      </c>
    </row>
    <row r="1057" spans="2:11">
      <c r="B1057" t="s">
        <v>4609</v>
      </c>
      <c r="K1057" t="s">
        <v>2687</v>
      </c>
    </row>
    <row r="1058" spans="2:11">
      <c r="B1058" t="s">
        <v>4610</v>
      </c>
      <c r="K1058" t="s">
        <v>2686</v>
      </c>
    </row>
    <row r="1059" spans="2:11">
      <c r="B1059" t="s">
        <v>5643</v>
      </c>
      <c r="K1059" t="s">
        <v>1997</v>
      </c>
    </row>
    <row r="1060" spans="2:11">
      <c r="B1060" t="s">
        <v>2174</v>
      </c>
      <c r="K1060" t="s">
        <v>1995</v>
      </c>
    </row>
    <row r="1061" spans="2:11">
      <c r="B1061" t="s">
        <v>2058</v>
      </c>
      <c r="K1061" t="s">
        <v>1993</v>
      </c>
    </row>
    <row r="1062" spans="2:11">
      <c r="B1062" t="s">
        <v>3833</v>
      </c>
      <c r="K1062" t="s">
        <v>2004</v>
      </c>
    </row>
    <row r="1063" spans="2:11">
      <c r="B1063" t="s">
        <v>2846</v>
      </c>
      <c r="K1063" t="s">
        <v>2003</v>
      </c>
    </row>
    <row r="1064" spans="2:11">
      <c r="B1064" t="s">
        <v>5600</v>
      </c>
      <c r="K1064" t="s">
        <v>2009</v>
      </c>
    </row>
    <row r="1065" spans="2:11">
      <c r="B1065" t="s">
        <v>3175</v>
      </c>
      <c r="K1065" t="s">
        <v>2007</v>
      </c>
    </row>
    <row r="1066" spans="2:11">
      <c r="B1066" t="s">
        <v>3412</v>
      </c>
      <c r="K1066" t="s">
        <v>2005</v>
      </c>
    </row>
    <row r="1067" spans="2:11">
      <c r="B1067" t="s">
        <v>3413</v>
      </c>
      <c r="K1067" t="s">
        <v>2016</v>
      </c>
    </row>
    <row r="1068" spans="2:11">
      <c r="B1068" t="s">
        <v>3415</v>
      </c>
      <c r="K1068" t="s">
        <v>2015</v>
      </c>
    </row>
    <row r="1069" spans="2:11">
      <c r="B1069" t="s">
        <v>3417</v>
      </c>
      <c r="K1069" t="s">
        <v>4415</v>
      </c>
    </row>
    <row r="1070" spans="2:11">
      <c r="B1070" t="s">
        <v>5517</v>
      </c>
      <c r="K1070" t="s">
        <v>4413</v>
      </c>
    </row>
    <row r="1071" spans="2:11">
      <c r="B1071" t="s">
        <v>1304</v>
      </c>
      <c r="K1071" t="s">
        <v>4411</v>
      </c>
    </row>
    <row r="1072" spans="2:11">
      <c r="B1072" t="s">
        <v>2439</v>
      </c>
      <c r="K1072" t="s">
        <v>4422</v>
      </c>
    </row>
    <row r="1073" spans="2:11">
      <c r="B1073" t="s">
        <v>2440</v>
      </c>
      <c r="K1073" t="s">
        <v>4421</v>
      </c>
    </row>
    <row r="1074" spans="2:11">
      <c r="B1074" t="s">
        <v>2441</v>
      </c>
      <c r="K1074" t="s">
        <v>3892</v>
      </c>
    </row>
    <row r="1075" spans="2:11">
      <c r="B1075" t="s">
        <v>5156</v>
      </c>
      <c r="K1075" t="s">
        <v>3890</v>
      </c>
    </row>
    <row r="1076" spans="2:11">
      <c r="B1076" t="s">
        <v>3796</v>
      </c>
      <c r="K1076" t="s">
        <v>3888</v>
      </c>
    </row>
    <row r="1077" spans="2:11">
      <c r="B1077" t="s">
        <v>2117</v>
      </c>
      <c r="K1077" t="s">
        <v>3899</v>
      </c>
    </row>
    <row r="1078" spans="2:11">
      <c r="B1078" t="s">
        <v>3174</v>
      </c>
      <c r="K1078" t="s">
        <v>3898</v>
      </c>
    </row>
    <row r="1079" spans="2:11">
      <c r="B1079" t="s">
        <v>5644</v>
      </c>
      <c r="K1079" t="s">
        <v>4439</v>
      </c>
    </row>
    <row r="1080" spans="2:11">
      <c r="B1080" t="s">
        <v>5645</v>
      </c>
      <c r="K1080" t="s">
        <v>4437</v>
      </c>
    </row>
    <row r="1081" spans="2:11">
      <c r="B1081" t="s">
        <v>5646</v>
      </c>
      <c r="K1081" t="s">
        <v>4435</v>
      </c>
    </row>
    <row r="1082" spans="2:11">
      <c r="B1082" t="s">
        <v>5647</v>
      </c>
      <c r="K1082" t="s">
        <v>4446</v>
      </c>
    </row>
    <row r="1083" spans="2:11">
      <c r="B1083" t="s">
        <v>3266</v>
      </c>
      <c r="K1083" t="s">
        <v>4445</v>
      </c>
    </row>
    <row r="1084" spans="2:11">
      <c r="B1084" t="s">
        <v>3268</v>
      </c>
      <c r="K1084" t="s">
        <v>5950</v>
      </c>
    </row>
    <row r="1085" spans="2:11">
      <c r="B1085" t="s">
        <v>5625</v>
      </c>
      <c r="K1085" t="s">
        <v>5949</v>
      </c>
    </row>
    <row r="1086" spans="2:11">
      <c r="B1086" t="s">
        <v>2202</v>
      </c>
      <c r="K1086" t="s">
        <v>5948</v>
      </c>
    </row>
    <row r="1087" spans="2:11">
      <c r="B1087" t="s">
        <v>50</v>
      </c>
      <c r="K1087" t="s">
        <v>5954</v>
      </c>
    </row>
    <row r="1088" spans="2:11">
      <c r="B1088" t="s">
        <v>240</v>
      </c>
      <c r="K1088" t="s">
        <v>5953</v>
      </c>
    </row>
    <row r="1089" spans="2:11">
      <c r="B1089" t="s">
        <v>1609</v>
      </c>
      <c r="K1089" t="s">
        <v>3916</v>
      </c>
    </row>
    <row r="1090" spans="2:11">
      <c r="B1090" t="s">
        <v>581</v>
      </c>
      <c r="K1090" t="s">
        <v>3914</v>
      </c>
    </row>
    <row r="1091" spans="2:11">
      <c r="B1091" t="s">
        <v>1369</v>
      </c>
      <c r="K1091" t="s">
        <v>3912</v>
      </c>
    </row>
    <row r="1092" spans="2:11">
      <c r="B1092" t="s">
        <v>54</v>
      </c>
      <c r="K1092" t="s">
        <v>3923</v>
      </c>
    </row>
    <row r="1093" spans="2:11">
      <c r="B1093" t="s">
        <v>1140</v>
      </c>
      <c r="K1093" t="s">
        <v>3922</v>
      </c>
    </row>
    <row r="1094" spans="2:11">
      <c r="B1094" t="s">
        <v>52</v>
      </c>
      <c r="K1094" t="s">
        <v>4427</v>
      </c>
    </row>
    <row r="1095" spans="2:11">
      <c r="B1095" t="s">
        <v>51</v>
      </c>
      <c r="K1095" t="s">
        <v>4425</v>
      </c>
    </row>
    <row r="1096" spans="2:11">
      <c r="B1096" t="s">
        <v>4637</v>
      </c>
      <c r="K1096" t="s">
        <v>4423</v>
      </c>
    </row>
    <row r="1097" spans="2:11">
      <c r="B1097" t="s">
        <v>374</v>
      </c>
      <c r="K1097" t="s">
        <v>4434</v>
      </c>
    </row>
    <row r="1098" spans="2:11">
      <c r="B1098" t="s">
        <v>582</v>
      </c>
      <c r="K1098" t="s">
        <v>4433</v>
      </c>
    </row>
    <row r="1099" spans="2:11">
      <c r="B1099" t="s">
        <v>879</v>
      </c>
      <c r="K1099" t="s">
        <v>3904</v>
      </c>
    </row>
    <row r="1100" spans="2:11">
      <c r="B1100" t="s">
        <v>55</v>
      </c>
      <c r="K1100" t="s">
        <v>3902</v>
      </c>
    </row>
    <row r="1101" spans="2:11">
      <c r="B1101" t="s">
        <v>1141</v>
      </c>
      <c r="K1101" t="s">
        <v>3900</v>
      </c>
    </row>
    <row r="1102" spans="2:11">
      <c r="B1102" t="s">
        <v>53</v>
      </c>
      <c r="K1102" t="s">
        <v>3911</v>
      </c>
    </row>
    <row r="1103" spans="2:11">
      <c r="B1103" t="s">
        <v>82</v>
      </c>
      <c r="K1103" t="s">
        <v>3910</v>
      </c>
    </row>
    <row r="1104" spans="2:11">
      <c r="B1104" t="s">
        <v>3724</v>
      </c>
      <c r="K1104" t="s">
        <v>1977</v>
      </c>
    </row>
    <row r="1105" spans="2:11">
      <c r="B1105" t="s">
        <v>585</v>
      </c>
      <c r="K1105" t="s">
        <v>1979</v>
      </c>
    </row>
    <row r="1106" spans="2:11">
      <c r="B1106" t="s">
        <v>583</v>
      </c>
      <c r="K1106" t="s">
        <v>1981</v>
      </c>
    </row>
    <row r="1107" spans="2:11">
      <c r="B1107" t="s">
        <v>2324</v>
      </c>
      <c r="K1107" t="s">
        <v>1983</v>
      </c>
    </row>
    <row r="1108" spans="2:11">
      <c r="B1108" t="s">
        <v>84</v>
      </c>
      <c r="K1108" t="s">
        <v>1984</v>
      </c>
    </row>
    <row r="1109" spans="2:11">
      <c r="B1109" t="s">
        <v>1142</v>
      </c>
      <c r="K1109" t="s">
        <v>1857</v>
      </c>
    </row>
    <row r="1110" spans="2:11">
      <c r="B1110" t="s">
        <v>83</v>
      </c>
      <c r="K1110" t="s">
        <v>1855</v>
      </c>
    </row>
    <row r="1111" spans="2:11">
      <c r="B1111" t="s">
        <v>279</v>
      </c>
      <c r="K1111" t="s">
        <v>1853</v>
      </c>
    </row>
    <row r="1112" spans="2:11">
      <c r="B1112" t="s">
        <v>4639</v>
      </c>
      <c r="K1112" t="s">
        <v>1864</v>
      </c>
    </row>
    <row r="1113" spans="2:11">
      <c r="B1113" t="s">
        <v>375</v>
      </c>
      <c r="K1113" t="s">
        <v>1863</v>
      </c>
    </row>
    <row r="1114" spans="2:11">
      <c r="B1114" t="s">
        <v>584</v>
      </c>
      <c r="K1114" t="s">
        <v>1831</v>
      </c>
    </row>
    <row r="1115" spans="2:11">
      <c r="B1115" t="s">
        <v>1064</v>
      </c>
      <c r="K1115" t="s">
        <v>1829</v>
      </c>
    </row>
    <row r="1116" spans="2:11">
      <c r="B1116" t="s">
        <v>280</v>
      </c>
      <c r="K1116" t="s">
        <v>1827</v>
      </c>
    </row>
    <row r="1117" spans="2:11">
      <c r="B1117" t="s">
        <v>1143</v>
      </c>
      <c r="K1117" t="s">
        <v>1838</v>
      </c>
    </row>
    <row r="1118" spans="2:11">
      <c r="B1118" t="s">
        <v>281</v>
      </c>
      <c r="K1118" t="s">
        <v>1837</v>
      </c>
    </row>
    <row r="1119" spans="2:11">
      <c r="B1119" t="s">
        <v>3641</v>
      </c>
      <c r="K1119" t="s">
        <v>1869</v>
      </c>
    </row>
    <row r="1120" spans="2:11">
      <c r="B1120" t="s">
        <v>4641</v>
      </c>
      <c r="K1120" t="s">
        <v>1867</v>
      </c>
    </row>
    <row r="1121" spans="2:11">
      <c r="B1121" t="s">
        <v>3639</v>
      </c>
      <c r="K1121" t="s">
        <v>1865</v>
      </c>
    </row>
    <row r="1122" spans="2:11">
      <c r="B1122" t="s">
        <v>3640</v>
      </c>
      <c r="K1122" t="s">
        <v>1876</v>
      </c>
    </row>
    <row r="1123" spans="2:11">
      <c r="B1123" t="s">
        <v>3647</v>
      </c>
      <c r="K1123" t="s">
        <v>1875</v>
      </c>
    </row>
    <row r="1124" spans="2:11">
      <c r="B1124" t="s">
        <v>3644</v>
      </c>
      <c r="K1124" t="s">
        <v>332</v>
      </c>
    </row>
    <row r="1125" spans="2:11">
      <c r="B1125" t="s">
        <v>3646</v>
      </c>
      <c r="K1125" t="s">
        <v>330</v>
      </c>
    </row>
    <row r="1126" spans="2:11">
      <c r="B1126" t="s">
        <v>3643</v>
      </c>
      <c r="K1126" t="s">
        <v>328</v>
      </c>
    </row>
    <row r="1127" spans="2:11">
      <c r="B1127" t="s">
        <v>3490</v>
      </c>
      <c r="K1127" t="s">
        <v>339</v>
      </c>
    </row>
    <row r="1128" spans="2:11">
      <c r="B1128" t="s">
        <v>2335</v>
      </c>
      <c r="K1128" t="s">
        <v>338</v>
      </c>
    </row>
    <row r="1129" spans="2:11">
      <c r="B1129" t="s">
        <v>2077</v>
      </c>
      <c r="K1129" t="s">
        <v>448</v>
      </c>
    </row>
    <row r="1130" spans="2:11">
      <c r="B1130" t="s">
        <v>2080</v>
      </c>
      <c r="K1130" t="s">
        <v>446</v>
      </c>
    </row>
    <row r="1131" spans="2:11">
      <c r="B1131" t="s">
        <v>2079</v>
      </c>
      <c r="K1131" t="s">
        <v>444</v>
      </c>
    </row>
    <row r="1132" spans="2:11">
      <c r="B1132" t="s">
        <v>3271</v>
      </c>
      <c r="K1132" t="s">
        <v>451</v>
      </c>
    </row>
    <row r="1133" spans="2:11">
      <c r="B1133" t="s">
        <v>2078</v>
      </c>
      <c r="K1133" t="s">
        <v>450</v>
      </c>
    </row>
    <row r="1134" spans="2:11">
      <c r="B1134" t="s">
        <v>5626</v>
      </c>
      <c r="K1134" t="s">
        <v>500</v>
      </c>
    </row>
    <row r="1135" spans="2:11">
      <c r="B1135" t="s">
        <v>5628</v>
      </c>
      <c r="K1135" t="s">
        <v>498</v>
      </c>
    </row>
    <row r="1136" spans="2:11">
      <c r="B1136" t="s">
        <v>5627</v>
      </c>
      <c r="K1136" t="s">
        <v>496</v>
      </c>
    </row>
    <row r="1137" spans="2:11">
      <c r="B1137" t="s">
        <v>5630</v>
      </c>
      <c r="K1137" t="s">
        <v>503</v>
      </c>
    </row>
    <row r="1138" spans="2:11">
      <c r="B1138" t="s">
        <v>5629</v>
      </c>
      <c r="K1138" t="s">
        <v>502</v>
      </c>
    </row>
    <row r="1139" spans="2:11">
      <c r="B1139" t="s">
        <v>5633</v>
      </c>
      <c r="K1139" t="s">
        <v>562</v>
      </c>
    </row>
    <row r="1140" spans="2:11">
      <c r="B1140" t="s">
        <v>5631</v>
      </c>
      <c r="K1140" t="s">
        <v>564</v>
      </c>
    </row>
    <row r="1141" spans="2:11">
      <c r="B1141" t="s">
        <v>5632</v>
      </c>
      <c r="K1141" t="s">
        <v>566</v>
      </c>
    </row>
    <row r="1142" spans="2:11">
      <c r="B1142" t="s">
        <v>5635</v>
      </c>
      <c r="K1142" t="s">
        <v>610</v>
      </c>
    </row>
    <row r="1143" spans="2:11">
      <c r="B1143" t="s">
        <v>5634</v>
      </c>
      <c r="K1143" t="s">
        <v>611</v>
      </c>
    </row>
    <row r="1144" spans="2:11">
      <c r="B1144" t="s">
        <v>85</v>
      </c>
      <c r="K1144" t="s">
        <v>745</v>
      </c>
    </row>
    <row r="1145" spans="2:11">
      <c r="B1145" t="s">
        <v>4643</v>
      </c>
      <c r="K1145" t="s">
        <v>747</v>
      </c>
    </row>
    <row r="1146" spans="2:11">
      <c r="B1146" t="s">
        <v>376</v>
      </c>
      <c r="K1146" t="s">
        <v>749</v>
      </c>
    </row>
    <row r="1147" spans="2:11">
      <c r="B1147" t="s">
        <v>568</v>
      </c>
      <c r="K1147" t="s">
        <v>1115</v>
      </c>
    </row>
    <row r="1148" spans="2:11">
      <c r="B1148" t="s">
        <v>243</v>
      </c>
      <c r="K1148" t="s">
        <v>1114</v>
      </c>
    </row>
    <row r="1149" spans="2:11">
      <c r="B1149" t="s">
        <v>90</v>
      </c>
      <c r="K1149" t="s">
        <v>751</v>
      </c>
    </row>
    <row r="1150" spans="2:11">
      <c r="B1150" t="s">
        <v>1134</v>
      </c>
      <c r="K1150" t="s">
        <v>753</v>
      </c>
    </row>
    <row r="1151" spans="2:11">
      <c r="B1151" t="s">
        <v>88</v>
      </c>
      <c r="K1151" t="s">
        <v>755</v>
      </c>
    </row>
    <row r="1152" spans="2:11">
      <c r="B1152" t="s">
        <v>87</v>
      </c>
      <c r="K1152" t="s">
        <v>1117</v>
      </c>
    </row>
    <row r="1153" spans="2:11">
      <c r="B1153" t="s">
        <v>4645</v>
      </c>
      <c r="K1153" t="s">
        <v>1116</v>
      </c>
    </row>
    <row r="1154" spans="2:11">
      <c r="B1154" t="s">
        <v>377</v>
      </c>
      <c r="K1154" t="s">
        <v>308</v>
      </c>
    </row>
    <row r="1155" spans="2:11">
      <c r="B1155" t="s">
        <v>569</v>
      </c>
      <c r="K1155" t="s">
        <v>306</v>
      </c>
    </row>
    <row r="1156" spans="2:11">
      <c r="B1156" t="s">
        <v>4647</v>
      </c>
      <c r="K1156" t="s">
        <v>304</v>
      </c>
    </row>
    <row r="1157" spans="2:11">
      <c r="B1157" t="s">
        <v>91</v>
      </c>
      <c r="K1157" t="s">
        <v>315</v>
      </c>
    </row>
    <row r="1158" spans="2:11">
      <c r="B1158" t="s">
        <v>1135</v>
      </c>
      <c r="K1158" t="s">
        <v>314</v>
      </c>
    </row>
    <row r="1159" spans="2:11">
      <c r="B1159" t="s">
        <v>89</v>
      </c>
      <c r="K1159" t="s">
        <v>432</v>
      </c>
    </row>
    <row r="1160" spans="2:11">
      <c r="B1160" t="s">
        <v>572</v>
      </c>
      <c r="K1160" t="s">
        <v>430</v>
      </c>
    </row>
    <row r="1161" spans="2:11">
      <c r="B1161" t="s">
        <v>4649</v>
      </c>
      <c r="K1161" t="s">
        <v>428</v>
      </c>
    </row>
    <row r="1162" spans="2:11">
      <c r="B1162" t="s">
        <v>452</v>
      </c>
      <c r="K1162" t="s">
        <v>435</v>
      </c>
    </row>
    <row r="1163" spans="2:11">
      <c r="B1163" t="s">
        <v>570</v>
      </c>
      <c r="K1163" t="s">
        <v>434</v>
      </c>
    </row>
    <row r="1164" spans="2:11">
      <c r="B1164" t="s">
        <v>4651</v>
      </c>
      <c r="K1164" t="s">
        <v>623</v>
      </c>
    </row>
    <row r="1165" spans="2:11">
      <c r="B1165" t="s">
        <v>577</v>
      </c>
      <c r="K1165" t="s">
        <v>621</v>
      </c>
    </row>
    <row r="1166" spans="2:11">
      <c r="B1166" t="s">
        <v>1136</v>
      </c>
      <c r="K1166" t="s">
        <v>619</v>
      </c>
    </row>
    <row r="1167" spans="2:11">
      <c r="B1167" t="s">
        <v>575</v>
      </c>
      <c r="K1167" t="s">
        <v>630</v>
      </c>
    </row>
    <row r="1168" spans="2:11">
      <c r="B1168" t="s">
        <v>574</v>
      </c>
      <c r="K1168" t="s">
        <v>629</v>
      </c>
    </row>
    <row r="1169" spans="2:11">
      <c r="B1169" t="s">
        <v>4653</v>
      </c>
      <c r="K1169" t="s">
        <v>635</v>
      </c>
    </row>
    <row r="1170" spans="2:11">
      <c r="B1170" t="s">
        <v>580</v>
      </c>
      <c r="K1170" t="s">
        <v>633</v>
      </c>
    </row>
    <row r="1171" spans="2:11">
      <c r="B1171" t="s">
        <v>571</v>
      </c>
      <c r="K1171" t="s">
        <v>631</v>
      </c>
    </row>
    <row r="1172" spans="2:11">
      <c r="B1172" t="s">
        <v>4655</v>
      </c>
      <c r="K1172" t="s">
        <v>642</v>
      </c>
    </row>
    <row r="1173" spans="2:11">
      <c r="B1173" t="s">
        <v>579</v>
      </c>
      <c r="K1173" t="s">
        <v>641</v>
      </c>
    </row>
    <row r="1174" spans="2:11">
      <c r="B1174" t="s">
        <v>1137</v>
      </c>
      <c r="K1174" t="s">
        <v>647</v>
      </c>
    </row>
    <row r="1175" spans="2:11">
      <c r="B1175" t="s">
        <v>576</v>
      </c>
      <c r="K1175" t="s">
        <v>645</v>
      </c>
    </row>
    <row r="1176" spans="2:11">
      <c r="B1176" t="s">
        <v>5615</v>
      </c>
      <c r="K1176" t="s">
        <v>643</v>
      </c>
    </row>
    <row r="1177" spans="2:11">
      <c r="B1177" t="s">
        <v>5616</v>
      </c>
      <c r="K1177" t="s">
        <v>654</v>
      </c>
    </row>
    <row r="1178" spans="2:11">
      <c r="B1178" t="s">
        <v>5617</v>
      </c>
      <c r="K1178" t="s">
        <v>653</v>
      </c>
    </row>
    <row r="1179" spans="2:11">
      <c r="B1179" t="s">
        <v>5618</v>
      </c>
      <c r="K1179" t="s">
        <v>659</v>
      </c>
    </row>
    <row r="1180" spans="2:11">
      <c r="B1180" t="s">
        <v>5619</v>
      </c>
      <c r="K1180" t="s">
        <v>657</v>
      </c>
    </row>
    <row r="1181" spans="2:11">
      <c r="B1181" t="s">
        <v>5620</v>
      </c>
      <c r="K1181" t="s">
        <v>655</v>
      </c>
    </row>
    <row r="1182" spans="2:11">
      <c r="B1182" t="s">
        <v>5621</v>
      </c>
      <c r="K1182" t="s">
        <v>666</v>
      </c>
    </row>
    <row r="1183" spans="2:11">
      <c r="B1183" t="s">
        <v>5622</v>
      </c>
      <c r="K1183" t="s">
        <v>665</v>
      </c>
    </row>
    <row r="1184" spans="2:11">
      <c r="B1184" t="s">
        <v>5623</v>
      </c>
      <c r="K1184" t="s">
        <v>887</v>
      </c>
    </row>
    <row r="1185" spans="2:11">
      <c r="B1185" t="s">
        <v>5624</v>
      </c>
      <c r="K1185" t="s">
        <v>885</v>
      </c>
    </row>
    <row r="1186" spans="2:11">
      <c r="B1186" t="s">
        <v>2425</v>
      </c>
      <c r="K1186" t="s">
        <v>883</v>
      </c>
    </row>
    <row r="1187" spans="2:11">
      <c r="B1187" t="s">
        <v>2423</v>
      </c>
      <c r="K1187" t="s">
        <v>894</v>
      </c>
    </row>
    <row r="1188" spans="2:11">
      <c r="B1188" t="s">
        <v>4159</v>
      </c>
      <c r="K1188" t="s">
        <v>893</v>
      </c>
    </row>
    <row r="1189" spans="2:11">
      <c r="B1189" t="s">
        <v>3270</v>
      </c>
      <c r="K1189" t="s">
        <v>3122</v>
      </c>
    </row>
    <row r="1190" spans="2:11">
      <c r="B1190" t="s">
        <v>3160</v>
      </c>
      <c r="K1190" t="s">
        <v>3120</v>
      </c>
    </row>
    <row r="1191" spans="2:11">
      <c r="B1191" t="s">
        <v>3158</v>
      </c>
      <c r="K1191" t="s">
        <v>3118</v>
      </c>
    </row>
    <row r="1192" spans="2:11">
      <c r="B1192" t="s">
        <v>5653</v>
      </c>
      <c r="K1192" t="s">
        <v>3129</v>
      </c>
    </row>
    <row r="1193" spans="2:11">
      <c r="B1193" t="s">
        <v>4657</v>
      </c>
      <c r="K1193" t="s">
        <v>3128</v>
      </c>
    </row>
    <row r="1194" spans="2:11">
      <c r="B1194" t="s">
        <v>5654</v>
      </c>
      <c r="K1194" t="s">
        <v>2644</v>
      </c>
    </row>
    <row r="1195" spans="2:11">
      <c r="B1195" t="s">
        <v>5228</v>
      </c>
      <c r="K1195" t="s">
        <v>2642</v>
      </c>
    </row>
    <row r="1196" spans="2:11">
      <c r="B1196" t="s">
        <v>5655</v>
      </c>
      <c r="K1196" t="s">
        <v>2640</v>
      </c>
    </row>
    <row r="1197" spans="2:11">
      <c r="B1197" t="s">
        <v>2204</v>
      </c>
      <c r="K1197" t="s">
        <v>2651</v>
      </c>
    </row>
    <row r="1198" spans="2:11">
      <c r="B1198" t="s">
        <v>5610</v>
      </c>
      <c r="K1198" t="s">
        <v>2650</v>
      </c>
    </row>
    <row r="1199" spans="2:11">
      <c r="B1199" t="s">
        <v>2205</v>
      </c>
      <c r="K1199" t="s">
        <v>5923</v>
      </c>
    </row>
    <row r="1200" spans="2:11">
      <c r="B1200" t="s">
        <v>5612</v>
      </c>
      <c r="K1200" t="s">
        <v>5924</v>
      </c>
    </row>
    <row r="1201" spans="2:11">
      <c r="B1201" t="s">
        <v>2206</v>
      </c>
      <c r="K1201" t="s">
        <v>5925</v>
      </c>
    </row>
    <row r="1202" spans="2:11">
      <c r="B1202" t="s">
        <v>2207</v>
      </c>
      <c r="K1202" t="s">
        <v>5926</v>
      </c>
    </row>
    <row r="1203" spans="2:11">
      <c r="B1203" t="s">
        <v>5611</v>
      </c>
      <c r="K1203" t="s">
        <v>5927</v>
      </c>
    </row>
    <row r="1204" spans="2:11">
      <c r="B1204" t="s">
        <v>1823</v>
      </c>
      <c r="K1204" t="s">
        <v>5928</v>
      </c>
    </row>
    <row r="1205" spans="2:11">
      <c r="B1205" t="s">
        <v>2894</v>
      </c>
      <c r="K1205" t="s">
        <v>5929</v>
      </c>
    </row>
    <row r="1206" spans="2:11">
      <c r="B1206" t="s">
        <v>1878</v>
      </c>
      <c r="K1206" t="s">
        <v>5930</v>
      </c>
    </row>
    <row r="1207" spans="2:11">
      <c r="B1207" t="s">
        <v>2892</v>
      </c>
      <c r="K1207" t="s">
        <v>5931</v>
      </c>
    </row>
    <row r="1208" spans="2:11">
      <c r="B1208" t="s">
        <v>1597</v>
      </c>
      <c r="K1208" t="s">
        <v>5932</v>
      </c>
    </row>
    <row r="1209" spans="2:11">
      <c r="B1209" t="s">
        <v>2898</v>
      </c>
      <c r="K1209" t="s">
        <v>5933</v>
      </c>
    </row>
    <row r="1210" spans="2:11">
      <c r="B1210" t="s">
        <v>1595</v>
      </c>
      <c r="K1210" t="s">
        <v>5934</v>
      </c>
    </row>
    <row r="1211" spans="2:11">
      <c r="B1211" t="s">
        <v>2896</v>
      </c>
      <c r="K1211" t="s">
        <v>5935</v>
      </c>
    </row>
    <row r="1212" spans="2:11">
      <c r="B1212" t="s">
        <v>1293</v>
      </c>
      <c r="K1212" t="s">
        <v>5936</v>
      </c>
    </row>
    <row r="1213" spans="2:11">
      <c r="B1213" t="s">
        <v>1291</v>
      </c>
      <c r="K1213" t="s">
        <v>5937</v>
      </c>
    </row>
    <row r="1214" spans="2:11">
      <c r="B1214" t="s">
        <v>3419</v>
      </c>
      <c r="K1214" t="s">
        <v>3677</v>
      </c>
    </row>
    <row r="1215" spans="2:11">
      <c r="B1215" t="s">
        <v>3421</v>
      </c>
      <c r="K1215" t="s">
        <v>3675</v>
      </c>
    </row>
    <row r="1216" spans="2:11">
      <c r="B1216" t="s">
        <v>1601</v>
      </c>
      <c r="K1216" t="s">
        <v>3673</v>
      </c>
    </row>
    <row r="1217" spans="2:11">
      <c r="B1217" t="s">
        <v>3836</v>
      </c>
      <c r="K1217" t="s">
        <v>3684</v>
      </c>
    </row>
    <row r="1218" spans="2:11">
      <c r="B1218" t="s">
        <v>1599</v>
      </c>
      <c r="K1218" t="s">
        <v>3683</v>
      </c>
    </row>
    <row r="1219" spans="2:11">
      <c r="B1219" t="s">
        <v>2900</v>
      </c>
      <c r="K1219" t="s">
        <v>5943</v>
      </c>
    </row>
    <row r="1220" spans="2:11">
      <c r="B1220" t="s">
        <v>1593</v>
      </c>
      <c r="K1220" t="s">
        <v>5942</v>
      </c>
    </row>
    <row r="1221" spans="2:11">
      <c r="B1221" t="s">
        <v>3837</v>
      </c>
      <c r="K1221" t="s">
        <v>5941</v>
      </c>
    </row>
    <row r="1222" spans="2:11">
      <c r="B1222" t="s">
        <v>1591</v>
      </c>
      <c r="K1222" t="s">
        <v>5947</v>
      </c>
    </row>
    <row r="1223" spans="2:11">
      <c r="B1223" t="s">
        <v>3838</v>
      </c>
      <c r="K1223" t="s">
        <v>5946</v>
      </c>
    </row>
    <row r="1224" spans="2:11">
      <c r="B1224" t="s">
        <v>5275</v>
      </c>
      <c r="K1224" t="s">
        <v>2656</v>
      </c>
    </row>
    <row r="1225" spans="2:11">
      <c r="B1225" t="s">
        <v>5279</v>
      </c>
      <c r="K1225" t="s">
        <v>2654</v>
      </c>
    </row>
    <row r="1226" spans="2:11">
      <c r="B1226" t="s">
        <v>5273</v>
      </c>
      <c r="K1226" t="s">
        <v>2652</v>
      </c>
    </row>
    <row r="1227" spans="2:11">
      <c r="B1227" t="s">
        <v>5277</v>
      </c>
      <c r="K1227" t="s">
        <v>2663</v>
      </c>
    </row>
    <row r="1228" spans="2:11">
      <c r="B1228" t="s">
        <v>850</v>
      </c>
      <c r="K1228" t="s">
        <v>2662</v>
      </c>
    </row>
    <row r="1229" spans="2:11">
      <c r="B1229" t="s">
        <v>852</v>
      </c>
      <c r="K1229" t="s">
        <v>3746</v>
      </c>
    </row>
    <row r="1230" spans="2:11">
      <c r="B1230" t="s">
        <v>1160</v>
      </c>
      <c r="K1230" t="s">
        <v>3744</v>
      </c>
    </row>
    <row r="1231" spans="2:11">
      <c r="B1231" t="s">
        <v>1162</v>
      </c>
      <c r="K1231" t="s">
        <v>3742</v>
      </c>
    </row>
    <row r="1232" spans="2:11">
      <c r="B1232" t="s">
        <v>1371</v>
      </c>
      <c r="K1232" t="s">
        <v>3753</v>
      </c>
    </row>
    <row r="1233" spans="2:11">
      <c r="B1233" t="s">
        <v>1373</v>
      </c>
      <c r="K1233" t="s">
        <v>3752</v>
      </c>
    </row>
    <row r="1234" spans="2:11">
      <c r="B1234" t="s">
        <v>299</v>
      </c>
      <c r="K1234" t="s">
        <v>3063</v>
      </c>
    </row>
    <row r="1235" spans="2:11">
      <c r="B1235" t="s">
        <v>301</v>
      </c>
      <c r="K1235" t="s">
        <v>3065</v>
      </c>
    </row>
    <row r="1236" spans="2:11">
      <c r="B1236" t="s">
        <v>557</v>
      </c>
      <c r="K1236" t="s">
        <v>3067</v>
      </c>
    </row>
    <row r="1237" spans="2:11">
      <c r="B1237" t="s">
        <v>558</v>
      </c>
      <c r="K1237" t="s">
        <v>3069</v>
      </c>
    </row>
    <row r="1238" spans="2:11">
      <c r="B1238" t="s">
        <v>244</v>
      </c>
      <c r="K1238" t="s">
        <v>3070</v>
      </c>
    </row>
    <row r="1239" spans="2:11">
      <c r="B1239" t="s">
        <v>246</v>
      </c>
      <c r="K1239" t="s">
        <v>4902</v>
      </c>
    </row>
    <row r="1240" spans="2:11">
      <c r="B1240" t="s">
        <v>248</v>
      </c>
      <c r="K1240" t="s">
        <v>4904</v>
      </c>
    </row>
    <row r="1241" spans="2:11">
      <c r="B1241" t="s">
        <v>250</v>
      </c>
      <c r="K1241" t="s">
        <v>4906</v>
      </c>
    </row>
    <row r="1242" spans="2:11">
      <c r="B1242" t="s">
        <v>5598</v>
      </c>
      <c r="K1242" t="s">
        <v>4908</v>
      </c>
    </row>
    <row r="1243" spans="2:11">
      <c r="B1243" t="s">
        <v>3932</v>
      </c>
      <c r="K1243" t="s">
        <v>4909</v>
      </c>
    </row>
    <row r="1244" spans="2:11">
      <c r="B1244" t="s">
        <v>4741</v>
      </c>
      <c r="K1244" t="s">
        <v>757</v>
      </c>
    </row>
    <row r="1245" spans="2:11">
      <c r="B1245" t="s">
        <v>4019</v>
      </c>
      <c r="K1245" t="s">
        <v>759</v>
      </c>
    </row>
    <row r="1246" spans="2:11">
      <c r="B1246" t="s">
        <v>2114</v>
      </c>
      <c r="K1246" t="s">
        <v>761</v>
      </c>
    </row>
    <row r="1247" spans="2:11">
      <c r="B1247" t="s">
        <v>4020</v>
      </c>
      <c r="K1247" t="s">
        <v>1119</v>
      </c>
    </row>
    <row r="1248" spans="2:11">
      <c r="B1248" t="s">
        <v>2118</v>
      </c>
      <c r="K1248" t="s">
        <v>1118</v>
      </c>
    </row>
    <row r="1249" spans="2:11">
      <c r="B1249" t="s">
        <v>5640</v>
      </c>
      <c r="K1249" t="s">
        <v>763</v>
      </c>
    </row>
    <row r="1250" spans="2:11">
      <c r="B1250" t="s">
        <v>2764</v>
      </c>
      <c r="K1250" t="s">
        <v>764</v>
      </c>
    </row>
    <row r="1251" spans="2:11">
      <c r="B1251" t="s">
        <v>4606</v>
      </c>
      <c r="K1251" t="s">
        <v>765</v>
      </c>
    </row>
    <row r="1252" spans="2:11">
      <c r="B1252" t="s">
        <v>3423</v>
      </c>
      <c r="K1252" t="s">
        <v>1121</v>
      </c>
    </row>
    <row r="1253" spans="2:11">
      <c r="B1253" t="s">
        <v>3425</v>
      </c>
      <c r="K1253" t="s">
        <v>1120</v>
      </c>
    </row>
    <row r="1254" spans="2:11">
      <c r="B1254" t="s">
        <v>4021</v>
      </c>
      <c r="K1254" t="s">
        <v>822</v>
      </c>
    </row>
    <row r="1255" spans="2:11">
      <c r="B1255" t="s">
        <v>4022</v>
      </c>
      <c r="K1255" t="s">
        <v>820</v>
      </c>
    </row>
    <row r="1256" spans="2:11">
      <c r="B1256" t="s">
        <v>2432</v>
      </c>
      <c r="K1256" t="s">
        <v>818</v>
      </c>
    </row>
    <row r="1257" spans="2:11">
      <c r="B1257" t="s">
        <v>2108</v>
      </c>
      <c r="K1257" t="s">
        <v>825</v>
      </c>
    </row>
    <row r="1258" spans="2:11">
      <c r="B1258" t="s">
        <v>2110</v>
      </c>
      <c r="K1258" t="s">
        <v>824</v>
      </c>
    </row>
    <row r="1259" spans="2:11">
      <c r="B1259" t="s">
        <v>2104</v>
      </c>
      <c r="K1259" t="s">
        <v>1003</v>
      </c>
    </row>
    <row r="1260" spans="2:11">
      <c r="B1260" t="s">
        <v>2106</v>
      </c>
      <c r="K1260" t="s">
        <v>1001</v>
      </c>
    </row>
    <row r="1261" spans="2:11">
      <c r="B1261" t="s">
        <v>3806</v>
      </c>
      <c r="K1261" t="s">
        <v>999</v>
      </c>
    </row>
    <row r="1262" spans="2:11">
      <c r="B1262" t="s">
        <v>258</v>
      </c>
      <c r="K1262" t="s">
        <v>1010</v>
      </c>
    </row>
    <row r="1263" spans="2:11">
      <c r="B1263" t="s">
        <v>260</v>
      </c>
      <c r="K1263" t="s">
        <v>1009</v>
      </c>
    </row>
    <row r="1264" spans="2:11">
      <c r="B1264" t="s">
        <v>287</v>
      </c>
      <c r="K1264" t="s">
        <v>320</v>
      </c>
    </row>
    <row r="1265" spans="2:11">
      <c r="B1265" t="s">
        <v>289</v>
      </c>
      <c r="K1265" t="s">
        <v>318</v>
      </c>
    </row>
    <row r="1266" spans="2:11">
      <c r="B1266" t="s">
        <v>2730</v>
      </c>
      <c r="K1266" t="s">
        <v>316</v>
      </c>
    </row>
    <row r="1267" spans="2:11">
      <c r="B1267" t="s">
        <v>2732</v>
      </c>
      <c r="K1267" t="s">
        <v>327</v>
      </c>
    </row>
    <row r="1268" spans="2:11">
      <c r="B1268" t="s">
        <v>1491</v>
      </c>
      <c r="K1268" t="s">
        <v>326</v>
      </c>
    </row>
    <row r="1269" spans="2:11">
      <c r="B1269" t="s">
        <v>1487</v>
      </c>
      <c r="K1269" t="s">
        <v>440</v>
      </c>
    </row>
    <row r="1270" spans="2:11">
      <c r="B1270" t="s">
        <v>1493</v>
      </c>
      <c r="K1270" t="s">
        <v>438</v>
      </c>
    </row>
    <row r="1271" spans="2:11">
      <c r="B1271" t="s">
        <v>1489</v>
      </c>
      <c r="K1271" t="s">
        <v>436</v>
      </c>
    </row>
    <row r="1272" spans="2:11">
      <c r="B1272" t="s">
        <v>1355</v>
      </c>
      <c r="K1272" t="s">
        <v>443</v>
      </c>
    </row>
    <row r="1273" spans="2:11">
      <c r="B1273" t="s">
        <v>1359</v>
      </c>
      <c r="K1273" t="s">
        <v>442</v>
      </c>
    </row>
    <row r="1274" spans="2:11">
      <c r="B1274" t="s">
        <v>1357</v>
      </c>
      <c r="K1274" t="s">
        <v>3573</v>
      </c>
    </row>
    <row r="1275" spans="2:11">
      <c r="B1275" t="s">
        <v>1361</v>
      </c>
      <c r="K1275" t="s">
        <v>3571</v>
      </c>
    </row>
    <row r="1276" spans="2:11">
      <c r="B1276" t="s">
        <v>198</v>
      </c>
      <c r="K1276" t="s">
        <v>3569</v>
      </c>
    </row>
    <row r="1277" spans="2:11">
      <c r="B1277" t="s">
        <v>199</v>
      </c>
      <c r="K1277" t="s">
        <v>3580</v>
      </c>
    </row>
    <row r="1278" spans="2:11">
      <c r="B1278" t="s">
        <v>200</v>
      </c>
      <c r="K1278" t="s">
        <v>3579</v>
      </c>
    </row>
    <row r="1279" spans="2:11">
      <c r="B1279" t="s">
        <v>201</v>
      </c>
      <c r="K1279" t="s">
        <v>766</v>
      </c>
    </row>
    <row r="1280" spans="2:11">
      <c r="B1280" t="s">
        <v>138</v>
      </c>
      <c r="K1280" t="s">
        <v>768</v>
      </c>
    </row>
    <row r="1281" spans="2:11">
      <c r="B1281" t="s">
        <v>140</v>
      </c>
      <c r="K1281" t="s">
        <v>770</v>
      </c>
    </row>
    <row r="1282" spans="2:11">
      <c r="B1282" t="s">
        <v>139</v>
      </c>
      <c r="K1282" t="s">
        <v>1123</v>
      </c>
    </row>
    <row r="1283" spans="2:11">
      <c r="B1283" t="s">
        <v>141</v>
      </c>
      <c r="K1283" t="s">
        <v>1122</v>
      </c>
    </row>
    <row r="1284" spans="2:11">
      <c r="B1284" t="s">
        <v>2722</v>
      </c>
      <c r="K1284" t="s">
        <v>772</v>
      </c>
    </row>
    <row r="1285" spans="2:11">
      <c r="B1285" t="s">
        <v>2726</v>
      </c>
      <c r="K1285" t="s">
        <v>774</v>
      </c>
    </row>
    <row r="1286" spans="2:11">
      <c r="B1286" t="s">
        <v>2724</v>
      </c>
      <c r="K1286" t="s">
        <v>776</v>
      </c>
    </row>
    <row r="1287" spans="2:11">
      <c r="B1287" t="s">
        <v>2728</v>
      </c>
      <c r="K1287" t="s">
        <v>1125</v>
      </c>
    </row>
    <row r="1288" spans="2:11">
      <c r="B1288" t="s">
        <v>1178</v>
      </c>
      <c r="K1288" t="s">
        <v>1124</v>
      </c>
    </row>
    <row r="1289" spans="2:11">
      <c r="B1289" t="s">
        <v>2886</v>
      </c>
      <c r="K1289" t="s">
        <v>4006</v>
      </c>
    </row>
    <row r="1290" spans="2:11">
      <c r="B1290" t="s">
        <v>1176</v>
      </c>
      <c r="K1290" t="s">
        <v>4007</v>
      </c>
    </row>
    <row r="1291" spans="2:11">
      <c r="B1291" t="s">
        <v>2884</v>
      </c>
      <c r="K1291" t="s">
        <v>5487</v>
      </c>
    </row>
    <row r="1292" spans="2:11">
      <c r="B1292" t="s">
        <v>2208</v>
      </c>
      <c r="K1292" t="s">
        <v>4008</v>
      </c>
    </row>
    <row r="1293" spans="2:11">
      <c r="B1293" t="s">
        <v>2890</v>
      </c>
      <c r="K1293" t="s">
        <v>4009</v>
      </c>
    </row>
    <row r="1294" spans="2:11">
      <c r="B1294" t="s">
        <v>2210</v>
      </c>
      <c r="K1294" t="s">
        <v>4010</v>
      </c>
    </row>
    <row r="1295" spans="2:11">
      <c r="B1295" t="s">
        <v>2888</v>
      </c>
      <c r="K1295" t="s">
        <v>4011</v>
      </c>
    </row>
    <row r="1296" spans="2:11">
      <c r="B1296" t="s">
        <v>4229</v>
      </c>
      <c r="K1296" t="s">
        <v>5489</v>
      </c>
    </row>
    <row r="1297" spans="2:11">
      <c r="B1297" t="s">
        <v>5641</v>
      </c>
      <c r="K1297" t="s">
        <v>4012</v>
      </c>
    </row>
    <row r="1298" spans="2:11">
      <c r="B1298" t="s">
        <v>2084</v>
      </c>
      <c r="K1298" t="s">
        <v>4013</v>
      </c>
    </row>
    <row r="1299" spans="2:11">
      <c r="B1299" t="s">
        <v>2085</v>
      </c>
      <c r="K1299" t="s">
        <v>4014</v>
      </c>
    </row>
    <row r="1300" spans="2:11">
      <c r="B1300" t="s">
        <v>1296</v>
      </c>
      <c r="K1300" t="s">
        <v>4015</v>
      </c>
    </row>
    <row r="1301" spans="2:11">
      <c r="B1301" t="s">
        <v>1295</v>
      </c>
      <c r="K1301" t="s">
        <v>5488</v>
      </c>
    </row>
    <row r="1302" spans="2:11">
      <c r="B1302" t="s">
        <v>2385</v>
      </c>
      <c r="K1302" t="s">
        <v>4016</v>
      </c>
    </row>
    <row r="1303" spans="2:11">
      <c r="B1303" t="s">
        <v>171</v>
      </c>
      <c r="K1303" t="s">
        <v>4017</v>
      </c>
    </row>
    <row r="1304" spans="2:11">
      <c r="B1304" t="s">
        <v>173</v>
      </c>
      <c r="K1304" t="s">
        <v>120</v>
      </c>
    </row>
    <row r="1305" spans="2:11">
      <c r="B1305" t="s">
        <v>172</v>
      </c>
      <c r="K1305" t="s">
        <v>118</v>
      </c>
    </row>
    <row r="1306" spans="2:11">
      <c r="B1306" t="s">
        <v>174</v>
      </c>
      <c r="K1306" t="s">
        <v>116</v>
      </c>
    </row>
    <row r="1307" spans="2:11">
      <c r="B1307" t="s">
        <v>681</v>
      </c>
      <c r="K1307" t="s">
        <v>125</v>
      </c>
    </row>
    <row r="1308" spans="2:11">
      <c r="B1308" t="s">
        <v>685</v>
      </c>
      <c r="K1308" t="s">
        <v>124</v>
      </c>
    </row>
    <row r="1309" spans="2:11">
      <c r="B1309" t="s">
        <v>679</v>
      </c>
      <c r="K1309" t="s">
        <v>1029</v>
      </c>
    </row>
    <row r="1310" spans="2:11">
      <c r="B1310" t="s">
        <v>683</v>
      </c>
      <c r="K1310" t="s">
        <v>1027</v>
      </c>
    </row>
    <row r="1311" spans="2:11">
      <c r="B1311" t="s">
        <v>5642</v>
      </c>
      <c r="K1311" t="s">
        <v>1898</v>
      </c>
    </row>
    <row r="1312" spans="2:11">
      <c r="B1312" t="s">
        <v>2215</v>
      </c>
      <c r="K1312" t="s">
        <v>1032</v>
      </c>
    </row>
    <row r="1313" spans="2:11">
      <c r="B1313" t="s">
        <v>5609</v>
      </c>
      <c r="K1313" t="s">
        <v>1031</v>
      </c>
    </row>
    <row r="1314" spans="2:11">
      <c r="B1314" t="s">
        <v>2048</v>
      </c>
      <c r="K1314" t="s">
        <v>3203</v>
      </c>
    </row>
    <row r="1315" spans="2:11">
      <c r="B1315" t="s">
        <v>2050</v>
      </c>
      <c r="K1315" t="s">
        <v>3205</v>
      </c>
    </row>
    <row r="1316" spans="2:11">
      <c r="B1316" t="s">
        <v>4483</v>
      </c>
      <c r="K1316" t="s">
        <v>4018</v>
      </c>
    </row>
    <row r="1317" spans="2:11">
      <c r="B1317" t="s">
        <v>5589</v>
      </c>
      <c r="K1317" t="s">
        <v>3208</v>
      </c>
    </row>
    <row r="1318" spans="2:11">
      <c r="B1318" t="s">
        <v>6241</v>
      </c>
      <c r="K1318" t="s">
        <v>3209</v>
      </c>
    </row>
    <row r="1319" spans="2:11">
      <c r="B1319" t="s">
        <v>6243</v>
      </c>
      <c r="K1319" t="s">
        <v>484</v>
      </c>
    </row>
    <row r="1320" spans="2:11">
      <c r="B1320" t="s">
        <v>6245</v>
      </c>
      <c r="K1320" t="s">
        <v>482</v>
      </c>
    </row>
    <row r="1321" spans="2:11">
      <c r="B1321" t="s">
        <v>6247</v>
      </c>
      <c r="K1321" t="s">
        <v>480</v>
      </c>
    </row>
    <row r="1322" spans="2:11">
      <c r="B1322" t="s">
        <v>6249</v>
      </c>
      <c r="K1322" t="s">
        <v>487</v>
      </c>
    </row>
    <row r="1323" spans="2:11">
      <c r="B1323" t="s">
        <v>6691</v>
      </c>
      <c r="K1323" t="s">
        <v>486</v>
      </c>
    </row>
    <row r="1324" spans="2:11">
      <c r="B1324" t="s">
        <v>6692</v>
      </c>
      <c r="K1324" t="s">
        <v>114</v>
      </c>
    </row>
    <row r="1325" spans="2:11">
      <c r="B1325" t="s">
        <v>6693</v>
      </c>
      <c r="K1325" t="s">
        <v>112</v>
      </c>
    </row>
    <row r="1326" spans="2:11">
      <c r="B1326" t="s">
        <v>6694</v>
      </c>
      <c r="K1326" t="s">
        <v>110</v>
      </c>
    </row>
    <row r="1327" spans="2:11">
      <c r="B1327" t="s">
        <v>6695</v>
      </c>
      <c r="K1327" t="s">
        <v>123</v>
      </c>
    </row>
    <row r="1328" spans="2:11">
      <c r="B1328" t="s">
        <v>6696</v>
      </c>
      <c r="K1328" t="s">
        <v>122</v>
      </c>
    </row>
    <row r="1329" spans="2:11">
      <c r="B1329" t="s">
        <v>2213</v>
      </c>
      <c r="K1329" t="s">
        <v>1040</v>
      </c>
    </row>
    <row r="1330" spans="2:11">
      <c r="B1330" t="s">
        <v>2212</v>
      </c>
      <c r="K1330" t="s">
        <v>1038</v>
      </c>
    </row>
    <row r="1331" spans="2:11">
      <c r="B1331" t="s">
        <v>5990</v>
      </c>
      <c r="K1331" t="s">
        <v>1899</v>
      </c>
    </row>
    <row r="1332" spans="2:11">
      <c r="B1332" t="s">
        <v>5992</v>
      </c>
      <c r="K1332" t="s">
        <v>1043</v>
      </c>
    </row>
    <row r="1333" spans="2:11">
      <c r="B1333" t="s">
        <v>6697</v>
      </c>
      <c r="K1333" t="s">
        <v>1042</v>
      </c>
    </row>
    <row r="1334" spans="2:11">
      <c r="B1334" t="s">
        <v>6014</v>
      </c>
      <c r="K1334" t="s">
        <v>3210</v>
      </c>
    </row>
    <row r="1335" spans="2:11">
      <c r="B1335" t="s">
        <v>6016</v>
      </c>
      <c r="K1335" t="s">
        <v>3212</v>
      </c>
    </row>
    <row r="1336" spans="2:11">
      <c r="B1336" t="s">
        <v>6018</v>
      </c>
      <c r="K1336" t="s">
        <v>4023</v>
      </c>
    </row>
    <row r="1337" spans="2:11">
      <c r="B1337" t="s">
        <v>6698</v>
      </c>
      <c r="K1337" t="s">
        <v>3215</v>
      </c>
    </row>
    <row r="1338" spans="2:11">
      <c r="B1338" t="s">
        <v>6020</v>
      </c>
      <c r="K1338" t="s">
        <v>3216</v>
      </c>
    </row>
    <row r="1339" spans="2:11">
      <c r="B1339" t="s">
        <v>6022</v>
      </c>
      <c r="K1339" t="s">
        <v>476</v>
      </c>
    </row>
    <row r="1340" spans="2:11">
      <c r="B1340" t="s">
        <v>6024</v>
      </c>
      <c r="K1340" t="s">
        <v>474</v>
      </c>
    </row>
    <row r="1341" spans="2:11">
      <c r="B1341" t="s">
        <v>6699</v>
      </c>
      <c r="K1341" t="s">
        <v>472</v>
      </c>
    </row>
    <row r="1342" spans="2:11">
      <c r="B1342" t="s">
        <v>6026</v>
      </c>
      <c r="K1342" t="s">
        <v>479</v>
      </c>
    </row>
    <row r="1343" spans="2:11">
      <c r="B1343" t="s">
        <v>6028</v>
      </c>
      <c r="K1343" t="s">
        <v>478</v>
      </c>
    </row>
    <row r="1344" spans="2:11">
      <c r="B1344" t="s">
        <v>6030</v>
      </c>
      <c r="K1344" t="s">
        <v>267</v>
      </c>
    </row>
    <row r="1345" spans="2:11">
      <c r="B1345" t="s">
        <v>6032</v>
      </c>
      <c r="K1345" t="s">
        <v>265</v>
      </c>
    </row>
    <row r="1346" spans="2:11">
      <c r="B1346" t="s">
        <v>6034</v>
      </c>
      <c r="K1346" t="s">
        <v>1896</v>
      </c>
    </row>
    <row r="1347" spans="2:11">
      <c r="B1347" t="s">
        <v>6700</v>
      </c>
      <c r="K1347" t="s">
        <v>270</v>
      </c>
    </row>
    <row r="1348" spans="2:11">
      <c r="B1348" t="s">
        <v>6036</v>
      </c>
      <c r="K1348" t="s">
        <v>269</v>
      </c>
    </row>
    <row r="1349" spans="2:11">
      <c r="B1349" t="s">
        <v>6701</v>
      </c>
      <c r="K1349" t="s">
        <v>456</v>
      </c>
    </row>
    <row r="1350" spans="2:11">
      <c r="B1350" t="s">
        <v>6038</v>
      </c>
      <c r="K1350" t="s">
        <v>454</v>
      </c>
    </row>
    <row r="1351" spans="2:11">
      <c r="B1351" t="s">
        <v>6702</v>
      </c>
      <c r="K1351" t="s">
        <v>1897</v>
      </c>
    </row>
    <row r="1352" spans="2:11">
      <c r="B1352" t="s">
        <v>6040</v>
      </c>
      <c r="K1352" t="s">
        <v>459</v>
      </c>
    </row>
    <row r="1353" spans="2:11">
      <c r="B1353" t="s">
        <v>6703</v>
      </c>
      <c r="K1353" t="s">
        <v>458</v>
      </c>
    </row>
    <row r="1354" spans="2:11">
      <c r="B1354" t="s">
        <v>6704</v>
      </c>
      <c r="K1354" t="s">
        <v>3597</v>
      </c>
    </row>
    <row r="1355" spans="2:11">
      <c r="B1355" t="s">
        <v>6705</v>
      </c>
      <c r="K1355" t="s">
        <v>3595</v>
      </c>
    </row>
    <row r="1356" spans="2:11">
      <c r="B1356" t="s">
        <v>6706</v>
      </c>
      <c r="K1356" t="s">
        <v>3593</v>
      </c>
    </row>
    <row r="1357" spans="2:11">
      <c r="B1357" t="s">
        <v>6211</v>
      </c>
      <c r="K1357" t="s">
        <v>4737</v>
      </c>
    </row>
    <row r="1358" spans="2:11">
      <c r="B1358" t="s">
        <v>6213</v>
      </c>
      <c r="K1358" t="s">
        <v>4736</v>
      </c>
    </row>
    <row r="1359" spans="2:11">
      <c r="B1359" t="s">
        <v>6215</v>
      </c>
      <c r="K1359" t="s">
        <v>3607</v>
      </c>
    </row>
    <row r="1360" spans="2:11">
      <c r="B1360" t="s">
        <v>6707</v>
      </c>
      <c r="K1360" t="s">
        <v>3605</v>
      </c>
    </row>
    <row r="1361" spans="2:11">
      <c r="B1361" t="s">
        <v>6255</v>
      </c>
      <c r="K1361" t="s">
        <v>3603</v>
      </c>
    </row>
    <row r="1362" spans="2:11">
      <c r="B1362" t="s">
        <v>6231</v>
      </c>
      <c r="K1362" t="s">
        <v>4739</v>
      </c>
    </row>
    <row r="1363" spans="2:11">
      <c r="B1363" t="s">
        <v>6233</v>
      </c>
      <c r="K1363" t="s">
        <v>4738</v>
      </c>
    </row>
    <row r="1364" spans="2:11">
      <c r="B1364" t="s">
        <v>6234</v>
      </c>
      <c r="K1364" t="s">
        <v>5955</v>
      </c>
    </row>
    <row r="1365" spans="2:11">
      <c r="B1365" t="s">
        <v>6708</v>
      </c>
      <c r="K1365" t="s">
        <v>5956</v>
      </c>
    </row>
    <row r="1366" spans="2:11">
      <c r="B1366" t="s">
        <v>6709</v>
      </c>
      <c r="K1366" t="s">
        <v>5957</v>
      </c>
    </row>
    <row r="1367" spans="2:11">
      <c r="B1367" t="s">
        <v>6710</v>
      </c>
      <c r="K1367" t="s">
        <v>1255</v>
      </c>
    </row>
    <row r="1368" spans="2:11">
      <c r="B1368" t="s">
        <v>6711</v>
      </c>
      <c r="K1368" t="s">
        <v>1256</v>
      </c>
    </row>
    <row r="1369" spans="2:11">
      <c r="B1369" t="s">
        <v>6712</v>
      </c>
      <c r="K1369" t="s">
        <v>5958</v>
      </c>
    </row>
    <row r="1370" spans="2:11">
      <c r="B1370" t="s">
        <v>6713</v>
      </c>
      <c r="K1370" t="s">
        <v>5959</v>
      </c>
    </row>
    <row r="1371" spans="2:11">
      <c r="B1371" t="s">
        <v>6714</v>
      </c>
      <c r="K1371" t="s">
        <v>5960</v>
      </c>
    </row>
    <row r="1372" spans="2:11">
      <c r="B1372" t="s">
        <v>6715</v>
      </c>
      <c r="K1372" t="s">
        <v>1257</v>
      </c>
    </row>
    <row r="1373" spans="2:11">
      <c r="B1373" t="s">
        <v>6716</v>
      </c>
      <c r="K1373" t="s">
        <v>1258</v>
      </c>
    </row>
    <row r="1374" spans="2:11">
      <c r="B1374" t="s">
        <v>6717</v>
      </c>
      <c r="K1374" t="s">
        <v>3585</v>
      </c>
    </row>
    <row r="1375" spans="2:11">
      <c r="B1375" t="s">
        <v>6718</v>
      </c>
      <c r="K1375" t="s">
        <v>3583</v>
      </c>
    </row>
    <row r="1376" spans="2:11">
      <c r="B1376" t="s">
        <v>6719</v>
      </c>
      <c r="K1376" t="s">
        <v>3581</v>
      </c>
    </row>
    <row r="1377" spans="2:11">
      <c r="B1377" t="s">
        <v>6720</v>
      </c>
      <c r="K1377" t="s">
        <v>3592</v>
      </c>
    </row>
    <row r="1378" spans="2:11">
      <c r="B1378" t="s">
        <v>6721</v>
      </c>
      <c r="K1378" t="s">
        <v>3591</v>
      </c>
    </row>
    <row r="1379" spans="2:11">
      <c r="B1379" t="s">
        <v>6722</v>
      </c>
      <c r="K1379" t="s">
        <v>354</v>
      </c>
    </row>
    <row r="1380" spans="2:11">
      <c r="B1380" t="s">
        <v>6723</v>
      </c>
      <c r="K1380" t="s">
        <v>352</v>
      </c>
    </row>
    <row r="1381" spans="2:11">
      <c r="B1381" t="s">
        <v>6724</v>
      </c>
      <c r="K1381" t="s">
        <v>350</v>
      </c>
    </row>
    <row r="1382" spans="2:11">
      <c r="B1382" t="s">
        <v>6725</v>
      </c>
      <c r="K1382" t="s">
        <v>357</v>
      </c>
    </row>
    <row r="1383" spans="2:11">
      <c r="B1383" t="s">
        <v>6726</v>
      </c>
      <c r="K1383" t="s">
        <v>356</v>
      </c>
    </row>
    <row r="1384" spans="2:11">
      <c r="B1384" t="s">
        <v>6727</v>
      </c>
      <c r="K1384" t="s">
        <v>1743</v>
      </c>
    </row>
    <row r="1385" spans="2:11">
      <c r="B1385" t="s">
        <v>6728</v>
      </c>
      <c r="K1385" t="s">
        <v>1741</v>
      </c>
    </row>
    <row r="1386" spans="2:11">
      <c r="B1386" t="s">
        <v>6729</v>
      </c>
      <c r="K1386" t="s">
        <v>1739</v>
      </c>
    </row>
    <row r="1387" spans="2:11">
      <c r="B1387" t="s">
        <v>6730</v>
      </c>
      <c r="K1387" t="s">
        <v>1746</v>
      </c>
    </row>
    <row r="1388" spans="2:11">
      <c r="B1388" t="s">
        <v>5994</v>
      </c>
      <c r="K1388" t="s">
        <v>1745</v>
      </c>
    </row>
    <row r="1389" spans="2:11">
      <c r="B1389" t="s">
        <v>5996</v>
      </c>
      <c r="K1389" t="s">
        <v>366</v>
      </c>
    </row>
    <row r="1390" spans="2:11">
      <c r="B1390" t="s">
        <v>6731</v>
      </c>
      <c r="K1390" t="s">
        <v>364</v>
      </c>
    </row>
    <row r="1391" spans="2:11">
      <c r="B1391" t="s">
        <v>6732</v>
      </c>
      <c r="K1391" t="s">
        <v>362</v>
      </c>
    </row>
    <row r="1392" spans="2:11">
      <c r="B1392" t="s">
        <v>6733</v>
      </c>
      <c r="K1392" t="s">
        <v>369</v>
      </c>
    </row>
    <row r="1393" spans="2:11">
      <c r="B1393" t="s">
        <v>6734</v>
      </c>
      <c r="K1393" t="s">
        <v>368</v>
      </c>
    </row>
    <row r="1394" spans="2:11">
      <c r="B1394" t="s">
        <v>6735</v>
      </c>
      <c r="K1394" t="s">
        <v>1769</v>
      </c>
    </row>
    <row r="1395" spans="2:11">
      <c r="B1395" t="s">
        <v>6736</v>
      </c>
      <c r="K1395" t="s">
        <v>1767</v>
      </c>
    </row>
    <row r="1396" spans="2:11">
      <c r="B1396" t="s">
        <v>6737</v>
      </c>
      <c r="K1396" t="s">
        <v>1765</v>
      </c>
    </row>
    <row r="1397" spans="2:11">
      <c r="B1397" t="s">
        <v>5998</v>
      </c>
      <c r="K1397" t="s">
        <v>1772</v>
      </c>
    </row>
    <row r="1398" spans="2:11">
      <c r="B1398" t="s">
        <v>6000</v>
      </c>
      <c r="K1398" t="s">
        <v>1771</v>
      </c>
    </row>
    <row r="1399" spans="2:11">
      <c r="B1399" t="s">
        <v>6002</v>
      </c>
      <c r="K1399" t="s">
        <v>464</v>
      </c>
    </row>
    <row r="1400" spans="2:11">
      <c r="B1400" t="s">
        <v>6004</v>
      </c>
      <c r="K1400" t="s">
        <v>462</v>
      </c>
    </row>
    <row r="1401" spans="2:11">
      <c r="B1401" t="s">
        <v>6738</v>
      </c>
      <c r="K1401" t="s">
        <v>460</v>
      </c>
    </row>
    <row r="1402" spans="2:11">
      <c r="B1402" t="s">
        <v>6739</v>
      </c>
      <c r="K1402" t="s">
        <v>471</v>
      </c>
    </row>
    <row r="1403" spans="2:11">
      <c r="B1403" t="s">
        <v>6740</v>
      </c>
      <c r="K1403" t="s">
        <v>470</v>
      </c>
    </row>
    <row r="1404" spans="2:11">
      <c r="B1404" t="s">
        <v>6741</v>
      </c>
      <c r="K1404" t="s">
        <v>2562</v>
      </c>
    </row>
    <row r="1405" spans="2:11">
      <c r="B1405" t="s">
        <v>6742</v>
      </c>
      <c r="K1405" t="s">
        <v>2560</v>
      </c>
    </row>
    <row r="1406" spans="2:11">
      <c r="B1406" t="s">
        <v>6743</v>
      </c>
      <c r="K1406" t="s">
        <v>2558</v>
      </c>
    </row>
    <row r="1407" spans="2:11">
      <c r="B1407" t="s">
        <v>6744</v>
      </c>
      <c r="K1407" t="s">
        <v>2565</v>
      </c>
    </row>
    <row r="1408" spans="2:11">
      <c r="B1408" t="s">
        <v>6745</v>
      </c>
      <c r="K1408" t="s">
        <v>2564</v>
      </c>
    </row>
    <row r="1409" spans="2:11">
      <c r="B1409" t="s">
        <v>6746</v>
      </c>
      <c r="K1409" t="s">
        <v>778</v>
      </c>
    </row>
    <row r="1410" spans="2:11">
      <c r="B1410" t="s">
        <v>6747</v>
      </c>
      <c r="K1410" t="s">
        <v>780</v>
      </c>
    </row>
    <row r="1411" spans="2:11">
      <c r="B1411" t="s">
        <v>6006</v>
      </c>
      <c r="K1411" t="s">
        <v>782</v>
      </c>
    </row>
    <row r="1412" spans="2:11">
      <c r="B1412" t="s">
        <v>6008</v>
      </c>
      <c r="K1412" t="s">
        <v>784</v>
      </c>
    </row>
    <row r="1413" spans="2:11">
      <c r="B1413" t="s">
        <v>6010</v>
      </c>
      <c r="K1413" t="s">
        <v>785</v>
      </c>
    </row>
    <row r="1414" spans="2:11">
      <c r="B1414" t="s">
        <v>6158</v>
      </c>
      <c r="K1414" t="s">
        <v>2463</v>
      </c>
    </row>
    <row r="1415" spans="2:11">
      <c r="B1415" t="s">
        <v>6160</v>
      </c>
      <c r="K1415" t="s">
        <v>2461</v>
      </c>
    </row>
    <row r="1416" spans="2:11">
      <c r="B1416" t="s">
        <v>6162</v>
      </c>
      <c r="K1416" t="s">
        <v>2459</v>
      </c>
    </row>
    <row r="1417" spans="2:11">
      <c r="B1417" t="s">
        <v>6164</v>
      </c>
      <c r="K1417" t="s">
        <v>2457</v>
      </c>
    </row>
    <row r="1418" spans="2:11">
      <c r="B1418" t="s">
        <v>6166</v>
      </c>
      <c r="K1418" t="s">
        <v>2470</v>
      </c>
    </row>
    <row r="1419" spans="2:11">
      <c r="B1419" t="s">
        <v>6168</v>
      </c>
      <c r="K1419" t="s">
        <v>2469</v>
      </c>
    </row>
    <row r="1420" spans="2:11">
      <c r="B1420" t="s">
        <v>6170</v>
      </c>
      <c r="K1420" t="s">
        <v>2477</v>
      </c>
    </row>
    <row r="1421" spans="2:11">
      <c r="B1421" t="s">
        <v>6172</v>
      </c>
      <c r="K1421" t="s">
        <v>2475</v>
      </c>
    </row>
    <row r="1422" spans="2:11">
      <c r="B1422" t="s">
        <v>6748</v>
      </c>
      <c r="K1422" t="s">
        <v>2473</v>
      </c>
    </row>
    <row r="1423" spans="2:11">
      <c r="B1423" t="s">
        <v>6749</v>
      </c>
      <c r="K1423" t="s">
        <v>2471</v>
      </c>
    </row>
    <row r="1424" spans="2:11">
      <c r="B1424" t="s">
        <v>6750</v>
      </c>
      <c r="K1424" t="s">
        <v>2484</v>
      </c>
    </row>
    <row r="1425" spans="2:11">
      <c r="B1425" t="s">
        <v>6192</v>
      </c>
      <c r="K1425" t="s">
        <v>2483</v>
      </c>
    </row>
    <row r="1426" spans="2:11">
      <c r="B1426" t="s">
        <v>6194</v>
      </c>
      <c r="K1426" t="s">
        <v>2179</v>
      </c>
    </row>
    <row r="1427" spans="2:11">
      <c r="B1427" t="s">
        <v>6196</v>
      </c>
      <c r="K1427" t="s">
        <v>2177</v>
      </c>
    </row>
    <row r="1428" spans="2:11">
      <c r="B1428" t="s">
        <v>6198</v>
      </c>
      <c r="K1428" t="s">
        <v>2175</v>
      </c>
    </row>
    <row r="1429" spans="2:11">
      <c r="B1429" t="s">
        <v>6200</v>
      </c>
      <c r="K1429" t="s">
        <v>2182</v>
      </c>
    </row>
    <row r="1430" spans="2:11">
      <c r="B1430" t="s">
        <v>6201</v>
      </c>
      <c r="K1430" t="s">
        <v>2181</v>
      </c>
    </row>
    <row r="1431" spans="2:11">
      <c r="B1431" t="s">
        <v>6202</v>
      </c>
      <c r="K1431" t="s">
        <v>2063</v>
      </c>
    </row>
    <row r="1432" spans="2:11">
      <c r="B1432" t="s">
        <v>6204</v>
      </c>
      <c r="K1432" t="s">
        <v>2061</v>
      </c>
    </row>
    <row r="1433" spans="2:11">
      <c r="B1433" t="s">
        <v>6012</v>
      </c>
      <c r="K1433" t="s">
        <v>2059</v>
      </c>
    </row>
    <row r="1434" spans="2:11">
      <c r="B1434" t="s">
        <v>6753</v>
      </c>
      <c r="K1434" t="s">
        <v>2188</v>
      </c>
    </row>
    <row r="1435" spans="2:11">
      <c r="B1435" t="s">
        <v>3998</v>
      </c>
      <c r="K1435" t="s">
        <v>2187</v>
      </c>
    </row>
    <row r="1436" spans="2:11">
      <c r="B1436" t="s">
        <v>3999</v>
      </c>
      <c r="K1436" t="s">
        <v>2692</v>
      </c>
    </row>
    <row r="1437" spans="2:11">
      <c r="B1437" t="s">
        <v>3997</v>
      </c>
      <c r="K1437" t="s">
        <v>2690</v>
      </c>
    </row>
    <row r="1438" spans="2:11">
      <c r="B1438" t="s">
        <v>3992</v>
      </c>
      <c r="K1438" t="s">
        <v>2688</v>
      </c>
    </row>
    <row r="1439" spans="2:11">
      <c r="B1439" t="s">
        <v>6042</v>
      </c>
      <c r="K1439" t="s">
        <v>2695</v>
      </c>
    </row>
    <row r="1440" spans="2:11">
      <c r="B1440" t="s">
        <v>6044</v>
      </c>
      <c r="K1440" t="s">
        <v>2694</v>
      </c>
    </row>
    <row r="1441" spans="2:11">
      <c r="B1441" t="s">
        <v>6046</v>
      </c>
      <c r="K1441" t="s">
        <v>5891</v>
      </c>
    </row>
    <row r="1442" spans="2:11">
      <c r="B1442" t="s">
        <v>6048</v>
      </c>
      <c r="K1442" t="s">
        <v>5890</v>
      </c>
    </row>
    <row r="1443" spans="2:11">
      <c r="B1443" t="s">
        <v>6754</v>
      </c>
      <c r="K1443" t="s">
        <v>5889</v>
      </c>
    </row>
    <row r="1444" spans="2:11">
      <c r="B1444" t="s">
        <v>6755</v>
      </c>
      <c r="K1444" t="s">
        <v>5893</v>
      </c>
    </row>
    <row r="1445" spans="2:11">
      <c r="B1445" t="s">
        <v>6050</v>
      </c>
      <c r="K1445" t="s">
        <v>5892</v>
      </c>
    </row>
    <row r="1446" spans="2:11">
      <c r="B1446" t="s">
        <v>6052</v>
      </c>
      <c r="K1446" t="s">
        <v>3613</v>
      </c>
    </row>
    <row r="1447" spans="2:11">
      <c r="B1447" t="s">
        <v>6054</v>
      </c>
      <c r="K1447" t="s">
        <v>3611</v>
      </c>
    </row>
    <row r="1448" spans="2:11">
      <c r="B1448" t="s">
        <v>6056</v>
      </c>
      <c r="K1448" t="s">
        <v>3609</v>
      </c>
    </row>
    <row r="1449" spans="2:11">
      <c r="B1449" t="s">
        <v>6058</v>
      </c>
      <c r="K1449" t="s">
        <v>3616</v>
      </c>
    </row>
    <row r="1450" spans="2:11">
      <c r="B1450" t="s">
        <v>6060</v>
      </c>
      <c r="K1450" t="s">
        <v>3615</v>
      </c>
    </row>
    <row r="1451" spans="2:11">
      <c r="B1451" t="s">
        <v>6062</v>
      </c>
      <c r="K1451" t="s">
        <v>5884</v>
      </c>
    </row>
    <row r="1452" spans="2:11">
      <c r="B1452" t="s">
        <v>6064</v>
      </c>
      <c r="K1452" t="s">
        <v>5883</v>
      </c>
    </row>
    <row r="1453" spans="2:11">
      <c r="B1453" t="s">
        <v>6066</v>
      </c>
      <c r="K1453" t="s">
        <v>5882</v>
      </c>
    </row>
    <row r="1454" spans="2:11">
      <c r="B1454" t="s">
        <v>6068</v>
      </c>
      <c r="K1454" t="s">
        <v>5886</v>
      </c>
    </row>
    <row r="1455" spans="2:11">
      <c r="B1455" t="s">
        <v>6070</v>
      </c>
      <c r="K1455" t="s">
        <v>5885</v>
      </c>
    </row>
    <row r="1456" spans="2:11">
      <c r="B1456" t="s">
        <v>6072</v>
      </c>
      <c r="K1456" t="s">
        <v>5022</v>
      </c>
    </row>
    <row r="1457" spans="2:11">
      <c r="B1457" t="s">
        <v>6074</v>
      </c>
      <c r="K1457" t="s">
        <v>5024</v>
      </c>
    </row>
    <row r="1458" spans="2:11">
      <c r="B1458" t="s">
        <v>6076</v>
      </c>
      <c r="K1458" t="s">
        <v>5026</v>
      </c>
    </row>
    <row r="1459" spans="2:11">
      <c r="B1459" t="s">
        <v>6078</v>
      </c>
      <c r="K1459" t="s">
        <v>5028</v>
      </c>
    </row>
    <row r="1460" spans="2:11">
      <c r="B1460" t="s">
        <v>6080</v>
      </c>
      <c r="K1460" t="s">
        <v>5029</v>
      </c>
    </row>
    <row r="1461" spans="2:11">
      <c r="B1461" t="s">
        <v>6082</v>
      </c>
      <c r="K1461" t="s">
        <v>3085</v>
      </c>
    </row>
    <row r="1462" spans="2:11">
      <c r="B1462" t="s">
        <v>6084</v>
      </c>
      <c r="K1462" t="s">
        <v>3087</v>
      </c>
    </row>
    <row r="1463" spans="2:11">
      <c r="B1463" t="s">
        <v>6086</v>
      </c>
      <c r="K1463" t="s">
        <v>3089</v>
      </c>
    </row>
    <row r="1464" spans="2:11">
      <c r="B1464" t="s">
        <v>6088</v>
      </c>
      <c r="K1464" t="s">
        <v>3091</v>
      </c>
    </row>
    <row r="1465" spans="2:11">
      <c r="B1465" t="s">
        <v>6090</v>
      </c>
      <c r="K1465" t="s">
        <v>3092</v>
      </c>
    </row>
    <row r="1466" spans="2:11">
      <c r="B1466" t="s">
        <v>6092</v>
      </c>
      <c r="K1466" t="s">
        <v>1894</v>
      </c>
    </row>
    <row r="1467" spans="2:11">
      <c r="B1467" t="s">
        <v>6094</v>
      </c>
      <c r="K1467" t="s">
        <v>4709</v>
      </c>
    </row>
    <row r="1468" spans="2:11">
      <c r="B1468" t="s">
        <v>6096</v>
      </c>
      <c r="K1468" t="s">
        <v>4711</v>
      </c>
    </row>
    <row r="1469" spans="2:11">
      <c r="B1469" t="s">
        <v>6098</v>
      </c>
      <c r="K1469" t="s">
        <v>4713</v>
      </c>
    </row>
    <row r="1470" spans="2:11">
      <c r="B1470" t="s">
        <v>6100</v>
      </c>
      <c r="K1470" t="s">
        <v>4715</v>
      </c>
    </row>
    <row r="1471" spans="2:11">
      <c r="B1471" t="s">
        <v>6102</v>
      </c>
      <c r="K1471" t="s">
        <v>4717</v>
      </c>
    </row>
    <row r="1472" spans="2:11">
      <c r="B1472" t="s">
        <v>6104</v>
      </c>
      <c r="K1472" t="s">
        <v>4719</v>
      </c>
    </row>
    <row r="1473" spans="2:11">
      <c r="B1473" t="s">
        <v>6106</v>
      </c>
      <c r="K1473" t="s">
        <v>4721</v>
      </c>
    </row>
    <row r="1474" spans="2:11">
      <c r="B1474" t="s">
        <v>6108</v>
      </c>
      <c r="K1474" t="s">
        <v>4723</v>
      </c>
    </row>
    <row r="1475" spans="2:11">
      <c r="B1475" t="s">
        <v>6110</v>
      </c>
      <c r="K1475" t="s">
        <v>5853</v>
      </c>
    </row>
    <row r="1476" spans="2:11">
      <c r="B1476" t="s">
        <v>6756</v>
      </c>
      <c r="K1476" t="s">
        <v>5854</v>
      </c>
    </row>
    <row r="1477" spans="2:11">
      <c r="B1477" t="s">
        <v>6111</v>
      </c>
      <c r="K1477" t="s">
        <v>5855</v>
      </c>
    </row>
    <row r="1478" spans="2:11">
      <c r="B1478" t="s">
        <v>6113</v>
      </c>
      <c r="K1478" t="s">
        <v>5857</v>
      </c>
    </row>
    <row r="1479" spans="2:11">
      <c r="B1479" t="s">
        <v>6115</v>
      </c>
      <c r="K1479" t="s">
        <v>5858</v>
      </c>
    </row>
    <row r="1480" spans="2:11">
      <c r="B1480" t="s">
        <v>6757</v>
      </c>
      <c r="K1480" t="s">
        <v>5856</v>
      </c>
    </row>
    <row r="1481" spans="2:11">
      <c r="B1481" t="s">
        <v>6758</v>
      </c>
      <c r="K1481" t="s">
        <v>5859</v>
      </c>
    </row>
    <row r="1482" spans="2:11">
      <c r="B1482" t="s">
        <v>6759</v>
      </c>
      <c r="K1482" t="s">
        <v>5860</v>
      </c>
    </row>
    <row r="1483" spans="2:11">
      <c r="B1483" t="s">
        <v>6117</v>
      </c>
      <c r="K1483" t="s">
        <v>5861</v>
      </c>
    </row>
    <row r="1484" spans="2:11">
      <c r="B1484" t="s">
        <v>6119</v>
      </c>
      <c r="K1484" t="s">
        <v>1892</v>
      </c>
    </row>
    <row r="1485" spans="2:11">
      <c r="B1485" t="s">
        <v>6121</v>
      </c>
      <c r="K1485" t="s">
        <v>1893</v>
      </c>
    </row>
    <row r="1486" spans="2:11">
      <c r="B1486" t="s">
        <v>6760</v>
      </c>
      <c r="K1486" t="s">
        <v>4727</v>
      </c>
    </row>
    <row r="1487" spans="2:11">
      <c r="B1487" t="s">
        <v>6761</v>
      </c>
      <c r="K1487" t="s">
        <v>4728</v>
      </c>
    </row>
    <row r="1488" spans="2:11">
      <c r="B1488" t="s">
        <v>6762</v>
      </c>
      <c r="K1488" t="s">
        <v>5403</v>
      </c>
    </row>
    <row r="1489" spans="2:11">
      <c r="B1489" t="s">
        <v>6763</v>
      </c>
      <c r="K1489" t="s">
        <v>5822</v>
      </c>
    </row>
    <row r="1490" spans="2:11">
      <c r="B1490" t="s">
        <v>6764</v>
      </c>
      <c r="K1490" t="s">
        <v>5865</v>
      </c>
    </row>
    <row r="1491" spans="2:11">
      <c r="B1491" t="s">
        <v>6765</v>
      </c>
      <c r="K1491" t="s">
        <v>4248</v>
      </c>
    </row>
    <row r="1492" spans="2:11">
      <c r="B1492" t="s">
        <v>6766</v>
      </c>
      <c r="K1492" t="s">
        <v>4250</v>
      </c>
    </row>
    <row r="1493" spans="2:11">
      <c r="B1493" t="s">
        <v>6767</v>
      </c>
      <c r="K1493" t="s">
        <v>2980</v>
      </c>
    </row>
    <row r="1494" spans="2:11">
      <c r="B1494" t="s">
        <v>6768</v>
      </c>
      <c r="K1494" t="s">
        <v>1895</v>
      </c>
    </row>
    <row r="1495" spans="2:11">
      <c r="B1495" t="s">
        <v>6769</v>
      </c>
      <c r="K1495" t="s">
        <v>2217</v>
      </c>
    </row>
    <row r="1496" spans="2:11">
      <c r="B1496" t="s">
        <v>6770</v>
      </c>
      <c r="K1496" t="s">
        <v>2219</v>
      </c>
    </row>
    <row r="1497" spans="2:11">
      <c r="B1497" t="s">
        <v>6771</v>
      </c>
      <c r="K1497" t="s">
        <v>3320</v>
      </c>
    </row>
    <row r="1498" spans="2:11">
      <c r="B1498" t="s">
        <v>6772</v>
      </c>
      <c r="K1498" t="s">
        <v>5866</v>
      </c>
    </row>
    <row r="1499" spans="2:11">
      <c r="B1499" t="s">
        <v>6773</v>
      </c>
      <c r="K1499" t="s">
        <v>5867</v>
      </c>
    </row>
    <row r="1500" spans="2:11">
      <c r="B1500" t="s">
        <v>6774</v>
      </c>
      <c r="K1500" t="s">
        <v>2221</v>
      </c>
    </row>
    <row r="1501" spans="2:11">
      <c r="B1501" t="s">
        <v>6775</v>
      </c>
      <c r="K1501" t="s">
        <v>2223</v>
      </c>
    </row>
    <row r="1502" spans="2:11">
      <c r="B1502" t="s">
        <v>6776</v>
      </c>
      <c r="K1502" t="s">
        <v>2225</v>
      </c>
    </row>
    <row r="1503" spans="2:11">
      <c r="B1503" t="s">
        <v>6777</v>
      </c>
      <c r="K1503" t="s">
        <v>2227</v>
      </c>
    </row>
    <row r="1504" spans="2:11">
      <c r="B1504" t="s">
        <v>6778</v>
      </c>
      <c r="K1504" t="s">
        <v>5030</v>
      </c>
    </row>
    <row r="1505" spans="2:11">
      <c r="B1505" t="s">
        <v>6779</v>
      </c>
      <c r="K1505" t="s">
        <v>2229</v>
      </c>
    </row>
    <row r="1506" spans="2:11">
      <c r="B1506" t="s">
        <v>6780</v>
      </c>
      <c r="K1506" t="s">
        <v>2361</v>
      </c>
    </row>
    <row r="1507" spans="2:11">
      <c r="B1507" t="s">
        <v>6781</v>
      </c>
      <c r="K1507" t="s">
        <v>2981</v>
      </c>
    </row>
    <row r="1508" spans="2:11">
      <c r="B1508" t="s">
        <v>6782</v>
      </c>
      <c r="K1508" t="s">
        <v>2983</v>
      </c>
    </row>
    <row r="1509" spans="2:11">
      <c r="B1509" t="s">
        <v>6783</v>
      </c>
      <c r="K1509" t="s">
        <v>5114</v>
      </c>
    </row>
    <row r="1510" spans="2:11">
      <c r="B1510" t="s">
        <v>6784</v>
      </c>
      <c r="K1510" t="s">
        <v>2985</v>
      </c>
    </row>
    <row r="1511" spans="2:11">
      <c r="B1511" t="s">
        <v>6785</v>
      </c>
      <c r="K1511" t="s">
        <v>4725</v>
      </c>
    </row>
    <row r="1512" spans="2:11">
      <c r="B1512" t="s">
        <v>6786</v>
      </c>
      <c r="K1512" t="s">
        <v>3948</v>
      </c>
    </row>
    <row r="1513" spans="2:11">
      <c r="B1513" t="s">
        <v>6787</v>
      </c>
      <c r="K1513" t="s">
        <v>2987</v>
      </c>
    </row>
    <row r="1514" spans="2:11">
      <c r="B1514" t="s">
        <v>6788</v>
      </c>
      <c r="K1514" t="s">
        <v>35</v>
      </c>
    </row>
    <row r="1515" spans="2:11">
      <c r="B1515" t="s">
        <v>6789</v>
      </c>
      <c r="K1515" t="s">
        <v>5852</v>
      </c>
    </row>
    <row r="1516" spans="2:11">
      <c r="B1516" t="s">
        <v>6790</v>
      </c>
      <c r="K1516" t="s">
        <v>5847</v>
      </c>
    </row>
    <row r="1517" spans="2:11">
      <c r="B1517" t="s">
        <v>6791</v>
      </c>
      <c r="K1517" t="s">
        <v>5846</v>
      </c>
    </row>
    <row r="1518" spans="2:11">
      <c r="B1518" t="s">
        <v>6792</v>
      </c>
      <c r="K1518" t="s">
        <v>5844</v>
      </c>
    </row>
    <row r="1519" spans="2:11">
      <c r="B1519" t="s">
        <v>6793</v>
      </c>
      <c r="K1519" t="s">
        <v>5851</v>
      </c>
    </row>
    <row r="1520" spans="2:11">
      <c r="B1520" t="s">
        <v>6794</v>
      </c>
      <c r="K1520" t="s">
        <v>5850</v>
      </c>
    </row>
    <row r="1521" spans="2:11">
      <c r="B1521" t="s">
        <v>6795</v>
      </c>
      <c r="K1521" t="s">
        <v>5845</v>
      </c>
    </row>
    <row r="1522" spans="2:11">
      <c r="B1522" t="s">
        <v>6796</v>
      </c>
      <c r="K1522" t="s">
        <v>3316</v>
      </c>
    </row>
    <row r="1523" spans="2:11">
      <c r="B1523" t="s">
        <v>6797</v>
      </c>
      <c r="K1523" t="s">
        <v>3318</v>
      </c>
    </row>
    <row r="1524" spans="2:11">
      <c r="B1524" t="s">
        <v>6798</v>
      </c>
      <c r="K1524" t="s">
        <v>2231</v>
      </c>
    </row>
    <row r="1525" spans="2:11">
      <c r="B1525" t="s">
        <v>6799</v>
      </c>
      <c r="K1525" t="s">
        <v>3866</v>
      </c>
    </row>
    <row r="1526" spans="2:11">
      <c r="B1526" t="s">
        <v>6800</v>
      </c>
      <c r="K1526" t="s">
        <v>3868</v>
      </c>
    </row>
    <row r="1527" spans="2:11">
      <c r="B1527" t="s">
        <v>6123</v>
      </c>
      <c r="K1527" t="s">
        <v>3870</v>
      </c>
    </row>
    <row r="1528" spans="2:11">
      <c r="B1528" t="s">
        <v>6125</v>
      </c>
      <c r="K1528" t="s">
        <v>3871</v>
      </c>
    </row>
    <row r="1529" spans="2:11">
      <c r="B1529" t="s">
        <v>6127</v>
      </c>
      <c r="K1529" t="s">
        <v>3873</v>
      </c>
    </row>
    <row r="1530" spans="2:11">
      <c r="B1530" t="s">
        <v>6129</v>
      </c>
      <c r="K1530" t="s">
        <v>3875</v>
      </c>
    </row>
    <row r="1531" spans="2:11">
      <c r="B1531" t="s">
        <v>6131</v>
      </c>
      <c r="K1531" t="s">
        <v>4730</v>
      </c>
    </row>
    <row r="1532" spans="2:11">
      <c r="B1532" t="s">
        <v>6133</v>
      </c>
      <c r="K1532" t="s">
        <v>4732</v>
      </c>
    </row>
    <row r="1533" spans="2:11">
      <c r="B1533" t="s">
        <v>6135</v>
      </c>
      <c r="K1533" t="s">
        <v>4734</v>
      </c>
    </row>
    <row r="1534" spans="2:11">
      <c r="B1534" t="s">
        <v>6136</v>
      </c>
      <c r="K1534" t="s">
        <v>3876</v>
      </c>
    </row>
    <row r="1535" spans="2:11">
      <c r="B1535" t="s">
        <v>6137</v>
      </c>
      <c r="K1535" t="s">
        <v>3877</v>
      </c>
    </row>
    <row r="1536" spans="2:11">
      <c r="B1536" t="s">
        <v>6138</v>
      </c>
      <c r="K1536" t="s">
        <v>3878</v>
      </c>
    </row>
    <row r="1537" spans="2:11">
      <c r="B1537" t="s">
        <v>6139</v>
      </c>
      <c r="K1537" t="s">
        <v>3880</v>
      </c>
    </row>
    <row r="1538" spans="2:11">
      <c r="B1538" t="s">
        <v>6140</v>
      </c>
      <c r="K1538" t="s">
        <v>3882</v>
      </c>
    </row>
    <row r="1539" spans="2:11">
      <c r="B1539" t="s">
        <v>6141</v>
      </c>
      <c r="K1539" t="s">
        <v>3883</v>
      </c>
    </row>
    <row r="1540" spans="2:11">
      <c r="B1540" t="s">
        <v>6142</v>
      </c>
      <c r="K1540" t="s">
        <v>3885</v>
      </c>
    </row>
    <row r="1541" spans="2:11">
      <c r="B1541" t="s">
        <v>6143</v>
      </c>
      <c r="K1541" t="s">
        <v>3887</v>
      </c>
    </row>
    <row r="1542" spans="2:11">
      <c r="B1542" t="s">
        <v>6144</v>
      </c>
      <c r="K1542" t="s">
        <v>33</v>
      </c>
    </row>
    <row r="1543" spans="2:11">
      <c r="B1543" t="s">
        <v>6146</v>
      </c>
      <c r="K1543" t="s">
        <v>5862</v>
      </c>
    </row>
    <row r="1544" spans="2:11">
      <c r="B1544" t="s">
        <v>6147</v>
      </c>
      <c r="K1544" t="s">
        <v>5863</v>
      </c>
    </row>
    <row r="1545" spans="2:11">
      <c r="B1545" t="s">
        <v>6148</v>
      </c>
      <c r="K1545" t="s">
        <v>5864</v>
      </c>
    </row>
    <row r="1546" spans="2:11">
      <c r="B1546" t="s">
        <v>6149</v>
      </c>
      <c r="K1546" t="s">
        <v>5873</v>
      </c>
    </row>
    <row r="1547" spans="2:11">
      <c r="B1547" t="s">
        <v>6151</v>
      </c>
      <c r="K1547" t="s">
        <v>5872</v>
      </c>
    </row>
    <row r="1548" spans="2:11">
      <c r="B1548" t="s">
        <v>6153</v>
      </c>
      <c r="K1548" t="s">
        <v>3841</v>
      </c>
    </row>
    <row r="1549" spans="2:11">
      <c r="B1549" t="s">
        <v>6155</v>
      </c>
      <c r="K1549" t="s">
        <v>5868</v>
      </c>
    </row>
    <row r="1550" spans="2:11">
      <c r="B1550" t="s">
        <v>6156</v>
      </c>
      <c r="K1550" t="s">
        <v>5869</v>
      </c>
    </row>
    <row r="1551" spans="2:11">
      <c r="B1551" t="s">
        <v>6178</v>
      </c>
      <c r="K1551" t="s">
        <v>5870</v>
      </c>
    </row>
    <row r="1552" spans="2:11">
      <c r="B1552" t="s">
        <v>6180</v>
      </c>
      <c r="K1552" t="s">
        <v>2720</v>
      </c>
    </row>
    <row r="1553" spans="2:11">
      <c r="B1553" t="s">
        <v>6182</v>
      </c>
      <c r="K1553" t="s">
        <v>2991</v>
      </c>
    </row>
    <row r="1554" spans="2:11">
      <c r="B1554" t="s">
        <v>6801</v>
      </c>
      <c r="K1554" t="s">
        <v>2993</v>
      </c>
    </row>
    <row r="1555" spans="2:11">
      <c r="B1555" t="s">
        <v>6802</v>
      </c>
      <c r="K1555" t="s">
        <v>2995</v>
      </c>
    </row>
    <row r="1556" spans="2:11">
      <c r="B1556" t="s">
        <v>6803</v>
      </c>
      <c r="K1556" t="s">
        <v>2718</v>
      </c>
    </row>
    <row r="1557" spans="2:11">
      <c r="B1557" t="s">
        <v>6804</v>
      </c>
      <c r="K1557" t="s">
        <v>2989</v>
      </c>
    </row>
    <row r="1558" spans="2:11">
      <c r="B1558" t="s">
        <v>6805</v>
      </c>
      <c r="K1558" t="s">
        <v>3005</v>
      </c>
    </row>
    <row r="1559" spans="2:11">
      <c r="B1559" t="s">
        <v>6806</v>
      </c>
      <c r="K1559" t="s">
        <v>3007</v>
      </c>
    </row>
    <row r="1560" spans="2:11">
      <c r="B1560" t="s">
        <v>6807</v>
      </c>
      <c r="K1560" t="s">
        <v>3009</v>
      </c>
    </row>
    <row r="1561" spans="2:11">
      <c r="B1561" t="s">
        <v>6808</v>
      </c>
      <c r="K1561" t="s">
        <v>3029</v>
      </c>
    </row>
    <row r="1562" spans="2:11">
      <c r="B1562" t="s">
        <v>6809</v>
      </c>
      <c r="K1562" t="s">
        <v>3027</v>
      </c>
    </row>
    <row r="1563" spans="2:11">
      <c r="B1563" t="s">
        <v>6186</v>
      </c>
      <c r="K1563" t="s">
        <v>3013</v>
      </c>
    </row>
    <row r="1564" spans="2:11">
      <c r="B1564" t="s">
        <v>6188</v>
      </c>
      <c r="K1564" t="s">
        <v>3015</v>
      </c>
    </row>
    <row r="1565" spans="2:11">
      <c r="B1565" t="s">
        <v>6190</v>
      </c>
      <c r="K1565" t="s">
        <v>3017</v>
      </c>
    </row>
    <row r="1566" spans="2:11">
      <c r="B1566" t="s">
        <v>6810</v>
      </c>
      <c r="K1566" t="s">
        <v>3019</v>
      </c>
    </row>
    <row r="1567" spans="2:11">
      <c r="B1567" t="s">
        <v>6811</v>
      </c>
      <c r="K1567" t="s">
        <v>3021</v>
      </c>
    </row>
    <row r="1568" spans="2:11">
      <c r="B1568" t="s">
        <v>6174</v>
      </c>
      <c r="K1568" t="s">
        <v>3011</v>
      </c>
    </row>
    <row r="1569" spans="2:11">
      <c r="B1569" t="s">
        <v>6176</v>
      </c>
      <c r="K1569" t="s">
        <v>3025</v>
      </c>
    </row>
    <row r="1570" spans="2:11">
      <c r="B1570" t="s">
        <v>6184</v>
      </c>
      <c r="K1570" t="s">
        <v>3023</v>
      </c>
    </row>
    <row r="1571" spans="2:11">
      <c r="B1571" t="s">
        <v>6812</v>
      </c>
      <c r="K1571" t="s">
        <v>3515</v>
      </c>
    </row>
    <row r="1572" spans="2:11">
      <c r="B1572" t="s">
        <v>6813</v>
      </c>
      <c r="K1572" t="s">
        <v>3513</v>
      </c>
    </row>
    <row r="1573" spans="2:11">
      <c r="B1573" t="s">
        <v>6206</v>
      </c>
      <c r="K1573" t="s">
        <v>3503</v>
      </c>
    </row>
    <row r="1574" spans="2:11">
      <c r="B1574" t="s">
        <v>6814</v>
      </c>
      <c r="K1574" t="s">
        <v>3505</v>
      </c>
    </row>
    <row r="1575" spans="2:11">
      <c r="B1575" t="s">
        <v>6815</v>
      </c>
      <c r="K1575" t="s">
        <v>3507</v>
      </c>
    </row>
    <row r="1576" spans="2:11">
      <c r="B1576" t="s">
        <v>6816</v>
      </c>
      <c r="K1576" t="s">
        <v>3511</v>
      </c>
    </row>
    <row r="1577" spans="2:11">
      <c r="B1577" t="s">
        <v>5197</v>
      </c>
      <c r="K1577" t="s">
        <v>3509</v>
      </c>
    </row>
    <row r="1578" spans="2:11">
      <c r="B1578" t="s">
        <v>6817</v>
      </c>
      <c r="K1578" t="s">
        <v>3519</v>
      </c>
    </row>
    <row r="1579" spans="2:11">
      <c r="B1579" t="s">
        <v>6818</v>
      </c>
      <c r="K1579" t="s">
        <v>3517</v>
      </c>
    </row>
    <row r="1580" spans="2:11">
      <c r="B1580" t="s">
        <v>6819</v>
      </c>
      <c r="K1580" t="s">
        <v>2997</v>
      </c>
    </row>
    <row r="1581" spans="2:11">
      <c r="B1581" t="s">
        <v>6820</v>
      </c>
      <c r="K1581" t="s">
        <v>2999</v>
      </c>
    </row>
    <row r="1582" spans="2:11">
      <c r="B1582" t="s">
        <v>6821</v>
      </c>
      <c r="K1582" t="s">
        <v>3003</v>
      </c>
    </row>
    <row r="1583" spans="2:11">
      <c r="B1583" t="s">
        <v>6822</v>
      </c>
      <c r="K1583" t="s">
        <v>3001</v>
      </c>
    </row>
    <row r="1584" spans="2:11">
      <c r="B1584" t="s">
        <v>6823</v>
      </c>
      <c r="K1584" t="s">
        <v>5871</v>
      </c>
    </row>
    <row r="1585" spans="2:11">
      <c r="B1585" t="s">
        <v>6824</v>
      </c>
      <c r="K1585" t="s">
        <v>170</v>
      </c>
    </row>
    <row r="1586" spans="2:11">
      <c r="B1586" t="s">
        <v>6825</v>
      </c>
      <c r="K1586" t="s">
        <v>6826</v>
      </c>
    </row>
    <row r="1587" spans="2:11">
      <c r="B1587" t="s">
        <v>6401</v>
      </c>
      <c r="K1587" t="s">
        <v>6827</v>
      </c>
    </row>
    <row r="1588" spans="2:11">
      <c r="B1588" t="s">
        <v>6403</v>
      </c>
      <c r="K1588" t="s">
        <v>6828</v>
      </c>
    </row>
    <row r="1589" spans="2:11">
      <c r="B1589" t="s">
        <v>6405</v>
      </c>
      <c r="K1589" t="s">
        <v>6829</v>
      </c>
    </row>
    <row r="1590" spans="2:11">
      <c r="B1590" t="s">
        <v>6407</v>
      </c>
      <c r="K1590" t="s">
        <v>6830</v>
      </c>
    </row>
    <row r="1591" spans="2:11">
      <c r="B1591" t="s">
        <v>6409</v>
      </c>
      <c r="K1591" t="s">
        <v>6831</v>
      </c>
    </row>
    <row r="1592" spans="2:11">
      <c r="B1592" t="s">
        <v>6411</v>
      </c>
      <c r="K1592" t="s">
        <v>6832</v>
      </c>
    </row>
    <row r="1593" spans="2:11">
      <c r="B1593" t="s">
        <v>6901</v>
      </c>
      <c r="K1593" t="s">
        <v>6833</v>
      </c>
    </row>
    <row r="1594" spans="2:11">
      <c r="B1594" t="s">
        <v>6671</v>
      </c>
      <c r="K1594" t="s">
        <v>6834</v>
      </c>
    </row>
    <row r="1595" spans="2:11">
      <c r="B1595" t="s">
        <v>6902</v>
      </c>
      <c r="K1595" t="s">
        <v>6835</v>
      </c>
    </row>
    <row r="1596" spans="2:11">
      <c r="B1596" t="s">
        <v>6673</v>
      </c>
      <c r="K1596" t="s">
        <v>6836</v>
      </c>
    </row>
    <row r="1597" spans="2:11">
      <c r="B1597" t="s">
        <v>6675</v>
      </c>
      <c r="K1597" t="s">
        <v>6837</v>
      </c>
    </row>
    <row r="1598" spans="2:11">
      <c r="B1598" t="s">
        <v>6677</v>
      </c>
      <c r="K1598" t="s">
        <v>6838</v>
      </c>
    </row>
    <row r="1599" spans="2:11">
      <c r="B1599" t="s">
        <v>6679</v>
      </c>
      <c r="K1599" t="s">
        <v>6839</v>
      </c>
    </row>
    <row r="1600" spans="2:11">
      <c r="B1600" t="s">
        <v>6681</v>
      </c>
      <c r="K1600" t="s">
        <v>6840</v>
      </c>
    </row>
    <row r="1601" spans="1:11">
      <c r="B1601" t="s">
        <v>6683</v>
      </c>
      <c r="K1601" t="s">
        <v>6841</v>
      </c>
    </row>
    <row r="1602" spans="1:11">
      <c r="B1602" t="s">
        <v>6685</v>
      </c>
      <c r="K1602" t="s">
        <v>6842</v>
      </c>
    </row>
    <row r="1603" spans="1:11">
      <c r="B1603" t="s">
        <v>6687</v>
      </c>
      <c r="K1603" t="s">
        <v>6843</v>
      </c>
    </row>
    <row r="1604" spans="1:11">
      <c r="B1604" t="s">
        <v>6689</v>
      </c>
      <c r="K1604" t="s">
        <v>6844</v>
      </c>
    </row>
    <row r="1605" spans="1:11">
      <c r="B1605" t="s">
        <v>8665</v>
      </c>
      <c r="K1605" t="s">
        <v>6845</v>
      </c>
    </row>
    <row r="1606" spans="1:11">
      <c r="B1606" t="s">
        <v>8667</v>
      </c>
      <c r="K1606" t="s">
        <v>6846</v>
      </c>
    </row>
    <row r="1607" spans="1:11">
      <c r="A1607" t="s">
        <v>5604</v>
      </c>
      <c r="K1607" t="s">
        <v>6847</v>
      </c>
    </row>
    <row r="1608" spans="1:11">
      <c r="A1608" t="s">
        <v>3621</v>
      </c>
      <c r="K1608" t="s">
        <v>6848</v>
      </c>
    </row>
    <row r="1609" spans="1:11">
      <c r="K1609" t="s">
        <v>6849</v>
      </c>
    </row>
    <row r="1610" spans="1:11">
      <c r="K1610" t="s">
        <v>6850</v>
      </c>
    </row>
    <row r="1611" spans="1:11">
      <c r="K1611" t="s">
        <v>6851</v>
      </c>
    </row>
    <row r="1612" spans="1:11">
      <c r="K1612" t="s">
        <v>6852</v>
      </c>
    </row>
    <row r="1613" spans="1:11">
      <c r="K1613" t="s">
        <v>6853</v>
      </c>
    </row>
    <row r="1614" spans="1:11">
      <c r="K1614" t="s">
        <v>6854</v>
      </c>
    </row>
    <row r="1615" spans="1:11">
      <c r="K1615" t="s">
        <v>6855</v>
      </c>
    </row>
    <row r="1616" spans="1:11">
      <c r="K1616" t="s">
        <v>6856</v>
      </c>
    </row>
    <row r="1617" spans="11:11">
      <c r="K1617" t="s">
        <v>6857</v>
      </c>
    </row>
    <row r="1618" spans="11:11">
      <c r="K1618" t="s">
        <v>6858</v>
      </c>
    </row>
    <row r="1619" spans="11:11">
      <c r="K1619" t="s">
        <v>6859</v>
      </c>
    </row>
    <row r="1620" spans="11:11">
      <c r="K1620" t="s">
        <v>6860</v>
      </c>
    </row>
    <row r="1621" spans="11:11">
      <c r="K1621" t="s">
        <v>6861</v>
      </c>
    </row>
    <row r="1622" spans="11:11">
      <c r="K1622" t="s">
        <v>6862</v>
      </c>
    </row>
    <row r="1623" spans="11:11">
      <c r="K1623" t="s">
        <v>6863</v>
      </c>
    </row>
    <row r="1624" spans="11:11">
      <c r="K1624" t="s">
        <v>6864</v>
      </c>
    </row>
    <row r="1625" spans="11:11">
      <c r="K1625" t="s">
        <v>6865</v>
      </c>
    </row>
    <row r="1626" spans="11:11">
      <c r="K1626" t="s">
        <v>6866</v>
      </c>
    </row>
    <row r="1627" spans="11:11">
      <c r="K1627" t="s">
        <v>6867</v>
      </c>
    </row>
    <row r="1628" spans="11:11">
      <c r="K1628" t="s">
        <v>6868</v>
      </c>
    </row>
    <row r="1629" spans="11:11">
      <c r="K1629" t="s">
        <v>6869</v>
      </c>
    </row>
    <row r="1630" spans="11:11">
      <c r="K1630" t="s">
        <v>6870</v>
      </c>
    </row>
    <row r="1631" spans="11:11">
      <c r="K1631" t="s">
        <v>6871</v>
      </c>
    </row>
    <row r="1632" spans="11:11">
      <c r="K1632" t="s">
        <v>6872</v>
      </c>
    </row>
    <row r="1633" spans="11:11">
      <c r="K1633" t="s">
        <v>6873</v>
      </c>
    </row>
    <row r="1634" spans="11:11">
      <c r="K1634" t="s">
        <v>6874</v>
      </c>
    </row>
    <row r="1635" spans="11:11">
      <c r="K1635" t="s">
        <v>6875</v>
      </c>
    </row>
    <row r="1636" spans="11:11">
      <c r="K1636" t="s">
        <v>6876</v>
      </c>
    </row>
    <row r="1637" spans="11:11">
      <c r="K1637" t="s">
        <v>6877</v>
      </c>
    </row>
    <row r="1638" spans="11:11">
      <c r="K1638" t="s">
        <v>6878</v>
      </c>
    </row>
    <row r="1639" spans="11:11">
      <c r="K1639" t="s">
        <v>6879</v>
      </c>
    </row>
    <row r="1640" spans="11:11">
      <c r="K1640" t="s">
        <v>6880</v>
      </c>
    </row>
    <row r="1641" spans="11:11">
      <c r="K1641" t="s">
        <v>6881</v>
      </c>
    </row>
    <row r="1642" spans="11:11">
      <c r="K1642" t="s">
        <v>6270</v>
      </c>
    </row>
    <row r="1643" spans="11:11">
      <c r="K1643" t="s">
        <v>6882</v>
      </c>
    </row>
    <row r="1644" spans="11:11">
      <c r="K1644" t="s">
        <v>6883</v>
      </c>
    </row>
    <row r="1645" spans="11:11">
      <c r="K1645" t="s">
        <v>6884</v>
      </c>
    </row>
    <row r="1646" spans="11:11">
      <c r="K1646" t="s">
        <v>6885</v>
      </c>
    </row>
    <row r="1647" spans="11:11">
      <c r="K1647" t="s">
        <v>6886</v>
      </c>
    </row>
    <row r="1648" spans="11:11">
      <c r="K1648" t="s">
        <v>6269</v>
      </c>
    </row>
    <row r="1649" spans="11:11">
      <c r="K1649" t="s">
        <v>6887</v>
      </c>
    </row>
    <row r="1650" spans="11:11">
      <c r="K1650" t="s">
        <v>6888</v>
      </c>
    </row>
    <row r="1651" spans="11:11">
      <c r="K1651" t="s">
        <v>6889</v>
      </c>
    </row>
    <row r="1652" spans="11:11">
      <c r="K1652" t="s">
        <v>6890</v>
      </c>
    </row>
    <row r="1653" spans="11:11">
      <c r="K1653" t="s">
        <v>6891</v>
      </c>
    </row>
    <row r="1654" spans="11:11">
      <c r="K1654" t="s">
        <v>6892</v>
      </c>
    </row>
    <row r="1655" spans="11:11">
      <c r="K1655" t="s">
        <v>6893</v>
      </c>
    </row>
    <row r="1656" spans="11:11">
      <c r="K1656" t="s">
        <v>6894</v>
      </c>
    </row>
    <row r="1657" spans="11:11">
      <c r="K1657" t="s">
        <v>6895</v>
      </c>
    </row>
    <row r="1658" spans="11:11">
      <c r="K1658" t="s">
        <v>6896</v>
      </c>
    </row>
    <row r="1659" spans="11:11">
      <c r="K1659" t="s">
        <v>6897</v>
      </c>
    </row>
    <row r="1660" spans="11:11">
      <c r="K1660" t="s">
        <v>6898</v>
      </c>
    </row>
    <row r="1661" spans="11:11">
      <c r="K1661" t="s">
        <v>6899</v>
      </c>
    </row>
    <row r="1662" spans="11:11">
      <c r="K1662" t="s">
        <v>6900</v>
      </c>
    </row>
    <row r="1663" spans="11:11">
      <c r="K1663" t="s">
        <v>6236</v>
      </c>
    </row>
    <row r="1664" spans="11:11">
      <c r="K1664" t="s">
        <v>6238</v>
      </c>
    </row>
    <row r="1665" spans="11:11">
      <c r="K1665" t="s">
        <v>6239</v>
      </c>
    </row>
    <row r="1666" spans="11:11">
      <c r="K1666" t="s">
        <v>7041</v>
      </c>
    </row>
    <row r="1667" spans="11:11">
      <c r="K1667" t="s">
        <v>7042</v>
      </c>
    </row>
    <row r="1668" spans="11:11">
      <c r="K1668" t="s">
        <v>7043</v>
      </c>
    </row>
    <row r="1669" spans="11:11">
      <c r="K1669" t="s">
        <v>7044</v>
      </c>
    </row>
    <row r="1670" spans="11:11">
      <c r="K1670" t="s">
        <v>7045</v>
      </c>
    </row>
    <row r="1671" spans="11:11">
      <c r="K1671" t="s">
        <v>7046</v>
      </c>
    </row>
    <row r="1672" spans="11:11">
      <c r="K1672" t="s">
        <v>7047</v>
      </c>
    </row>
    <row r="1673" spans="11:11">
      <c r="K1673" t="s">
        <v>7048</v>
      </c>
    </row>
    <row r="1674" spans="11:11">
      <c r="K1674" t="s">
        <v>7049</v>
      </c>
    </row>
    <row r="1675" spans="11:11">
      <c r="K1675" t="s">
        <v>7050</v>
      </c>
    </row>
    <row r="1676" spans="11:11">
      <c r="K1676" t="s">
        <v>7051</v>
      </c>
    </row>
    <row r="1677" spans="11:11">
      <c r="K1677" t="s">
        <v>7052</v>
      </c>
    </row>
    <row r="1678" spans="11:11">
      <c r="K1678" t="s">
        <v>7053</v>
      </c>
    </row>
    <row r="1679" spans="11:11">
      <c r="K1679" t="s">
        <v>7054</v>
      </c>
    </row>
    <row r="1680" spans="11:11">
      <c r="K1680" t="s">
        <v>7055</v>
      </c>
    </row>
    <row r="1681" spans="11:11">
      <c r="K1681" t="s">
        <v>7056</v>
      </c>
    </row>
    <row r="1682" spans="11:11">
      <c r="K1682" t="s">
        <v>6271</v>
      </c>
    </row>
    <row r="1683" spans="11:11">
      <c r="K1683" t="s">
        <v>6273</v>
      </c>
    </row>
    <row r="1684" spans="11:11">
      <c r="K1684" t="s">
        <v>6275</v>
      </c>
    </row>
    <row r="1685" spans="11:11">
      <c r="K1685" t="s">
        <v>6277</v>
      </c>
    </row>
    <row r="1686" spans="11:11">
      <c r="K1686" t="s">
        <v>6279</v>
      </c>
    </row>
    <row r="1687" spans="11:11">
      <c r="K1687" t="s">
        <v>6281</v>
      </c>
    </row>
    <row r="1688" spans="11:11">
      <c r="K1688" t="s">
        <v>7057</v>
      </c>
    </row>
    <row r="1689" spans="11:11">
      <c r="K1689" t="s">
        <v>7058</v>
      </c>
    </row>
    <row r="1690" spans="11:11">
      <c r="K1690" t="s">
        <v>7059</v>
      </c>
    </row>
    <row r="1691" spans="11:11">
      <c r="K1691" t="s">
        <v>6283</v>
      </c>
    </row>
    <row r="1692" spans="11:11">
      <c r="K1692" t="s">
        <v>6285</v>
      </c>
    </row>
    <row r="1693" spans="11:11">
      <c r="K1693" t="s">
        <v>6287</v>
      </c>
    </row>
    <row r="1694" spans="11:11">
      <c r="K1694" t="s">
        <v>6289</v>
      </c>
    </row>
    <row r="1695" spans="11:11">
      <c r="K1695" t="s">
        <v>6291</v>
      </c>
    </row>
    <row r="1696" spans="11:11">
      <c r="K1696" t="s">
        <v>6293</v>
      </c>
    </row>
    <row r="1697" spans="11:11">
      <c r="K1697" t="s">
        <v>6295</v>
      </c>
    </row>
    <row r="1698" spans="11:11">
      <c r="K1698" t="s">
        <v>6297</v>
      </c>
    </row>
    <row r="1699" spans="11:11">
      <c r="K1699" t="s">
        <v>6299</v>
      </c>
    </row>
    <row r="1700" spans="11:11">
      <c r="K1700" t="s">
        <v>6301</v>
      </c>
    </row>
    <row r="1701" spans="11:11">
      <c r="K1701" t="s">
        <v>6303</v>
      </c>
    </row>
    <row r="1702" spans="11:11">
      <c r="K1702" t="s">
        <v>6305</v>
      </c>
    </row>
    <row r="1703" spans="11:11">
      <c r="K1703" t="s">
        <v>6307</v>
      </c>
    </row>
    <row r="1704" spans="11:11">
      <c r="K1704" t="s">
        <v>6309</v>
      </c>
    </row>
    <row r="1705" spans="11:11">
      <c r="K1705" t="s">
        <v>6311</v>
      </c>
    </row>
    <row r="1706" spans="11:11">
      <c r="K1706" t="s">
        <v>6313</v>
      </c>
    </row>
    <row r="1707" spans="11:11">
      <c r="K1707" t="s">
        <v>6315</v>
      </c>
    </row>
    <row r="1708" spans="11:11">
      <c r="K1708" t="s">
        <v>6317</v>
      </c>
    </row>
    <row r="1709" spans="11:11">
      <c r="K1709" t="s">
        <v>7060</v>
      </c>
    </row>
    <row r="1710" spans="11:11">
      <c r="K1710" t="s">
        <v>7061</v>
      </c>
    </row>
    <row r="1711" spans="11:11">
      <c r="K1711" t="s">
        <v>7062</v>
      </c>
    </row>
    <row r="1712" spans="11:11">
      <c r="K1712" t="s">
        <v>6319</v>
      </c>
    </row>
    <row r="1713" spans="11:11">
      <c r="K1713" t="s">
        <v>6321</v>
      </c>
    </row>
    <row r="1714" spans="11:11">
      <c r="K1714" t="s">
        <v>6323</v>
      </c>
    </row>
    <row r="1715" spans="11:11">
      <c r="K1715" t="s">
        <v>6325</v>
      </c>
    </row>
    <row r="1716" spans="11:11">
      <c r="K1716" t="s">
        <v>6327</v>
      </c>
    </row>
    <row r="1717" spans="11:11">
      <c r="K1717" t="s">
        <v>6329</v>
      </c>
    </row>
    <row r="1718" spans="11:11">
      <c r="K1718" t="s">
        <v>7063</v>
      </c>
    </row>
    <row r="1719" spans="11:11">
      <c r="K1719" t="s">
        <v>7064</v>
      </c>
    </row>
    <row r="1720" spans="11:11">
      <c r="K1720" t="s">
        <v>7065</v>
      </c>
    </row>
    <row r="1721" spans="11:11">
      <c r="K1721" t="s">
        <v>7066</v>
      </c>
    </row>
    <row r="1722" spans="11:11">
      <c r="K1722" t="s">
        <v>7067</v>
      </c>
    </row>
    <row r="1723" spans="11:11">
      <c r="K1723" t="s">
        <v>7068</v>
      </c>
    </row>
    <row r="1724" spans="11:11">
      <c r="K1724" t="s">
        <v>7069</v>
      </c>
    </row>
    <row r="1725" spans="11:11">
      <c r="K1725" t="s">
        <v>7070</v>
      </c>
    </row>
    <row r="1726" spans="11:11">
      <c r="K1726" t="s">
        <v>7071</v>
      </c>
    </row>
    <row r="1727" spans="11:11">
      <c r="K1727" t="s">
        <v>7072</v>
      </c>
    </row>
    <row r="1728" spans="11:11">
      <c r="K1728" t="s">
        <v>7073</v>
      </c>
    </row>
    <row r="1729" spans="11:11">
      <c r="K1729" t="s">
        <v>7074</v>
      </c>
    </row>
    <row r="1730" spans="11:11">
      <c r="K1730" t="s">
        <v>7075</v>
      </c>
    </row>
    <row r="1731" spans="11:11">
      <c r="K1731" t="s">
        <v>7076</v>
      </c>
    </row>
    <row r="1732" spans="11:11">
      <c r="K1732" t="s">
        <v>7077</v>
      </c>
    </row>
    <row r="1733" spans="11:11">
      <c r="K1733" t="s">
        <v>7078</v>
      </c>
    </row>
    <row r="1734" spans="11:11">
      <c r="K1734" t="s">
        <v>7079</v>
      </c>
    </row>
    <row r="1735" spans="11:11">
      <c r="K1735" t="s">
        <v>7080</v>
      </c>
    </row>
    <row r="1736" spans="11:11">
      <c r="K1736" t="s">
        <v>7081</v>
      </c>
    </row>
    <row r="1737" spans="11:11">
      <c r="K1737" t="s">
        <v>7082</v>
      </c>
    </row>
    <row r="1738" spans="11:11">
      <c r="K1738" t="s">
        <v>7083</v>
      </c>
    </row>
    <row r="1739" spans="11:11">
      <c r="K1739" t="s">
        <v>7084</v>
      </c>
    </row>
    <row r="1740" spans="11:11">
      <c r="K1740" t="s">
        <v>7085</v>
      </c>
    </row>
    <row r="1741" spans="11:11">
      <c r="K1741" t="s">
        <v>7086</v>
      </c>
    </row>
    <row r="1742" spans="11:11">
      <c r="K1742" t="s">
        <v>7087</v>
      </c>
    </row>
    <row r="1743" spans="11:11">
      <c r="K1743" t="s">
        <v>7088</v>
      </c>
    </row>
    <row r="1744" spans="11:11">
      <c r="K1744" t="s">
        <v>7089</v>
      </c>
    </row>
    <row r="1745" spans="11:11">
      <c r="K1745" t="s">
        <v>7090</v>
      </c>
    </row>
    <row r="1746" spans="11:11">
      <c r="K1746" t="s">
        <v>7091</v>
      </c>
    </row>
    <row r="1747" spans="11:11">
      <c r="K1747" t="s">
        <v>7092</v>
      </c>
    </row>
    <row r="1748" spans="11:11">
      <c r="K1748" t="s">
        <v>6331</v>
      </c>
    </row>
    <row r="1749" spans="11:11">
      <c r="K1749" t="s">
        <v>6333</v>
      </c>
    </row>
    <row r="1750" spans="11:11">
      <c r="K1750" t="s">
        <v>6335</v>
      </c>
    </row>
    <row r="1751" spans="11:11">
      <c r="K1751" t="s">
        <v>6337</v>
      </c>
    </row>
    <row r="1752" spans="11:11">
      <c r="K1752" t="s">
        <v>6339</v>
      </c>
    </row>
    <row r="1753" spans="11:11">
      <c r="K1753" t="s">
        <v>6341</v>
      </c>
    </row>
    <row r="1754" spans="11:11">
      <c r="K1754" t="s">
        <v>6343</v>
      </c>
    </row>
    <row r="1755" spans="11:11">
      <c r="K1755" t="s">
        <v>6345</v>
      </c>
    </row>
    <row r="1756" spans="11:11">
      <c r="K1756" t="s">
        <v>6611</v>
      </c>
    </row>
    <row r="1757" spans="11:11">
      <c r="K1757" t="s">
        <v>6613</v>
      </c>
    </row>
    <row r="1758" spans="11:11">
      <c r="K1758" t="s">
        <v>6615</v>
      </c>
    </row>
    <row r="1759" spans="11:11">
      <c r="K1759" t="s">
        <v>6617</v>
      </c>
    </row>
    <row r="1760" spans="11:11">
      <c r="K1760" t="s">
        <v>6619</v>
      </c>
    </row>
    <row r="1761" spans="11:11">
      <c r="K1761" t="s">
        <v>6621</v>
      </c>
    </row>
    <row r="1762" spans="11:11">
      <c r="K1762" t="s">
        <v>6623</v>
      </c>
    </row>
    <row r="1763" spans="11:11">
      <c r="K1763" t="s">
        <v>6625</v>
      </c>
    </row>
    <row r="1764" spans="11:11">
      <c r="K1764" t="s">
        <v>6627</v>
      </c>
    </row>
    <row r="1765" spans="11:11">
      <c r="K1765" t="s">
        <v>6629</v>
      </c>
    </row>
    <row r="1766" spans="11:11">
      <c r="K1766" t="s">
        <v>6631</v>
      </c>
    </row>
    <row r="1767" spans="11:11">
      <c r="K1767" t="s">
        <v>6633</v>
      </c>
    </row>
    <row r="1768" spans="11:11">
      <c r="K1768" t="s">
        <v>6635</v>
      </c>
    </row>
    <row r="1769" spans="11:11">
      <c r="K1769" t="s">
        <v>6637</v>
      </c>
    </row>
    <row r="1770" spans="11:11">
      <c r="K1770" t="s">
        <v>6639</v>
      </c>
    </row>
    <row r="1771" spans="11:11">
      <c r="K1771" t="s">
        <v>6641</v>
      </c>
    </row>
    <row r="1772" spans="11:11">
      <c r="K1772" t="s">
        <v>6643</v>
      </c>
    </row>
    <row r="1773" spans="11:11">
      <c r="K1773" t="s">
        <v>6645</v>
      </c>
    </row>
    <row r="1774" spans="11:11">
      <c r="K1774" t="s">
        <v>6257</v>
      </c>
    </row>
    <row r="1775" spans="11:11">
      <c r="K1775" t="s">
        <v>6259</v>
      </c>
    </row>
    <row r="1776" spans="11:11">
      <c r="K1776" t="s">
        <v>6261</v>
      </c>
    </row>
    <row r="1777" spans="11:11">
      <c r="K1777" t="s">
        <v>6263</v>
      </c>
    </row>
    <row r="1778" spans="11:11">
      <c r="K1778" t="s">
        <v>6265</v>
      </c>
    </row>
    <row r="1779" spans="11:11">
      <c r="K1779" t="s">
        <v>6267</v>
      </c>
    </row>
    <row r="1780" spans="11:11">
      <c r="K1780" t="s">
        <v>7093</v>
      </c>
    </row>
    <row r="1781" spans="11:11">
      <c r="K1781" t="s">
        <v>7094</v>
      </c>
    </row>
    <row r="1782" spans="11:11">
      <c r="K1782" t="s">
        <v>7095</v>
      </c>
    </row>
    <row r="1783" spans="11:11">
      <c r="K1783" t="s">
        <v>7096</v>
      </c>
    </row>
    <row r="1784" spans="11:11">
      <c r="K1784" t="s">
        <v>7097</v>
      </c>
    </row>
    <row r="1785" spans="11:11">
      <c r="K1785" t="s">
        <v>7098</v>
      </c>
    </row>
    <row r="1786" spans="11:11">
      <c r="K1786" t="s">
        <v>7099</v>
      </c>
    </row>
    <row r="1787" spans="11:11">
      <c r="K1787" t="s">
        <v>7100</v>
      </c>
    </row>
    <row r="1788" spans="11:11">
      <c r="K1788" t="s">
        <v>6347</v>
      </c>
    </row>
    <row r="1789" spans="11:11">
      <c r="K1789" t="s">
        <v>6349</v>
      </c>
    </row>
    <row r="1790" spans="11:11">
      <c r="K1790" t="s">
        <v>6351</v>
      </c>
    </row>
    <row r="1791" spans="11:11">
      <c r="K1791" t="s">
        <v>6353</v>
      </c>
    </row>
    <row r="1792" spans="11:11">
      <c r="K1792" t="s">
        <v>7101</v>
      </c>
    </row>
    <row r="1793" spans="11:11">
      <c r="K1793" t="s">
        <v>7102</v>
      </c>
    </row>
    <row r="1794" spans="11:11">
      <c r="K1794" t="s">
        <v>6355</v>
      </c>
    </row>
    <row r="1795" spans="11:11">
      <c r="K1795" t="s">
        <v>6357</v>
      </c>
    </row>
    <row r="1796" spans="11:11">
      <c r="K1796" t="s">
        <v>6359</v>
      </c>
    </row>
    <row r="1797" spans="11:11">
      <c r="K1797" t="s">
        <v>6361</v>
      </c>
    </row>
    <row r="1798" spans="11:11">
      <c r="K1798" t="s">
        <v>6363</v>
      </c>
    </row>
    <row r="1799" spans="11:11">
      <c r="K1799" t="s">
        <v>6365</v>
      </c>
    </row>
    <row r="1800" spans="11:11">
      <c r="K1800" t="s">
        <v>6367</v>
      </c>
    </row>
    <row r="1801" spans="11:11">
      <c r="K1801" t="s">
        <v>6369</v>
      </c>
    </row>
    <row r="1802" spans="11:11">
      <c r="K1802" t="s">
        <v>6371</v>
      </c>
    </row>
    <row r="1803" spans="11:11">
      <c r="K1803" t="s">
        <v>6373</v>
      </c>
    </row>
    <row r="1804" spans="11:11">
      <c r="K1804" t="s">
        <v>6375</v>
      </c>
    </row>
    <row r="1805" spans="11:11">
      <c r="K1805" t="s">
        <v>6377</v>
      </c>
    </row>
    <row r="1806" spans="11:11">
      <c r="K1806" t="s">
        <v>402</v>
      </c>
    </row>
    <row r="1807" spans="11:11">
      <c r="K1807" t="s">
        <v>400</v>
      </c>
    </row>
    <row r="1808" spans="11:11">
      <c r="K1808" t="s">
        <v>6379</v>
      </c>
    </row>
    <row r="1809" spans="11:11">
      <c r="K1809" t="s">
        <v>6381</v>
      </c>
    </row>
    <row r="1810" spans="11:11">
      <c r="K1810" t="s">
        <v>6383</v>
      </c>
    </row>
    <row r="1811" spans="11:11">
      <c r="K1811" t="s">
        <v>6385</v>
      </c>
    </row>
    <row r="1812" spans="11:11">
      <c r="K1812" t="s">
        <v>6387</v>
      </c>
    </row>
    <row r="1813" spans="11:11">
      <c r="K1813" t="s">
        <v>6389</v>
      </c>
    </row>
    <row r="1814" spans="11:11">
      <c r="K1814" t="s">
        <v>7103</v>
      </c>
    </row>
    <row r="1815" spans="11:11">
      <c r="K1815" t="s">
        <v>7104</v>
      </c>
    </row>
    <row r="1816" spans="11:11">
      <c r="K1816" t="s">
        <v>7105</v>
      </c>
    </row>
    <row r="1817" spans="11:11">
      <c r="K1817" t="s">
        <v>7106</v>
      </c>
    </row>
    <row r="1818" spans="11:11">
      <c r="K1818" t="s">
        <v>7107</v>
      </c>
    </row>
    <row r="1819" spans="11:11">
      <c r="K1819" t="s">
        <v>7108</v>
      </c>
    </row>
    <row r="1820" spans="11:11">
      <c r="K1820" t="s">
        <v>7109</v>
      </c>
    </row>
    <row r="1821" spans="11:11">
      <c r="K1821" t="s">
        <v>7110</v>
      </c>
    </row>
    <row r="1822" spans="11:11">
      <c r="K1822" t="s">
        <v>7111</v>
      </c>
    </row>
    <row r="1823" spans="11:11">
      <c r="K1823" t="s">
        <v>7112</v>
      </c>
    </row>
    <row r="1824" spans="11:11">
      <c r="K1824" t="s">
        <v>7113</v>
      </c>
    </row>
    <row r="1825" spans="11:11">
      <c r="K1825" t="s">
        <v>7114</v>
      </c>
    </row>
    <row r="1826" spans="11:11">
      <c r="K1826" t="s">
        <v>7115</v>
      </c>
    </row>
    <row r="1827" spans="11:11">
      <c r="K1827" t="s">
        <v>7116</v>
      </c>
    </row>
    <row r="1828" spans="11:11">
      <c r="K1828" t="s">
        <v>7117</v>
      </c>
    </row>
    <row r="1829" spans="11:11">
      <c r="K1829" t="s">
        <v>7118</v>
      </c>
    </row>
    <row r="1830" spans="11:11">
      <c r="K1830" t="s">
        <v>6391</v>
      </c>
    </row>
    <row r="1831" spans="11:11">
      <c r="K1831" t="s">
        <v>6393</v>
      </c>
    </row>
    <row r="1832" spans="11:11">
      <c r="K1832" t="s">
        <v>6395</v>
      </c>
    </row>
    <row r="1833" spans="11:11">
      <c r="K1833" t="s">
        <v>6397</v>
      </c>
    </row>
    <row r="1834" spans="11:11">
      <c r="K1834" t="s">
        <v>6399</v>
      </c>
    </row>
    <row r="1835" spans="11:11">
      <c r="K1835" t="s">
        <v>6647</v>
      </c>
    </row>
    <row r="1836" spans="11:11">
      <c r="K1836" t="s">
        <v>6649</v>
      </c>
    </row>
    <row r="1837" spans="11:11">
      <c r="K1837" t="s">
        <v>6651</v>
      </c>
    </row>
    <row r="1838" spans="11:11">
      <c r="K1838" t="s">
        <v>6653</v>
      </c>
    </row>
    <row r="1839" spans="11:11">
      <c r="K1839" t="s">
        <v>6655</v>
      </c>
    </row>
    <row r="1840" spans="11:11">
      <c r="K1840" t="s">
        <v>6657</v>
      </c>
    </row>
    <row r="1841" spans="11:11">
      <c r="K1841" t="s">
        <v>6659</v>
      </c>
    </row>
    <row r="1842" spans="11:11">
      <c r="K1842" t="s">
        <v>6661</v>
      </c>
    </row>
    <row r="1843" spans="11:11">
      <c r="K1843" t="s">
        <v>6663</v>
      </c>
    </row>
    <row r="1844" spans="11:11">
      <c r="K1844" t="s">
        <v>6665</v>
      </c>
    </row>
    <row r="1845" spans="11:11">
      <c r="K1845" t="s">
        <v>6667</v>
      </c>
    </row>
    <row r="1846" spans="11:11">
      <c r="K1846" t="s">
        <v>6669</v>
      </c>
    </row>
    <row r="1847" spans="11:11">
      <c r="K1847" t="s">
        <v>7119</v>
      </c>
    </row>
    <row r="1848" spans="11:11">
      <c r="K1848" t="s">
        <v>7120</v>
      </c>
    </row>
    <row r="1849" spans="11:11">
      <c r="K1849" t="s">
        <v>7121</v>
      </c>
    </row>
    <row r="1850" spans="11:11">
      <c r="K1850" t="s">
        <v>7122</v>
      </c>
    </row>
    <row r="1851" spans="11:11">
      <c r="K1851" t="s">
        <v>7123</v>
      </c>
    </row>
    <row r="1852" spans="11:11">
      <c r="K1852" t="s">
        <v>7124</v>
      </c>
    </row>
    <row r="1853" spans="11:11">
      <c r="K1853" t="s">
        <v>7125</v>
      </c>
    </row>
    <row r="1854" spans="11:11">
      <c r="K1854" t="s">
        <v>7126</v>
      </c>
    </row>
    <row r="1855" spans="11:11">
      <c r="K1855" t="s">
        <v>7127</v>
      </c>
    </row>
    <row r="1856" spans="11:11">
      <c r="K1856" t="s">
        <v>7128</v>
      </c>
    </row>
    <row r="1857" spans="11:11">
      <c r="K1857" t="s">
        <v>7129</v>
      </c>
    </row>
    <row r="1858" spans="11:11">
      <c r="K1858" t="s">
        <v>7130</v>
      </c>
    </row>
    <row r="1859" spans="11:11">
      <c r="K1859" t="s">
        <v>7131</v>
      </c>
    </row>
    <row r="1860" spans="11:11">
      <c r="K1860" t="s">
        <v>7132</v>
      </c>
    </row>
    <row r="1861" spans="11:11">
      <c r="K1861" t="s">
        <v>7133</v>
      </c>
    </row>
    <row r="1862" spans="11:11">
      <c r="K1862" t="s">
        <v>7134</v>
      </c>
    </row>
    <row r="1863" spans="11:11">
      <c r="K1863" t="s">
        <v>7135</v>
      </c>
    </row>
    <row r="1864" spans="11:11">
      <c r="K1864" t="s">
        <v>7136</v>
      </c>
    </row>
    <row r="1865" spans="11:11">
      <c r="K1865" t="s">
        <v>7137</v>
      </c>
    </row>
    <row r="1866" spans="11:11">
      <c r="K1866" t="s">
        <v>7138</v>
      </c>
    </row>
    <row r="1867" spans="11:11">
      <c r="K1867" t="s">
        <v>7139</v>
      </c>
    </row>
    <row r="1868" spans="11:11">
      <c r="K1868" t="s">
        <v>7140</v>
      </c>
    </row>
    <row r="1869" spans="11:11">
      <c r="K1869" t="s">
        <v>7141</v>
      </c>
    </row>
    <row r="1870" spans="11:11">
      <c r="K1870" t="s">
        <v>7142</v>
      </c>
    </row>
    <row r="1871" spans="11:11">
      <c r="K1871" t="s">
        <v>7143</v>
      </c>
    </row>
    <row r="1872" spans="11:11">
      <c r="K1872" t="s">
        <v>7144</v>
      </c>
    </row>
    <row r="1873" spans="11:11">
      <c r="K1873" t="s">
        <v>7145</v>
      </c>
    </row>
    <row r="1874" spans="11:11">
      <c r="K1874" t="s">
        <v>7146</v>
      </c>
    </row>
    <row r="1875" spans="11:11">
      <c r="K1875" t="s">
        <v>7147</v>
      </c>
    </row>
    <row r="1876" spans="11:11">
      <c r="K1876" t="s">
        <v>7148</v>
      </c>
    </row>
    <row r="1877" spans="11:11">
      <c r="K1877" t="s">
        <v>7149</v>
      </c>
    </row>
    <row r="1878" spans="11:11">
      <c r="K1878" t="s">
        <v>7150</v>
      </c>
    </row>
    <row r="1879" spans="11:11">
      <c r="K1879" t="s">
        <v>7151</v>
      </c>
    </row>
    <row r="1880" spans="11:11">
      <c r="K1880" t="s">
        <v>7152</v>
      </c>
    </row>
    <row r="1881" spans="11:11">
      <c r="K1881" t="s">
        <v>7153</v>
      </c>
    </row>
    <row r="1882" spans="11:11">
      <c r="K1882" t="s">
        <v>7154</v>
      </c>
    </row>
    <row r="1883" spans="11:11">
      <c r="K1883" t="s">
        <v>7155</v>
      </c>
    </row>
    <row r="1884" spans="11:11">
      <c r="K1884" t="s">
        <v>7156</v>
      </c>
    </row>
    <row r="1885" spans="11:11">
      <c r="K1885" t="s">
        <v>7157</v>
      </c>
    </row>
    <row r="1886" spans="11:11">
      <c r="K1886" t="s">
        <v>7158</v>
      </c>
    </row>
    <row r="1887" spans="11:11">
      <c r="K1887" t="s">
        <v>7159</v>
      </c>
    </row>
    <row r="1888" spans="11:11">
      <c r="K1888" t="s">
        <v>7160</v>
      </c>
    </row>
    <row r="1889" spans="10:11">
      <c r="K1889" t="s">
        <v>7161</v>
      </c>
    </row>
    <row r="1890" spans="10:11">
      <c r="K1890" t="s">
        <v>7162</v>
      </c>
    </row>
    <row r="1891" spans="10:11">
      <c r="K1891" t="s">
        <v>7163</v>
      </c>
    </row>
    <row r="1892" spans="10:11">
      <c r="K1892" t="s">
        <v>7164</v>
      </c>
    </row>
    <row r="1893" spans="10:11">
      <c r="K1893" t="s">
        <v>7165</v>
      </c>
    </row>
    <row r="1894" spans="10:11">
      <c r="K1894" t="s">
        <v>7166</v>
      </c>
    </row>
    <row r="1895" spans="10:11">
      <c r="K1895" t="s">
        <v>7167</v>
      </c>
    </row>
    <row r="1896" spans="10:11">
      <c r="K1896" t="s">
        <v>7168</v>
      </c>
    </row>
    <row r="1897" spans="10:11">
      <c r="K1897" t="s">
        <v>7169</v>
      </c>
    </row>
    <row r="1898" spans="10:11">
      <c r="K1898" t="s">
        <v>7170</v>
      </c>
    </row>
    <row r="1899" spans="10:11">
      <c r="K1899" t="s">
        <v>7171</v>
      </c>
    </row>
    <row r="1900" spans="10:11">
      <c r="K1900" t="s">
        <v>7172</v>
      </c>
    </row>
    <row r="1901" spans="10:11">
      <c r="J1901" t="s">
        <v>3685</v>
      </c>
    </row>
    <row r="1902" spans="10:11">
      <c r="J1902" t="s">
        <v>3621</v>
      </c>
    </row>
  </sheetData>
  <phoneticPr fontId="4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A1A6-A110-7E4D-8BA3-2AE8485FB3E6}">
  <sheetPr>
    <tabColor rgb="FF92D050"/>
  </sheetPr>
  <dimension ref="A1:B510"/>
  <sheetViews>
    <sheetView workbookViewId="0">
      <pane ySplit="1" topLeftCell="A2" activePane="bottomLeft" state="frozen"/>
      <selection pane="bottomLeft" activeCell="B66" sqref="B66"/>
    </sheetView>
  </sheetViews>
  <sheetFormatPr defaultColWidth="11.42578125" defaultRowHeight="12.75"/>
  <cols>
    <col min="1" max="1" width="44" bestFit="1" customWidth="1"/>
    <col min="2" max="2" width="163.7109375" bestFit="1" customWidth="1"/>
  </cols>
  <sheetData>
    <row r="1" spans="1:2">
      <c r="A1" s="102" t="s">
        <v>34</v>
      </c>
      <c r="B1" s="102" t="s">
        <v>1</v>
      </c>
    </row>
    <row r="2" spans="1:2">
      <c r="A2" s="52" t="s">
        <v>9195</v>
      </c>
      <c r="B2" s="52" t="s">
        <v>9196</v>
      </c>
    </row>
    <row r="3" spans="1:2">
      <c r="A3" s="52" t="s">
        <v>9197</v>
      </c>
      <c r="B3" s="52" t="s">
        <v>9198</v>
      </c>
    </row>
    <row r="4" spans="1:2">
      <c r="A4" s="52" t="s">
        <v>9199</v>
      </c>
      <c r="B4" s="52" t="s">
        <v>9200</v>
      </c>
    </row>
    <row r="5" spans="1:2">
      <c r="A5" s="52" t="s">
        <v>9201</v>
      </c>
      <c r="B5" s="52" t="s">
        <v>9202</v>
      </c>
    </row>
    <row r="6" spans="1:2">
      <c r="A6" s="52" t="s">
        <v>9203</v>
      </c>
      <c r="B6" s="52" t="s">
        <v>9204</v>
      </c>
    </row>
    <row r="7" spans="1:2">
      <c r="A7" s="52" t="s">
        <v>9205</v>
      </c>
      <c r="B7" s="52" t="s">
        <v>9206</v>
      </c>
    </row>
    <row r="8" spans="1:2">
      <c r="A8" s="52" t="s">
        <v>9207</v>
      </c>
      <c r="B8" s="52" t="s">
        <v>9208</v>
      </c>
    </row>
    <row r="9" spans="1:2">
      <c r="A9" s="52" t="s">
        <v>9209</v>
      </c>
      <c r="B9" s="52" t="s">
        <v>9210</v>
      </c>
    </row>
    <row r="10" spans="1:2">
      <c r="A10" s="52" t="s">
        <v>9211</v>
      </c>
      <c r="B10" s="52" t="s">
        <v>9212</v>
      </c>
    </row>
    <row r="11" spans="1:2">
      <c r="A11" s="52" t="s">
        <v>9213</v>
      </c>
      <c r="B11" s="52" t="s">
        <v>9214</v>
      </c>
    </row>
    <row r="12" spans="1:2">
      <c r="A12" s="52" t="s">
        <v>9215</v>
      </c>
      <c r="B12" s="52" t="s">
        <v>9216</v>
      </c>
    </row>
    <row r="13" spans="1:2">
      <c r="A13" s="52" t="s">
        <v>9217</v>
      </c>
      <c r="B13" s="52" t="s">
        <v>9218</v>
      </c>
    </row>
    <row r="14" spans="1:2">
      <c r="A14" s="52" t="s">
        <v>9219</v>
      </c>
      <c r="B14" s="52" t="s">
        <v>9220</v>
      </c>
    </row>
    <row r="15" spans="1:2">
      <c r="A15" s="52" t="s">
        <v>9221</v>
      </c>
      <c r="B15" s="52" t="s">
        <v>9222</v>
      </c>
    </row>
    <row r="16" spans="1:2">
      <c r="A16" s="52" t="s">
        <v>9223</v>
      </c>
      <c r="B16" s="52" t="s">
        <v>9224</v>
      </c>
    </row>
    <row r="17" spans="1:2">
      <c r="A17" s="52" t="s">
        <v>9225</v>
      </c>
      <c r="B17" s="52" t="s">
        <v>9226</v>
      </c>
    </row>
    <row r="18" spans="1:2">
      <c r="A18" s="52" t="s">
        <v>9227</v>
      </c>
      <c r="B18" s="52" t="s">
        <v>9228</v>
      </c>
    </row>
    <row r="19" spans="1:2">
      <c r="A19" s="52" t="s">
        <v>9229</v>
      </c>
      <c r="B19" s="52" t="s">
        <v>9230</v>
      </c>
    </row>
    <row r="20" spans="1:2">
      <c r="A20" s="52" t="s">
        <v>9231</v>
      </c>
      <c r="B20" s="52" t="s">
        <v>9232</v>
      </c>
    </row>
    <row r="21" spans="1:2">
      <c r="A21" s="52" t="s">
        <v>9233</v>
      </c>
      <c r="B21" s="52" t="s">
        <v>9234</v>
      </c>
    </row>
    <row r="22" spans="1:2">
      <c r="A22" s="52" t="s">
        <v>9235</v>
      </c>
      <c r="B22" s="52" t="s">
        <v>9236</v>
      </c>
    </row>
    <row r="23" spans="1:2">
      <c r="A23" s="52" t="s">
        <v>9237</v>
      </c>
      <c r="B23" s="52" t="s">
        <v>9238</v>
      </c>
    </row>
    <row r="24" spans="1:2">
      <c r="A24" s="52" t="s">
        <v>9239</v>
      </c>
      <c r="B24" s="52" t="s">
        <v>9240</v>
      </c>
    </row>
    <row r="25" spans="1:2">
      <c r="A25" s="52" t="s">
        <v>9241</v>
      </c>
      <c r="B25" s="52" t="s">
        <v>9242</v>
      </c>
    </row>
    <row r="26" spans="1:2">
      <c r="A26" s="52" t="s">
        <v>9243</v>
      </c>
      <c r="B26" s="52" t="s">
        <v>9244</v>
      </c>
    </row>
    <row r="27" spans="1:2">
      <c r="A27" s="52" t="s">
        <v>9245</v>
      </c>
      <c r="B27" s="52" t="s">
        <v>9246</v>
      </c>
    </row>
    <row r="28" spans="1:2">
      <c r="A28" s="52" t="s">
        <v>9247</v>
      </c>
      <c r="B28" s="52" t="s">
        <v>9248</v>
      </c>
    </row>
    <row r="29" spans="1:2">
      <c r="A29" s="52" t="s">
        <v>9249</v>
      </c>
      <c r="B29" s="52" t="s">
        <v>9250</v>
      </c>
    </row>
    <row r="30" spans="1:2">
      <c r="A30" s="52" t="s">
        <v>9251</v>
      </c>
      <c r="B30" s="52" t="s">
        <v>9252</v>
      </c>
    </row>
    <row r="31" spans="1:2">
      <c r="A31" s="52" t="s">
        <v>9253</v>
      </c>
      <c r="B31" s="52" t="s">
        <v>9254</v>
      </c>
    </row>
    <row r="32" spans="1:2">
      <c r="A32" s="52" t="s">
        <v>9255</v>
      </c>
      <c r="B32" s="52" t="s">
        <v>9256</v>
      </c>
    </row>
    <row r="33" spans="1:2">
      <c r="A33" s="52" t="s">
        <v>9257</v>
      </c>
      <c r="B33" s="52" t="s">
        <v>9256</v>
      </c>
    </row>
    <row r="34" spans="1:2">
      <c r="A34" s="52" t="s">
        <v>9258</v>
      </c>
      <c r="B34" s="52" t="s">
        <v>9248</v>
      </c>
    </row>
    <row r="35" spans="1:2">
      <c r="A35" s="52" t="s">
        <v>9259</v>
      </c>
      <c r="B35" s="52" t="s">
        <v>9260</v>
      </c>
    </row>
    <row r="36" spans="1:2">
      <c r="A36" s="52" t="s">
        <v>9261</v>
      </c>
      <c r="B36" s="52" t="s">
        <v>9262</v>
      </c>
    </row>
    <row r="37" spans="1:2">
      <c r="A37" s="52" t="s">
        <v>9263</v>
      </c>
      <c r="B37" s="52" t="s">
        <v>9264</v>
      </c>
    </row>
    <row r="38" spans="1:2">
      <c r="A38" s="52" t="s">
        <v>9265</v>
      </c>
      <c r="B38" s="52" t="s">
        <v>9266</v>
      </c>
    </row>
    <row r="39" spans="1:2">
      <c r="A39" s="52" t="s">
        <v>9267</v>
      </c>
      <c r="B39" s="52" t="s">
        <v>9268</v>
      </c>
    </row>
    <row r="40" spans="1:2">
      <c r="A40" s="52" t="s">
        <v>9269</v>
      </c>
      <c r="B40" s="52" t="s">
        <v>9270</v>
      </c>
    </row>
    <row r="41" spans="1:2">
      <c r="A41" s="52" t="s">
        <v>9271</v>
      </c>
      <c r="B41" s="52" t="s">
        <v>9272</v>
      </c>
    </row>
    <row r="42" spans="1:2">
      <c r="A42" s="52" t="s">
        <v>2835</v>
      </c>
      <c r="B42" s="52" t="s">
        <v>9273</v>
      </c>
    </row>
    <row r="43" spans="1:2">
      <c r="A43" s="52" t="s">
        <v>2834</v>
      </c>
      <c r="B43" s="52" t="s">
        <v>9274</v>
      </c>
    </row>
    <row r="44" spans="1:2">
      <c r="A44" s="52" t="s">
        <v>9275</v>
      </c>
      <c r="B44" s="52" t="s">
        <v>9276</v>
      </c>
    </row>
    <row r="45" spans="1:2">
      <c r="A45" s="52" t="s">
        <v>9277</v>
      </c>
      <c r="B45" s="52" t="s">
        <v>9278</v>
      </c>
    </row>
    <row r="46" spans="1:2">
      <c r="A46" s="52" t="s">
        <v>9275</v>
      </c>
      <c r="B46" s="52" t="s">
        <v>9276</v>
      </c>
    </row>
    <row r="47" spans="1:2">
      <c r="A47" s="52" t="s">
        <v>9279</v>
      </c>
      <c r="B47" s="52" t="s">
        <v>9280</v>
      </c>
    </row>
    <row r="48" spans="1:2">
      <c r="A48" s="52" t="s">
        <v>9281</v>
      </c>
      <c r="B48" s="52" t="s">
        <v>9282</v>
      </c>
    </row>
    <row r="49" spans="1:2">
      <c r="A49" s="52" t="s">
        <v>9283</v>
      </c>
      <c r="B49" s="52" t="s">
        <v>9284</v>
      </c>
    </row>
    <row r="50" spans="1:2">
      <c r="A50" s="52" t="s">
        <v>9285</v>
      </c>
      <c r="B50" s="52" t="s">
        <v>9284</v>
      </c>
    </row>
    <row r="51" spans="1:2">
      <c r="A51" s="52" t="s">
        <v>9286</v>
      </c>
      <c r="B51" s="52" t="s">
        <v>9287</v>
      </c>
    </row>
    <row r="52" spans="1:2">
      <c r="A52" s="52" t="s">
        <v>9288</v>
      </c>
      <c r="B52" s="52" t="s">
        <v>9289</v>
      </c>
    </row>
    <row r="53" spans="1:2">
      <c r="A53" s="52" t="s">
        <v>9290</v>
      </c>
      <c r="B53" s="52" t="s">
        <v>9291</v>
      </c>
    </row>
    <row r="54" spans="1:2">
      <c r="A54" s="52" t="s">
        <v>9292</v>
      </c>
      <c r="B54" s="52" t="s">
        <v>9293</v>
      </c>
    </row>
    <row r="55" spans="1:2">
      <c r="A55" s="52" t="s">
        <v>9294</v>
      </c>
      <c r="B55" s="52" t="s">
        <v>9295</v>
      </c>
    </row>
    <row r="56" spans="1:2">
      <c r="A56" s="52" t="s">
        <v>9296</v>
      </c>
      <c r="B56" s="52" t="s">
        <v>9297</v>
      </c>
    </row>
    <row r="57" spans="1:2">
      <c r="A57" s="52" t="s">
        <v>9298</v>
      </c>
      <c r="B57" s="52" t="s">
        <v>9293</v>
      </c>
    </row>
    <row r="58" spans="1:2">
      <c r="A58" s="52" t="s">
        <v>9299</v>
      </c>
      <c r="B58" s="52" t="s">
        <v>9300</v>
      </c>
    </row>
    <row r="59" spans="1:2">
      <c r="A59" s="52" t="s">
        <v>9301</v>
      </c>
      <c r="B59" s="52" t="s">
        <v>9302</v>
      </c>
    </row>
    <row r="60" spans="1:2">
      <c r="A60" s="52" t="s">
        <v>9303</v>
      </c>
      <c r="B60" s="52" t="s">
        <v>9304</v>
      </c>
    </row>
    <row r="61" spans="1:2">
      <c r="A61" s="52" t="s">
        <v>9305</v>
      </c>
      <c r="B61" s="52" t="s">
        <v>9293</v>
      </c>
    </row>
    <row r="62" spans="1:2">
      <c r="A62" s="52" t="s">
        <v>9306</v>
      </c>
      <c r="B62" s="52" t="s">
        <v>9307</v>
      </c>
    </row>
    <row r="63" spans="1:2">
      <c r="A63" s="52" t="s">
        <v>9308</v>
      </c>
      <c r="B63" s="52" t="s">
        <v>9309</v>
      </c>
    </row>
    <row r="64" spans="1:2">
      <c r="A64" s="52" t="s">
        <v>9310</v>
      </c>
      <c r="B64" s="52" t="s">
        <v>9311</v>
      </c>
    </row>
    <row r="65" spans="1:2">
      <c r="A65" s="52" t="s">
        <v>9312</v>
      </c>
      <c r="B65" s="52" t="s">
        <v>9313</v>
      </c>
    </row>
    <row r="66" spans="1:2">
      <c r="A66" s="52" t="s">
        <v>9314</v>
      </c>
      <c r="B66" s="52" t="s">
        <v>9315</v>
      </c>
    </row>
    <row r="67" spans="1:2">
      <c r="A67" s="52" t="s">
        <v>9316</v>
      </c>
      <c r="B67" s="52" t="s">
        <v>9315</v>
      </c>
    </row>
    <row r="68" spans="1:2">
      <c r="A68" s="52" t="s">
        <v>9317</v>
      </c>
      <c r="B68" s="52" t="s">
        <v>9318</v>
      </c>
    </row>
    <row r="69" spans="1:2">
      <c r="A69" s="52" t="s">
        <v>9319</v>
      </c>
      <c r="B69" s="52" t="s">
        <v>9320</v>
      </c>
    </row>
    <row r="70" spans="1:2">
      <c r="A70" s="52" t="s">
        <v>9321</v>
      </c>
      <c r="B70" s="52" t="s">
        <v>9322</v>
      </c>
    </row>
    <row r="71" spans="1:2">
      <c r="A71" s="52" t="s">
        <v>9323</v>
      </c>
      <c r="B71" s="52" t="s">
        <v>9324</v>
      </c>
    </row>
    <row r="72" spans="1:2">
      <c r="A72" s="52" t="s">
        <v>9325</v>
      </c>
      <c r="B72" s="52" t="s">
        <v>9326</v>
      </c>
    </row>
    <row r="73" spans="1:2">
      <c r="A73" s="52" t="s">
        <v>9327</v>
      </c>
      <c r="B73" s="52" t="s">
        <v>9328</v>
      </c>
    </row>
    <row r="74" spans="1:2">
      <c r="A74" s="52" t="s">
        <v>9329</v>
      </c>
      <c r="B74" s="52" t="s">
        <v>9330</v>
      </c>
    </row>
    <row r="75" spans="1:2">
      <c r="A75" s="52" t="s">
        <v>9331</v>
      </c>
      <c r="B75" s="52" t="s">
        <v>9332</v>
      </c>
    </row>
    <row r="76" spans="1:2">
      <c r="A76" s="52" t="s">
        <v>9333</v>
      </c>
      <c r="B76" s="52" t="s">
        <v>9334</v>
      </c>
    </row>
    <row r="77" spans="1:2">
      <c r="A77" s="52" t="s">
        <v>9335</v>
      </c>
      <c r="B77" s="52" t="s">
        <v>9336</v>
      </c>
    </row>
    <row r="78" spans="1:2">
      <c r="A78" s="52" t="s">
        <v>9337</v>
      </c>
      <c r="B78" s="52" t="s">
        <v>9338</v>
      </c>
    </row>
    <row r="79" spans="1:2">
      <c r="A79" s="52" t="s">
        <v>9339</v>
      </c>
      <c r="B79" s="52" t="s">
        <v>9340</v>
      </c>
    </row>
    <row r="80" spans="1:2">
      <c r="A80" s="52" t="s">
        <v>9341</v>
      </c>
      <c r="B80" s="52" t="s">
        <v>9342</v>
      </c>
    </row>
    <row r="81" spans="1:2">
      <c r="A81" s="52" t="s">
        <v>9343</v>
      </c>
      <c r="B81" s="52" t="s">
        <v>9344</v>
      </c>
    </row>
    <row r="82" spans="1:2">
      <c r="A82" s="52" t="s">
        <v>9345</v>
      </c>
      <c r="B82" s="52" t="s">
        <v>9346</v>
      </c>
    </row>
    <row r="83" spans="1:2">
      <c r="A83" s="52" t="s">
        <v>9347</v>
      </c>
      <c r="B83" s="52" t="s">
        <v>9348</v>
      </c>
    </row>
    <row r="84" spans="1:2">
      <c r="A84" s="52" t="s">
        <v>9349</v>
      </c>
      <c r="B84" s="52" t="s">
        <v>9350</v>
      </c>
    </row>
    <row r="85" spans="1:2">
      <c r="A85" s="52" t="s">
        <v>9351</v>
      </c>
      <c r="B85" s="52" t="s">
        <v>9352</v>
      </c>
    </row>
    <row r="86" spans="1:2">
      <c r="A86" s="52" t="s">
        <v>9353</v>
      </c>
      <c r="B86" s="52" t="s">
        <v>9354</v>
      </c>
    </row>
    <row r="87" spans="1:2">
      <c r="A87" s="52" t="s">
        <v>9355</v>
      </c>
      <c r="B87" s="52" t="s">
        <v>9356</v>
      </c>
    </row>
    <row r="88" spans="1:2">
      <c r="A88" s="52" t="s">
        <v>9357</v>
      </c>
      <c r="B88" s="52" t="s">
        <v>9358</v>
      </c>
    </row>
    <row r="89" spans="1:2">
      <c r="A89" s="52" t="s">
        <v>9359</v>
      </c>
      <c r="B89" s="52" t="s">
        <v>9360</v>
      </c>
    </row>
    <row r="90" spans="1:2">
      <c r="A90" s="52" t="s">
        <v>9361</v>
      </c>
      <c r="B90" s="52" t="s">
        <v>9362</v>
      </c>
    </row>
    <row r="91" spans="1:2">
      <c r="A91" s="52" t="s">
        <v>9363</v>
      </c>
      <c r="B91" s="52" t="s">
        <v>9364</v>
      </c>
    </row>
    <row r="92" spans="1:2">
      <c r="A92" s="52" t="s">
        <v>9365</v>
      </c>
      <c r="B92" s="52" t="s">
        <v>9366</v>
      </c>
    </row>
    <row r="93" spans="1:2">
      <c r="A93" s="52" t="s">
        <v>9367</v>
      </c>
      <c r="B93" s="52" t="s">
        <v>9368</v>
      </c>
    </row>
    <row r="94" spans="1:2">
      <c r="A94" s="52" t="s">
        <v>9369</v>
      </c>
      <c r="B94" s="52" t="s">
        <v>9370</v>
      </c>
    </row>
    <row r="95" spans="1:2">
      <c r="A95" s="52" t="s">
        <v>9371</v>
      </c>
      <c r="B95" s="52" t="s">
        <v>9372</v>
      </c>
    </row>
    <row r="96" spans="1:2">
      <c r="A96" s="52" t="s">
        <v>9373</v>
      </c>
      <c r="B96" s="52" t="s">
        <v>9374</v>
      </c>
    </row>
    <row r="97" spans="1:2">
      <c r="A97" s="52" t="s">
        <v>9375</v>
      </c>
      <c r="B97" s="52" t="s">
        <v>9376</v>
      </c>
    </row>
    <row r="98" spans="1:2">
      <c r="A98" s="52" t="s">
        <v>9377</v>
      </c>
      <c r="B98" s="52" t="s">
        <v>9378</v>
      </c>
    </row>
    <row r="99" spans="1:2">
      <c r="A99" s="52" t="s">
        <v>9379</v>
      </c>
      <c r="B99" s="52" t="s">
        <v>9380</v>
      </c>
    </row>
    <row r="100" spans="1:2">
      <c r="A100" s="52" t="s">
        <v>9381</v>
      </c>
      <c r="B100" s="52" t="s">
        <v>9382</v>
      </c>
    </row>
    <row r="101" spans="1:2">
      <c r="A101" s="52" t="s">
        <v>9383</v>
      </c>
      <c r="B101" s="52" t="s">
        <v>9384</v>
      </c>
    </row>
    <row r="102" spans="1:2">
      <c r="A102" s="52" t="s">
        <v>9385</v>
      </c>
      <c r="B102" s="52" t="s">
        <v>9386</v>
      </c>
    </row>
    <row r="103" spans="1:2">
      <c r="A103" s="52" t="s">
        <v>9387</v>
      </c>
      <c r="B103" s="52" t="s">
        <v>9388</v>
      </c>
    </row>
    <row r="104" spans="1:2">
      <c r="A104" s="52" t="s">
        <v>9389</v>
      </c>
      <c r="B104" s="52" t="s">
        <v>9390</v>
      </c>
    </row>
    <row r="105" spans="1:2">
      <c r="A105" s="52" t="s">
        <v>9391</v>
      </c>
      <c r="B105" s="52" t="s">
        <v>9392</v>
      </c>
    </row>
    <row r="106" spans="1:2">
      <c r="A106" s="52" t="s">
        <v>9393</v>
      </c>
      <c r="B106" s="52" t="s">
        <v>9394</v>
      </c>
    </row>
    <row r="107" spans="1:2">
      <c r="A107" s="52" t="s">
        <v>9395</v>
      </c>
      <c r="B107" s="52" t="s">
        <v>9396</v>
      </c>
    </row>
    <row r="108" spans="1:2">
      <c r="A108" s="52" t="s">
        <v>9397</v>
      </c>
      <c r="B108" s="52" t="s">
        <v>9398</v>
      </c>
    </row>
    <row r="109" spans="1:2">
      <c r="A109" s="52" t="s">
        <v>9399</v>
      </c>
      <c r="B109" s="52" t="s">
        <v>9400</v>
      </c>
    </row>
    <row r="110" spans="1:2">
      <c r="A110" s="52" t="s">
        <v>9401</v>
      </c>
      <c r="B110" s="52" t="s">
        <v>9402</v>
      </c>
    </row>
    <row r="111" spans="1:2">
      <c r="A111" s="52" t="s">
        <v>9403</v>
      </c>
      <c r="B111" s="52" t="s">
        <v>9404</v>
      </c>
    </row>
    <row r="112" spans="1:2">
      <c r="A112" s="52" t="s">
        <v>9405</v>
      </c>
      <c r="B112" s="52" t="s">
        <v>9406</v>
      </c>
    </row>
    <row r="113" spans="1:2">
      <c r="A113" s="52" t="s">
        <v>9407</v>
      </c>
      <c r="B113" s="52" t="s">
        <v>9408</v>
      </c>
    </row>
    <row r="114" spans="1:2">
      <c r="A114" s="52" t="s">
        <v>9409</v>
      </c>
      <c r="B114" s="52" t="s">
        <v>9410</v>
      </c>
    </row>
    <row r="115" spans="1:2">
      <c r="A115" s="52" t="s">
        <v>9411</v>
      </c>
      <c r="B115" s="52" t="s">
        <v>9412</v>
      </c>
    </row>
    <row r="116" spans="1:2">
      <c r="A116" s="52" t="s">
        <v>9413</v>
      </c>
      <c r="B116" s="52" t="s">
        <v>9414</v>
      </c>
    </row>
    <row r="117" spans="1:2">
      <c r="A117" s="52" t="s">
        <v>9415</v>
      </c>
      <c r="B117" s="52" t="s">
        <v>9416</v>
      </c>
    </row>
    <row r="118" spans="1:2">
      <c r="A118" s="52" t="s">
        <v>9417</v>
      </c>
      <c r="B118" s="52" t="s">
        <v>9418</v>
      </c>
    </row>
    <row r="119" spans="1:2">
      <c r="A119" s="52" t="s">
        <v>9419</v>
      </c>
      <c r="B119" s="52" t="s">
        <v>9420</v>
      </c>
    </row>
    <row r="120" spans="1:2">
      <c r="A120" s="52" t="s">
        <v>9421</v>
      </c>
      <c r="B120" s="52" t="s">
        <v>9422</v>
      </c>
    </row>
    <row r="121" spans="1:2">
      <c r="A121" s="52" t="s">
        <v>9423</v>
      </c>
      <c r="B121" s="52" t="s">
        <v>9424</v>
      </c>
    </row>
    <row r="122" spans="1:2">
      <c r="A122" s="52" t="s">
        <v>9425</v>
      </c>
      <c r="B122" s="52" t="s">
        <v>9426</v>
      </c>
    </row>
    <row r="123" spans="1:2">
      <c r="A123" s="52" t="s">
        <v>9427</v>
      </c>
      <c r="B123" s="52" t="s">
        <v>9428</v>
      </c>
    </row>
    <row r="124" spans="1:2">
      <c r="A124" s="52" t="s">
        <v>9429</v>
      </c>
      <c r="B124" s="52" t="s">
        <v>9430</v>
      </c>
    </row>
    <row r="125" spans="1:2">
      <c r="A125" s="52" t="s">
        <v>9431</v>
      </c>
      <c r="B125" s="52" t="s">
        <v>9432</v>
      </c>
    </row>
    <row r="126" spans="1:2">
      <c r="A126" s="52" t="s">
        <v>9433</v>
      </c>
      <c r="B126" s="52" t="s">
        <v>9434</v>
      </c>
    </row>
    <row r="127" spans="1:2">
      <c r="A127" s="52" t="s">
        <v>9435</v>
      </c>
      <c r="B127" s="52" t="s">
        <v>9436</v>
      </c>
    </row>
    <row r="128" spans="1:2">
      <c r="A128" s="52" t="s">
        <v>9437</v>
      </c>
      <c r="B128" s="52" t="s">
        <v>9438</v>
      </c>
    </row>
    <row r="129" spans="1:2">
      <c r="A129" s="52" t="s">
        <v>9439</v>
      </c>
      <c r="B129" s="52" t="s">
        <v>9440</v>
      </c>
    </row>
    <row r="130" spans="1:2">
      <c r="A130" s="52" t="s">
        <v>9441</v>
      </c>
      <c r="B130" s="52" t="s">
        <v>9442</v>
      </c>
    </row>
    <row r="131" spans="1:2">
      <c r="A131" s="52" t="s">
        <v>9443</v>
      </c>
      <c r="B131" s="52" t="s">
        <v>9444</v>
      </c>
    </row>
    <row r="132" spans="1:2">
      <c r="A132" s="52" t="s">
        <v>9445</v>
      </c>
      <c r="B132" s="52" t="s">
        <v>9446</v>
      </c>
    </row>
    <row r="133" spans="1:2">
      <c r="A133" s="52" t="s">
        <v>9447</v>
      </c>
      <c r="B133" s="52" t="s">
        <v>9448</v>
      </c>
    </row>
    <row r="134" spans="1:2">
      <c r="A134" s="52" t="s">
        <v>9449</v>
      </c>
      <c r="B134" s="52" t="s">
        <v>9450</v>
      </c>
    </row>
    <row r="135" spans="1:2">
      <c r="A135" s="52" t="s">
        <v>9451</v>
      </c>
      <c r="B135" s="52" t="s">
        <v>9452</v>
      </c>
    </row>
    <row r="136" spans="1:2">
      <c r="A136" s="52" t="s">
        <v>9453</v>
      </c>
      <c r="B136" s="52" t="s">
        <v>9454</v>
      </c>
    </row>
    <row r="137" spans="1:2">
      <c r="A137" s="52" t="s">
        <v>9455</v>
      </c>
      <c r="B137" s="52" t="s">
        <v>9456</v>
      </c>
    </row>
    <row r="138" spans="1:2">
      <c r="A138" s="52" t="s">
        <v>9457</v>
      </c>
      <c r="B138" s="52" t="s">
        <v>9458</v>
      </c>
    </row>
    <row r="139" spans="1:2">
      <c r="A139" s="52" t="s">
        <v>9459</v>
      </c>
      <c r="B139" s="52" t="s">
        <v>9460</v>
      </c>
    </row>
    <row r="140" spans="1:2">
      <c r="A140" s="52" t="s">
        <v>9461</v>
      </c>
      <c r="B140" s="52" t="s">
        <v>9462</v>
      </c>
    </row>
    <row r="141" spans="1:2">
      <c r="A141" s="52" t="s">
        <v>9463</v>
      </c>
      <c r="B141" s="52" t="s">
        <v>9464</v>
      </c>
    </row>
    <row r="142" spans="1:2">
      <c r="A142" s="52" t="s">
        <v>9465</v>
      </c>
      <c r="B142" s="52" t="s">
        <v>9466</v>
      </c>
    </row>
    <row r="143" spans="1:2">
      <c r="A143" s="52" t="s">
        <v>9467</v>
      </c>
      <c r="B143" s="52" t="s">
        <v>9468</v>
      </c>
    </row>
    <row r="144" spans="1:2">
      <c r="A144" s="52" t="s">
        <v>9469</v>
      </c>
      <c r="B144" s="52" t="s">
        <v>9470</v>
      </c>
    </row>
    <row r="145" spans="1:2">
      <c r="A145" s="52" t="s">
        <v>9471</v>
      </c>
      <c r="B145" s="52" t="s">
        <v>9472</v>
      </c>
    </row>
    <row r="146" spans="1:2">
      <c r="A146" s="52" t="s">
        <v>9473</v>
      </c>
      <c r="B146" s="52" t="s">
        <v>9474</v>
      </c>
    </row>
    <row r="147" spans="1:2">
      <c r="A147" s="52" t="s">
        <v>9475</v>
      </c>
      <c r="B147" s="52" t="s">
        <v>9476</v>
      </c>
    </row>
    <row r="148" spans="1:2">
      <c r="A148" s="52" t="s">
        <v>9477</v>
      </c>
      <c r="B148" s="52" t="s">
        <v>9478</v>
      </c>
    </row>
    <row r="149" spans="1:2">
      <c r="A149" s="52" t="s">
        <v>9479</v>
      </c>
      <c r="B149" s="52" t="s">
        <v>9480</v>
      </c>
    </row>
    <row r="150" spans="1:2">
      <c r="A150" s="52" t="s">
        <v>9481</v>
      </c>
      <c r="B150" s="52" t="s">
        <v>9482</v>
      </c>
    </row>
    <row r="151" spans="1:2">
      <c r="A151" s="52" t="s">
        <v>9483</v>
      </c>
      <c r="B151" s="52" t="s">
        <v>9484</v>
      </c>
    </row>
    <row r="152" spans="1:2">
      <c r="A152" s="52" t="s">
        <v>9485</v>
      </c>
      <c r="B152" s="52" t="s">
        <v>9486</v>
      </c>
    </row>
    <row r="153" spans="1:2">
      <c r="A153" s="52" t="s">
        <v>9487</v>
      </c>
      <c r="B153" s="52" t="s">
        <v>9488</v>
      </c>
    </row>
    <row r="154" spans="1:2">
      <c r="A154" s="52" t="s">
        <v>9489</v>
      </c>
      <c r="B154" s="52" t="s">
        <v>9490</v>
      </c>
    </row>
    <row r="155" spans="1:2">
      <c r="A155" s="52" t="s">
        <v>9491</v>
      </c>
      <c r="B155" s="52" t="s">
        <v>9492</v>
      </c>
    </row>
    <row r="156" spans="1:2">
      <c r="A156" s="52" t="s">
        <v>9493</v>
      </c>
      <c r="B156" s="52" t="s">
        <v>9494</v>
      </c>
    </row>
    <row r="157" spans="1:2">
      <c r="A157" s="52" t="s">
        <v>9495</v>
      </c>
      <c r="B157" s="52" t="s">
        <v>9496</v>
      </c>
    </row>
    <row r="158" spans="1:2">
      <c r="A158" s="52" t="s">
        <v>9497</v>
      </c>
      <c r="B158" s="52" t="s">
        <v>9498</v>
      </c>
    </row>
    <row r="159" spans="1:2">
      <c r="A159" s="52" t="s">
        <v>9499</v>
      </c>
      <c r="B159" s="52" t="s">
        <v>9500</v>
      </c>
    </row>
    <row r="160" spans="1:2">
      <c r="A160" s="52" t="s">
        <v>9501</v>
      </c>
      <c r="B160" s="52" t="s">
        <v>9502</v>
      </c>
    </row>
    <row r="161" spans="1:2">
      <c r="A161" s="52" t="s">
        <v>9503</v>
      </c>
      <c r="B161" s="52" t="s">
        <v>9504</v>
      </c>
    </row>
    <row r="162" spans="1:2">
      <c r="A162" s="52" t="s">
        <v>9505</v>
      </c>
      <c r="B162" s="52" t="s">
        <v>9506</v>
      </c>
    </row>
    <row r="163" spans="1:2">
      <c r="A163" s="52" t="s">
        <v>9507</v>
      </c>
      <c r="B163" s="52" t="s">
        <v>9508</v>
      </c>
    </row>
    <row r="164" spans="1:2">
      <c r="A164" s="52" t="s">
        <v>9509</v>
      </c>
      <c r="B164" s="52" t="s">
        <v>9510</v>
      </c>
    </row>
    <row r="165" spans="1:2">
      <c r="A165" s="52" t="s">
        <v>9511</v>
      </c>
      <c r="B165" s="52" t="s">
        <v>9512</v>
      </c>
    </row>
    <row r="166" spans="1:2">
      <c r="A166" s="52" t="s">
        <v>9513</v>
      </c>
      <c r="B166" s="52" t="s">
        <v>9514</v>
      </c>
    </row>
    <row r="167" spans="1:2">
      <c r="A167" s="52" t="s">
        <v>9515</v>
      </c>
      <c r="B167" s="52" t="s">
        <v>9516</v>
      </c>
    </row>
    <row r="168" spans="1:2">
      <c r="A168" s="52" t="s">
        <v>9517</v>
      </c>
      <c r="B168" s="52" t="s">
        <v>9518</v>
      </c>
    </row>
    <row r="169" spans="1:2">
      <c r="A169" s="52" t="s">
        <v>9519</v>
      </c>
      <c r="B169" s="52" t="s">
        <v>9520</v>
      </c>
    </row>
    <row r="170" spans="1:2">
      <c r="A170" s="52" t="s">
        <v>9521</v>
      </c>
      <c r="B170" s="52" t="s">
        <v>9522</v>
      </c>
    </row>
    <row r="171" spans="1:2">
      <c r="A171" s="52" t="s">
        <v>9523</v>
      </c>
      <c r="B171" s="52" t="s">
        <v>9524</v>
      </c>
    </row>
    <row r="172" spans="1:2">
      <c r="A172" s="52" t="s">
        <v>9525</v>
      </c>
      <c r="B172" s="52" t="s">
        <v>9526</v>
      </c>
    </row>
    <row r="173" spans="1:2">
      <c r="A173" s="52" t="s">
        <v>9527</v>
      </c>
      <c r="B173" s="52" t="s">
        <v>9528</v>
      </c>
    </row>
    <row r="174" spans="1:2">
      <c r="A174" s="52" t="s">
        <v>9529</v>
      </c>
      <c r="B174" s="52" t="s">
        <v>9530</v>
      </c>
    </row>
    <row r="175" spans="1:2">
      <c r="A175" s="52" t="s">
        <v>9531</v>
      </c>
      <c r="B175" s="52" t="s">
        <v>9532</v>
      </c>
    </row>
    <row r="176" spans="1:2">
      <c r="A176" s="52" t="s">
        <v>9533</v>
      </c>
      <c r="B176" s="52" t="s">
        <v>9534</v>
      </c>
    </row>
    <row r="177" spans="1:2">
      <c r="A177" s="52" t="s">
        <v>9535</v>
      </c>
      <c r="B177" s="52" t="s">
        <v>9536</v>
      </c>
    </row>
    <row r="178" spans="1:2">
      <c r="A178" s="52" t="s">
        <v>9537</v>
      </c>
      <c r="B178" s="52" t="s">
        <v>9538</v>
      </c>
    </row>
    <row r="179" spans="1:2">
      <c r="A179" s="52" t="s">
        <v>9539</v>
      </c>
      <c r="B179" s="52" t="s">
        <v>9540</v>
      </c>
    </row>
    <row r="180" spans="1:2">
      <c r="A180" s="52" t="s">
        <v>9541</v>
      </c>
      <c r="B180" s="52" t="s">
        <v>9542</v>
      </c>
    </row>
    <row r="181" spans="1:2">
      <c r="A181" s="52" t="s">
        <v>9543</v>
      </c>
      <c r="B181" s="52" t="s">
        <v>9544</v>
      </c>
    </row>
    <row r="182" spans="1:2">
      <c r="A182" s="52" t="s">
        <v>9545</v>
      </c>
      <c r="B182" s="52" t="s">
        <v>9546</v>
      </c>
    </row>
    <row r="183" spans="1:2">
      <c r="A183" s="52" t="s">
        <v>9547</v>
      </c>
      <c r="B183" s="52" t="s">
        <v>9548</v>
      </c>
    </row>
    <row r="184" spans="1:2">
      <c r="A184" s="52" t="s">
        <v>9549</v>
      </c>
      <c r="B184" s="52" t="s">
        <v>9550</v>
      </c>
    </row>
    <row r="185" spans="1:2">
      <c r="A185" s="52" t="s">
        <v>9551</v>
      </c>
      <c r="B185" s="52" t="s">
        <v>9552</v>
      </c>
    </row>
    <row r="186" spans="1:2">
      <c r="A186" s="52" t="s">
        <v>9553</v>
      </c>
      <c r="B186" s="52" t="s">
        <v>9554</v>
      </c>
    </row>
    <row r="187" spans="1:2">
      <c r="A187" s="52" t="s">
        <v>9555</v>
      </c>
      <c r="B187" s="52" t="s">
        <v>9556</v>
      </c>
    </row>
    <row r="188" spans="1:2">
      <c r="A188" s="52" t="s">
        <v>9557</v>
      </c>
      <c r="B188" s="52" t="s">
        <v>9558</v>
      </c>
    </row>
    <row r="189" spans="1:2">
      <c r="A189" s="52" t="s">
        <v>9559</v>
      </c>
      <c r="B189" s="52" t="s">
        <v>9560</v>
      </c>
    </row>
    <row r="190" spans="1:2">
      <c r="A190" s="52" t="s">
        <v>9561</v>
      </c>
      <c r="B190" s="52" t="s">
        <v>9562</v>
      </c>
    </row>
    <row r="191" spans="1:2">
      <c r="A191" s="52" t="s">
        <v>9563</v>
      </c>
      <c r="B191" s="52" t="s">
        <v>9564</v>
      </c>
    </row>
    <row r="192" spans="1:2">
      <c r="A192" s="52" t="s">
        <v>9565</v>
      </c>
      <c r="B192" s="52" t="s">
        <v>9566</v>
      </c>
    </row>
    <row r="193" spans="1:2">
      <c r="A193" s="52" t="s">
        <v>9567</v>
      </c>
      <c r="B193" s="52" t="s">
        <v>9568</v>
      </c>
    </row>
    <row r="194" spans="1:2">
      <c r="A194" s="52" t="s">
        <v>9569</v>
      </c>
      <c r="B194" s="52" t="s">
        <v>9570</v>
      </c>
    </row>
    <row r="195" spans="1:2">
      <c r="A195" s="52" t="s">
        <v>9571</v>
      </c>
      <c r="B195" s="52" t="s">
        <v>9572</v>
      </c>
    </row>
    <row r="196" spans="1:2">
      <c r="A196" s="52" t="s">
        <v>9573</v>
      </c>
      <c r="B196" s="52" t="s">
        <v>9574</v>
      </c>
    </row>
    <row r="197" spans="1:2">
      <c r="A197" s="52" t="s">
        <v>9575</v>
      </c>
      <c r="B197" s="52" t="s">
        <v>9576</v>
      </c>
    </row>
    <row r="198" spans="1:2">
      <c r="A198" s="52" t="s">
        <v>9577</v>
      </c>
      <c r="B198" s="52" t="s">
        <v>9578</v>
      </c>
    </row>
    <row r="199" spans="1:2">
      <c r="A199" s="52" t="s">
        <v>9579</v>
      </c>
      <c r="B199" s="52" t="s">
        <v>9580</v>
      </c>
    </row>
    <row r="200" spans="1:2">
      <c r="A200" s="52" t="s">
        <v>9581</v>
      </c>
      <c r="B200" s="52" t="s">
        <v>9582</v>
      </c>
    </row>
    <row r="201" spans="1:2">
      <c r="A201" s="52" t="s">
        <v>9583</v>
      </c>
      <c r="B201" s="52" t="s">
        <v>9584</v>
      </c>
    </row>
    <row r="202" spans="1:2">
      <c r="A202" s="52" t="s">
        <v>9585</v>
      </c>
      <c r="B202" s="52" t="s">
        <v>9586</v>
      </c>
    </row>
    <row r="203" spans="1:2">
      <c r="A203" s="52" t="s">
        <v>9587</v>
      </c>
      <c r="B203" s="52" t="s">
        <v>9588</v>
      </c>
    </row>
    <row r="204" spans="1:2">
      <c r="A204" s="52" t="s">
        <v>9589</v>
      </c>
      <c r="B204" s="52" t="s">
        <v>9590</v>
      </c>
    </row>
    <row r="205" spans="1:2">
      <c r="A205" s="52" t="s">
        <v>9591</v>
      </c>
      <c r="B205" s="52" t="s">
        <v>9592</v>
      </c>
    </row>
    <row r="206" spans="1:2">
      <c r="A206" s="52" t="s">
        <v>9593</v>
      </c>
      <c r="B206" s="52" t="s">
        <v>9594</v>
      </c>
    </row>
    <row r="207" spans="1:2">
      <c r="A207" s="52" t="s">
        <v>9595</v>
      </c>
      <c r="B207" s="52" t="s">
        <v>9596</v>
      </c>
    </row>
    <row r="208" spans="1:2">
      <c r="A208" s="52" t="s">
        <v>9597</v>
      </c>
      <c r="B208" s="52" t="s">
        <v>9598</v>
      </c>
    </row>
    <row r="209" spans="1:2">
      <c r="A209" s="52" t="s">
        <v>9599</v>
      </c>
      <c r="B209" s="52" t="s">
        <v>9600</v>
      </c>
    </row>
    <row r="210" spans="1:2">
      <c r="A210" s="52" t="s">
        <v>9601</v>
      </c>
      <c r="B210" s="52" t="s">
        <v>9602</v>
      </c>
    </row>
    <row r="211" spans="1:2">
      <c r="A211" s="52" t="s">
        <v>9603</v>
      </c>
      <c r="B211" s="52" t="s">
        <v>9604</v>
      </c>
    </row>
    <row r="212" spans="1:2">
      <c r="A212" s="52" t="s">
        <v>9605</v>
      </c>
      <c r="B212" s="52" t="s">
        <v>9606</v>
      </c>
    </row>
    <row r="213" spans="1:2">
      <c r="A213" s="52" t="s">
        <v>9607</v>
      </c>
      <c r="B213" s="52" t="s">
        <v>9608</v>
      </c>
    </row>
    <row r="214" spans="1:2">
      <c r="A214" s="52" t="s">
        <v>9609</v>
      </c>
      <c r="B214" s="52" t="s">
        <v>9610</v>
      </c>
    </row>
    <row r="215" spans="1:2">
      <c r="A215" s="52" t="s">
        <v>9611</v>
      </c>
      <c r="B215" s="52" t="s">
        <v>9612</v>
      </c>
    </row>
    <row r="216" spans="1:2">
      <c r="A216" s="52" t="s">
        <v>9613</v>
      </c>
      <c r="B216" s="52" t="s">
        <v>9614</v>
      </c>
    </row>
    <row r="217" spans="1:2">
      <c r="A217" s="52" t="s">
        <v>9615</v>
      </c>
      <c r="B217" s="52" t="s">
        <v>9616</v>
      </c>
    </row>
    <row r="218" spans="1:2">
      <c r="A218" s="52" t="s">
        <v>9617</v>
      </c>
      <c r="B218" s="52" t="s">
        <v>9618</v>
      </c>
    </row>
    <row r="219" spans="1:2">
      <c r="A219" s="52" t="s">
        <v>9619</v>
      </c>
      <c r="B219" s="52" t="s">
        <v>9620</v>
      </c>
    </row>
    <row r="220" spans="1:2">
      <c r="A220" s="52" t="s">
        <v>9621</v>
      </c>
      <c r="B220" s="52" t="s">
        <v>9622</v>
      </c>
    </row>
    <row r="221" spans="1:2">
      <c r="A221" s="52" t="s">
        <v>9623</v>
      </c>
      <c r="B221" s="52" t="s">
        <v>9624</v>
      </c>
    </row>
    <row r="222" spans="1:2">
      <c r="A222" s="52" t="s">
        <v>9625</v>
      </c>
      <c r="B222" s="52" t="s">
        <v>9626</v>
      </c>
    </row>
    <row r="223" spans="1:2">
      <c r="A223" s="52" t="s">
        <v>9627</v>
      </c>
      <c r="B223" s="52" t="s">
        <v>9628</v>
      </c>
    </row>
    <row r="224" spans="1:2">
      <c r="A224" s="52" t="s">
        <v>9629</v>
      </c>
      <c r="B224" s="52" t="s">
        <v>9630</v>
      </c>
    </row>
    <row r="225" spans="1:2">
      <c r="A225" s="52" t="s">
        <v>9631</v>
      </c>
      <c r="B225" s="52" t="s">
        <v>9632</v>
      </c>
    </row>
    <row r="226" spans="1:2">
      <c r="A226" s="52" t="s">
        <v>9633</v>
      </c>
      <c r="B226" s="52" t="s">
        <v>9634</v>
      </c>
    </row>
    <row r="227" spans="1:2">
      <c r="A227" s="52" t="s">
        <v>9635</v>
      </c>
      <c r="B227" s="52" t="s">
        <v>9636</v>
      </c>
    </row>
    <row r="228" spans="1:2">
      <c r="A228" s="52" t="s">
        <v>9637</v>
      </c>
      <c r="B228" s="52" t="s">
        <v>9638</v>
      </c>
    </row>
    <row r="229" spans="1:2">
      <c r="A229" s="52" t="s">
        <v>9639</v>
      </c>
      <c r="B229" s="52" t="s">
        <v>9640</v>
      </c>
    </row>
    <row r="230" spans="1:2">
      <c r="A230" s="52" t="s">
        <v>9641</v>
      </c>
      <c r="B230" s="52" t="s">
        <v>9642</v>
      </c>
    </row>
    <row r="231" spans="1:2">
      <c r="A231" s="52" t="s">
        <v>9643</v>
      </c>
      <c r="B231" s="52" t="s">
        <v>9644</v>
      </c>
    </row>
    <row r="232" spans="1:2">
      <c r="A232" s="52" t="s">
        <v>9645</v>
      </c>
      <c r="B232" s="52" t="s">
        <v>9646</v>
      </c>
    </row>
    <row r="233" spans="1:2">
      <c r="A233" s="52" t="s">
        <v>9647</v>
      </c>
      <c r="B233" s="52" t="s">
        <v>9648</v>
      </c>
    </row>
    <row r="234" spans="1:2">
      <c r="A234" s="52" t="s">
        <v>9649</v>
      </c>
      <c r="B234" s="52" t="s">
        <v>9650</v>
      </c>
    </row>
    <row r="235" spans="1:2">
      <c r="A235" s="52" t="s">
        <v>9651</v>
      </c>
      <c r="B235" s="52" t="s">
        <v>9652</v>
      </c>
    </row>
    <row r="236" spans="1:2">
      <c r="A236" s="52" t="s">
        <v>9653</v>
      </c>
      <c r="B236" s="52" t="s">
        <v>9654</v>
      </c>
    </row>
    <row r="237" spans="1:2">
      <c r="A237" s="52" t="s">
        <v>9655</v>
      </c>
      <c r="B237" s="52" t="s">
        <v>9656</v>
      </c>
    </row>
    <row r="238" spans="1:2">
      <c r="A238" s="52" t="s">
        <v>9657</v>
      </c>
      <c r="B238" s="52" t="s">
        <v>9658</v>
      </c>
    </row>
    <row r="239" spans="1:2">
      <c r="A239" s="52" t="s">
        <v>9659</v>
      </c>
      <c r="B239" s="52" t="s">
        <v>9660</v>
      </c>
    </row>
    <row r="240" spans="1:2">
      <c r="A240" s="52" t="s">
        <v>9661</v>
      </c>
      <c r="B240" s="52" t="s">
        <v>9662</v>
      </c>
    </row>
    <row r="241" spans="1:2">
      <c r="A241" s="52" t="s">
        <v>9663</v>
      </c>
      <c r="B241" s="52" t="s">
        <v>9664</v>
      </c>
    </row>
    <row r="242" spans="1:2">
      <c r="A242" s="52" t="s">
        <v>9665</v>
      </c>
      <c r="B242" s="52" t="s">
        <v>9666</v>
      </c>
    </row>
    <row r="243" spans="1:2">
      <c r="A243" s="52" t="s">
        <v>9667</v>
      </c>
      <c r="B243" s="52" t="s">
        <v>9668</v>
      </c>
    </row>
    <row r="244" spans="1:2">
      <c r="A244" s="52" t="s">
        <v>9669</v>
      </c>
      <c r="B244" s="52" t="s">
        <v>9670</v>
      </c>
    </row>
    <row r="245" spans="1:2">
      <c r="A245" s="52" t="s">
        <v>9671</v>
      </c>
      <c r="B245" s="52" t="s">
        <v>9672</v>
      </c>
    </row>
    <row r="246" spans="1:2">
      <c r="A246" s="52" t="s">
        <v>9673</v>
      </c>
      <c r="B246" s="52" t="s">
        <v>9674</v>
      </c>
    </row>
    <row r="247" spans="1:2">
      <c r="A247" s="52" t="s">
        <v>9675</v>
      </c>
      <c r="B247" s="52" t="s">
        <v>9676</v>
      </c>
    </row>
    <row r="248" spans="1:2">
      <c r="A248" s="52" t="s">
        <v>9677</v>
      </c>
      <c r="B248" s="52" t="s">
        <v>9678</v>
      </c>
    </row>
    <row r="249" spans="1:2">
      <c r="A249" s="52" t="s">
        <v>9679</v>
      </c>
      <c r="B249" s="52" t="s">
        <v>9680</v>
      </c>
    </row>
    <row r="250" spans="1:2">
      <c r="A250" s="52" t="s">
        <v>9681</v>
      </c>
      <c r="B250" s="52" t="s">
        <v>9682</v>
      </c>
    </row>
    <row r="251" spans="1:2">
      <c r="A251" s="52" t="s">
        <v>9683</v>
      </c>
      <c r="B251" s="52" t="s">
        <v>9684</v>
      </c>
    </row>
    <row r="252" spans="1:2">
      <c r="A252" s="52" t="s">
        <v>9685</v>
      </c>
      <c r="B252" s="52" t="s">
        <v>9686</v>
      </c>
    </row>
    <row r="253" spans="1:2">
      <c r="A253" s="52" t="s">
        <v>9687</v>
      </c>
      <c r="B253" s="52" t="s">
        <v>9688</v>
      </c>
    </row>
    <row r="254" spans="1:2">
      <c r="A254" s="52" t="s">
        <v>9689</v>
      </c>
      <c r="B254" s="52" t="s">
        <v>9690</v>
      </c>
    </row>
    <row r="255" spans="1:2">
      <c r="A255" s="52" t="s">
        <v>9691</v>
      </c>
      <c r="B255" s="52" t="s">
        <v>9692</v>
      </c>
    </row>
    <row r="256" spans="1:2">
      <c r="A256" s="52" t="s">
        <v>9693</v>
      </c>
      <c r="B256" s="52" t="s">
        <v>9694</v>
      </c>
    </row>
    <row r="257" spans="1:2">
      <c r="A257" s="52" t="s">
        <v>9695</v>
      </c>
      <c r="B257" s="52" t="s">
        <v>9696</v>
      </c>
    </row>
    <row r="258" spans="1:2">
      <c r="A258" s="52" t="s">
        <v>9697</v>
      </c>
      <c r="B258" s="52" t="s">
        <v>9698</v>
      </c>
    </row>
    <row r="259" spans="1:2">
      <c r="A259" s="52" t="s">
        <v>9699</v>
      </c>
      <c r="B259" s="52" t="s">
        <v>9700</v>
      </c>
    </row>
    <row r="260" spans="1:2">
      <c r="A260" s="52" t="s">
        <v>9701</v>
      </c>
      <c r="B260" s="52" t="s">
        <v>9702</v>
      </c>
    </row>
    <row r="261" spans="1:2">
      <c r="A261" s="52" t="s">
        <v>9703</v>
      </c>
      <c r="B261" s="52" t="s">
        <v>9704</v>
      </c>
    </row>
    <row r="262" spans="1:2">
      <c r="A262" s="52" t="s">
        <v>9705</v>
      </c>
      <c r="B262" s="52" t="s">
        <v>9706</v>
      </c>
    </row>
    <row r="263" spans="1:2">
      <c r="A263" s="52" t="s">
        <v>9707</v>
      </c>
      <c r="B263" s="52" t="s">
        <v>9708</v>
      </c>
    </row>
    <row r="264" spans="1:2">
      <c r="A264" s="52" t="s">
        <v>9709</v>
      </c>
      <c r="B264" s="52" t="s">
        <v>9710</v>
      </c>
    </row>
    <row r="265" spans="1:2">
      <c r="A265" s="52" t="s">
        <v>9711</v>
      </c>
      <c r="B265" s="52" t="s">
        <v>9712</v>
      </c>
    </row>
    <row r="266" spans="1:2">
      <c r="A266" s="52" t="s">
        <v>9713</v>
      </c>
      <c r="B266" s="52" t="s">
        <v>9714</v>
      </c>
    </row>
    <row r="267" spans="1:2">
      <c r="A267" s="52" t="s">
        <v>9715</v>
      </c>
      <c r="B267" s="52" t="s">
        <v>9716</v>
      </c>
    </row>
    <row r="268" spans="1:2">
      <c r="A268" s="52" t="s">
        <v>9717</v>
      </c>
      <c r="B268" s="52" t="s">
        <v>9718</v>
      </c>
    </row>
    <row r="269" spans="1:2">
      <c r="A269" s="52" t="s">
        <v>9719</v>
      </c>
      <c r="B269" s="52" t="s">
        <v>9720</v>
      </c>
    </row>
    <row r="270" spans="1:2">
      <c r="A270" s="52" t="s">
        <v>9721</v>
      </c>
      <c r="B270" s="52" t="s">
        <v>9722</v>
      </c>
    </row>
    <row r="271" spans="1:2">
      <c r="A271" s="52" t="s">
        <v>9723</v>
      </c>
      <c r="B271" s="52" t="s">
        <v>9724</v>
      </c>
    </row>
    <row r="272" spans="1:2">
      <c r="A272" s="52" t="s">
        <v>9725</v>
      </c>
      <c r="B272" s="52" t="s">
        <v>9726</v>
      </c>
    </row>
    <row r="273" spans="1:2">
      <c r="A273" s="52" t="s">
        <v>9727</v>
      </c>
      <c r="B273" s="52" t="s">
        <v>9728</v>
      </c>
    </row>
    <row r="274" spans="1:2">
      <c r="A274" s="52" t="s">
        <v>9729</v>
      </c>
      <c r="B274" s="52" t="s">
        <v>9730</v>
      </c>
    </row>
    <row r="275" spans="1:2">
      <c r="A275" s="52" t="s">
        <v>9731</v>
      </c>
      <c r="B275" s="52" t="s">
        <v>9732</v>
      </c>
    </row>
    <row r="276" spans="1:2">
      <c r="A276" s="52" t="s">
        <v>9733</v>
      </c>
      <c r="B276" s="52" t="s">
        <v>9734</v>
      </c>
    </row>
    <row r="277" spans="1:2">
      <c r="A277" s="52" t="s">
        <v>9735</v>
      </c>
      <c r="B277" s="52" t="s">
        <v>9736</v>
      </c>
    </row>
    <row r="278" spans="1:2">
      <c r="A278" s="52" t="s">
        <v>9737</v>
      </c>
      <c r="B278" s="52" t="s">
        <v>9738</v>
      </c>
    </row>
    <row r="279" spans="1:2">
      <c r="A279" s="52" t="s">
        <v>9739</v>
      </c>
      <c r="B279" s="52" t="s">
        <v>9740</v>
      </c>
    </row>
    <row r="280" spans="1:2">
      <c r="A280" s="52" t="s">
        <v>9741</v>
      </c>
      <c r="B280" s="52" t="s">
        <v>9742</v>
      </c>
    </row>
    <row r="281" spans="1:2">
      <c r="A281" s="52" t="s">
        <v>9743</v>
      </c>
      <c r="B281" s="52" t="s">
        <v>9744</v>
      </c>
    </row>
    <row r="282" spans="1:2">
      <c r="A282" s="52" t="s">
        <v>9745</v>
      </c>
      <c r="B282" s="52" t="s">
        <v>9746</v>
      </c>
    </row>
    <row r="283" spans="1:2">
      <c r="A283" s="52" t="s">
        <v>9747</v>
      </c>
      <c r="B283" s="52" t="s">
        <v>9748</v>
      </c>
    </row>
    <row r="284" spans="1:2">
      <c r="A284" s="52" t="s">
        <v>9749</v>
      </c>
      <c r="B284" s="52" t="s">
        <v>9750</v>
      </c>
    </row>
    <row r="285" spans="1:2">
      <c r="A285" s="52" t="s">
        <v>9751</v>
      </c>
      <c r="B285" s="52" t="s">
        <v>9752</v>
      </c>
    </row>
    <row r="286" spans="1:2">
      <c r="A286" s="52" t="s">
        <v>9753</v>
      </c>
      <c r="B286" s="52" t="s">
        <v>9754</v>
      </c>
    </row>
    <row r="287" spans="1:2">
      <c r="A287" s="52" t="s">
        <v>9755</v>
      </c>
      <c r="B287" s="52" t="s">
        <v>9756</v>
      </c>
    </row>
    <row r="288" spans="1:2">
      <c r="A288" s="52" t="s">
        <v>9757</v>
      </c>
      <c r="B288" s="52" t="s">
        <v>9758</v>
      </c>
    </row>
    <row r="289" spans="1:2">
      <c r="A289" s="52" t="s">
        <v>9759</v>
      </c>
      <c r="B289" s="52" t="s">
        <v>9760</v>
      </c>
    </row>
    <row r="290" spans="1:2">
      <c r="A290" s="52" t="s">
        <v>9761</v>
      </c>
      <c r="B290" s="52" t="s">
        <v>9762</v>
      </c>
    </row>
    <row r="291" spans="1:2">
      <c r="A291" s="52" t="s">
        <v>9763</v>
      </c>
      <c r="B291" s="52" t="s">
        <v>9764</v>
      </c>
    </row>
    <row r="292" spans="1:2">
      <c r="A292" s="52" t="s">
        <v>9765</v>
      </c>
      <c r="B292" s="52" t="s">
        <v>9766</v>
      </c>
    </row>
    <row r="293" spans="1:2">
      <c r="A293" s="52" t="s">
        <v>9767</v>
      </c>
      <c r="B293" s="52" t="s">
        <v>9768</v>
      </c>
    </row>
    <row r="294" spans="1:2">
      <c r="A294" s="52" t="s">
        <v>9769</v>
      </c>
      <c r="B294" s="52" t="s">
        <v>9770</v>
      </c>
    </row>
    <row r="295" spans="1:2">
      <c r="A295" s="52" t="s">
        <v>9771</v>
      </c>
      <c r="B295" s="52" t="s">
        <v>9772</v>
      </c>
    </row>
    <row r="296" spans="1:2">
      <c r="A296" s="52" t="s">
        <v>9773</v>
      </c>
      <c r="B296" s="52" t="s">
        <v>9774</v>
      </c>
    </row>
    <row r="297" spans="1:2">
      <c r="A297" s="52" t="s">
        <v>9775</v>
      </c>
      <c r="B297" s="52" t="s">
        <v>9776</v>
      </c>
    </row>
    <row r="298" spans="1:2">
      <c r="A298" s="52" t="s">
        <v>9777</v>
      </c>
      <c r="B298" s="52" t="s">
        <v>9778</v>
      </c>
    </row>
    <row r="299" spans="1:2">
      <c r="A299" s="52" t="s">
        <v>9779</v>
      </c>
      <c r="B299" s="52" t="s">
        <v>9780</v>
      </c>
    </row>
    <row r="300" spans="1:2">
      <c r="A300" s="52" t="s">
        <v>9781</v>
      </c>
      <c r="B300" s="52" t="s">
        <v>9782</v>
      </c>
    </row>
    <row r="301" spans="1:2">
      <c r="A301" s="52" t="s">
        <v>9783</v>
      </c>
      <c r="B301" s="52" t="s">
        <v>9784</v>
      </c>
    </row>
    <row r="302" spans="1:2">
      <c r="A302" s="52" t="s">
        <v>9785</v>
      </c>
      <c r="B302" s="52" t="s">
        <v>9786</v>
      </c>
    </row>
    <row r="303" spans="1:2">
      <c r="A303" s="52" t="s">
        <v>9787</v>
      </c>
      <c r="B303" s="52" t="s">
        <v>9788</v>
      </c>
    </row>
    <row r="304" spans="1:2">
      <c r="A304" s="52" t="s">
        <v>9789</v>
      </c>
      <c r="B304" s="52" t="s">
        <v>9790</v>
      </c>
    </row>
    <row r="305" spans="1:2">
      <c r="A305" s="52" t="s">
        <v>9791</v>
      </c>
      <c r="B305" s="52" t="s">
        <v>9792</v>
      </c>
    </row>
    <row r="306" spans="1:2">
      <c r="A306" s="52" t="s">
        <v>9793</v>
      </c>
      <c r="B306" s="52" t="s">
        <v>9794</v>
      </c>
    </row>
    <row r="307" spans="1:2">
      <c r="A307" s="52" t="s">
        <v>9795</v>
      </c>
      <c r="B307" s="52" t="s">
        <v>9796</v>
      </c>
    </row>
    <row r="308" spans="1:2">
      <c r="A308" s="52" t="s">
        <v>9797</v>
      </c>
      <c r="B308" s="52" t="s">
        <v>9798</v>
      </c>
    </row>
    <row r="309" spans="1:2">
      <c r="A309" s="52" t="s">
        <v>9799</v>
      </c>
      <c r="B309" s="52" t="s">
        <v>9800</v>
      </c>
    </row>
    <row r="310" spans="1:2">
      <c r="A310" s="52" t="s">
        <v>9801</v>
      </c>
      <c r="B310" s="52" t="s">
        <v>9802</v>
      </c>
    </row>
    <row r="311" spans="1:2">
      <c r="A311" s="52" t="s">
        <v>9803</v>
      </c>
      <c r="B311" s="52" t="s">
        <v>9804</v>
      </c>
    </row>
    <row r="312" spans="1:2">
      <c r="A312" s="52" t="s">
        <v>9805</v>
      </c>
      <c r="B312" s="52" t="s">
        <v>9806</v>
      </c>
    </row>
    <row r="313" spans="1:2">
      <c r="A313" s="52" t="s">
        <v>9807</v>
      </c>
      <c r="B313" s="52" t="s">
        <v>9808</v>
      </c>
    </row>
    <row r="314" spans="1:2">
      <c r="A314" s="52" t="s">
        <v>9809</v>
      </c>
      <c r="B314" s="52" t="s">
        <v>9810</v>
      </c>
    </row>
    <row r="315" spans="1:2">
      <c r="A315" s="52" t="s">
        <v>9811</v>
      </c>
      <c r="B315" s="52" t="s">
        <v>9812</v>
      </c>
    </row>
    <row r="316" spans="1:2">
      <c r="A316" s="52" t="s">
        <v>9813</v>
      </c>
      <c r="B316" s="52" t="s">
        <v>9814</v>
      </c>
    </row>
    <row r="317" spans="1:2">
      <c r="A317" s="52" t="s">
        <v>9815</v>
      </c>
      <c r="B317" s="52" t="s">
        <v>9816</v>
      </c>
    </row>
    <row r="318" spans="1:2">
      <c r="A318" s="52" t="s">
        <v>9817</v>
      </c>
      <c r="B318" s="52" t="s">
        <v>9818</v>
      </c>
    </row>
    <row r="319" spans="1:2">
      <c r="A319" s="52" t="s">
        <v>9819</v>
      </c>
      <c r="B319" s="52" t="s">
        <v>9820</v>
      </c>
    </row>
    <row r="320" spans="1:2">
      <c r="A320" s="52" t="s">
        <v>9821</v>
      </c>
      <c r="B320" s="52" t="s">
        <v>9822</v>
      </c>
    </row>
    <row r="321" spans="1:2">
      <c r="A321" s="52" t="s">
        <v>9823</v>
      </c>
      <c r="B321" s="52" t="s">
        <v>9824</v>
      </c>
    </row>
    <row r="322" spans="1:2">
      <c r="A322" s="52" t="s">
        <v>9825</v>
      </c>
      <c r="B322" s="52" t="s">
        <v>9826</v>
      </c>
    </row>
    <row r="323" spans="1:2">
      <c r="A323" s="52" t="s">
        <v>9827</v>
      </c>
      <c r="B323" s="52" t="s">
        <v>9828</v>
      </c>
    </row>
    <row r="324" spans="1:2">
      <c r="A324" s="52" t="s">
        <v>9829</v>
      </c>
      <c r="B324" s="52" t="s">
        <v>9830</v>
      </c>
    </row>
    <row r="325" spans="1:2">
      <c r="A325" s="52" t="s">
        <v>9831</v>
      </c>
      <c r="B325" s="52" t="s">
        <v>9832</v>
      </c>
    </row>
    <row r="326" spans="1:2" ht="13.5">
      <c r="A326" s="75" t="s">
        <v>9833</v>
      </c>
      <c r="B326" s="75" t="s">
        <v>9834</v>
      </c>
    </row>
    <row r="327" spans="1:2" ht="13.5">
      <c r="A327" s="75" t="s">
        <v>9835</v>
      </c>
      <c r="B327" s="75" t="s">
        <v>9836</v>
      </c>
    </row>
    <row r="328" spans="1:2" ht="13.5">
      <c r="A328" s="75" t="s">
        <v>9837</v>
      </c>
      <c r="B328" s="75" t="s">
        <v>9838</v>
      </c>
    </row>
    <row r="329" spans="1:2" ht="13.5">
      <c r="A329" s="75" t="s">
        <v>9839</v>
      </c>
      <c r="B329" s="75" t="s">
        <v>9840</v>
      </c>
    </row>
    <row r="330" spans="1:2" ht="13.5">
      <c r="A330" s="75" t="s">
        <v>9841</v>
      </c>
      <c r="B330" s="75" t="s">
        <v>9842</v>
      </c>
    </row>
    <row r="331" spans="1:2" ht="13.5">
      <c r="A331" s="75" t="s">
        <v>9843</v>
      </c>
      <c r="B331" s="75" t="s">
        <v>9844</v>
      </c>
    </row>
    <row r="332" spans="1:2" ht="13.5">
      <c r="A332" s="75" t="s">
        <v>9845</v>
      </c>
      <c r="B332" s="75" t="s">
        <v>9846</v>
      </c>
    </row>
    <row r="333" spans="1:2" ht="13.5">
      <c r="A333" s="75" t="s">
        <v>9847</v>
      </c>
      <c r="B333" s="75" t="s">
        <v>9848</v>
      </c>
    </row>
    <row r="334" spans="1:2" ht="13.5">
      <c r="A334" s="75" t="s">
        <v>9849</v>
      </c>
      <c r="B334" s="75" t="s">
        <v>9850</v>
      </c>
    </row>
    <row r="335" spans="1:2" ht="13.5">
      <c r="A335" s="75" t="s">
        <v>9851</v>
      </c>
      <c r="B335" s="75" t="s">
        <v>9852</v>
      </c>
    </row>
    <row r="336" spans="1:2" ht="13.5">
      <c r="A336" s="75" t="s">
        <v>9853</v>
      </c>
      <c r="B336" s="75" t="s">
        <v>9854</v>
      </c>
    </row>
    <row r="337" spans="1:2" ht="13.5">
      <c r="A337" s="75" t="s">
        <v>9855</v>
      </c>
      <c r="B337" s="75" t="s">
        <v>9856</v>
      </c>
    </row>
    <row r="338" spans="1:2" ht="13.5">
      <c r="A338" s="75" t="s">
        <v>9857</v>
      </c>
      <c r="B338" s="75" t="s">
        <v>9858</v>
      </c>
    </row>
    <row r="339" spans="1:2" ht="13.5">
      <c r="A339" s="75" t="s">
        <v>9859</v>
      </c>
      <c r="B339" s="75" t="s">
        <v>9860</v>
      </c>
    </row>
    <row r="340" spans="1:2" ht="13.5">
      <c r="A340" s="75" t="s">
        <v>9861</v>
      </c>
      <c r="B340" s="75" t="s">
        <v>9862</v>
      </c>
    </row>
    <row r="341" spans="1:2" ht="13.5">
      <c r="A341" s="75" t="s">
        <v>9863</v>
      </c>
      <c r="B341" s="75" t="s">
        <v>9864</v>
      </c>
    </row>
    <row r="342" spans="1:2" ht="13.5">
      <c r="A342" s="75" t="s">
        <v>9865</v>
      </c>
      <c r="B342" s="75" t="s">
        <v>9866</v>
      </c>
    </row>
    <row r="343" spans="1:2" ht="13.5">
      <c r="A343" s="75" t="s">
        <v>9867</v>
      </c>
      <c r="B343" s="75" t="s">
        <v>9868</v>
      </c>
    </row>
    <row r="344" spans="1:2" ht="13.5">
      <c r="A344" s="75" t="s">
        <v>9869</v>
      </c>
      <c r="B344" s="75" t="s">
        <v>9870</v>
      </c>
    </row>
    <row r="345" spans="1:2" ht="13.5">
      <c r="A345" s="75" t="s">
        <v>9871</v>
      </c>
      <c r="B345" s="75" t="s">
        <v>9872</v>
      </c>
    </row>
    <row r="346" spans="1:2" ht="13.5">
      <c r="A346" s="75" t="s">
        <v>9873</v>
      </c>
      <c r="B346" s="75" t="s">
        <v>9874</v>
      </c>
    </row>
    <row r="347" spans="1:2" ht="13.5">
      <c r="A347" s="75" t="s">
        <v>9875</v>
      </c>
      <c r="B347" s="75" t="s">
        <v>9876</v>
      </c>
    </row>
    <row r="348" spans="1:2" ht="13.5">
      <c r="A348" s="75" t="s">
        <v>9877</v>
      </c>
      <c r="B348" s="75" t="s">
        <v>9878</v>
      </c>
    </row>
    <row r="349" spans="1:2" ht="13.5">
      <c r="A349" s="75" t="s">
        <v>9879</v>
      </c>
      <c r="B349" s="75" t="s">
        <v>9880</v>
      </c>
    </row>
    <row r="350" spans="1:2" ht="13.5">
      <c r="A350" s="75" t="s">
        <v>9881</v>
      </c>
      <c r="B350" s="75" t="s">
        <v>9882</v>
      </c>
    </row>
    <row r="351" spans="1:2" ht="13.5">
      <c r="A351" s="75" t="s">
        <v>9883</v>
      </c>
      <c r="B351" s="75" t="s">
        <v>9884</v>
      </c>
    </row>
    <row r="352" spans="1:2" ht="13.5">
      <c r="A352" s="75" t="s">
        <v>9885</v>
      </c>
      <c r="B352" s="75" t="s">
        <v>9886</v>
      </c>
    </row>
    <row r="353" spans="1:2" ht="13.5">
      <c r="A353" s="75" t="s">
        <v>9887</v>
      </c>
      <c r="B353" s="75" t="s">
        <v>9888</v>
      </c>
    </row>
    <row r="354" spans="1:2" ht="13.5">
      <c r="A354" s="75" t="s">
        <v>9889</v>
      </c>
      <c r="B354" s="75" t="s">
        <v>9890</v>
      </c>
    </row>
    <row r="355" spans="1:2" ht="13.5">
      <c r="A355" s="75" t="s">
        <v>9891</v>
      </c>
      <c r="B355" s="75" t="s">
        <v>9892</v>
      </c>
    </row>
    <row r="356" spans="1:2" ht="13.5">
      <c r="A356" s="75" t="s">
        <v>9893</v>
      </c>
      <c r="B356" s="75" t="s">
        <v>9894</v>
      </c>
    </row>
    <row r="357" spans="1:2" ht="13.5">
      <c r="A357" s="75" t="s">
        <v>9895</v>
      </c>
      <c r="B357" s="75" t="s">
        <v>9896</v>
      </c>
    </row>
    <row r="358" spans="1:2" ht="13.5">
      <c r="A358" s="75" t="s">
        <v>9897</v>
      </c>
      <c r="B358" s="75" t="s">
        <v>9898</v>
      </c>
    </row>
    <row r="359" spans="1:2" ht="13.5">
      <c r="A359" s="75" t="s">
        <v>9899</v>
      </c>
      <c r="B359" s="75" t="s">
        <v>9900</v>
      </c>
    </row>
    <row r="360" spans="1:2" ht="13.5">
      <c r="A360" s="75" t="s">
        <v>9901</v>
      </c>
      <c r="B360" s="75" t="s">
        <v>9902</v>
      </c>
    </row>
    <row r="361" spans="1:2" ht="13.5">
      <c r="A361" s="75" t="s">
        <v>9903</v>
      </c>
      <c r="B361" s="75" t="s">
        <v>9904</v>
      </c>
    </row>
    <row r="362" spans="1:2" ht="13.5">
      <c r="A362" s="75" t="s">
        <v>9905</v>
      </c>
      <c r="B362" s="75" t="s">
        <v>9906</v>
      </c>
    </row>
    <row r="363" spans="1:2" ht="13.5">
      <c r="A363" s="75" t="s">
        <v>9907</v>
      </c>
      <c r="B363" s="75" t="s">
        <v>9908</v>
      </c>
    </row>
    <row r="364" spans="1:2" ht="13.5">
      <c r="A364" s="75" t="s">
        <v>9909</v>
      </c>
      <c r="B364" s="75" t="s">
        <v>9910</v>
      </c>
    </row>
    <row r="365" spans="1:2" ht="13.5">
      <c r="A365" s="75" t="s">
        <v>9911</v>
      </c>
      <c r="B365" s="75" t="s">
        <v>9912</v>
      </c>
    </row>
    <row r="366" spans="1:2" ht="13.5">
      <c r="A366" s="75" t="s">
        <v>9913</v>
      </c>
      <c r="B366" s="75" t="s">
        <v>9914</v>
      </c>
    </row>
    <row r="367" spans="1:2" ht="13.5">
      <c r="A367" s="75" t="s">
        <v>9915</v>
      </c>
      <c r="B367" s="75" t="s">
        <v>9916</v>
      </c>
    </row>
    <row r="368" spans="1:2" ht="13.5">
      <c r="A368" s="75" t="s">
        <v>9917</v>
      </c>
      <c r="B368" s="75" t="s">
        <v>9918</v>
      </c>
    </row>
    <row r="369" spans="1:2" ht="13.5">
      <c r="A369" s="75" t="s">
        <v>9919</v>
      </c>
      <c r="B369" s="75" t="s">
        <v>9920</v>
      </c>
    </row>
    <row r="370" spans="1:2" ht="13.5">
      <c r="A370" s="75" t="s">
        <v>9921</v>
      </c>
      <c r="B370" s="75" t="s">
        <v>9922</v>
      </c>
    </row>
    <row r="371" spans="1:2" ht="13.5">
      <c r="A371" s="75" t="s">
        <v>9923</v>
      </c>
      <c r="B371" s="75" t="s">
        <v>9924</v>
      </c>
    </row>
    <row r="372" spans="1:2" ht="13.5">
      <c r="A372" s="75" t="s">
        <v>9925</v>
      </c>
      <c r="B372" s="75" t="s">
        <v>9926</v>
      </c>
    </row>
    <row r="373" spans="1:2" ht="13.5">
      <c r="A373" s="75" t="s">
        <v>9927</v>
      </c>
      <c r="B373" s="75" t="s">
        <v>9928</v>
      </c>
    </row>
    <row r="374" spans="1:2" ht="13.5">
      <c r="A374" s="75" t="s">
        <v>9929</v>
      </c>
      <c r="B374" s="75" t="s">
        <v>9930</v>
      </c>
    </row>
    <row r="375" spans="1:2" ht="13.5">
      <c r="A375" s="75" t="s">
        <v>9931</v>
      </c>
      <c r="B375" s="75" t="s">
        <v>9932</v>
      </c>
    </row>
    <row r="376" spans="1:2" ht="13.5">
      <c r="A376" s="75" t="s">
        <v>9933</v>
      </c>
      <c r="B376" s="75" t="s">
        <v>9934</v>
      </c>
    </row>
    <row r="377" spans="1:2" ht="13.5">
      <c r="A377" s="75" t="s">
        <v>9935</v>
      </c>
      <c r="B377" s="75" t="s">
        <v>9936</v>
      </c>
    </row>
    <row r="378" spans="1:2" ht="13.5">
      <c r="A378" s="75" t="s">
        <v>9937</v>
      </c>
      <c r="B378" s="75" t="s">
        <v>9938</v>
      </c>
    </row>
    <row r="379" spans="1:2" ht="13.5">
      <c r="A379" s="75" t="s">
        <v>3622</v>
      </c>
      <c r="B379" s="75" t="s">
        <v>9939</v>
      </c>
    </row>
    <row r="380" spans="1:2" ht="13.5">
      <c r="A380" s="75" t="s">
        <v>3623</v>
      </c>
      <c r="B380" s="75" t="s">
        <v>9940</v>
      </c>
    </row>
    <row r="381" spans="1:2" ht="13.5">
      <c r="A381" s="75" t="s">
        <v>9941</v>
      </c>
      <c r="B381" s="75" t="s">
        <v>9942</v>
      </c>
    </row>
    <row r="382" spans="1:2" ht="13.5">
      <c r="A382" s="75" t="s">
        <v>9943</v>
      </c>
      <c r="B382" s="75" t="s">
        <v>9944</v>
      </c>
    </row>
    <row r="383" spans="1:2" ht="13.5">
      <c r="A383" s="75" t="s">
        <v>9945</v>
      </c>
      <c r="B383" s="75" t="s">
        <v>9946</v>
      </c>
    </row>
    <row r="384" spans="1:2" ht="13.5">
      <c r="A384" s="75" t="s">
        <v>9947</v>
      </c>
      <c r="B384" s="75" t="s">
        <v>9948</v>
      </c>
    </row>
    <row r="385" spans="1:2" ht="13.5">
      <c r="A385" s="75" t="s">
        <v>9949</v>
      </c>
      <c r="B385" s="75" t="s">
        <v>9950</v>
      </c>
    </row>
    <row r="386" spans="1:2" ht="13.5">
      <c r="A386" s="75" t="s">
        <v>9951</v>
      </c>
      <c r="B386" s="75" t="s">
        <v>9952</v>
      </c>
    </row>
    <row r="387" spans="1:2" ht="13.5">
      <c r="A387" s="75" t="s">
        <v>9953</v>
      </c>
      <c r="B387" s="75" t="s">
        <v>9954</v>
      </c>
    </row>
    <row r="388" spans="1:2" ht="13.5">
      <c r="A388" s="75" t="s">
        <v>9955</v>
      </c>
      <c r="B388" s="75" t="s">
        <v>9956</v>
      </c>
    </row>
    <row r="389" spans="1:2" ht="13.5">
      <c r="A389" s="75" t="s">
        <v>9957</v>
      </c>
      <c r="B389" s="75" t="s">
        <v>9958</v>
      </c>
    </row>
    <row r="390" spans="1:2" ht="13.5">
      <c r="A390" s="75" t="s">
        <v>9959</v>
      </c>
      <c r="B390" s="75" t="s">
        <v>9960</v>
      </c>
    </row>
    <row r="391" spans="1:2" ht="13.5">
      <c r="A391" s="75" t="s">
        <v>9961</v>
      </c>
      <c r="B391" s="75" t="s">
        <v>9962</v>
      </c>
    </row>
    <row r="392" spans="1:2" ht="13.5">
      <c r="A392" s="75" t="s">
        <v>9963</v>
      </c>
      <c r="B392" s="75" t="s">
        <v>9964</v>
      </c>
    </row>
    <row r="393" spans="1:2" ht="13.5">
      <c r="A393" s="75" t="s">
        <v>9965</v>
      </c>
      <c r="B393" s="75" t="s">
        <v>9966</v>
      </c>
    </row>
    <row r="394" spans="1:2" ht="13.5">
      <c r="A394" s="75" t="s">
        <v>9967</v>
      </c>
      <c r="B394" s="75" t="s">
        <v>9968</v>
      </c>
    </row>
    <row r="395" spans="1:2" ht="13.5">
      <c r="A395" s="75" t="s">
        <v>9969</v>
      </c>
      <c r="B395" s="75" t="s">
        <v>9956</v>
      </c>
    </row>
    <row r="396" spans="1:2" ht="13.5">
      <c r="A396" s="75" t="s">
        <v>9970</v>
      </c>
      <c r="B396" s="75" t="s">
        <v>9958</v>
      </c>
    </row>
    <row r="397" spans="1:2" ht="13.5">
      <c r="A397" s="75" t="s">
        <v>9971</v>
      </c>
      <c r="B397" s="75" t="s">
        <v>9964</v>
      </c>
    </row>
    <row r="398" spans="1:2" ht="13.5">
      <c r="A398" s="75" t="s">
        <v>9972</v>
      </c>
      <c r="B398" s="75" t="s">
        <v>9966</v>
      </c>
    </row>
    <row r="399" spans="1:2" ht="13.5">
      <c r="A399" s="75" t="s">
        <v>9973</v>
      </c>
      <c r="B399" s="75" t="s">
        <v>9974</v>
      </c>
    </row>
    <row r="400" spans="1:2" ht="13.5">
      <c r="A400" s="75" t="s">
        <v>9975</v>
      </c>
      <c r="B400" s="75" t="s">
        <v>9976</v>
      </c>
    </row>
    <row r="401" spans="1:2" ht="13.5">
      <c r="A401" s="75" t="s">
        <v>9977</v>
      </c>
      <c r="B401" s="75" t="s">
        <v>9978</v>
      </c>
    </row>
    <row r="402" spans="1:2" ht="13.5">
      <c r="A402" s="75" t="s">
        <v>9979</v>
      </c>
      <c r="B402" s="75" t="s">
        <v>9980</v>
      </c>
    </row>
    <row r="403" spans="1:2" ht="13.5">
      <c r="A403" s="75" t="s">
        <v>9981</v>
      </c>
      <c r="B403" s="75" t="s">
        <v>9982</v>
      </c>
    </row>
    <row r="404" spans="1:2" ht="13.5">
      <c r="A404" s="75" t="s">
        <v>9983</v>
      </c>
      <c r="B404" s="75" t="s">
        <v>9984</v>
      </c>
    </row>
    <row r="405" spans="1:2" ht="13.5">
      <c r="A405" s="75" t="s">
        <v>9985</v>
      </c>
      <c r="B405" s="75" t="s">
        <v>9986</v>
      </c>
    </row>
    <row r="406" spans="1:2" ht="13.5">
      <c r="A406" s="75" t="s">
        <v>9987</v>
      </c>
      <c r="B406" s="75" t="s">
        <v>9988</v>
      </c>
    </row>
    <row r="407" spans="1:2" ht="13.5">
      <c r="A407" s="75" t="s">
        <v>9989</v>
      </c>
      <c r="B407" s="75" t="s">
        <v>9990</v>
      </c>
    </row>
    <row r="408" spans="1:2" ht="13.5">
      <c r="A408" s="75" t="s">
        <v>9991</v>
      </c>
      <c r="B408" s="75" t="s">
        <v>9992</v>
      </c>
    </row>
    <row r="409" spans="1:2" ht="13.5">
      <c r="A409" s="75" t="s">
        <v>9993</v>
      </c>
      <c r="B409" s="75" t="s">
        <v>9994</v>
      </c>
    </row>
    <row r="410" spans="1:2" ht="13.5">
      <c r="A410" s="75" t="s">
        <v>9995</v>
      </c>
      <c r="B410" s="75" t="s">
        <v>9996</v>
      </c>
    </row>
    <row r="411" spans="1:2" ht="13.5">
      <c r="A411" s="75" t="s">
        <v>9997</v>
      </c>
      <c r="B411" s="75" t="s">
        <v>9998</v>
      </c>
    </row>
    <row r="412" spans="1:2" ht="13.5">
      <c r="A412" s="75" t="s">
        <v>9999</v>
      </c>
      <c r="B412" s="75" t="s">
        <v>10000</v>
      </c>
    </row>
    <row r="413" spans="1:2" ht="13.5">
      <c r="A413" s="75" t="s">
        <v>2371</v>
      </c>
      <c r="B413" s="75" t="s">
        <v>10001</v>
      </c>
    </row>
    <row r="414" spans="1:2" ht="13.5">
      <c r="A414" s="75" t="s">
        <v>2375</v>
      </c>
      <c r="B414" s="75" t="s">
        <v>10002</v>
      </c>
    </row>
    <row r="415" spans="1:2" ht="13.5">
      <c r="A415" s="75" t="s">
        <v>5289</v>
      </c>
      <c r="B415" s="75" t="s">
        <v>10003</v>
      </c>
    </row>
    <row r="416" spans="1:2" ht="13.5">
      <c r="A416" s="75" t="s">
        <v>2372</v>
      </c>
      <c r="B416" s="75" t="s">
        <v>10004</v>
      </c>
    </row>
    <row r="417" spans="1:2" ht="13.5">
      <c r="A417" s="75" t="s">
        <v>2373</v>
      </c>
      <c r="B417" s="75" t="s">
        <v>10005</v>
      </c>
    </row>
    <row r="418" spans="1:2" ht="13.5">
      <c r="A418" s="75" t="s">
        <v>2376</v>
      </c>
      <c r="B418" s="75" t="s">
        <v>10006</v>
      </c>
    </row>
    <row r="419" spans="1:2" ht="13.5">
      <c r="A419" s="75" t="s">
        <v>2374</v>
      </c>
      <c r="B419" s="75" t="s">
        <v>10007</v>
      </c>
    </row>
    <row r="420" spans="1:2" ht="13.5">
      <c r="A420" s="75" t="s">
        <v>10008</v>
      </c>
      <c r="B420" s="75" t="s">
        <v>10009</v>
      </c>
    </row>
    <row r="421" spans="1:2" ht="13.5">
      <c r="A421" s="75" t="s">
        <v>10010</v>
      </c>
      <c r="B421" s="75" t="s">
        <v>10011</v>
      </c>
    </row>
    <row r="422" spans="1:2" ht="13.5">
      <c r="A422" s="75" t="s">
        <v>10012</v>
      </c>
      <c r="B422" s="75" t="s">
        <v>10013</v>
      </c>
    </row>
    <row r="423" spans="1:2" ht="13.5">
      <c r="A423" s="75" t="s">
        <v>10014</v>
      </c>
      <c r="B423" s="75" t="s">
        <v>10015</v>
      </c>
    </row>
    <row r="424" spans="1:2" ht="13.5">
      <c r="A424" s="75" t="s">
        <v>10016</v>
      </c>
      <c r="B424" s="75" t="s">
        <v>10017</v>
      </c>
    </row>
    <row r="425" spans="1:2" ht="13.5">
      <c r="A425" s="75" t="s">
        <v>2836</v>
      </c>
      <c r="B425" s="75" t="s">
        <v>10018</v>
      </c>
    </row>
    <row r="426" spans="1:2" ht="13.5">
      <c r="A426" s="75" t="s">
        <v>2837</v>
      </c>
      <c r="B426" s="75" t="s">
        <v>10019</v>
      </c>
    </row>
    <row r="427" spans="1:2" ht="13.5">
      <c r="A427" s="75" t="s">
        <v>10020</v>
      </c>
      <c r="B427" s="75" t="s">
        <v>10021</v>
      </c>
    </row>
    <row r="428" spans="1:2" ht="13.5">
      <c r="A428" s="75" t="s">
        <v>10022</v>
      </c>
      <c r="B428" s="75" t="s">
        <v>10023</v>
      </c>
    </row>
    <row r="429" spans="1:2" ht="13.5">
      <c r="A429" s="75" t="s">
        <v>10024</v>
      </c>
      <c r="B429" s="75" t="s">
        <v>10025</v>
      </c>
    </row>
    <row r="430" spans="1:2" ht="13.5">
      <c r="A430" s="75" t="s">
        <v>10026</v>
      </c>
      <c r="B430" s="75" t="s">
        <v>10027</v>
      </c>
    </row>
    <row r="431" spans="1:2" ht="13.5">
      <c r="A431" s="75" t="s">
        <v>10028</v>
      </c>
      <c r="B431" s="75" t="s">
        <v>10029</v>
      </c>
    </row>
    <row r="432" spans="1:2" ht="13.5">
      <c r="A432" s="75" t="s">
        <v>10030</v>
      </c>
      <c r="B432" s="75" t="s">
        <v>10031</v>
      </c>
    </row>
    <row r="433" spans="1:2" ht="13.5">
      <c r="A433" s="75" t="s">
        <v>10032</v>
      </c>
      <c r="B433" s="75" t="s">
        <v>10033</v>
      </c>
    </row>
    <row r="434" spans="1:2" ht="13.5">
      <c r="A434" s="75" t="s">
        <v>10034</v>
      </c>
      <c r="B434" s="75" t="s">
        <v>7258</v>
      </c>
    </row>
    <row r="435" spans="1:2" ht="13.5">
      <c r="A435" s="75" t="s">
        <v>10035</v>
      </c>
      <c r="B435" s="75" t="s">
        <v>10036</v>
      </c>
    </row>
    <row r="436" spans="1:2" ht="13.5">
      <c r="A436" s="75" t="s">
        <v>10037</v>
      </c>
      <c r="B436" s="75" t="s">
        <v>10038</v>
      </c>
    </row>
    <row r="437" spans="1:2" ht="13.5">
      <c r="A437" s="75" t="s">
        <v>10039</v>
      </c>
      <c r="B437" s="75" t="s">
        <v>10040</v>
      </c>
    </row>
    <row r="438" spans="1:2" ht="13.5">
      <c r="A438" s="75" t="s">
        <v>10041</v>
      </c>
      <c r="B438" s="75" t="s">
        <v>10042</v>
      </c>
    </row>
    <row r="439" spans="1:2" ht="13.5">
      <c r="A439" s="75" t="s">
        <v>10043</v>
      </c>
      <c r="B439" s="75" t="s">
        <v>10044</v>
      </c>
    </row>
    <row r="440" spans="1:2" ht="13.5">
      <c r="A440" s="75" t="s">
        <v>10045</v>
      </c>
      <c r="B440" s="75" t="s">
        <v>10046</v>
      </c>
    </row>
    <row r="441" spans="1:2" ht="13.5">
      <c r="A441" s="75" t="s">
        <v>10047</v>
      </c>
      <c r="B441" s="75" t="s">
        <v>4050</v>
      </c>
    </row>
    <row r="442" spans="1:2" ht="13.5">
      <c r="A442" s="75" t="s">
        <v>10048</v>
      </c>
      <c r="B442" s="75" t="s">
        <v>10049</v>
      </c>
    </row>
    <row r="443" spans="1:2" ht="13.5">
      <c r="A443" s="75" t="s">
        <v>10050</v>
      </c>
      <c r="B443" s="75" t="s">
        <v>4047</v>
      </c>
    </row>
    <row r="444" spans="1:2" ht="13.5">
      <c r="A444" s="75" t="s">
        <v>10051</v>
      </c>
      <c r="B444" s="75" t="s">
        <v>10052</v>
      </c>
    </row>
    <row r="445" spans="1:2" ht="13.5">
      <c r="A445" s="75" t="s">
        <v>10053</v>
      </c>
      <c r="B445" s="75" t="s">
        <v>10054</v>
      </c>
    </row>
    <row r="446" spans="1:2" ht="13.5">
      <c r="A446" s="75" t="s">
        <v>5652</v>
      </c>
      <c r="B446" s="75" t="s">
        <v>10055</v>
      </c>
    </row>
    <row r="447" spans="1:2" ht="13.5">
      <c r="A447" s="75" t="s">
        <v>10056</v>
      </c>
      <c r="B447" s="75" t="s">
        <v>5995</v>
      </c>
    </row>
    <row r="448" spans="1:2" ht="13.5">
      <c r="A448" s="75" t="s">
        <v>10057</v>
      </c>
      <c r="B448" s="75" t="s">
        <v>10058</v>
      </c>
    </row>
    <row r="449" spans="1:2" ht="13.5">
      <c r="A449" s="75" t="s">
        <v>10059</v>
      </c>
      <c r="B449" s="75" t="s">
        <v>10060</v>
      </c>
    </row>
    <row r="450" spans="1:2" ht="13.5">
      <c r="A450" s="75" t="s">
        <v>10061</v>
      </c>
      <c r="B450" s="75" t="s">
        <v>10062</v>
      </c>
    </row>
    <row r="451" spans="1:2" ht="13.5">
      <c r="A451" s="75" t="s">
        <v>10063</v>
      </c>
      <c r="B451" s="75" t="s">
        <v>10064</v>
      </c>
    </row>
    <row r="452" spans="1:2" ht="13.5">
      <c r="A452" s="75" t="s">
        <v>10065</v>
      </c>
      <c r="B452" s="75" t="s">
        <v>7258</v>
      </c>
    </row>
    <row r="453" spans="1:2" ht="13.5">
      <c r="A453" s="75" t="s">
        <v>10066</v>
      </c>
      <c r="B453" s="75" t="s">
        <v>10067</v>
      </c>
    </row>
    <row r="454" spans="1:2" ht="13.5">
      <c r="A454" s="75" t="s">
        <v>10068</v>
      </c>
      <c r="B454" s="75" t="s">
        <v>10069</v>
      </c>
    </row>
    <row r="455" spans="1:2" ht="13.5">
      <c r="A455" s="75" t="s">
        <v>10070</v>
      </c>
      <c r="B455" s="75" t="s">
        <v>10071</v>
      </c>
    </row>
    <row r="456" spans="1:2" ht="13.5">
      <c r="A456" s="75" t="s">
        <v>10072</v>
      </c>
      <c r="B456" s="75" t="s">
        <v>10073</v>
      </c>
    </row>
    <row r="457" spans="1:2" ht="13.5">
      <c r="A457" s="75" t="s">
        <v>10074</v>
      </c>
      <c r="B457" s="75" t="s">
        <v>10075</v>
      </c>
    </row>
    <row r="458" spans="1:2" ht="13.5">
      <c r="A458" s="75" t="s">
        <v>10076</v>
      </c>
      <c r="B458" s="75" t="s">
        <v>10077</v>
      </c>
    </row>
    <row r="459" spans="1:2" ht="13.5">
      <c r="A459" s="75" t="s">
        <v>10078</v>
      </c>
      <c r="B459" s="75" t="s">
        <v>10079</v>
      </c>
    </row>
    <row r="460" spans="1:2" ht="13.5">
      <c r="A460" s="75" t="s">
        <v>10080</v>
      </c>
      <c r="B460" s="75" t="s">
        <v>10081</v>
      </c>
    </row>
    <row r="461" spans="1:2" ht="13.5">
      <c r="A461" s="75" t="s">
        <v>10082</v>
      </c>
      <c r="B461" s="75" t="s">
        <v>10083</v>
      </c>
    </row>
    <row r="462" spans="1:2" ht="13.5">
      <c r="A462" s="75" t="s">
        <v>10084</v>
      </c>
      <c r="B462" s="75" t="s">
        <v>10085</v>
      </c>
    </row>
    <row r="463" spans="1:2" ht="13.5">
      <c r="A463" s="75" t="s">
        <v>10086</v>
      </c>
      <c r="B463" s="75" t="s">
        <v>10087</v>
      </c>
    </row>
    <row r="464" spans="1:2" ht="13.5">
      <c r="A464" s="75" t="s">
        <v>10088</v>
      </c>
      <c r="B464" s="75" t="s">
        <v>10089</v>
      </c>
    </row>
    <row r="465" spans="1:2" ht="13.5">
      <c r="A465" s="75" t="s">
        <v>10090</v>
      </c>
      <c r="B465" s="75" t="s">
        <v>10089</v>
      </c>
    </row>
    <row r="466" spans="1:2" ht="13.5">
      <c r="A466" s="75" t="s">
        <v>10091</v>
      </c>
      <c r="B466" s="75" t="s">
        <v>10092</v>
      </c>
    </row>
    <row r="467" spans="1:2" ht="13.5">
      <c r="A467" s="75" t="s">
        <v>10093</v>
      </c>
      <c r="B467" s="75" t="s">
        <v>10094</v>
      </c>
    </row>
    <row r="468" spans="1:2" ht="13.5">
      <c r="A468" s="75" t="s">
        <v>10095</v>
      </c>
      <c r="B468" s="75" t="s">
        <v>10096</v>
      </c>
    </row>
    <row r="469" spans="1:2" ht="13.5">
      <c r="A469" s="75" t="s">
        <v>10097</v>
      </c>
      <c r="B469" s="75" t="s">
        <v>10098</v>
      </c>
    </row>
    <row r="470" spans="1:2" ht="13.5">
      <c r="A470" s="75" t="s">
        <v>10099</v>
      </c>
      <c r="B470" s="75" t="s">
        <v>10100</v>
      </c>
    </row>
    <row r="471" spans="1:2" ht="13.5">
      <c r="A471" s="75" t="s">
        <v>10101</v>
      </c>
      <c r="B471" s="75" t="s">
        <v>10102</v>
      </c>
    </row>
    <row r="472" spans="1:2" ht="13.5">
      <c r="A472" s="75" t="s">
        <v>10103</v>
      </c>
      <c r="B472" s="75" t="s">
        <v>10100</v>
      </c>
    </row>
    <row r="473" spans="1:2" ht="13.5">
      <c r="A473" s="75" t="s">
        <v>10104</v>
      </c>
      <c r="B473" s="75" t="s">
        <v>10105</v>
      </c>
    </row>
    <row r="474" spans="1:2" ht="13.5">
      <c r="A474" s="75" t="s">
        <v>10106</v>
      </c>
      <c r="B474" s="75" t="s">
        <v>10107</v>
      </c>
    </row>
    <row r="475" spans="1:2" ht="13.5">
      <c r="A475" s="75" t="s">
        <v>10108</v>
      </c>
      <c r="B475" s="75" t="s">
        <v>10109</v>
      </c>
    </row>
    <row r="476" spans="1:2" ht="13.5">
      <c r="A476" s="75" t="s">
        <v>10110</v>
      </c>
      <c r="B476" s="75" t="s">
        <v>10111</v>
      </c>
    </row>
    <row r="477" spans="1:2" ht="13.5">
      <c r="A477" s="75" t="s">
        <v>10112</v>
      </c>
      <c r="B477" s="75" t="s">
        <v>1138</v>
      </c>
    </row>
    <row r="478" spans="1:2" ht="13.5">
      <c r="A478" s="75" t="s">
        <v>10113</v>
      </c>
      <c r="B478" s="75" t="s">
        <v>1611</v>
      </c>
    </row>
    <row r="479" spans="1:2" ht="13.5">
      <c r="A479" s="75" t="s">
        <v>5613</v>
      </c>
      <c r="B479" s="75" t="s">
        <v>1665</v>
      </c>
    </row>
    <row r="480" spans="1:2" ht="13.5">
      <c r="A480" s="75" t="s">
        <v>5614</v>
      </c>
      <c r="B480" s="75" t="s">
        <v>1612</v>
      </c>
    </row>
    <row r="481" spans="1:2" ht="13.5">
      <c r="A481" s="75" t="s">
        <v>10114</v>
      </c>
      <c r="B481" s="75" t="s">
        <v>10115</v>
      </c>
    </row>
    <row r="482" spans="1:2" ht="13.5">
      <c r="A482" s="75" t="s">
        <v>10116</v>
      </c>
      <c r="B482" s="75" t="s">
        <v>10117</v>
      </c>
    </row>
    <row r="483" spans="1:2" ht="13.5">
      <c r="A483" s="75" t="s">
        <v>10118</v>
      </c>
      <c r="B483" s="75" t="s">
        <v>10119</v>
      </c>
    </row>
    <row r="484" spans="1:2" ht="13.5">
      <c r="A484" s="75" t="s">
        <v>10120</v>
      </c>
      <c r="B484" s="75" t="s">
        <v>10121</v>
      </c>
    </row>
    <row r="485" spans="1:2" ht="13.5">
      <c r="A485" s="75" t="s">
        <v>10122</v>
      </c>
      <c r="B485" s="75" t="s">
        <v>10123</v>
      </c>
    </row>
    <row r="486" spans="1:2" ht="13.5">
      <c r="A486" s="75" t="s">
        <v>10124</v>
      </c>
      <c r="B486" s="75" t="s">
        <v>10125</v>
      </c>
    </row>
    <row r="487" spans="1:2" ht="13.5">
      <c r="A487" s="75" t="s">
        <v>10126</v>
      </c>
      <c r="B487" s="75" t="s">
        <v>10127</v>
      </c>
    </row>
    <row r="488" spans="1:2" ht="13.5">
      <c r="A488" s="75" t="s">
        <v>10128</v>
      </c>
      <c r="B488" s="75" t="s">
        <v>10129</v>
      </c>
    </row>
    <row r="489" spans="1:2" ht="13.5">
      <c r="A489" s="75" t="s">
        <v>10130</v>
      </c>
      <c r="B489" s="75" t="s">
        <v>10131</v>
      </c>
    </row>
    <row r="490" spans="1:2" ht="13.5">
      <c r="A490" s="75" t="s">
        <v>10132</v>
      </c>
      <c r="B490" s="75" t="s">
        <v>10133</v>
      </c>
    </row>
    <row r="491" spans="1:2" ht="13.5">
      <c r="A491" s="75" t="s">
        <v>10134</v>
      </c>
      <c r="B491" s="75" t="s">
        <v>10135</v>
      </c>
    </row>
    <row r="492" spans="1:2" ht="13.5">
      <c r="A492" s="75" t="s">
        <v>10136</v>
      </c>
      <c r="B492" s="75" t="s">
        <v>10137</v>
      </c>
    </row>
    <row r="493" spans="1:2" ht="13.5">
      <c r="A493" s="75" t="s">
        <v>10138</v>
      </c>
      <c r="B493" s="75" t="s">
        <v>10139</v>
      </c>
    </row>
    <row r="494" spans="1:2" ht="13.5">
      <c r="A494" s="75" t="s">
        <v>10140</v>
      </c>
      <c r="B494" s="75" t="s">
        <v>10141</v>
      </c>
    </row>
    <row r="495" spans="1:2" ht="13.5">
      <c r="A495" s="75" t="s">
        <v>10142</v>
      </c>
      <c r="B495" s="75" t="s">
        <v>10143</v>
      </c>
    </row>
    <row r="496" spans="1:2" ht="13.5">
      <c r="A496" s="75" t="s">
        <v>10144</v>
      </c>
      <c r="B496" s="75" t="s">
        <v>10145</v>
      </c>
    </row>
    <row r="497" spans="1:2" ht="13.5">
      <c r="A497" s="75" t="s">
        <v>10146</v>
      </c>
      <c r="B497" s="75" t="s">
        <v>10147</v>
      </c>
    </row>
    <row r="498" spans="1:2" ht="13.5">
      <c r="A498" s="75" t="s">
        <v>10148</v>
      </c>
      <c r="B498" s="75" t="s">
        <v>10149</v>
      </c>
    </row>
    <row r="499" spans="1:2" ht="13.5">
      <c r="A499" s="75" t="s">
        <v>10150</v>
      </c>
      <c r="B499" s="75" t="s">
        <v>10151</v>
      </c>
    </row>
    <row r="500" spans="1:2" ht="13.5">
      <c r="A500" s="75" t="s">
        <v>10152</v>
      </c>
      <c r="B500" s="75" t="s">
        <v>10153</v>
      </c>
    </row>
    <row r="501" spans="1:2" ht="13.5">
      <c r="A501" s="75" t="s">
        <v>10154</v>
      </c>
      <c r="B501" s="75" t="s">
        <v>10155</v>
      </c>
    </row>
    <row r="502" spans="1:2" ht="13.5">
      <c r="A502" s="75" t="s">
        <v>10156</v>
      </c>
      <c r="B502" s="75" t="s">
        <v>10157</v>
      </c>
    </row>
    <row r="503" spans="1:2" ht="13.5">
      <c r="A503" s="75" t="s">
        <v>10158</v>
      </c>
      <c r="B503" s="75" t="s">
        <v>10159</v>
      </c>
    </row>
    <row r="504" spans="1:2" ht="13.5">
      <c r="A504" s="75" t="s">
        <v>10160</v>
      </c>
      <c r="B504" s="75" t="s">
        <v>10161</v>
      </c>
    </row>
    <row r="505" spans="1:2" ht="13.5">
      <c r="A505" s="75" t="s">
        <v>10162</v>
      </c>
      <c r="B505" s="75" t="s">
        <v>10163</v>
      </c>
    </row>
    <row r="506" spans="1:2" ht="13.5">
      <c r="A506" s="75" t="s">
        <v>10164</v>
      </c>
      <c r="B506" s="75" t="s">
        <v>6418</v>
      </c>
    </row>
    <row r="507" spans="1:2" ht="13.5">
      <c r="A507" s="75" t="s">
        <v>10165</v>
      </c>
      <c r="B507" s="75" t="s">
        <v>6422</v>
      </c>
    </row>
    <row r="508" spans="1:2" ht="13.5">
      <c r="A508" s="75" t="s">
        <v>10166</v>
      </c>
      <c r="B508" s="75" t="s">
        <v>6426</v>
      </c>
    </row>
    <row r="509" spans="1:2" ht="13.5">
      <c r="A509" s="75" t="s">
        <v>10167</v>
      </c>
      <c r="B509" s="75" t="s">
        <v>6420</v>
      </c>
    </row>
    <row r="510" spans="1:2" ht="13.5">
      <c r="A510" s="75" t="s">
        <v>10168</v>
      </c>
      <c r="B510" s="75" t="s">
        <v>6424</v>
      </c>
    </row>
  </sheetData>
  <autoFilter ref="A1:B510" xr:uid="{DAF9A1A6-A110-7E4D-8BA3-2AE8485FB3E6}"/>
  <phoneticPr fontId="4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1cd2af-d2ff-46fa-9192-2f34edefbd02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RMAGRUDER</dc:creator>
  <dcterms:modified xsi:type="dcterms:W3CDTF">2026-10-13T07:14:23Z</dcterms:modified>
  <cp:lastPrinted>2011-07-06T00:21:55Z</cp:lastPrinted>
  <cp:lastModifiedBy>유종훈(기술영업) - B2B영업팀</cp:lastModifiedBy>
  <dcterms:created xsi:type="dcterms:W3CDTF">2007-12-04T18:24:09Z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306bfe-29cf-4c0e-bbb8-fa4efadabca8_SiteId">
    <vt:lpwstr>d4ffc887-d88d-41cc-bf6a-6bb47ec0f3ca</vt:lpwstr>
  </property>
  <property fmtid="{D5CDD505-2E9C-101B-9397-08002B2CF9AE}" pid="3" name="MSIP_Label_13306bfe-29cf-4c0e-bbb8-fa4efadabca8_SetDate">
    <vt:lpwstr>2026-10-13T02:03:01Z</vt:lpwstr>
  </property>
  <property fmtid="{D5CDD505-2E9C-101B-9397-08002B2CF9AE}" pid="4" name="MSIP_Label_13306bfe-29cf-4c0e-bbb8-fa4efadabca8_Name">
    <vt:lpwstr>신세계아이엔씨</vt:lpwstr>
  </property>
  <property fmtid="{D5CDD505-2E9C-101B-9397-08002B2CF9AE}" pid="5" name="MSIP_Label_13306bfe-29cf-4c0e-bbb8-fa4efadabca8_Method">
    <vt:lpwstr>Privileged</vt:lpwstr>
  </property>
  <property fmtid="{D5CDD505-2E9C-101B-9397-08002B2CF9AE}" pid="6" name="MSIP_Label_13306bfe-29cf-4c0e-bbb8-fa4efadabca8_Enabled">
    <vt:lpwstr>true</vt:lpwstr>
  </property>
  <property fmtid="{D5CDD505-2E9C-101B-9397-08002B2CF9AE}" pid="7" name="MSIP_Label_13306bfe-29cf-4c0e-bbb8-fa4efadabca8_ContentBits">
    <vt:lpwstr>8</vt:lpwstr>
  </property>
</Properties>
</file>